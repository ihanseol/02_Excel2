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drawings/drawing6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8.xml" ContentType="application/vnd.openxmlformats-officedocument.spreadsheetml.table+xml"/>
  <Override PartName="/xl/drawings/drawing7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8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drawings/drawing9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drawings/drawing10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drawings/drawing11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06_Send2\"/>
    </mc:Choice>
  </mc:AlternateContent>
  <xr:revisionPtr revIDLastSave="0" documentId="13_ncr:1_{A32948DE-5C5D-421E-B32D-FA6535D043D1}" xr6:coauthVersionLast="47" xr6:coauthVersionMax="47" xr10:uidLastSave="{00000000-0000-0000-0000-000000000000}"/>
  <bookViews>
    <workbookView xWindow="6945" yWindow="1455" windowWidth="29340" windowHeight="19425" tabRatio="716" firstSheet="2" activeTab="3" xr2:uid="{E8EF9A35-EF8D-4AE1-94EB-08BFCE1B72C2}"/>
  </bookViews>
  <sheets>
    <sheet name="REF" sheetId="3" state="hidden" r:id="rId1"/>
    <sheet name="Sheet1" sheetId="12" state="hidden" r:id="rId2"/>
    <sheet name="Input" sheetId="2" r:id="rId3"/>
    <sheet name="SkinFactor" sheetId="4" r:id="rId4"/>
    <sheet name="SafeYield" sheetId="5" state="hidden" r:id="rId5"/>
    <sheet name="StepTest" sheetId="6" r:id="rId6"/>
    <sheet name="Sheet2" sheetId="21" state="hidden" r:id="rId7"/>
    <sheet name="LongTest" sheetId="7" r:id="rId8"/>
    <sheet name="Step.Select" sheetId="8" r:id="rId9"/>
    <sheet name="Janggi.Select" sheetId="9" r:id="rId10"/>
    <sheet name="Recover.Select" sheetId="10" r:id="rId11"/>
    <sheet name="장회" sheetId="15" state="hidden" r:id="rId12"/>
    <sheet name="장회14" sheetId="20" state="hidden" r:id="rId13"/>
    <sheet name="단계" sheetId="17" state="hidden" r:id="rId14"/>
    <sheet name="장기28" sheetId="16" state="hidden" r:id="rId15"/>
    <sheet name="회복" sheetId="13" state="hidden" r:id="rId16"/>
    <sheet name="장기14" sheetId="18" state="hidden" r:id="rId17"/>
    <sheet name="회복12" sheetId="19" state="hidden" r:id="rId18"/>
    <sheet name="w1" sheetId="11" r:id="rId19"/>
  </sheets>
  <functionGroups builtInGroupCount="19"/>
  <externalReferences>
    <externalReference r:id="rId20"/>
  </externalReferences>
  <definedNames>
    <definedName name="baseTemp" localSheetId="18">'w1'!$C$7</definedName>
    <definedName name="EffectiveRadius">SkinFactor!$H$10</definedName>
    <definedName name="GoalSeekTarget">LongTest!$M$13</definedName>
    <definedName name="gongbun" localSheetId="1">#REF!</definedName>
    <definedName name="gongbun" localSheetId="6">[1]REF!$D$4:$D$36</definedName>
    <definedName name="gongbun">REF!$D$4:$D$36</definedName>
    <definedName name="gongbun2" localSheetId="1">#REF!</definedName>
    <definedName name="gongbun2" localSheetId="6">[1]REF!$E$4:$E$36</definedName>
    <definedName name="gongbun2">REF!$E$4:$E$36</definedName>
    <definedName name="_xlnm.Print_Area" localSheetId="2">Input!$A$1:$M$62</definedName>
    <definedName name="_xlnm.Print_Area" localSheetId="7">LongTest!$A$1:$J$101</definedName>
    <definedName name="_xlnm.Print_Area" localSheetId="5">StepTest!$A$1:$I$51</definedName>
    <definedName name="_xlnm.Print_Titles" localSheetId="7">LongTest!$1:$9</definedName>
    <definedName name="_xlnm.Print_Titles" localSheetId="5">StepTest!$3:$10</definedName>
    <definedName name="_xlnm.Print_Titles" localSheetId="13">단계!$1:$11</definedName>
    <definedName name="_xlnm.Print_Titles" localSheetId="16">장기14!$1:$11</definedName>
    <definedName name="_xlnm.Print_Titles" localSheetId="14">장기28!$1:$11</definedName>
    <definedName name="_xlnm.Print_Titles" localSheetId="11">장회!$1:$11</definedName>
    <definedName name="_xlnm.Print_Titles" localSheetId="12">장회14!$1:$11</definedName>
    <definedName name="_xlnm.Print_Titles" localSheetId="15">회복!$1:$11</definedName>
    <definedName name="_xlnm.Print_Titles" localSheetId="17">회복12!$1:$11</definedName>
    <definedName name="pump_hp" localSheetId="1">#REF!</definedName>
    <definedName name="pump_hp" localSheetId="6">[1]REF!$C$4:$C$13</definedName>
    <definedName name="pump_hp">REF!$C$4:$C$13</definedName>
    <definedName name="well_radius" localSheetId="1">#REF!</definedName>
    <definedName name="well_radius" localSheetId="6">[1]REF!$F$4:$F$7</definedName>
    <definedName name="well_radius">REF!$F$4:$F$7</definedName>
    <definedName name="단계양수">StepTest!$A$3:$I$51</definedName>
    <definedName name="장기양수">LongTest!$A$1:$J$101</definedName>
    <definedName name="적정채수량산정">Input!$A$1:$M$54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8" i="10" l="1"/>
  <c r="A27" i="9"/>
  <c r="H7" i="20"/>
  <c r="C4" i="20"/>
  <c r="C22" i="20" s="1"/>
  <c r="I3" i="20"/>
  <c r="H7" i="19"/>
  <c r="I3" i="19"/>
  <c r="C41" i="18"/>
  <c r="C40" i="18"/>
  <c r="C33" i="18"/>
  <c r="C31" i="18"/>
  <c r="C28" i="18"/>
  <c r="H7" i="18"/>
  <c r="C4" i="18"/>
  <c r="C35" i="18" s="1"/>
  <c r="I3" i="18"/>
  <c r="I3" i="13"/>
  <c r="I3" i="15"/>
  <c r="I3" i="17"/>
  <c r="I3" i="16"/>
  <c r="C12" i="18" l="1"/>
  <c r="C14" i="18"/>
  <c r="C13" i="20"/>
  <c r="C14" i="20"/>
  <c r="C37" i="18"/>
  <c r="C38" i="18"/>
  <c r="C42" i="18"/>
  <c r="C16" i="18"/>
  <c r="C47" i="18"/>
  <c r="C66" i="20"/>
  <c r="C68" i="20"/>
  <c r="C64" i="20"/>
  <c r="C67" i="20"/>
  <c r="C73" i="20"/>
  <c r="C75" i="20"/>
  <c r="C60" i="20"/>
  <c r="C69" i="20"/>
  <c r="C70" i="20"/>
  <c r="C71" i="20"/>
  <c r="C72" i="20"/>
  <c r="C59" i="20"/>
  <c r="C74" i="20"/>
  <c r="C76" i="20"/>
  <c r="C77" i="20"/>
  <c r="C5" i="20" s="1"/>
  <c r="C62" i="20"/>
  <c r="C58" i="20"/>
  <c r="C63" i="20"/>
  <c r="C61" i="20"/>
  <c r="C65" i="20"/>
  <c r="C43" i="18"/>
  <c r="C27" i="20"/>
  <c r="C13" i="18"/>
  <c r="C18" i="18"/>
  <c r="C22" i="18"/>
  <c r="C40" i="20"/>
  <c r="C17" i="18"/>
  <c r="C18" i="20"/>
  <c r="C45" i="20"/>
  <c r="C45" i="18"/>
  <c r="C49" i="18"/>
  <c r="C24" i="18"/>
  <c r="C52" i="18"/>
  <c r="C26" i="18"/>
  <c r="C53" i="18"/>
  <c r="C50" i="20"/>
  <c r="C21" i="18"/>
  <c r="C48" i="18"/>
  <c r="C27" i="18"/>
  <c r="C54" i="18"/>
  <c r="C55" i="20"/>
  <c r="C17" i="20"/>
  <c r="C31" i="20"/>
  <c r="C44" i="20"/>
  <c r="C20" i="20"/>
  <c r="C47" i="20"/>
  <c r="C16" i="20"/>
  <c r="C42" i="20"/>
  <c r="C15" i="20"/>
  <c r="C28" i="20"/>
  <c r="C33" i="20"/>
  <c r="C25" i="20"/>
  <c r="C53" i="20"/>
  <c r="C34" i="20"/>
  <c r="C48" i="20"/>
  <c r="C23" i="20"/>
  <c r="C36" i="20"/>
  <c r="C19" i="20"/>
  <c r="C32" i="20"/>
  <c r="C41" i="20"/>
  <c r="C24" i="20"/>
  <c r="C29" i="20"/>
  <c r="C38" i="20"/>
  <c r="C21" i="20"/>
  <c r="C30" i="20"/>
  <c r="C43" i="20"/>
  <c r="C51" i="20"/>
  <c r="C46" i="20"/>
  <c r="C37" i="20"/>
  <c r="C52" i="20"/>
  <c r="C12" i="20"/>
  <c r="C26" i="20"/>
  <c r="C39" i="20"/>
  <c r="C54" i="20"/>
  <c r="C35" i="20"/>
  <c r="C49" i="20"/>
  <c r="C55" i="18"/>
  <c r="C15" i="18"/>
  <c r="C20" i="18"/>
  <c r="C25" i="18"/>
  <c r="C50" i="18"/>
  <c r="C29" i="18"/>
  <c r="C34" i="18"/>
  <c r="C39" i="18"/>
  <c r="C44" i="18"/>
  <c r="C30" i="18"/>
  <c r="C23" i="18"/>
  <c r="C36" i="18"/>
  <c r="C51" i="18"/>
  <c r="C19" i="18"/>
  <c r="C32" i="18"/>
  <c r="C46" i="18"/>
  <c r="C5" i="18" l="1"/>
  <c r="C4" i="19"/>
  <c r="H9" i="17"/>
  <c r="C4" i="17"/>
  <c r="H7" i="13"/>
  <c r="C73" i="16"/>
  <c r="C68" i="16"/>
  <c r="C54" i="16"/>
  <c r="C48" i="16"/>
  <c r="C40" i="16"/>
  <c r="C29" i="16"/>
  <c r="C27" i="16"/>
  <c r="H7" i="16"/>
  <c r="C4" i="16"/>
  <c r="C70" i="16" s="1"/>
  <c r="C79" i="15"/>
  <c r="C73" i="15"/>
  <c r="C71" i="15"/>
  <c r="C70" i="15"/>
  <c r="C69" i="15"/>
  <c r="C68" i="15"/>
  <c r="C67" i="15"/>
  <c r="C66" i="15"/>
  <c r="C65" i="15"/>
  <c r="C64" i="15"/>
  <c r="C63" i="15"/>
  <c r="C57" i="15"/>
  <c r="C55" i="15"/>
  <c r="C54" i="15"/>
  <c r="C53" i="15"/>
  <c r="C52" i="15"/>
  <c r="C51" i="15"/>
  <c r="C50" i="15"/>
  <c r="C49" i="15"/>
  <c r="C48" i="15"/>
  <c r="C47" i="15"/>
  <c r="C41" i="15"/>
  <c r="C39" i="15"/>
  <c r="C38" i="15"/>
  <c r="C37" i="15"/>
  <c r="C36" i="15"/>
  <c r="C35" i="15"/>
  <c r="C34" i="15"/>
  <c r="C33" i="15"/>
  <c r="C32" i="15"/>
  <c r="C31" i="15"/>
  <c r="C25" i="15"/>
  <c r="C23" i="15"/>
  <c r="C22" i="15"/>
  <c r="C21" i="15"/>
  <c r="C20" i="15"/>
  <c r="C19" i="15"/>
  <c r="C18" i="15"/>
  <c r="C17" i="15"/>
  <c r="C16" i="15"/>
  <c r="C15" i="15"/>
  <c r="H7" i="15"/>
  <c r="C4" i="15"/>
  <c r="C58" i="15" s="1"/>
  <c r="P57" i="2"/>
  <c r="P55" i="2"/>
  <c r="C6" i="11"/>
  <c r="O52" i="2"/>
  <c r="O51" i="2"/>
  <c r="C29" i="4"/>
  <c r="C59" i="2"/>
  <c r="F59" i="2"/>
  <c r="F62" i="2" s="1"/>
  <c r="I59" i="2" s="1"/>
  <c r="C61" i="2"/>
  <c r="E20" i="2"/>
  <c r="C74" i="16" l="1"/>
  <c r="C50" i="16"/>
  <c r="C14" i="16"/>
  <c r="C35" i="16"/>
  <c r="C55" i="16"/>
  <c r="C76" i="16"/>
  <c r="C16" i="16"/>
  <c r="C37" i="16"/>
  <c r="C57" i="16"/>
  <c r="C77" i="16"/>
  <c r="C38" i="16"/>
  <c r="C78" i="16"/>
  <c r="C12" i="16"/>
  <c r="C17" i="16"/>
  <c r="C58" i="16"/>
  <c r="C24" i="15"/>
  <c r="C40" i="15"/>
  <c r="C56" i="15"/>
  <c r="C72" i="15"/>
  <c r="C18" i="16"/>
  <c r="C39" i="16"/>
  <c r="C59" i="16"/>
  <c r="C79" i="16"/>
  <c r="C72" i="16"/>
  <c r="C21" i="16"/>
  <c r="C42" i="16"/>
  <c r="C62" i="16"/>
  <c r="C49" i="16"/>
  <c r="C69" i="16"/>
  <c r="C31" i="16"/>
  <c r="C33" i="16"/>
  <c r="C34" i="16"/>
  <c r="C61" i="16"/>
  <c r="C81" i="15"/>
  <c r="C97" i="15"/>
  <c r="C90" i="15"/>
  <c r="C82" i="15"/>
  <c r="C98" i="15"/>
  <c r="C99" i="15"/>
  <c r="C83" i="15"/>
  <c r="C92" i="15"/>
  <c r="C84" i="15"/>
  <c r="C100" i="15"/>
  <c r="C85" i="15"/>
  <c r="C101" i="15"/>
  <c r="C86" i="15"/>
  <c r="C102" i="15"/>
  <c r="C80" i="15"/>
  <c r="C96" i="15"/>
  <c r="C87" i="15"/>
  <c r="C94" i="15"/>
  <c r="C103" i="15"/>
  <c r="C5" i="15" s="1"/>
  <c r="C91" i="15"/>
  <c r="C95" i="15"/>
  <c r="C88" i="15"/>
  <c r="C89" i="15"/>
  <c r="C93" i="15"/>
  <c r="C42" i="15"/>
  <c r="C74" i="15"/>
  <c r="C27" i="15"/>
  <c r="C43" i="15"/>
  <c r="C59" i="15"/>
  <c r="C75" i="15"/>
  <c r="C22" i="16"/>
  <c r="C43" i="16"/>
  <c r="C63" i="16"/>
  <c r="C71" i="16"/>
  <c r="C53" i="16"/>
  <c r="C13" i="16"/>
  <c r="C20" i="16"/>
  <c r="C26" i="15"/>
  <c r="C12" i="15"/>
  <c r="C28" i="15"/>
  <c r="C44" i="15"/>
  <c r="C60" i="15"/>
  <c r="C76" i="15"/>
  <c r="C24" i="16"/>
  <c r="C65" i="16"/>
  <c r="C13" i="15"/>
  <c r="C29" i="15"/>
  <c r="C45" i="15"/>
  <c r="C61" i="15"/>
  <c r="C77" i="15"/>
  <c r="C25" i="16"/>
  <c r="C45" i="16"/>
  <c r="C66" i="16"/>
  <c r="C30" i="16"/>
  <c r="C52" i="16"/>
  <c r="C44" i="16"/>
  <c r="C14" i="15"/>
  <c r="C30" i="15"/>
  <c r="C46" i="15"/>
  <c r="C62" i="15"/>
  <c r="C78" i="15"/>
  <c r="C26" i="16"/>
  <c r="C47" i="16"/>
  <c r="C67" i="16"/>
  <c r="C26" i="19"/>
  <c r="C20" i="19"/>
  <c r="C24" i="19"/>
  <c r="C23" i="19"/>
  <c r="C22" i="19"/>
  <c r="C21" i="19"/>
  <c r="C31" i="19"/>
  <c r="C5" i="19" s="1"/>
  <c r="C29" i="19"/>
  <c r="C19" i="19"/>
  <c r="C28" i="19"/>
  <c r="C16" i="19"/>
  <c r="C27" i="19"/>
  <c r="C17" i="19"/>
  <c r="C15" i="19"/>
  <c r="C18" i="19"/>
  <c r="C13" i="19"/>
  <c r="C12" i="19"/>
  <c r="C25" i="19"/>
  <c r="C14" i="19"/>
  <c r="C30" i="19"/>
  <c r="C42" i="17"/>
  <c r="C48" i="17"/>
  <c r="C43" i="17"/>
  <c r="C49" i="17"/>
  <c r="C44" i="17"/>
  <c r="C50" i="17"/>
  <c r="C45" i="17"/>
  <c r="C51" i="17"/>
  <c r="C46" i="17"/>
  <c r="C47" i="17"/>
  <c r="C31" i="17"/>
  <c r="C14" i="17"/>
  <c r="C25" i="17"/>
  <c r="C38" i="17"/>
  <c r="C27" i="17"/>
  <c r="C16" i="17"/>
  <c r="C22" i="17"/>
  <c r="C17" i="17"/>
  <c r="C40" i="17"/>
  <c r="C29" i="17"/>
  <c r="C13" i="17"/>
  <c r="C18" i="17"/>
  <c r="C23" i="17"/>
  <c r="C19" i="17"/>
  <c r="C32" i="17"/>
  <c r="C15" i="17"/>
  <c r="C28" i="17"/>
  <c r="C41" i="17"/>
  <c r="C24" i="17"/>
  <c r="C37" i="17"/>
  <c r="C36" i="17"/>
  <c r="C20" i="17"/>
  <c r="C33" i="17"/>
  <c r="C30" i="17"/>
  <c r="C12" i="17"/>
  <c r="C26" i="17"/>
  <c r="C39" i="17"/>
  <c r="C21" i="17"/>
  <c r="C34" i="17"/>
  <c r="C35" i="17"/>
  <c r="C36" i="16"/>
  <c r="C19" i="16"/>
  <c r="C32" i="16"/>
  <c r="C46" i="16"/>
  <c r="C60" i="16"/>
  <c r="C75" i="16"/>
  <c r="C23" i="16"/>
  <c r="C51" i="16"/>
  <c r="C64" i="16"/>
  <c r="C15" i="16"/>
  <c r="C28" i="16"/>
  <c r="C41" i="16"/>
  <c r="C56" i="16"/>
  <c r="P51" i="2"/>
  <c r="C62" i="2"/>
  <c r="I61" i="2" s="1"/>
  <c r="C4" i="11" l="1"/>
  <c r="D12" i="11" l="1"/>
  <c r="H12" i="11"/>
  <c r="C27" i="6" l="1"/>
  <c r="C51" i="6"/>
  <c r="C5" i="17" s="1"/>
  <c r="C47" i="6"/>
  <c r="C42" i="6"/>
  <c r="C37" i="6"/>
  <c r="C32" i="6"/>
  <c r="H5" i="6" l="1"/>
  <c r="U4" i="6"/>
  <c r="A36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5" i="8"/>
  <c r="A28" i="8" l="1"/>
  <c r="A27" i="8"/>
  <c r="A26" i="8"/>
  <c r="A25" i="8"/>
  <c r="A19" i="8"/>
  <c r="A15" i="8"/>
  <c r="A30" i="8" s="1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B24" i="9"/>
  <c r="A15" i="9"/>
  <c r="A26" i="9" s="1"/>
  <c r="B24" i="10"/>
  <c r="A15" i="10"/>
  <c r="A27" i="10" s="1"/>
  <c r="A8" i="7"/>
  <c r="C7" i="7"/>
  <c r="A7" i="7"/>
  <c r="G6" i="7"/>
  <c r="A6" i="7"/>
  <c r="G5" i="7"/>
  <c r="A5" i="7"/>
  <c r="A4" i="7"/>
  <c r="H3" i="7"/>
  <c r="Y2" i="7"/>
  <c r="Y68" i="7" s="1"/>
  <c r="X2" i="7"/>
  <c r="X3" i="7" s="1"/>
  <c r="X4" i="7" s="1"/>
  <c r="X5" i="7" s="1"/>
  <c r="X6" i="7" s="1"/>
  <c r="X7" i="7" s="1"/>
  <c r="X8" i="7" s="1"/>
  <c r="X9" i="7" s="1"/>
  <c r="X10" i="7" s="1"/>
  <c r="X11" i="7" s="1"/>
  <c r="X12" i="7" s="1"/>
  <c r="X13" i="7" s="1"/>
  <c r="X14" i="7" s="1"/>
  <c r="X15" i="7" s="1"/>
  <c r="X16" i="7" s="1"/>
  <c r="X17" i="7" s="1"/>
  <c r="X18" i="7" s="1"/>
  <c r="X19" i="7" s="1"/>
  <c r="A3" i="7"/>
  <c r="A2" i="7"/>
  <c r="G9" i="6"/>
  <c r="G7" i="7" s="1"/>
  <c r="D10" i="6"/>
  <c r="D8" i="7" s="1"/>
  <c r="D9" i="6"/>
  <c r="C8" i="6"/>
  <c r="C6" i="7" s="1"/>
  <c r="C7" i="6"/>
  <c r="C5" i="7" s="1"/>
  <c r="C6" i="6"/>
  <c r="C4" i="7" s="1"/>
  <c r="C5" i="6"/>
  <c r="C3" i="7" s="1"/>
  <c r="C4" i="6"/>
  <c r="C2" i="7" s="1"/>
  <c r="B15" i="5"/>
  <c r="B1" i="4"/>
  <c r="B2" i="4"/>
  <c r="C2" i="4"/>
  <c r="I10" i="4"/>
  <c r="I8" i="4"/>
  <c r="I6" i="4"/>
  <c r="I4" i="4"/>
  <c r="E4" i="4"/>
  <c r="F20" i="11"/>
  <c r="E20" i="11"/>
  <c r="D20" i="11"/>
  <c r="F19" i="11"/>
  <c r="E19" i="11"/>
  <c r="D19" i="11"/>
  <c r="F18" i="11"/>
  <c r="E18" i="11"/>
  <c r="D18" i="11"/>
  <c r="F17" i="11"/>
  <c r="E17" i="11"/>
  <c r="D17" i="11"/>
  <c r="F16" i="11"/>
  <c r="E16" i="11"/>
  <c r="D16" i="11"/>
  <c r="F15" i="11"/>
  <c r="E15" i="11"/>
  <c r="D15" i="11"/>
  <c r="F14" i="11"/>
  <c r="E14" i="11"/>
  <c r="D14" i="11"/>
  <c r="B21" i="11"/>
  <c r="A31" i="10"/>
  <c r="A30" i="9"/>
  <c r="A34" i="8"/>
  <c r="E140" i="7"/>
  <c r="E136" i="7"/>
  <c r="E135" i="7"/>
  <c r="E133" i="7"/>
  <c r="E132" i="7"/>
  <c r="E130" i="7"/>
  <c r="E129" i="7"/>
  <c r="E124" i="7"/>
  <c r="E123" i="7"/>
  <c r="A120" i="7"/>
  <c r="A131" i="7" s="1"/>
  <c r="A138" i="7" s="1"/>
  <c r="C141" i="7" s="1"/>
  <c r="C112" i="7"/>
  <c r="C113" i="7" s="1"/>
  <c r="E111" i="7"/>
  <c r="E101" i="7"/>
  <c r="C101" i="7"/>
  <c r="C5" i="13" s="1"/>
  <c r="E100" i="7"/>
  <c r="E99" i="7"/>
  <c r="C99" i="7"/>
  <c r="V98" i="7"/>
  <c r="V99" i="7" s="1"/>
  <c r="V100" i="7" s="1"/>
  <c r="V101" i="7" s="1"/>
  <c r="V102" i="7" s="1"/>
  <c r="V103" i="7" s="1"/>
  <c r="E98" i="7"/>
  <c r="Z83" i="7" s="1"/>
  <c r="E97" i="7"/>
  <c r="Z82" i="7" s="1"/>
  <c r="C97" i="7"/>
  <c r="E96" i="7"/>
  <c r="E95" i="7"/>
  <c r="E94" i="7"/>
  <c r="E93" i="7"/>
  <c r="Z81" i="7" s="1"/>
  <c r="C93" i="7"/>
  <c r="E92" i="7"/>
  <c r="E91" i="7"/>
  <c r="E90" i="7"/>
  <c r="Z80" i="7" s="1"/>
  <c r="E89" i="7"/>
  <c r="E88" i="7"/>
  <c r="E87" i="7"/>
  <c r="Z79" i="7" s="1"/>
  <c r="AA86" i="7"/>
  <c r="E86" i="7"/>
  <c r="Z78" i="7" s="1"/>
  <c r="AA85" i="7"/>
  <c r="E85" i="7"/>
  <c r="Z77" i="7" s="1"/>
  <c r="AA84" i="7"/>
  <c r="E84" i="7"/>
  <c r="Z76" i="7" s="1"/>
  <c r="AA83" i="7"/>
  <c r="E83" i="7"/>
  <c r="Z75" i="7" s="1"/>
  <c r="AA82" i="7"/>
  <c r="E82" i="7"/>
  <c r="Z74" i="7" s="1"/>
  <c r="AA81" i="7"/>
  <c r="E81" i="7"/>
  <c r="Z73" i="7" s="1"/>
  <c r="AA80" i="7"/>
  <c r="E80" i="7"/>
  <c r="Z72" i="7" s="1"/>
  <c r="AA79" i="7"/>
  <c r="E79" i="7"/>
  <c r="Z71" i="7" s="1"/>
  <c r="AA78" i="7"/>
  <c r="E78" i="7"/>
  <c r="Z70" i="7" s="1"/>
  <c r="C78" i="7"/>
  <c r="AA77" i="7"/>
  <c r="AA76" i="7"/>
  <c r="AA75" i="7"/>
  <c r="AA74" i="7"/>
  <c r="AA73" i="7"/>
  <c r="AA72" i="7"/>
  <c r="AA71" i="7"/>
  <c r="AA70" i="7"/>
  <c r="D33" i="7"/>
  <c r="E33" i="7" s="1"/>
  <c r="Z25" i="7" s="1"/>
  <c r="E32" i="7"/>
  <c r="Z24" i="7" s="1"/>
  <c r="L31" i="7"/>
  <c r="E31" i="7"/>
  <c r="Z23" i="7" s="1"/>
  <c r="L30" i="7"/>
  <c r="E30" i="7"/>
  <c r="Z22" i="7" s="1"/>
  <c r="L29" i="7"/>
  <c r="E29" i="7"/>
  <c r="Z21" i="7" s="1"/>
  <c r="L28" i="7"/>
  <c r="E28" i="7"/>
  <c r="Z20" i="7" s="1"/>
  <c r="L27" i="7"/>
  <c r="E27" i="7"/>
  <c r="Z19" i="7" s="1"/>
  <c r="L26" i="7"/>
  <c r="E26" i="7"/>
  <c r="Z18" i="7" s="1"/>
  <c r="L25" i="7"/>
  <c r="E25" i="7"/>
  <c r="Z17" i="7" s="1"/>
  <c r="C25" i="7"/>
  <c r="AA24" i="7"/>
  <c r="AE24" i="7" s="1"/>
  <c r="L24" i="7"/>
  <c r="E24" i="7"/>
  <c r="Z16" i="7" s="1"/>
  <c r="AA23" i="7"/>
  <c r="AE23" i="7" s="1"/>
  <c r="L23" i="7"/>
  <c r="E23" i="7"/>
  <c r="Z15" i="7" s="1"/>
  <c r="AA22" i="7"/>
  <c r="AE22" i="7" s="1"/>
  <c r="L22" i="7"/>
  <c r="E22" i="7"/>
  <c r="Z14" i="7" s="1"/>
  <c r="AA21" i="7"/>
  <c r="AE21" i="7" s="1"/>
  <c r="L21" i="7"/>
  <c r="E21" i="7"/>
  <c r="Z13" i="7" s="1"/>
  <c r="AA20" i="7"/>
  <c r="AE20" i="7" s="1"/>
  <c r="L20" i="7"/>
  <c r="E20" i="7"/>
  <c r="Z12" i="7" s="1"/>
  <c r="AA19" i="7"/>
  <c r="AE19" i="7" s="1"/>
  <c r="L19" i="7"/>
  <c r="E19" i="7"/>
  <c r="Z11" i="7" s="1"/>
  <c r="AA18" i="7"/>
  <c r="AE18" i="7" s="1"/>
  <c r="L18" i="7"/>
  <c r="E18" i="7"/>
  <c r="Z10" i="7" s="1"/>
  <c r="AA17" i="7"/>
  <c r="AE17" i="7" s="1"/>
  <c r="L17" i="7"/>
  <c r="E17" i="7"/>
  <c r="Z9" i="7" s="1"/>
  <c r="AA16" i="7"/>
  <c r="AE16" i="7" s="1"/>
  <c r="E16" i="7"/>
  <c r="Z8" i="7" s="1"/>
  <c r="AA15" i="7"/>
  <c r="AE15" i="7" s="1"/>
  <c r="E15" i="7"/>
  <c r="Z7" i="7" s="1"/>
  <c r="AA14" i="7"/>
  <c r="AE14" i="7" s="1"/>
  <c r="E14" i="7"/>
  <c r="Z6" i="7" s="1"/>
  <c r="AA13" i="7"/>
  <c r="AE13" i="7" s="1"/>
  <c r="E13" i="7"/>
  <c r="Z5" i="7" s="1"/>
  <c r="AA12" i="7"/>
  <c r="AE12" i="7" s="1"/>
  <c r="E12" i="7"/>
  <c r="Z4" i="7" s="1"/>
  <c r="AA11" i="7"/>
  <c r="AE11" i="7" s="1"/>
  <c r="E11" i="7"/>
  <c r="Z3" i="7" s="1"/>
  <c r="AA10" i="7"/>
  <c r="AE10" i="7" s="1"/>
  <c r="E10" i="7"/>
  <c r="Z2" i="7" s="1"/>
  <c r="AA9" i="7"/>
  <c r="AE9" i="7" s="1"/>
  <c r="AA8" i="7"/>
  <c r="AE8" i="7" s="1"/>
  <c r="AA7" i="7"/>
  <c r="AE7" i="7" s="1"/>
  <c r="AL6" i="7"/>
  <c r="AL7" i="7" s="1"/>
  <c r="AA6" i="7"/>
  <c r="AE6" i="7" s="1"/>
  <c r="AA5" i="7"/>
  <c r="AE5" i="7" s="1"/>
  <c r="AA4" i="7"/>
  <c r="AE4" i="7" s="1"/>
  <c r="AA3" i="7"/>
  <c r="AE3" i="7" s="1"/>
  <c r="AA2" i="7"/>
  <c r="AE2" i="7" s="1"/>
  <c r="W2" i="7"/>
  <c r="W47" i="7" s="1"/>
  <c r="V45" i="6"/>
  <c r="V46" i="6" s="1"/>
  <c r="V47" i="6" s="1"/>
  <c r="V48" i="6" s="1"/>
  <c r="V49" i="6" s="1"/>
  <c r="V50" i="6" s="1"/>
  <c r="V51" i="6" s="1"/>
  <c r="U45" i="6"/>
  <c r="U46" i="6" s="1"/>
  <c r="U47" i="6" s="1"/>
  <c r="U48" i="6" s="1"/>
  <c r="U49" i="6" s="1"/>
  <c r="U50" i="6" s="1"/>
  <c r="U51" i="6" s="1"/>
  <c r="T45" i="6"/>
  <c r="T46" i="6" s="1"/>
  <c r="T47" i="6" s="1"/>
  <c r="T48" i="6" s="1"/>
  <c r="T49" i="6" s="1"/>
  <c r="T50" i="6" s="1"/>
  <c r="T51" i="6" s="1"/>
  <c r="S45" i="6"/>
  <c r="S46" i="6" s="1"/>
  <c r="S47" i="6" s="1"/>
  <c r="S48" i="6" s="1"/>
  <c r="S49" i="6" s="1"/>
  <c r="S50" i="6" s="1"/>
  <c r="S51" i="6" s="1"/>
  <c r="X43" i="6"/>
  <c r="AB43" i="6" s="1"/>
  <c r="W43" i="6"/>
  <c r="X42" i="6"/>
  <c r="W42" i="6" s="1"/>
  <c r="X41" i="6"/>
  <c r="AB41" i="6" s="1"/>
  <c r="X40" i="6"/>
  <c r="W40" i="6" s="1"/>
  <c r="X39" i="6"/>
  <c r="AB39" i="6" s="1"/>
  <c r="X38" i="6"/>
  <c r="W38" i="6" s="1"/>
  <c r="X37" i="6"/>
  <c r="AB37" i="6" s="1"/>
  <c r="X36" i="6"/>
  <c r="W36" i="6" s="1"/>
  <c r="X35" i="6"/>
  <c r="AB35" i="6" s="1"/>
  <c r="X34" i="6"/>
  <c r="AB34" i="6" s="1"/>
  <c r="X33" i="6"/>
  <c r="AB33" i="6" s="1"/>
  <c r="X32" i="6"/>
  <c r="AB32" i="6" s="1"/>
  <c r="K32" i="6"/>
  <c r="X31" i="6"/>
  <c r="AB31" i="6" s="1"/>
  <c r="K31" i="6"/>
  <c r="X30" i="6"/>
  <c r="W30" i="6" s="1"/>
  <c r="K30" i="6"/>
  <c r="X29" i="6"/>
  <c r="AB29" i="6" s="1"/>
  <c r="K29" i="6"/>
  <c r="X28" i="6"/>
  <c r="AB28" i="6" s="1"/>
  <c r="K28" i="6"/>
  <c r="X27" i="6"/>
  <c r="AB27" i="6" s="1"/>
  <c r="K27" i="6"/>
  <c r="X26" i="6"/>
  <c r="W26" i="6" s="1"/>
  <c r="K26" i="6"/>
  <c r="X25" i="6"/>
  <c r="AB25" i="6" s="1"/>
  <c r="K25" i="6"/>
  <c r="X24" i="6"/>
  <c r="W24" i="6" s="1"/>
  <c r="K24" i="6"/>
  <c r="X23" i="6"/>
  <c r="W23" i="6" s="1"/>
  <c r="K23" i="6"/>
  <c r="AF22" i="6"/>
  <c r="AF21" i="6" s="1"/>
  <c r="AF20" i="6" s="1"/>
  <c r="AF19" i="6" s="1"/>
  <c r="AF18" i="6" s="1"/>
  <c r="AF17" i="6" s="1"/>
  <c r="AF16" i="6" s="1"/>
  <c r="AF15" i="6" s="1"/>
  <c r="AF14" i="6" s="1"/>
  <c r="AF13" i="6" s="1"/>
  <c r="AF12" i="6" s="1"/>
  <c r="AF11" i="6" s="1"/>
  <c r="AF10" i="6" s="1"/>
  <c r="AF9" i="6" s="1"/>
  <c r="AF8" i="6" s="1"/>
  <c r="AF7" i="6" s="1"/>
  <c r="AF6" i="6" s="1"/>
  <c r="AF5" i="6" s="1"/>
  <c r="AF4" i="6" s="1"/>
  <c r="X22" i="6"/>
  <c r="AB22" i="6" s="1"/>
  <c r="K22" i="6"/>
  <c r="X21" i="6"/>
  <c r="AB21" i="6" s="1"/>
  <c r="K21" i="6"/>
  <c r="X20" i="6"/>
  <c r="AB20" i="6" s="1"/>
  <c r="K20" i="6"/>
  <c r="X19" i="6"/>
  <c r="AB19" i="6" s="1"/>
  <c r="K19" i="6"/>
  <c r="X18" i="6"/>
  <c r="AB18" i="6" s="1"/>
  <c r="K18" i="6"/>
  <c r="X17" i="6"/>
  <c r="AB17" i="6" s="1"/>
  <c r="K17" i="6"/>
  <c r="AE16" i="6"/>
  <c r="X16" i="6"/>
  <c r="W16" i="6" s="1"/>
  <c r="AE15" i="6"/>
  <c r="X15" i="6"/>
  <c r="AB15" i="6" s="1"/>
  <c r="AE14" i="6"/>
  <c r="X14" i="6"/>
  <c r="W14" i="6" s="1"/>
  <c r="AE13" i="6"/>
  <c r="X13" i="6"/>
  <c r="AB13" i="6" s="1"/>
  <c r="AE12" i="6"/>
  <c r="X12" i="6"/>
  <c r="AB12" i="6" s="1"/>
  <c r="AE11" i="6"/>
  <c r="X11" i="6"/>
  <c r="AB11" i="6" s="1"/>
  <c r="AE10" i="6"/>
  <c r="X10" i="6"/>
  <c r="AB10" i="6" s="1"/>
  <c r="AE9" i="6"/>
  <c r="X9" i="6"/>
  <c r="AB9" i="6" s="1"/>
  <c r="AE8" i="6"/>
  <c r="X8" i="6"/>
  <c r="AB8" i="6" s="1"/>
  <c r="AE7" i="6"/>
  <c r="X7" i="6"/>
  <c r="W7" i="6" s="1"/>
  <c r="AE6" i="6"/>
  <c r="X6" i="6"/>
  <c r="AB6" i="6" s="1"/>
  <c r="AE5" i="6"/>
  <c r="X5" i="6"/>
  <c r="W5" i="6" s="1"/>
  <c r="V5" i="6"/>
  <c r="V6" i="6" s="1"/>
  <c r="V7" i="6" s="1"/>
  <c r="V8" i="6" s="1"/>
  <c r="V9" i="6" s="1"/>
  <c r="V10" i="6" s="1"/>
  <c r="V11" i="6" s="1"/>
  <c r="V12" i="6" s="1"/>
  <c r="V13" i="6" s="1"/>
  <c r="V14" i="6" s="1"/>
  <c r="V15" i="6" s="1"/>
  <c r="V16" i="6" s="1"/>
  <c r="V17" i="6" s="1"/>
  <c r="V18" i="6" s="1"/>
  <c r="V19" i="6" s="1"/>
  <c r="V20" i="6" s="1"/>
  <c r="V21" i="6" s="1"/>
  <c r="V22" i="6" s="1"/>
  <c r="V23" i="6" s="1"/>
  <c r="V24" i="6" s="1"/>
  <c r="V25" i="6" s="1"/>
  <c r="V26" i="6" s="1"/>
  <c r="V27" i="6" s="1"/>
  <c r="V28" i="6" s="1"/>
  <c r="V29" i="6" s="1"/>
  <c r="V30" i="6" s="1"/>
  <c r="V31" i="6" s="1"/>
  <c r="V32" i="6" s="1"/>
  <c r="V33" i="6" s="1"/>
  <c r="V34" i="6" s="1"/>
  <c r="V35" i="6" s="1"/>
  <c r="V36" i="6" s="1"/>
  <c r="V37" i="6" s="1"/>
  <c r="V38" i="6" s="1"/>
  <c r="V39" i="6" s="1"/>
  <c r="V40" i="6" s="1"/>
  <c r="V41" i="6" s="1"/>
  <c r="V42" i="6" s="1"/>
  <c r="V43" i="6" s="1"/>
  <c r="T5" i="6"/>
  <c r="T6" i="6" s="1"/>
  <c r="T7" i="6" s="1"/>
  <c r="T8" i="6" s="1"/>
  <c r="T9" i="6" s="1"/>
  <c r="T10" i="6" s="1"/>
  <c r="T11" i="6" s="1"/>
  <c r="T12" i="6" s="1"/>
  <c r="AE4" i="6"/>
  <c r="X4" i="6"/>
  <c r="AB4" i="6" s="1"/>
  <c r="U5" i="6"/>
  <c r="U6" i="6" s="1"/>
  <c r="U7" i="6" s="1"/>
  <c r="U8" i="6" s="1"/>
  <c r="U9" i="6" s="1"/>
  <c r="U10" i="6" s="1"/>
  <c r="U11" i="6" s="1"/>
  <c r="U12" i="6" s="1"/>
  <c r="U13" i="6" s="1"/>
  <c r="U14" i="6" s="1"/>
  <c r="U15" i="6" s="1"/>
  <c r="U16" i="6" s="1"/>
  <c r="U17" i="6" s="1"/>
  <c r="U18" i="6" s="1"/>
  <c r="U19" i="6" s="1"/>
  <c r="U20" i="6" s="1"/>
  <c r="U21" i="6" s="1"/>
  <c r="U22" i="6" s="1"/>
  <c r="U23" i="6" s="1"/>
  <c r="U24" i="6" s="1"/>
  <c r="U25" i="6" s="1"/>
  <c r="U26" i="6" s="1"/>
  <c r="U27" i="6" s="1"/>
  <c r="U28" i="6" s="1"/>
  <c r="U29" i="6" s="1"/>
  <c r="U30" i="6" s="1"/>
  <c r="U31" i="6" s="1"/>
  <c r="U32" i="6" s="1"/>
  <c r="U33" i="6" s="1"/>
  <c r="U34" i="6" s="1"/>
  <c r="U35" i="6" s="1"/>
  <c r="U36" i="6" s="1"/>
  <c r="U37" i="6" s="1"/>
  <c r="U38" i="6" s="1"/>
  <c r="U39" i="6" s="1"/>
  <c r="U40" i="6" s="1"/>
  <c r="U41" i="6" s="1"/>
  <c r="U42" i="6" s="1"/>
  <c r="U43" i="6" s="1"/>
  <c r="B5" i="5"/>
  <c r="H26" i="4"/>
  <c r="I21" i="4"/>
  <c r="G21" i="4"/>
  <c r="G26" i="4" s="1"/>
  <c r="F21" i="4"/>
  <c r="F26" i="4" s="1"/>
  <c r="H16" i="4"/>
  <c r="H21" i="4" s="1"/>
  <c r="F13" i="4"/>
  <c r="D16" i="4" s="1"/>
  <c r="G4" i="4"/>
  <c r="B51" i="2"/>
  <c r="M50" i="2"/>
  <c r="I57" i="2" s="1"/>
  <c r="I49" i="2"/>
  <c r="G7" i="6" s="1"/>
  <c r="G8" i="6" s="1"/>
  <c r="M47" i="2"/>
  <c r="D17" i="2" s="1"/>
  <c r="A47" i="2"/>
  <c r="M46" i="2"/>
  <c r="N45" i="2"/>
  <c r="A18" i="8" s="1"/>
  <c r="A44" i="2"/>
  <c r="D39" i="2"/>
  <c r="C39" i="2"/>
  <c r="C40" i="2" s="1"/>
  <c r="H8" i="7" s="1"/>
  <c r="B32" i="2"/>
  <c r="B33" i="2" s="1"/>
  <c r="A32" i="2"/>
  <c r="A33" i="2" s="1"/>
  <c r="A34" i="2" s="1"/>
  <c r="A35" i="2" s="1"/>
  <c r="C26" i="2"/>
  <c r="B10" i="7" s="1"/>
  <c r="C24" i="2"/>
  <c r="E22" i="2"/>
  <c r="C22" i="2"/>
  <c r="E21" i="2"/>
  <c r="C21" i="2"/>
  <c r="C20" i="2"/>
  <c r="E2" i="2"/>
  <c r="C2" i="20" l="1"/>
  <c r="C2" i="18"/>
  <c r="C2" i="19"/>
  <c r="C2" i="13"/>
  <c r="C2" i="15"/>
  <c r="C2" i="16"/>
  <c r="C2" i="17"/>
  <c r="E9" i="18"/>
  <c r="E9" i="19"/>
  <c r="E9" i="20"/>
  <c r="E9" i="17"/>
  <c r="E9" i="15"/>
  <c r="E9" i="13"/>
  <c r="E9" i="16"/>
  <c r="H8" i="18"/>
  <c r="H8" i="19"/>
  <c r="H8" i="20"/>
  <c r="H8" i="15"/>
  <c r="H8" i="16"/>
  <c r="H8" i="13"/>
  <c r="H8" i="17"/>
  <c r="E7" i="18"/>
  <c r="E7" i="19"/>
  <c r="E7" i="20"/>
  <c r="E7" i="17"/>
  <c r="E7" i="15"/>
  <c r="E7" i="16"/>
  <c r="E7" i="13"/>
  <c r="C3" i="17"/>
  <c r="C3" i="13"/>
  <c r="C3" i="19"/>
  <c r="C3" i="15"/>
  <c r="C3" i="18"/>
  <c r="C3" i="20"/>
  <c r="C3" i="16"/>
  <c r="I21" i="18"/>
  <c r="I21" i="20"/>
  <c r="I27" i="18"/>
  <c r="I27" i="20"/>
  <c r="I35" i="18"/>
  <c r="I35" i="20"/>
  <c r="I31" i="18"/>
  <c r="I31" i="20"/>
  <c r="I39" i="18"/>
  <c r="I39" i="20"/>
  <c r="I16" i="18"/>
  <c r="I16" i="20"/>
  <c r="I55" i="20"/>
  <c r="I55" i="18"/>
  <c r="J21" i="20"/>
  <c r="J21" i="18"/>
  <c r="J55" i="20"/>
  <c r="J55" i="18"/>
  <c r="J27" i="18"/>
  <c r="J27" i="20"/>
  <c r="J35" i="18"/>
  <c r="J35" i="20"/>
  <c r="J31" i="18"/>
  <c r="J31" i="20"/>
  <c r="J39" i="18"/>
  <c r="J39" i="20"/>
  <c r="J16" i="20"/>
  <c r="J16" i="18"/>
  <c r="C6" i="19"/>
  <c r="C6" i="20"/>
  <c r="C6" i="18"/>
  <c r="C6" i="17"/>
  <c r="H31" i="18"/>
  <c r="H31" i="20"/>
  <c r="H39" i="18"/>
  <c r="H39" i="20"/>
  <c r="H35" i="18"/>
  <c r="H35" i="20"/>
  <c r="H16" i="18"/>
  <c r="H16" i="20"/>
  <c r="H27" i="18"/>
  <c r="H27" i="20"/>
  <c r="H55" i="18"/>
  <c r="H55" i="20"/>
  <c r="H21" i="18"/>
  <c r="H21" i="20"/>
  <c r="J55" i="15"/>
  <c r="J59" i="15" s="1"/>
  <c r="J63" i="15" s="1"/>
  <c r="J79" i="15" s="1"/>
  <c r="J55" i="16"/>
  <c r="J59" i="16" s="1"/>
  <c r="J63" i="16" s="1"/>
  <c r="J79" i="16" s="1"/>
  <c r="I55" i="15"/>
  <c r="I59" i="15" s="1"/>
  <c r="I63" i="15" s="1"/>
  <c r="I79" i="15" s="1"/>
  <c r="I55" i="16"/>
  <c r="I59" i="16" s="1"/>
  <c r="I63" i="16" s="1"/>
  <c r="I79" i="16" s="1"/>
  <c r="J39" i="16"/>
  <c r="J39" i="15"/>
  <c r="I39" i="16"/>
  <c r="I39" i="15"/>
  <c r="J35" i="15"/>
  <c r="J35" i="16"/>
  <c r="I35" i="16"/>
  <c r="I35" i="15"/>
  <c r="J31" i="16"/>
  <c r="J31" i="15"/>
  <c r="I31" i="15"/>
  <c r="I31" i="16"/>
  <c r="J27" i="16"/>
  <c r="J27" i="15"/>
  <c r="I27" i="16"/>
  <c r="I27" i="15"/>
  <c r="J21" i="15"/>
  <c r="J21" i="16"/>
  <c r="I21" i="16"/>
  <c r="I21" i="15"/>
  <c r="J16" i="16"/>
  <c r="J16" i="15"/>
  <c r="I16" i="16"/>
  <c r="I16" i="15"/>
  <c r="H35" i="16"/>
  <c r="H35" i="15"/>
  <c r="H27" i="15"/>
  <c r="H27" i="16"/>
  <c r="H31" i="16"/>
  <c r="H31" i="15"/>
  <c r="H55" i="15"/>
  <c r="H59" i="15" s="1"/>
  <c r="H63" i="15" s="1"/>
  <c r="H79" i="15" s="1"/>
  <c r="H55" i="16"/>
  <c r="H59" i="16" s="1"/>
  <c r="H63" i="16" s="1"/>
  <c r="H79" i="16" s="1"/>
  <c r="H39" i="15"/>
  <c r="H39" i="16"/>
  <c r="H16" i="15"/>
  <c r="H16" i="16"/>
  <c r="H21" i="15"/>
  <c r="H21" i="16"/>
  <c r="C6" i="16"/>
  <c r="C6" i="15"/>
  <c r="C6" i="13"/>
  <c r="W15" i="6"/>
  <c r="W12" i="6"/>
  <c r="W34" i="6"/>
  <c r="W33" i="6"/>
  <c r="W19" i="6"/>
  <c r="AB5" i="6"/>
  <c r="AB26" i="6"/>
  <c r="AB40" i="6"/>
  <c r="AB23" i="6"/>
  <c r="E112" i="7"/>
  <c r="AB24" i="6"/>
  <c r="AB36" i="6"/>
  <c r="AB7" i="6"/>
  <c r="W17" i="6"/>
  <c r="W37" i="6"/>
  <c r="W13" i="6"/>
  <c r="C33" i="7"/>
  <c r="W8" i="6"/>
  <c r="B50" i="2"/>
  <c r="C50" i="2" s="1"/>
  <c r="W9" i="6"/>
  <c r="AB14" i="6"/>
  <c r="W25" i="6"/>
  <c r="W6" i="6"/>
  <c r="W11" i="6"/>
  <c r="AB16" i="6"/>
  <c r="W27" i="6"/>
  <c r="D7" i="7"/>
  <c r="N17" i="6"/>
  <c r="N18" i="6" s="1"/>
  <c r="N19" i="6" s="1"/>
  <c r="N20" i="6" s="1"/>
  <c r="N21" i="6" s="1"/>
  <c r="N22" i="6" s="1"/>
  <c r="N23" i="6" s="1"/>
  <c r="N24" i="6" s="1"/>
  <c r="N25" i="6" s="1"/>
  <c r="N26" i="6" s="1"/>
  <c r="N27" i="6" s="1"/>
  <c r="N28" i="6" s="1"/>
  <c r="N29" i="6" s="1"/>
  <c r="N30" i="6" s="1"/>
  <c r="N31" i="6" s="1"/>
  <c r="N32" i="6" s="1"/>
  <c r="A7" i="8"/>
  <c r="A7" i="9" s="1"/>
  <c r="I58" i="2"/>
  <c r="W4" i="6"/>
  <c r="AB42" i="6"/>
  <c r="AB30" i="6"/>
  <c r="AB38" i="6"/>
  <c r="W32" i="6"/>
  <c r="AA25" i="7"/>
  <c r="AE25" i="7" s="1"/>
  <c r="D34" i="7"/>
  <c r="AA26" i="7" s="1"/>
  <c r="AE26" i="7" s="1"/>
  <c r="W21" i="6"/>
  <c r="A54" i="9"/>
  <c r="E21" i="11"/>
  <c r="E23" i="11"/>
  <c r="E22" i="11"/>
  <c r="F22" i="11"/>
  <c r="F23" i="11"/>
  <c r="F21" i="11"/>
  <c r="D22" i="11"/>
  <c r="D21" i="11"/>
  <c r="D23" i="11"/>
  <c r="A19" i="9"/>
  <c r="A19" i="10"/>
  <c r="F26" i="2"/>
  <c r="K8" i="7"/>
  <c r="A18" i="10"/>
  <c r="A18" i="9"/>
  <c r="X20" i="7"/>
  <c r="C4" i="4"/>
  <c r="U2" i="7"/>
  <c r="V2" i="7" s="1"/>
  <c r="V3" i="7" s="1"/>
  <c r="W43" i="7"/>
  <c r="C16" i="4"/>
  <c r="Y10" i="7"/>
  <c r="Y3" i="7"/>
  <c r="Y66" i="7"/>
  <c r="Y32" i="7"/>
  <c r="Y82" i="7"/>
  <c r="Y28" i="7"/>
  <c r="Y43" i="7"/>
  <c r="Y75" i="7"/>
  <c r="Y5" i="7"/>
  <c r="Y47" i="7"/>
  <c r="Y50" i="7"/>
  <c r="Y14" i="7"/>
  <c r="Y57" i="7"/>
  <c r="B15" i="11"/>
  <c r="B18" i="11"/>
  <c r="Y4" i="7"/>
  <c r="B16" i="11"/>
  <c r="B23" i="11"/>
  <c r="B20" i="11"/>
  <c r="B16" i="4"/>
  <c r="B21" i="4" s="1"/>
  <c r="B14" i="11"/>
  <c r="B17" i="11"/>
  <c r="B22" i="11"/>
  <c r="B19" i="11"/>
  <c r="W82" i="7"/>
  <c r="W79" i="7"/>
  <c r="W75" i="7"/>
  <c r="W71" i="7"/>
  <c r="W63" i="7"/>
  <c r="W62" i="7"/>
  <c r="W83" i="7"/>
  <c r="W80" i="7"/>
  <c r="W61" i="7"/>
  <c r="W38" i="7"/>
  <c r="W34" i="7"/>
  <c r="W77" i="7"/>
  <c r="W66" i="7"/>
  <c r="W50" i="7"/>
  <c r="W45" i="7"/>
  <c r="W29" i="7"/>
  <c r="W26" i="7"/>
  <c r="W73" i="7"/>
  <c r="W55" i="7"/>
  <c r="W41" i="7"/>
  <c r="W60" i="7"/>
  <c r="W49" i="7"/>
  <c r="W37" i="7"/>
  <c r="W33" i="7"/>
  <c r="W81" i="7"/>
  <c r="W78" i="7"/>
  <c r="W65" i="7"/>
  <c r="W54" i="7"/>
  <c r="W40" i="7"/>
  <c r="W36" i="7"/>
  <c r="W32" i="7"/>
  <c r="W27" i="7"/>
  <c r="W5" i="7"/>
  <c r="W64" i="7"/>
  <c r="W72" i="7"/>
  <c r="W57" i="7"/>
  <c r="W44" i="7"/>
  <c r="W28" i="7"/>
  <c r="W14" i="7"/>
  <c r="W10" i="7"/>
  <c r="W39" i="7"/>
  <c r="W15" i="7"/>
  <c r="W11" i="7"/>
  <c r="W74" i="7"/>
  <c r="W48" i="7"/>
  <c r="W24" i="7"/>
  <c r="W21" i="7"/>
  <c r="W18" i="7"/>
  <c r="W35" i="7"/>
  <c r="W23" i="7"/>
  <c r="W51" i="7"/>
  <c r="W7" i="7"/>
  <c r="W42" i="7"/>
  <c r="W70" i="7"/>
  <c r="W56" i="7"/>
  <c r="W69" i="7"/>
  <c r="W67" i="7"/>
  <c r="W58" i="7"/>
  <c r="W13" i="7"/>
  <c r="W4" i="7"/>
  <c r="W53" i="7"/>
  <c r="W30" i="7"/>
  <c r="W17" i="7"/>
  <c r="W76" i="7"/>
  <c r="W52" i="7"/>
  <c r="W25" i="7"/>
  <c r="W22" i="7"/>
  <c r="W19" i="7"/>
  <c r="W59" i="7"/>
  <c r="W16" i="7"/>
  <c r="W12" i="7"/>
  <c r="W9" i="7"/>
  <c r="W3" i="7"/>
  <c r="W68" i="7"/>
  <c r="W31" i="7"/>
  <c r="W20" i="7"/>
  <c r="W8" i="7"/>
  <c r="W6" i="7"/>
  <c r="W46" i="7"/>
  <c r="Y62" i="7"/>
  <c r="Y83" i="7"/>
  <c r="Y80" i="7"/>
  <c r="Y61" i="7"/>
  <c r="Y73" i="7"/>
  <c r="Y55" i="7"/>
  <c r="Y41" i="7"/>
  <c r="Y60" i="7"/>
  <c r="Y49" i="7"/>
  <c r="Y37" i="7"/>
  <c r="Y33" i="7"/>
  <c r="Y81" i="7"/>
  <c r="Y78" i="7"/>
  <c r="Y65" i="7"/>
  <c r="Y54" i="7"/>
  <c r="Y74" i="7"/>
  <c r="Y59" i="7"/>
  <c r="Y48" i="7"/>
  <c r="Y44" i="7"/>
  <c r="Y40" i="7"/>
  <c r="Y30" i="7"/>
  <c r="Y27" i="7"/>
  <c r="Y70" i="7"/>
  <c r="Y64" i="7"/>
  <c r="Y53" i="7"/>
  <c r="Y36" i="7"/>
  <c r="Y11" i="7"/>
  <c r="Y15" i="7"/>
  <c r="Y17" i="7"/>
  <c r="Y20" i="7"/>
  <c r="Y23" i="7"/>
  <c r="Y31" i="7"/>
  <c r="Y35" i="7"/>
  <c r="Y39" i="7"/>
  <c r="Y56" i="7"/>
  <c r="Y38" i="7"/>
  <c r="Y42" i="7"/>
  <c r="Y46" i="7"/>
  <c r="Y6" i="7"/>
  <c r="Y8" i="7"/>
  <c r="Y34" i="7"/>
  <c r="C114" i="7"/>
  <c r="E113" i="7"/>
  <c r="Y9" i="7"/>
  <c r="Y12" i="7"/>
  <c r="Y16" i="7"/>
  <c r="Y45" i="7"/>
  <c r="Y76" i="7"/>
  <c r="M17" i="7"/>
  <c r="M18" i="7" s="1"/>
  <c r="Y19" i="7"/>
  <c r="Y22" i="7"/>
  <c r="Y25" i="7"/>
  <c r="Y52" i="7"/>
  <c r="Y71" i="7"/>
  <c r="Y26" i="7"/>
  <c r="Y67" i="7"/>
  <c r="Y13" i="7"/>
  <c r="Y58" i="7"/>
  <c r="Y63" i="7"/>
  <c r="Y69" i="7"/>
  <c r="Y79" i="7"/>
  <c r="Y7" i="7"/>
  <c r="Y51" i="7"/>
  <c r="Y77" i="7"/>
  <c r="C142" i="7"/>
  <c r="E141" i="7"/>
  <c r="Y18" i="7"/>
  <c r="Y21" i="7"/>
  <c r="Y24" i="7"/>
  <c r="Y29" i="7"/>
  <c r="Y72" i="7"/>
  <c r="C125" i="7"/>
  <c r="T13" i="6"/>
  <c r="T14" i="6" s="1"/>
  <c r="T15" i="6" s="1"/>
  <c r="T16" i="6" s="1"/>
  <c r="T17" i="6" s="1"/>
  <c r="T18" i="6" s="1"/>
  <c r="W20" i="6"/>
  <c r="W10" i="6"/>
  <c r="W31" i="6"/>
  <c r="W35" i="6"/>
  <c r="W41" i="6"/>
  <c r="W18" i="6"/>
  <c r="W22" i="6"/>
  <c r="W28" i="6"/>
  <c r="W29" i="6"/>
  <c r="W39" i="6"/>
  <c r="E6" i="4"/>
  <c r="K10" i="4"/>
  <c r="D21" i="4"/>
  <c r="D26" i="4" s="1"/>
  <c r="I26" i="4"/>
  <c r="C7" i="4"/>
  <c r="C28" i="4"/>
  <c r="D21" i="2"/>
  <c r="D23" i="2"/>
  <c r="D24" i="2"/>
  <c r="D22" i="2"/>
  <c r="D20" i="2"/>
  <c r="B34" i="2"/>
  <c r="M52" i="2"/>
  <c r="B17" i="2" s="1"/>
  <c r="B21" i="2" s="1"/>
  <c r="S1" i="7" l="1"/>
  <c r="E8" i="19"/>
  <c r="E8" i="20"/>
  <c r="E8" i="18"/>
  <c r="E8" i="15"/>
  <c r="E8" i="16"/>
  <c r="E8" i="13"/>
  <c r="E8" i="17"/>
  <c r="B32" i="6"/>
  <c r="R24" i="6" s="1"/>
  <c r="S26" i="6" s="1"/>
  <c r="B32" i="17"/>
  <c r="B12" i="6"/>
  <c r="L17" i="6" s="1"/>
  <c r="B12" i="17"/>
  <c r="B37" i="6"/>
  <c r="R29" i="6" s="1"/>
  <c r="S33" i="6" s="1"/>
  <c r="B37" i="17"/>
  <c r="B47" i="6"/>
  <c r="R39" i="6" s="1"/>
  <c r="S40" i="6" s="1"/>
  <c r="B47" i="17"/>
  <c r="B42" i="6"/>
  <c r="R34" i="6" s="1"/>
  <c r="S35" i="6" s="1"/>
  <c r="B42" i="17"/>
  <c r="E34" i="7"/>
  <c r="Z26" i="7" s="1"/>
  <c r="A7" i="10"/>
  <c r="F25" i="11"/>
  <c r="D28" i="4"/>
  <c r="O17" i="7"/>
  <c r="O18" i="7" s="1"/>
  <c r="O19" i="7" s="1"/>
  <c r="O20" i="7" s="1"/>
  <c r="O21" i="7" s="1"/>
  <c r="O22" i="7" s="1"/>
  <c r="O23" i="7" s="1"/>
  <c r="O24" i="7" s="1"/>
  <c r="O25" i="7" s="1"/>
  <c r="O26" i="7" s="1"/>
  <c r="O27" i="7" s="1"/>
  <c r="O28" i="7" s="1"/>
  <c r="O29" i="7" s="1"/>
  <c r="O30" i="7" s="1"/>
  <c r="O31" i="7" s="1"/>
  <c r="D35" i="7"/>
  <c r="A55" i="9"/>
  <c r="C21" i="4"/>
  <c r="C26" i="4" s="1"/>
  <c r="D29" i="4"/>
  <c r="M19" i="7"/>
  <c r="M20" i="7" s="1"/>
  <c r="N20" i="7" s="1"/>
  <c r="N18" i="7"/>
  <c r="E24" i="11"/>
  <c r="E25" i="11"/>
  <c r="F24" i="11"/>
  <c r="D25" i="11"/>
  <c r="D24" i="11"/>
  <c r="X21" i="7"/>
  <c r="AC2" i="7"/>
  <c r="E16" i="4"/>
  <c r="E21" i="4" s="1"/>
  <c r="E26" i="4" s="1"/>
  <c r="N17" i="7"/>
  <c r="C143" i="7"/>
  <c r="E142" i="7"/>
  <c r="C126" i="7"/>
  <c r="E125" i="7"/>
  <c r="E114" i="7"/>
  <c r="C115" i="7"/>
  <c r="AC3" i="7"/>
  <c r="AF3" i="7" s="1"/>
  <c r="V4" i="7"/>
  <c r="AC4" i="7" s="1"/>
  <c r="AF4" i="7" s="1"/>
  <c r="T19" i="6"/>
  <c r="T20" i="6" s="1"/>
  <c r="B26" i="4"/>
  <c r="C23" i="4"/>
  <c r="D34" i="2"/>
  <c r="F34" i="2" s="1"/>
  <c r="D5" i="2"/>
  <c r="D36" i="2"/>
  <c r="D7" i="2"/>
  <c r="D33" i="2"/>
  <c r="F33" i="2" s="1"/>
  <c r="D4" i="2"/>
  <c r="B23" i="2"/>
  <c r="Z28" i="6"/>
  <c r="B24" i="2"/>
  <c r="Z43" i="6" s="1"/>
  <c r="B22" i="2"/>
  <c r="Z33" i="6" s="1"/>
  <c r="B20" i="2"/>
  <c r="Z23" i="6" s="1"/>
  <c r="B35" i="2"/>
  <c r="A46" i="2"/>
  <c r="H4" i="4" s="1"/>
  <c r="D3" i="2"/>
  <c r="D32" i="2"/>
  <c r="F32" i="2" s="1"/>
  <c r="D19" i="2"/>
  <c r="D35" i="2"/>
  <c r="D6" i="2"/>
  <c r="R4" i="6" l="1"/>
  <c r="S4" i="6" s="1"/>
  <c r="Y4" i="6" s="1"/>
  <c r="S24" i="6"/>
  <c r="B2" i="5"/>
  <c r="S43" i="6"/>
  <c r="S39" i="6"/>
  <c r="S27" i="6"/>
  <c r="S25" i="6"/>
  <c r="S28" i="6"/>
  <c r="S38" i="6"/>
  <c r="S36" i="6"/>
  <c r="S37" i="6"/>
  <c r="S34" i="6"/>
  <c r="S42" i="6"/>
  <c r="S41" i="6"/>
  <c r="S30" i="6"/>
  <c r="S32" i="6"/>
  <c r="S29" i="6"/>
  <c r="S31" i="6"/>
  <c r="F26" i="11"/>
  <c r="N19" i="7"/>
  <c r="P19" i="7" s="1"/>
  <c r="P17" i="7"/>
  <c r="P18" i="7"/>
  <c r="AG2" i="7"/>
  <c r="AF2" i="7"/>
  <c r="G10" i="7" s="1"/>
  <c r="A56" i="9"/>
  <c r="D36" i="7"/>
  <c r="AA27" i="7"/>
  <c r="AE27" i="7" s="1"/>
  <c r="E35" i="7"/>
  <c r="Z27" i="7" s="1"/>
  <c r="E26" i="11"/>
  <c r="S6" i="6"/>
  <c r="Y6" i="6" s="1"/>
  <c r="S20" i="6"/>
  <c r="Y20" i="6" s="1"/>
  <c r="S19" i="6"/>
  <c r="Y19" i="6" s="1"/>
  <c r="S7" i="6"/>
  <c r="Y7" i="6" s="1"/>
  <c r="S17" i="6"/>
  <c r="Y17" i="6" s="1"/>
  <c r="S10" i="6"/>
  <c r="Y10" i="6" s="1"/>
  <c r="D26" i="11"/>
  <c r="S5" i="6"/>
  <c r="Y5" i="6" s="1"/>
  <c r="X22" i="7"/>
  <c r="AB2" i="7"/>
  <c r="A13" i="2"/>
  <c r="Z38" i="6"/>
  <c r="A10" i="2"/>
  <c r="H7" i="4"/>
  <c r="K9" i="4" s="1"/>
  <c r="F7" i="4"/>
  <c r="K8" i="4" s="1"/>
  <c r="E3" i="2"/>
  <c r="B24" i="8"/>
  <c r="E5" i="2"/>
  <c r="B26" i="8"/>
  <c r="S22" i="6"/>
  <c r="S11" i="6"/>
  <c r="Y11" i="6" s="1"/>
  <c r="S15" i="6"/>
  <c r="Y15" i="6" s="1"/>
  <c r="S21" i="6"/>
  <c r="S23" i="6"/>
  <c r="S9" i="6"/>
  <c r="Y9" i="6" s="1"/>
  <c r="L18" i="6"/>
  <c r="M17" i="6"/>
  <c r="O17" i="6" s="1"/>
  <c r="B13" i="5"/>
  <c r="B27" i="8"/>
  <c r="S12" i="6"/>
  <c r="Y12" i="6" s="1"/>
  <c r="E4" i="2"/>
  <c r="B25" i="8"/>
  <c r="S16" i="6"/>
  <c r="Y16" i="6" s="1"/>
  <c r="S14" i="6"/>
  <c r="Y14" i="6" s="1"/>
  <c r="E7" i="2"/>
  <c r="B28" i="8"/>
  <c r="S8" i="6"/>
  <c r="Y8" i="6" s="1"/>
  <c r="C18" i="4"/>
  <c r="C13" i="4"/>
  <c r="C116" i="7"/>
  <c r="E115" i="7"/>
  <c r="E126" i="7"/>
  <c r="C127" i="7"/>
  <c r="V5" i="7"/>
  <c r="AB3" i="7"/>
  <c r="AG3" i="7"/>
  <c r="G11" i="7"/>
  <c r="M21" i="7"/>
  <c r="P20" i="7"/>
  <c r="C144" i="7"/>
  <c r="E143" i="7"/>
  <c r="T21" i="6"/>
  <c r="E6" i="2"/>
  <c r="F25" i="2"/>
  <c r="B14" i="2"/>
  <c r="A24" i="2"/>
  <c r="B7" i="2"/>
  <c r="F7" i="2" s="1"/>
  <c r="A23" i="2"/>
  <c r="B13" i="2"/>
  <c r="B6" i="2"/>
  <c r="F6" i="2" s="1"/>
  <c r="F23" i="2"/>
  <c r="F22" i="2"/>
  <c r="A22" i="2"/>
  <c r="B5" i="2"/>
  <c r="F5" i="2" s="1"/>
  <c r="B12" i="2"/>
  <c r="A21" i="2"/>
  <c r="B11" i="2"/>
  <c r="F21" i="2"/>
  <c r="B4" i="2"/>
  <c r="F4" i="2" s="1"/>
  <c r="D31" i="2"/>
  <c r="D2" i="2"/>
  <c r="B43" i="2"/>
  <c r="B52" i="2"/>
  <c r="C52" i="2" s="1"/>
  <c r="B54" i="2" s="1"/>
  <c r="B49" i="2" s="1"/>
  <c r="A14" i="2"/>
  <c r="A12" i="2"/>
  <c r="E30" i="2"/>
  <c r="A11" i="2"/>
  <c r="F35" i="2"/>
  <c r="F30" i="2" s="1"/>
  <c r="F20" i="2"/>
  <c r="G20" i="2" s="1"/>
  <c r="B3" i="2"/>
  <c r="F3" i="2" s="1"/>
  <c r="B10" i="2"/>
  <c r="S18" i="6" l="1"/>
  <c r="Y18" i="6" s="1"/>
  <c r="S13" i="6"/>
  <c r="Y13" i="6" s="1"/>
  <c r="B32" i="9"/>
  <c r="G13" i="18"/>
  <c r="G13" i="20"/>
  <c r="G13" i="16"/>
  <c r="G13" i="15"/>
  <c r="G12" i="20"/>
  <c r="G12" i="18"/>
  <c r="G12" i="15"/>
  <c r="G12" i="16"/>
  <c r="Q17" i="7"/>
  <c r="M3" i="7" s="1"/>
  <c r="A57" i="9"/>
  <c r="D37" i="7"/>
  <c r="E36" i="7"/>
  <c r="Z28" i="7" s="1"/>
  <c r="AA28" i="7"/>
  <c r="AE28" i="7" s="1"/>
  <c r="B4" i="4"/>
  <c r="C6" i="4" s="1"/>
  <c r="G6" i="4" s="1"/>
  <c r="C8" i="4" s="1"/>
  <c r="F37" i="2"/>
  <c r="J7" i="4"/>
  <c r="J6" i="4"/>
  <c r="E1" i="2"/>
  <c r="G1" i="2" s="1"/>
  <c r="G22" i="2"/>
  <c r="X23" i="7"/>
  <c r="F10" i="7"/>
  <c r="B31" i="9"/>
  <c r="L19" i="6"/>
  <c r="M18" i="6"/>
  <c r="O18" i="6" s="1"/>
  <c r="E30" i="4"/>
  <c r="C30" i="4"/>
  <c r="F30" i="4"/>
  <c r="G30" i="4" s="1"/>
  <c r="K11" i="7"/>
  <c r="L8" i="7" s="1"/>
  <c r="F11" i="7"/>
  <c r="Q18" i="7"/>
  <c r="M4" i="7" s="1"/>
  <c r="AG4" i="7"/>
  <c r="G12" i="7"/>
  <c r="AB4" i="7"/>
  <c r="V6" i="7"/>
  <c r="AC5" i="7"/>
  <c r="AF5" i="7" s="1"/>
  <c r="E144" i="7"/>
  <c r="C145" i="7"/>
  <c r="C128" i="7"/>
  <c r="E127" i="7"/>
  <c r="M22" i="7"/>
  <c r="N22" i="7" s="1"/>
  <c r="N21" i="7"/>
  <c r="P21" i="7" s="1"/>
  <c r="E116" i="7"/>
  <c r="C117" i="7"/>
  <c r="T22" i="6"/>
  <c r="Y21" i="6"/>
  <c r="A5" i="2"/>
  <c r="G5" i="2"/>
  <c r="A6" i="2"/>
  <c r="G6" i="2"/>
  <c r="A4" i="2"/>
  <c r="G4" i="2"/>
  <c r="G23" i="2"/>
  <c r="A7" i="2"/>
  <c r="G7" i="2"/>
  <c r="G21" i="2"/>
  <c r="A3" i="2"/>
  <c r="G3" i="2"/>
  <c r="F12" i="20" l="1"/>
  <c r="F12" i="18"/>
  <c r="F12" i="15"/>
  <c r="F12" i="16"/>
  <c r="F13" i="18"/>
  <c r="F13" i="20"/>
  <c r="F13" i="15"/>
  <c r="F13" i="16"/>
  <c r="B33" i="9"/>
  <c r="G14" i="20"/>
  <c r="G14" i="18"/>
  <c r="G14" i="16"/>
  <c r="G14" i="15"/>
  <c r="A58" i="9"/>
  <c r="AA29" i="7"/>
  <c r="AE29" i="7" s="1"/>
  <c r="E37" i="7"/>
  <c r="Z29" i="7" s="1"/>
  <c r="D38" i="7"/>
  <c r="X24" i="7"/>
  <c r="L20" i="6"/>
  <c r="M19" i="6"/>
  <c r="O19" i="6" s="1"/>
  <c r="K12" i="7"/>
  <c r="Q19" i="7"/>
  <c r="M5" i="7" s="1"/>
  <c r="F12" i="7"/>
  <c r="AG5" i="7"/>
  <c r="G13" i="7"/>
  <c r="AB5" i="7"/>
  <c r="M23" i="7"/>
  <c r="P22" i="7"/>
  <c r="AC6" i="7"/>
  <c r="AF6" i="7" s="1"/>
  <c r="V7" i="7"/>
  <c r="C131" i="7"/>
  <c r="E128" i="7"/>
  <c r="C118" i="7"/>
  <c r="E117" i="7"/>
  <c r="C146" i="7"/>
  <c r="E146" i="7" s="1"/>
  <c r="E145" i="7"/>
  <c r="T23" i="6"/>
  <c r="Y22" i="6"/>
  <c r="F14" i="20" l="1"/>
  <c r="F14" i="18"/>
  <c r="F14" i="15"/>
  <c r="F14" i="16"/>
  <c r="B34" i="9"/>
  <c r="G15" i="18"/>
  <c r="G15" i="20"/>
  <c r="G15" i="15"/>
  <c r="G15" i="16"/>
  <c r="A59" i="9"/>
  <c r="E38" i="7"/>
  <c r="Z30" i="7" s="1"/>
  <c r="AA30" i="7"/>
  <c r="AE30" i="7" s="1"/>
  <c r="D39" i="7"/>
  <c r="X25" i="7"/>
  <c r="L21" i="6"/>
  <c r="M20" i="6"/>
  <c r="O20" i="6" s="1"/>
  <c r="M24" i="7"/>
  <c r="N23" i="7"/>
  <c r="P23" i="7" s="1"/>
  <c r="G14" i="7"/>
  <c r="AB6" i="7"/>
  <c r="AG6" i="7"/>
  <c r="AC7" i="7"/>
  <c r="AF7" i="7" s="1"/>
  <c r="V8" i="7"/>
  <c r="Q20" i="7"/>
  <c r="M6" i="7" s="1"/>
  <c r="K13" i="7"/>
  <c r="F13" i="7"/>
  <c r="E131" i="7"/>
  <c r="C134" i="7"/>
  <c r="C119" i="7"/>
  <c r="E118" i="7"/>
  <c r="T24" i="6"/>
  <c r="Y23" i="6"/>
  <c r="F15" i="20" l="1"/>
  <c r="F15" i="18"/>
  <c r="F15" i="16"/>
  <c r="F15" i="15"/>
  <c r="B35" i="9"/>
  <c r="G16" i="18"/>
  <c r="G16" i="20"/>
  <c r="G16" i="16"/>
  <c r="G16" i="15"/>
  <c r="A60" i="9"/>
  <c r="E39" i="7"/>
  <c r="Z31" i="7" s="1"/>
  <c r="C39" i="7"/>
  <c r="D40" i="7"/>
  <c r="AA31" i="7"/>
  <c r="AE31" i="7" s="1"/>
  <c r="X26" i="7"/>
  <c r="L22" i="6"/>
  <c r="M21" i="6"/>
  <c r="O21" i="6" s="1"/>
  <c r="E134" i="7"/>
  <c r="C137" i="7"/>
  <c r="AC8" i="7"/>
  <c r="AF8" i="7" s="1"/>
  <c r="V9" i="7"/>
  <c r="K14" i="7"/>
  <c r="Q21" i="7"/>
  <c r="M7" i="7" s="1"/>
  <c r="F14" i="7"/>
  <c r="AB7" i="7"/>
  <c r="AG7" i="7"/>
  <c r="G15" i="7"/>
  <c r="C120" i="7"/>
  <c r="E119" i="7"/>
  <c r="M25" i="7"/>
  <c r="N24" i="7"/>
  <c r="P24" i="7" s="1"/>
  <c r="Z22" i="6"/>
  <c r="Z4" i="6" s="1"/>
  <c r="T25" i="6"/>
  <c r="Y24" i="6"/>
  <c r="F16" i="20" l="1"/>
  <c r="F16" i="18"/>
  <c r="F16" i="16"/>
  <c r="F16" i="15"/>
  <c r="B36" i="9"/>
  <c r="G17" i="18"/>
  <c r="G17" i="20"/>
  <c r="G17" i="16"/>
  <c r="G17" i="15"/>
  <c r="A61" i="9"/>
  <c r="AA32" i="7"/>
  <c r="AE32" i="7" s="1"/>
  <c r="E40" i="7"/>
  <c r="Z32" i="7" s="1"/>
  <c r="D41" i="7"/>
  <c r="X27" i="7"/>
  <c r="L23" i="6"/>
  <c r="M22" i="6"/>
  <c r="O22" i="6" s="1"/>
  <c r="M26" i="7"/>
  <c r="N25" i="7"/>
  <c r="P25" i="7" s="1"/>
  <c r="AC9" i="7"/>
  <c r="AF9" i="7" s="1"/>
  <c r="V10" i="7"/>
  <c r="G16" i="7"/>
  <c r="AB8" i="7"/>
  <c r="AG8" i="7"/>
  <c r="C138" i="7"/>
  <c r="E137" i="7"/>
  <c r="C121" i="7"/>
  <c r="E120" i="7"/>
  <c r="K15" i="7"/>
  <c r="F15" i="7"/>
  <c r="Q22" i="7"/>
  <c r="M8" i="7" s="1"/>
  <c r="AA8" i="6"/>
  <c r="AC8" i="6" s="1"/>
  <c r="AD8" i="6" s="1"/>
  <c r="G16" i="6" s="1"/>
  <c r="AA15" i="6"/>
  <c r="AC15" i="6" s="1"/>
  <c r="AD15" i="6" s="1"/>
  <c r="G23" i="6" s="1"/>
  <c r="AA7" i="6"/>
  <c r="AC7" i="6" s="1"/>
  <c r="AD7" i="6" s="1"/>
  <c r="G15" i="6" s="1"/>
  <c r="AA22" i="6"/>
  <c r="AC22" i="6" s="1"/>
  <c r="AD22" i="6" s="1"/>
  <c r="G30" i="6" s="1"/>
  <c r="AA12" i="6"/>
  <c r="AC12" i="6" s="1"/>
  <c r="AD12" i="6" s="1"/>
  <c r="G20" i="6" s="1"/>
  <c r="AA18" i="6"/>
  <c r="AC18" i="6" s="1"/>
  <c r="AD18" i="6" s="1"/>
  <c r="G26" i="6" s="1"/>
  <c r="AA19" i="6"/>
  <c r="AC19" i="6" s="1"/>
  <c r="AD19" i="6" s="1"/>
  <c r="G27" i="6" s="1"/>
  <c r="AA14" i="6"/>
  <c r="AC14" i="6" s="1"/>
  <c r="AD14" i="6" s="1"/>
  <c r="G22" i="6" s="1"/>
  <c r="AA11" i="6"/>
  <c r="AC11" i="6" s="1"/>
  <c r="AD11" i="6" s="1"/>
  <c r="G19" i="6" s="1"/>
  <c r="AA6" i="6"/>
  <c r="AC6" i="6" s="1"/>
  <c r="AD6" i="6" s="1"/>
  <c r="G14" i="6" s="1"/>
  <c r="AA9" i="6"/>
  <c r="AC9" i="6" s="1"/>
  <c r="AD9" i="6" s="1"/>
  <c r="G17" i="6" s="1"/>
  <c r="AA16" i="6"/>
  <c r="AC16" i="6" s="1"/>
  <c r="AD16" i="6" s="1"/>
  <c r="G24" i="6" s="1"/>
  <c r="AA13" i="6"/>
  <c r="AC13" i="6" s="1"/>
  <c r="AD13" i="6" s="1"/>
  <c r="G21" i="6" s="1"/>
  <c r="AA10" i="6"/>
  <c r="AC10" i="6" s="1"/>
  <c r="AD10" i="6" s="1"/>
  <c r="G18" i="6" s="1"/>
  <c r="AA20" i="6"/>
  <c r="AC20" i="6" s="1"/>
  <c r="AD20" i="6" s="1"/>
  <c r="G28" i="6" s="1"/>
  <c r="AA5" i="6"/>
  <c r="AC5" i="6" s="1"/>
  <c r="AD5" i="6" s="1"/>
  <c r="G13" i="6" s="1"/>
  <c r="AA23" i="6"/>
  <c r="AC23" i="6" s="1"/>
  <c r="AA21" i="6"/>
  <c r="AC21" i="6" s="1"/>
  <c r="AD21" i="6" s="1"/>
  <c r="G29" i="6" s="1"/>
  <c r="AA17" i="6"/>
  <c r="AC17" i="6" s="1"/>
  <c r="AD17" i="6" s="1"/>
  <c r="G25" i="6" s="1"/>
  <c r="AA4" i="6"/>
  <c r="AC4" i="6" s="1"/>
  <c r="AD4" i="6" s="1"/>
  <c r="G12" i="6" s="1"/>
  <c r="G12" i="17" s="1"/>
  <c r="T26" i="6"/>
  <c r="Y25" i="6"/>
  <c r="B37" i="9" l="1"/>
  <c r="G18" i="20"/>
  <c r="G18" i="18"/>
  <c r="G18" i="15"/>
  <c r="G18" i="16"/>
  <c r="F17" i="18"/>
  <c r="F17" i="20"/>
  <c r="F17" i="16"/>
  <c r="F17" i="15"/>
  <c r="F3" i="12"/>
  <c r="B3" i="12" s="1"/>
  <c r="B37" i="8" s="1"/>
  <c r="G14" i="17"/>
  <c r="F14" i="12"/>
  <c r="B14" i="12" s="1"/>
  <c r="B48" i="8" s="1"/>
  <c r="G25" i="17"/>
  <c r="F6" i="12"/>
  <c r="B6" i="12" s="1"/>
  <c r="B40" i="8" s="1"/>
  <c r="G17" i="17"/>
  <c r="F11" i="12"/>
  <c r="B11" i="12" s="1"/>
  <c r="B45" i="8" s="1"/>
  <c r="G22" i="17"/>
  <c r="F4" i="12"/>
  <c r="B4" i="12" s="1"/>
  <c r="B38" i="8" s="1"/>
  <c r="G15" i="17"/>
  <c r="F12" i="12"/>
  <c r="B12" i="12" s="1"/>
  <c r="B46" i="8" s="1"/>
  <c r="G23" i="17"/>
  <c r="F17" i="12"/>
  <c r="B17" i="12" s="1"/>
  <c r="B51" i="8" s="1"/>
  <c r="G28" i="17"/>
  <c r="F10" i="12"/>
  <c r="B10" i="12" s="1"/>
  <c r="B44" i="8" s="1"/>
  <c r="G21" i="17"/>
  <c r="F8" i="12"/>
  <c r="B8" i="12" s="1"/>
  <c r="B42" i="8" s="1"/>
  <c r="G19" i="17"/>
  <c r="F16" i="12"/>
  <c r="B16" i="12" s="1"/>
  <c r="B50" i="8" s="1"/>
  <c r="G27" i="17"/>
  <c r="F15" i="12"/>
  <c r="B15" i="12" s="1"/>
  <c r="B49" i="8" s="1"/>
  <c r="G26" i="17"/>
  <c r="F9" i="12"/>
  <c r="B9" i="12" s="1"/>
  <c r="B43" i="8" s="1"/>
  <c r="G20" i="17"/>
  <c r="F19" i="12"/>
  <c r="B19" i="12" s="1"/>
  <c r="B53" i="8" s="1"/>
  <c r="G30" i="17"/>
  <c r="F18" i="12"/>
  <c r="B18" i="12" s="1"/>
  <c r="B52" i="8" s="1"/>
  <c r="G29" i="17"/>
  <c r="F5" i="12"/>
  <c r="B5" i="12" s="1"/>
  <c r="B39" i="8" s="1"/>
  <c r="G16" i="17"/>
  <c r="F2" i="12"/>
  <c r="B2" i="12" s="1"/>
  <c r="B36" i="8" s="1"/>
  <c r="G13" i="17"/>
  <c r="F7" i="12"/>
  <c r="B7" i="12" s="1"/>
  <c r="B41" i="8" s="1"/>
  <c r="G18" i="17"/>
  <c r="F13" i="12"/>
  <c r="B13" i="12" s="1"/>
  <c r="B47" i="8" s="1"/>
  <c r="G24" i="17"/>
  <c r="F1" i="12"/>
  <c r="B1" i="12" s="1"/>
  <c r="B35" i="8" s="1"/>
  <c r="P17" i="6"/>
  <c r="A62" i="9"/>
  <c r="AA33" i="7"/>
  <c r="AE33" i="7" s="1"/>
  <c r="H60" i="2" s="1"/>
  <c r="I60" i="2" s="1"/>
  <c r="E41" i="7"/>
  <c r="Z33" i="7" s="1"/>
  <c r="D42" i="7"/>
  <c r="X28" i="7"/>
  <c r="L24" i="6"/>
  <c r="M23" i="6"/>
  <c r="O23" i="6" s="1"/>
  <c r="P23" i="6" s="1"/>
  <c r="Q23" i="7"/>
  <c r="M9" i="7" s="1"/>
  <c r="K16" i="7"/>
  <c r="F16" i="7"/>
  <c r="AC10" i="7"/>
  <c r="AF10" i="7" s="1"/>
  <c r="V11" i="7"/>
  <c r="C139" i="7"/>
  <c r="E139" i="7" s="1"/>
  <c r="E138" i="7"/>
  <c r="AB9" i="7"/>
  <c r="AG9" i="7"/>
  <c r="G17" i="7"/>
  <c r="E121" i="7"/>
  <c r="C122" i="7"/>
  <c r="E122" i="7" s="1"/>
  <c r="N26" i="7"/>
  <c r="P26" i="7" s="1"/>
  <c r="M27" i="7"/>
  <c r="J19" i="6"/>
  <c r="F19" i="6"/>
  <c r="F19" i="17" s="1"/>
  <c r="J27" i="6"/>
  <c r="F27" i="6"/>
  <c r="F27" i="17" s="1"/>
  <c r="F26" i="6"/>
  <c r="F26" i="17" s="1"/>
  <c r="J26" i="6"/>
  <c r="T27" i="6"/>
  <c r="Y26" i="6"/>
  <c r="J20" i="6"/>
  <c r="F20" i="6"/>
  <c r="F20" i="17" s="1"/>
  <c r="J25" i="6"/>
  <c r="F25" i="6"/>
  <c r="F25" i="17" s="1"/>
  <c r="J30" i="6"/>
  <c r="F30" i="6"/>
  <c r="F30" i="17" s="1"/>
  <c r="P20" i="6"/>
  <c r="J15" i="6"/>
  <c r="F15" i="6"/>
  <c r="F15" i="17" s="1"/>
  <c r="F12" i="6"/>
  <c r="F12" i="17" s="1"/>
  <c r="AG23" i="6"/>
  <c r="AE23" i="6" s="1"/>
  <c r="AD23" i="6" s="1"/>
  <c r="G31" i="6" s="1"/>
  <c r="G31" i="17" s="1"/>
  <c r="J28" i="6"/>
  <c r="F28" i="6"/>
  <c r="F28" i="17" s="1"/>
  <c r="J18" i="6"/>
  <c r="F18" i="6"/>
  <c r="F18" i="17" s="1"/>
  <c r="J23" i="6"/>
  <c r="F23" i="6"/>
  <c r="F23" i="17" s="1"/>
  <c r="J29" i="6"/>
  <c r="F29" i="6"/>
  <c r="F29" i="17" s="1"/>
  <c r="J21" i="6"/>
  <c r="F21" i="6"/>
  <c r="F21" i="17" s="1"/>
  <c r="J16" i="6"/>
  <c r="P21" i="6"/>
  <c r="F16" i="6"/>
  <c r="F16" i="17" s="1"/>
  <c r="J22" i="6"/>
  <c r="F22" i="6"/>
  <c r="F22" i="17" s="1"/>
  <c r="J24" i="6"/>
  <c r="F24" i="6"/>
  <c r="F24" i="17" s="1"/>
  <c r="P19" i="6"/>
  <c r="J14" i="6"/>
  <c r="F14" i="6"/>
  <c r="F14" i="17" s="1"/>
  <c r="J13" i="6"/>
  <c r="J11" i="6" s="1"/>
  <c r="F13" i="6"/>
  <c r="F13" i="17" s="1"/>
  <c r="P18" i="6"/>
  <c r="J17" i="6"/>
  <c r="F17" i="6"/>
  <c r="F17" i="17" s="1"/>
  <c r="P22" i="6"/>
  <c r="B38" i="9" l="1"/>
  <c r="G19" i="18"/>
  <c r="G19" i="20"/>
  <c r="G19" i="15"/>
  <c r="G19" i="16"/>
  <c r="F18" i="18"/>
  <c r="F18" i="20"/>
  <c r="F18" i="15"/>
  <c r="F18" i="16"/>
  <c r="K60" i="2"/>
  <c r="K58" i="2"/>
  <c r="K59" i="2"/>
  <c r="A63" i="9"/>
  <c r="D43" i="7"/>
  <c r="E42" i="7"/>
  <c r="Z34" i="7" s="1"/>
  <c r="AA34" i="7"/>
  <c r="AE34" i="7" s="1"/>
  <c r="X29" i="7"/>
  <c r="B3" i="5"/>
  <c r="F20" i="12"/>
  <c r="B20" i="12" s="1"/>
  <c r="M24" i="6"/>
  <c r="O24" i="6" s="1"/>
  <c r="P24" i="6" s="1"/>
  <c r="L25" i="6"/>
  <c r="M28" i="7"/>
  <c r="N27" i="7"/>
  <c r="P27" i="7" s="1"/>
  <c r="AC11" i="7"/>
  <c r="AF11" i="7" s="1"/>
  <c r="V12" i="7"/>
  <c r="AG10" i="7"/>
  <c r="G18" i="7"/>
  <c r="AB10" i="7"/>
  <c r="Q24" i="7"/>
  <c r="M10" i="7" s="1"/>
  <c r="K17" i="7"/>
  <c r="F17" i="7"/>
  <c r="T28" i="6"/>
  <c r="Y27" i="6"/>
  <c r="J31" i="6"/>
  <c r="F31" i="6"/>
  <c r="F31" i="17" s="1"/>
  <c r="B39" i="9" l="1"/>
  <c r="G20" i="18"/>
  <c r="G20" i="20"/>
  <c r="G20" i="15"/>
  <c r="G20" i="16"/>
  <c r="F19" i="18"/>
  <c r="F19" i="20"/>
  <c r="F19" i="16"/>
  <c r="F19" i="15"/>
  <c r="K61" i="2"/>
  <c r="K62" i="2"/>
  <c r="A64" i="9"/>
  <c r="E43" i="7"/>
  <c r="Z35" i="7" s="1"/>
  <c r="AA35" i="7"/>
  <c r="AE35" i="7" s="1"/>
  <c r="D44" i="7"/>
  <c r="X30" i="7"/>
  <c r="B21" i="12"/>
  <c r="B54" i="8"/>
  <c r="M25" i="6"/>
  <c r="O25" i="6" s="1"/>
  <c r="P25" i="6" s="1"/>
  <c r="L26" i="6"/>
  <c r="AG11" i="7"/>
  <c r="G19" i="7"/>
  <c r="AB11" i="7"/>
  <c r="F18" i="7"/>
  <c r="K18" i="7"/>
  <c r="Q25" i="7"/>
  <c r="AC12" i="7"/>
  <c r="AF12" i="7" s="1"/>
  <c r="V13" i="7"/>
  <c r="N28" i="7"/>
  <c r="P28" i="7" s="1"/>
  <c r="M29" i="7"/>
  <c r="T29" i="6"/>
  <c r="Y28" i="6"/>
  <c r="B40" i="9" l="1"/>
  <c r="G21" i="20"/>
  <c r="G21" i="18"/>
  <c r="G21" i="16"/>
  <c r="G21" i="15"/>
  <c r="F20" i="18"/>
  <c r="F20" i="20"/>
  <c r="F20" i="16"/>
  <c r="F20" i="15"/>
  <c r="A65" i="9"/>
  <c r="AA36" i="7"/>
  <c r="AE36" i="7" s="1"/>
  <c r="E44" i="7"/>
  <c r="Z36" i="7" s="1"/>
  <c r="D45" i="7"/>
  <c r="X31" i="7"/>
  <c r="L27" i="6"/>
  <c r="M26" i="6"/>
  <c r="O26" i="6" s="1"/>
  <c r="P26" i="6" s="1"/>
  <c r="B22" i="12"/>
  <c r="B55" i="8"/>
  <c r="V14" i="7"/>
  <c r="AC13" i="7"/>
  <c r="AF13" i="7" s="1"/>
  <c r="Q26" i="7"/>
  <c r="K19" i="7"/>
  <c r="F19" i="7"/>
  <c r="AB12" i="7"/>
  <c r="AG12" i="7"/>
  <c r="G20" i="7"/>
  <c r="M30" i="7"/>
  <c r="N30" i="7" s="1"/>
  <c r="N29" i="7"/>
  <c r="P29" i="7" s="1"/>
  <c r="Z27" i="6"/>
  <c r="Z24" i="6" s="1"/>
  <c r="Y29" i="6"/>
  <c r="T30" i="6"/>
  <c r="F21" i="18" l="1"/>
  <c r="F21" i="20"/>
  <c r="F21" i="15"/>
  <c r="F21" i="16"/>
  <c r="G22" i="18"/>
  <c r="G22" i="20"/>
  <c r="G22" i="16"/>
  <c r="G22" i="15"/>
  <c r="B41" i="9"/>
  <c r="F20" i="7"/>
  <c r="A66" i="9"/>
  <c r="AA37" i="7"/>
  <c r="AE37" i="7" s="1"/>
  <c r="D46" i="7"/>
  <c r="C45" i="7"/>
  <c r="E45" i="7"/>
  <c r="Z37" i="7" s="1"/>
  <c r="X32" i="7"/>
  <c r="B23" i="12"/>
  <c r="B56" i="8"/>
  <c r="L28" i="6"/>
  <c r="M27" i="6"/>
  <c r="O27" i="6" s="1"/>
  <c r="P27" i="6" s="1"/>
  <c r="AG13" i="7"/>
  <c r="G21" i="7"/>
  <c r="AB13" i="7"/>
  <c r="M31" i="7"/>
  <c r="P30" i="7"/>
  <c r="AC14" i="7"/>
  <c r="AF14" i="7" s="1"/>
  <c r="V15" i="7"/>
  <c r="Q27" i="7"/>
  <c r="K20" i="7"/>
  <c r="T31" i="6"/>
  <c r="Y30" i="6"/>
  <c r="AA28" i="6"/>
  <c r="AC28" i="6" s="1"/>
  <c r="AA24" i="6"/>
  <c r="AC24" i="6" s="1"/>
  <c r="AA25" i="6"/>
  <c r="AC25" i="6" s="1"/>
  <c r="AA26" i="6"/>
  <c r="AC26" i="6" s="1"/>
  <c r="AA27" i="6"/>
  <c r="AC27" i="6" s="1"/>
  <c r="B42" i="9" l="1"/>
  <c r="G23" i="18"/>
  <c r="G23" i="20"/>
  <c r="G23" i="16"/>
  <c r="G23" i="15"/>
  <c r="F22" i="18"/>
  <c r="F22" i="20"/>
  <c r="F22" i="16"/>
  <c r="F22" i="15"/>
  <c r="A67" i="9"/>
  <c r="D47" i="7"/>
  <c r="E46" i="7"/>
  <c r="Z38" i="7" s="1"/>
  <c r="AA38" i="7"/>
  <c r="AE38" i="7" s="1"/>
  <c r="N31" i="7"/>
  <c r="P31" i="7" s="1"/>
  <c r="X33" i="7"/>
  <c r="L29" i="6"/>
  <c r="M28" i="6"/>
  <c r="O28" i="6" s="1"/>
  <c r="P28" i="6" s="1"/>
  <c r="B57" i="8"/>
  <c r="B24" i="12"/>
  <c r="AC15" i="7"/>
  <c r="AF15" i="7" s="1"/>
  <c r="V16" i="7"/>
  <c r="AG14" i="7"/>
  <c r="G22" i="7"/>
  <c r="AB14" i="7"/>
  <c r="F21" i="7"/>
  <c r="K21" i="7"/>
  <c r="Q28" i="7"/>
  <c r="AG28" i="6"/>
  <c r="T32" i="6"/>
  <c r="Y31" i="6"/>
  <c r="F23" i="18" l="1"/>
  <c r="F23" i="20"/>
  <c r="F23" i="16"/>
  <c r="F23" i="15"/>
  <c r="B43" i="9"/>
  <c r="G24" i="18"/>
  <c r="G24" i="20"/>
  <c r="G24" i="15"/>
  <c r="G24" i="16"/>
  <c r="A68" i="9"/>
  <c r="E47" i="7"/>
  <c r="Z39" i="7" s="1"/>
  <c r="AA39" i="7"/>
  <c r="AE39" i="7" s="1"/>
  <c r="D48" i="7"/>
  <c r="X34" i="7"/>
  <c r="B25" i="12"/>
  <c r="B59" i="8" s="1"/>
  <c r="B58" i="8"/>
  <c r="L30" i="6"/>
  <c r="M29" i="6"/>
  <c r="O29" i="6" s="1"/>
  <c r="P29" i="6" s="1"/>
  <c r="Q29" i="7"/>
  <c r="K22" i="7"/>
  <c r="F22" i="7"/>
  <c r="AC16" i="7"/>
  <c r="AF16" i="7" s="1"/>
  <c r="V17" i="7"/>
  <c r="AG15" i="7"/>
  <c r="G23" i="7"/>
  <c r="AB15" i="7"/>
  <c r="T33" i="6"/>
  <c r="Y32" i="6"/>
  <c r="AE25" i="6"/>
  <c r="AD25" i="6" s="1"/>
  <c r="G33" i="6" s="1"/>
  <c r="AE26" i="6"/>
  <c r="AD26" i="6" s="1"/>
  <c r="G34" i="6" s="1"/>
  <c r="AE27" i="6"/>
  <c r="AD27" i="6" s="1"/>
  <c r="G35" i="6" s="1"/>
  <c r="AE28" i="6"/>
  <c r="AD28" i="6" s="1"/>
  <c r="G36" i="6" s="1"/>
  <c r="AE24" i="6"/>
  <c r="AD24" i="6" s="1"/>
  <c r="G32" i="6" s="1"/>
  <c r="B44" i="9" l="1"/>
  <c r="G25" i="18"/>
  <c r="G25" i="20"/>
  <c r="G25" i="15"/>
  <c r="G25" i="16"/>
  <c r="F24" i="20"/>
  <c r="F24" i="18"/>
  <c r="F24" i="15"/>
  <c r="F24" i="16"/>
  <c r="F23" i="12"/>
  <c r="B30" i="12" s="1"/>
  <c r="G34" i="17"/>
  <c r="F21" i="12"/>
  <c r="B26" i="12" s="1"/>
  <c r="B27" i="12" s="1"/>
  <c r="B61" i="8" s="1"/>
  <c r="G32" i="17"/>
  <c r="F25" i="12"/>
  <c r="B40" i="12" s="1"/>
  <c r="B41" i="12" s="1"/>
  <c r="G36" i="17"/>
  <c r="F24" i="12"/>
  <c r="B36" i="12" s="1"/>
  <c r="G35" i="17"/>
  <c r="F22" i="12"/>
  <c r="B28" i="12" s="1"/>
  <c r="G33" i="17"/>
  <c r="A69" i="9"/>
  <c r="AA40" i="7"/>
  <c r="AE40" i="7" s="1"/>
  <c r="D49" i="7"/>
  <c r="E48" i="7"/>
  <c r="Z40" i="7" s="1"/>
  <c r="X35" i="7"/>
  <c r="M30" i="6"/>
  <c r="O30" i="6" s="1"/>
  <c r="P30" i="6" s="1"/>
  <c r="L31" i="6"/>
  <c r="AB16" i="7"/>
  <c r="AG16" i="7"/>
  <c r="G24" i="7"/>
  <c r="V18" i="7"/>
  <c r="AC18" i="7" s="1"/>
  <c r="AF18" i="7" s="1"/>
  <c r="AC17" i="7"/>
  <c r="AF17" i="7" s="1"/>
  <c r="K23" i="7"/>
  <c r="F23" i="7"/>
  <c r="Q30" i="7"/>
  <c r="F32" i="6"/>
  <c r="F32" i="17" s="1"/>
  <c r="J32" i="6"/>
  <c r="J35" i="6"/>
  <c r="F35" i="6"/>
  <c r="F35" i="17" s="1"/>
  <c r="J34" i="6"/>
  <c r="F34" i="6"/>
  <c r="F34" i="17" s="1"/>
  <c r="J33" i="6"/>
  <c r="F33" i="6"/>
  <c r="F33" i="17" s="1"/>
  <c r="T34" i="6"/>
  <c r="Y33" i="6"/>
  <c r="J36" i="6"/>
  <c r="F36" i="6"/>
  <c r="F36" i="17" s="1"/>
  <c r="C36" i="12" l="1"/>
  <c r="D36" i="12" s="1"/>
  <c r="C30" i="12"/>
  <c r="D30" i="12" s="1"/>
  <c r="B70" i="8"/>
  <c r="B74" i="8"/>
  <c r="B37" i="12"/>
  <c r="B64" i="8"/>
  <c r="B31" i="12"/>
  <c r="B32" i="12" s="1"/>
  <c r="B45" i="9"/>
  <c r="G26" i="18"/>
  <c r="G26" i="20"/>
  <c r="G26" i="16"/>
  <c r="G26" i="15"/>
  <c r="C28" i="12"/>
  <c r="D28" i="12" s="1"/>
  <c r="F25" i="20"/>
  <c r="F25" i="18"/>
  <c r="F25" i="15"/>
  <c r="F25" i="16"/>
  <c r="C20" i="12"/>
  <c r="D20" i="12" s="1"/>
  <c r="B60" i="8"/>
  <c r="B29" i="12"/>
  <c r="B63" i="8" s="1"/>
  <c r="B62" i="8"/>
  <c r="C26" i="12"/>
  <c r="D26" i="12" s="1"/>
  <c r="A70" i="9"/>
  <c r="AA41" i="7"/>
  <c r="AE41" i="7" s="1"/>
  <c r="D50" i="7"/>
  <c r="E49" i="7"/>
  <c r="Z41" i="7" s="1"/>
  <c r="X36" i="7"/>
  <c r="B38" i="12"/>
  <c r="B71" i="8"/>
  <c r="M31" i="6"/>
  <c r="O31" i="6" s="1"/>
  <c r="P31" i="6" s="1"/>
  <c r="L32" i="6"/>
  <c r="M32" i="6" s="1"/>
  <c r="O32" i="6" s="1"/>
  <c r="P32" i="6" s="1"/>
  <c r="B42" i="12"/>
  <c r="B75" i="8"/>
  <c r="G25" i="7"/>
  <c r="AB17" i="7"/>
  <c r="V19" i="7"/>
  <c r="AC19" i="7" s="1"/>
  <c r="AF19" i="7" s="1"/>
  <c r="Q31" i="7"/>
  <c r="F24" i="7"/>
  <c r="K24" i="7"/>
  <c r="Z32" i="6"/>
  <c r="Z29" i="6" s="1"/>
  <c r="T35" i="6"/>
  <c r="Y34" i="6"/>
  <c r="B65" i="8" l="1"/>
  <c r="F26" i="18"/>
  <c r="F26" i="20"/>
  <c r="F26" i="15"/>
  <c r="F26" i="16"/>
  <c r="B46" i="9"/>
  <c r="G27" i="20"/>
  <c r="G27" i="18"/>
  <c r="G27" i="16"/>
  <c r="G27" i="15"/>
  <c r="A71" i="9"/>
  <c r="AA42" i="7"/>
  <c r="AE42" i="7" s="1"/>
  <c r="E50" i="7"/>
  <c r="Z42" i="7" s="1"/>
  <c r="D51" i="7"/>
  <c r="X37" i="7"/>
  <c r="B43" i="12"/>
  <c r="B76" i="8"/>
  <c r="B33" i="12"/>
  <c r="B66" i="8"/>
  <c r="B39" i="12"/>
  <c r="B73" i="8" s="1"/>
  <c r="B72" i="8"/>
  <c r="AB18" i="7"/>
  <c r="G26" i="7"/>
  <c r="V20" i="7"/>
  <c r="AC20" i="7" s="1"/>
  <c r="K25" i="7"/>
  <c r="F25" i="7"/>
  <c r="AA29" i="6"/>
  <c r="AC29" i="6" s="1"/>
  <c r="AA33" i="6"/>
  <c r="AC33" i="6" s="1"/>
  <c r="AA30" i="6"/>
  <c r="AC30" i="6" s="1"/>
  <c r="AA31" i="6"/>
  <c r="AC31" i="6" s="1"/>
  <c r="AA32" i="6"/>
  <c r="AC32" i="6" s="1"/>
  <c r="T36" i="6"/>
  <c r="Y35" i="6"/>
  <c r="F27" i="18" l="1"/>
  <c r="F27" i="20"/>
  <c r="F27" i="15"/>
  <c r="F27" i="16"/>
  <c r="B47" i="9"/>
  <c r="G28" i="18"/>
  <c r="G28" i="20"/>
  <c r="G28" i="16"/>
  <c r="G28" i="15"/>
  <c r="A72" i="9"/>
  <c r="E51" i="7"/>
  <c r="Z43" i="7" s="1"/>
  <c r="C51" i="7"/>
  <c r="AA43" i="7"/>
  <c r="AE43" i="7" s="1"/>
  <c r="D52" i="7"/>
  <c r="X38" i="7"/>
  <c r="B67" i="8"/>
  <c r="B34" i="12"/>
  <c r="B44" i="12"/>
  <c r="B77" i="8"/>
  <c r="V21" i="7"/>
  <c r="AC21" i="7" s="1"/>
  <c r="F26" i="7"/>
  <c r="K26" i="7"/>
  <c r="AB19" i="7"/>
  <c r="G27" i="7"/>
  <c r="T37" i="6"/>
  <c r="Y36" i="6"/>
  <c r="AG33" i="6"/>
  <c r="B48" i="9" l="1"/>
  <c r="G29" i="20"/>
  <c r="G29" i="18"/>
  <c r="G29" i="15"/>
  <c r="G29" i="16"/>
  <c r="F28" i="18"/>
  <c r="F28" i="20"/>
  <c r="F28" i="16"/>
  <c r="F28" i="15"/>
  <c r="A73" i="9"/>
  <c r="D53" i="7"/>
  <c r="E52" i="7"/>
  <c r="Z44" i="7" s="1"/>
  <c r="AA44" i="7"/>
  <c r="AE44" i="7" s="1"/>
  <c r="X39" i="7"/>
  <c r="X40" i="7" s="1"/>
  <c r="X41" i="7" s="1"/>
  <c r="X42" i="7" s="1"/>
  <c r="X43" i="7" s="1"/>
  <c r="X44" i="7" s="1"/>
  <c r="X45" i="7" s="1"/>
  <c r="X46" i="7" s="1"/>
  <c r="X47" i="7" s="1"/>
  <c r="X48" i="7" s="1"/>
  <c r="X49" i="7" s="1"/>
  <c r="X50" i="7" s="1"/>
  <c r="X51" i="7" s="1"/>
  <c r="X52" i="7" s="1"/>
  <c r="X53" i="7" s="1"/>
  <c r="X54" i="7" s="1"/>
  <c r="X55" i="7" s="1"/>
  <c r="X56" i="7" s="1"/>
  <c r="X57" i="7" s="1"/>
  <c r="X58" i="7" s="1"/>
  <c r="X59" i="7" s="1"/>
  <c r="X60" i="7" s="1"/>
  <c r="X61" i="7" s="1"/>
  <c r="X62" i="7" s="1"/>
  <c r="X63" i="7" s="1"/>
  <c r="X64" i="7" s="1"/>
  <c r="X65" i="7" s="1"/>
  <c r="X66" i="7" s="1"/>
  <c r="X67" i="7" s="1"/>
  <c r="X68" i="7" s="1"/>
  <c r="X69" i="7" s="1"/>
  <c r="X70" i="7" s="1"/>
  <c r="X71" i="7" s="1"/>
  <c r="X72" i="7" s="1"/>
  <c r="X73" i="7" s="1"/>
  <c r="X74" i="7" s="1"/>
  <c r="X75" i="7" s="1"/>
  <c r="X76" i="7" s="1"/>
  <c r="X77" i="7" s="1"/>
  <c r="X78" i="7" s="1"/>
  <c r="X79" i="7" s="1"/>
  <c r="X80" i="7" s="1"/>
  <c r="X81" i="7" s="1"/>
  <c r="X82" i="7" s="1"/>
  <c r="X83" i="7" s="1"/>
  <c r="B45" i="12"/>
  <c r="B79" i="8" s="1"/>
  <c r="B78" i="8"/>
  <c r="B68" i="8"/>
  <c r="B35" i="12"/>
  <c r="B69" i="8" s="1"/>
  <c r="K27" i="7"/>
  <c r="F27" i="7"/>
  <c r="AF20" i="7"/>
  <c r="G28" i="7" s="1"/>
  <c r="AB20" i="7"/>
  <c r="V22" i="7"/>
  <c r="AC22" i="7" s="1"/>
  <c r="AE30" i="6"/>
  <c r="AD30" i="6" s="1"/>
  <c r="G38" i="6" s="1"/>
  <c r="AE31" i="6"/>
  <c r="AD31" i="6" s="1"/>
  <c r="G39" i="6" s="1"/>
  <c r="AE32" i="6"/>
  <c r="AD32" i="6" s="1"/>
  <c r="G40" i="6" s="1"/>
  <c r="AE29" i="6"/>
  <c r="AD29" i="6" s="1"/>
  <c r="G37" i="6" s="1"/>
  <c r="AE33" i="6"/>
  <c r="AD33" i="6" s="1"/>
  <c r="G41" i="6" s="1"/>
  <c r="G41" i="17" s="1"/>
  <c r="T38" i="6"/>
  <c r="Y37" i="6"/>
  <c r="B49" i="9" l="1"/>
  <c r="G30" i="18"/>
  <c r="G30" i="20"/>
  <c r="G30" i="16"/>
  <c r="G30" i="15"/>
  <c r="F29" i="18"/>
  <c r="F29" i="20"/>
  <c r="F29" i="16"/>
  <c r="F29" i="15"/>
  <c r="F27" i="12"/>
  <c r="B48" i="12" s="1"/>
  <c r="B82" i="8" s="1"/>
  <c r="G38" i="17"/>
  <c r="F26" i="12"/>
  <c r="B46" i="12" s="1"/>
  <c r="B47" i="12" s="1"/>
  <c r="B81" i="8" s="1"/>
  <c r="G37" i="17"/>
  <c r="F28" i="12"/>
  <c r="B50" i="12" s="1"/>
  <c r="B84" i="8" s="1"/>
  <c r="G39" i="17"/>
  <c r="F29" i="12"/>
  <c r="B56" i="12" s="1"/>
  <c r="C50" i="12" s="1"/>
  <c r="D50" i="12" s="1"/>
  <c r="G40" i="17"/>
  <c r="A74" i="9"/>
  <c r="D54" i="7"/>
  <c r="AA45" i="7"/>
  <c r="AE45" i="7" s="1"/>
  <c r="E53" i="7"/>
  <c r="Z45" i="7" s="1"/>
  <c r="P1" i="7"/>
  <c r="F30" i="12"/>
  <c r="B60" i="12" s="1"/>
  <c r="K28" i="7"/>
  <c r="F28" i="7"/>
  <c r="V23" i="7"/>
  <c r="AC23" i="7" s="1"/>
  <c r="AF21" i="7"/>
  <c r="G29" i="7" s="1"/>
  <c r="AB21" i="7"/>
  <c r="J37" i="6"/>
  <c r="F37" i="6"/>
  <c r="F37" i="17" s="1"/>
  <c r="J40" i="6"/>
  <c r="F40" i="6"/>
  <c r="F40" i="17" s="1"/>
  <c r="T39" i="6"/>
  <c r="Y38" i="6"/>
  <c r="F39" i="6"/>
  <c r="F39" i="17" s="1"/>
  <c r="J39" i="6"/>
  <c r="J41" i="6"/>
  <c r="F41" i="6"/>
  <c r="F41" i="17" s="1"/>
  <c r="J38" i="6"/>
  <c r="F38" i="6"/>
  <c r="F38" i="17" s="1"/>
  <c r="B90" i="8" l="1"/>
  <c r="B57" i="12"/>
  <c r="C40" i="12"/>
  <c r="D40" i="12" s="1"/>
  <c r="B80" i="8"/>
  <c r="C48" i="12"/>
  <c r="D48" i="12" s="1"/>
  <c r="B50" i="9"/>
  <c r="G31" i="20"/>
  <c r="G31" i="18"/>
  <c r="G31" i="16"/>
  <c r="G31" i="15"/>
  <c r="F30" i="18"/>
  <c r="F30" i="20"/>
  <c r="F30" i="16"/>
  <c r="F30" i="15"/>
  <c r="C46" i="12"/>
  <c r="D46" i="12" s="1"/>
  <c r="B49" i="12"/>
  <c r="B83" i="8" s="1"/>
  <c r="B51" i="12"/>
  <c r="B85" i="8" s="1"/>
  <c r="A75" i="9"/>
  <c r="D55" i="7"/>
  <c r="AA46" i="7"/>
  <c r="AE46" i="7" s="1"/>
  <c r="E54" i="7"/>
  <c r="Z46" i="7" s="1"/>
  <c r="B58" i="12"/>
  <c r="B91" i="8"/>
  <c r="B94" i="8"/>
  <c r="C56" i="12"/>
  <c r="D56" i="12" s="1"/>
  <c r="B61" i="12"/>
  <c r="AB22" i="7"/>
  <c r="AF22" i="7"/>
  <c r="G30" i="7" s="1"/>
  <c r="K29" i="7"/>
  <c r="F29" i="7"/>
  <c r="V24" i="7"/>
  <c r="AC24" i="7" s="1"/>
  <c r="Y39" i="6"/>
  <c r="T40" i="6"/>
  <c r="Z37" i="6"/>
  <c r="Z34" i="6" s="1"/>
  <c r="B52" i="12" l="1"/>
  <c r="B51" i="9"/>
  <c r="G32" i="18"/>
  <c r="G32" i="20"/>
  <c r="G32" i="16"/>
  <c r="G32" i="15"/>
  <c r="F31" i="20"/>
  <c r="F31" i="18"/>
  <c r="F31" i="15"/>
  <c r="F31" i="16"/>
  <c r="A76" i="9"/>
  <c r="AA47" i="7"/>
  <c r="AE47" i="7" s="1"/>
  <c r="D56" i="7"/>
  <c r="E55" i="7"/>
  <c r="Z47" i="7" s="1"/>
  <c r="B62" i="12"/>
  <c r="B95" i="8"/>
  <c r="B53" i="12"/>
  <c r="B86" i="8"/>
  <c r="B59" i="12"/>
  <c r="B93" i="8" s="1"/>
  <c r="B92" i="8"/>
  <c r="V25" i="7"/>
  <c r="AC25" i="7" s="1"/>
  <c r="AF23" i="7"/>
  <c r="G31" i="7" s="1"/>
  <c r="AB23" i="7"/>
  <c r="K30" i="7"/>
  <c r="F30" i="7"/>
  <c r="AA36" i="6"/>
  <c r="AC36" i="6" s="1"/>
  <c r="AA38" i="6"/>
  <c r="AC38" i="6" s="1"/>
  <c r="AA35" i="6"/>
  <c r="AC35" i="6" s="1"/>
  <c r="AA34" i="6"/>
  <c r="AC34" i="6" s="1"/>
  <c r="AA37" i="6"/>
  <c r="AC37" i="6" s="1"/>
  <c r="T41" i="6"/>
  <c r="Y40" i="6"/>
  <c r="F32" i="20" l="1"/>
  <c r="F32" i="18"/>
  <c r="F32" i="16"/>
  <c r="F32" i="15"/>
  <c r="B52" i="9"/>
  <c r="G33" i="20"/>
  <c r="G33" i="18"/>
  <c r="G33" i="16"/>
  <c r="G33" i="15"/>
  <c r="A77" i="9"/>
  <c r="AA48" i="7"/>
  <c r="AE48" i="7" s="1"/>
  <c r="D57" i="7"/>
  <c r="E56" i="7"/>
  <c r="Z48" i="7" s="1"/>
  <c r="C56" i="7"/>
  <c r="B54" i="12"/>
  <c r="B87" i="8"/>
  <c r="B63" i="12"/>
  <c r="B96" i="8"/>
  <c r="K31" i="7"/>
  <c r="F31" i="7"/>
  <c r="V26" i="7"/>
  <c r="AC26" i="7" s="1"/>
  <c r="AF24" i="7"/>
  <c r="G32" i="7" s="1"/>
  <c r="AB24" i="7"/>
  <c r="Y41" i="6"/>
  <c r="T42" i="6"/>
  <c r="AG38" i="6"/>
  <c r="B53" i="9" l="1"/>
  <c r="G34" i="18"/>
  <c r="G34" i="20"/>
  <c r="G34" i="15"/>
  <c r="G34" i="16"/>
  <c r="F33" i="18"/>
  <c r="F33" i="20"/>
  <c r="F33" i="16"/>
  <c r="F33" i="15"/>
  <c r="A78" i="9"/>
  <c r="AA49" i="7"/>
  <c r="AE49" i="7" s="1"/>
  <c r="E57" i="7"/>
  <c r="Z49" i="7" s="1"/>
  <c r="D58" i="7"/>
  <c r="B97" i="8"/>
  <c r="B64" i="12"/>
  <c r="B88" i="8"/>
  <c r="B55" i="12"/>
  <c r="B89" i="8" s="1"/>
  <c r="K32" i="7"/>
  <c r="F32" i="7"/>
  <c r="AB25" i="7"/>
  <c r="AF25" i="7"/>
  <c r="G33" i="7" s="1"/>
  <c r="V27" i="7"/>
  <c r="AC27" i="7" s="1"/>
  <c r="AE36" i="6"/>
  <c r="AD36" i="6" s="1"/>
  <c r="G44" i="6" s="1"/>
  <c r="AE38" i="6"/>
  <c r="AD38" i="6" s="1"/>
  <c r="G46" i="6" s="1"/>
  <c r="G46" i="17" s="1"/>
  <c r="AE35" i="6"/>
  <c r="AD35" i="6" s="1"/>
  <c r="G43" i="6" s="1"/>
  <c r="AE34" i="6"/>
  <c r="AD34" i="6" s="1"/>
  <c r="G42" i="6" s="1"/>
  <c r="AE37" i="6"/>
  <c r="AD37" i="6" s="1"/>
  <c r="G45" i="6" s="1"/>
  <c r="T43" i="6"/>
  <c r="Y43" i="6" s="1"/>
  <c r="Y42" i="6"/>
  <c r="B54" i="9" l="1"/>
  <c r="G35" i="18"/>
  <c r="G35" i="20"/>
  <c r="G35" i="15"/>
  <c r="G35" i="16"/>
  <c r="F34" i="18"/>
  <c r="F34" i="20"/>
  <c r="F34" i="16"/>
  <c r="F34" i="15"/>
  <c r="F66" i="12"/>
  <c r="B76" i="12" s="1"/>
  <c r="B110" i="8" s="1"/>
  <c r="G45" i="17"/>
  <c r="F64" i="12"/>
  <c r="B68" i="12" s="1"/>
  <c r="B102" i="8" s="1"/>
  <c r="G43" i="17"/>
  <c r="F65" i="12"/>
  <c r="B70" i="12" s="1"/>
  <c r="G44" i="17"/>
  <c r="F63" i="12"/>
  <c r="B66" i="12" s="1"/>
  <c r="C60" i="12" s="1"/>
  <c r="D60" i="12" s="1"/>
  <c r="G42" i="17"/>
  <c r="A79" i="9"/>
  <c r="E58" i="7"/>
  <c r="Z50" i="7" s="1"/>
  <c r="D59" i="7"/>
  <c r="AA50" i="7"/>
  <c r="AE50" i="7" s="1"/>
  <c r="B4" i="5"/>
  <c r="B7" i="5" s="1"/>
  <c r="B8" i="5" s="1"/>
  <c r="F67" i="12"/>
  <c r="B80" i="12" s="1"/>
  <c r="B65" i="12"/>
  <c r="B99" i="8" s="1"/>
  <c r="B98" i="8"/>
  <c r="AB26" i="7"/>
  <c r="AF26" i="7"/>
  <c r="G34" i="7" s="1"/>
  <c r="V28" i="7"/>
  <c r="AC28" i="7" s="1"/>
  <c r="K33" i="7"/>
  <c r="F33" i="7"/>
  <c r="Z42" i="6"/>
  <c r="Z39" i="6" s="1"/>
  <c r="F45" i="6"/>
  <c r="F45" i="17" s="1"/>
  <c r="J45" i="6"/>
  <c r="F42" i="6"/>
  <c r="F42" i="17" s="1"/>
  <c r="J42" i="6"/>
  <c r="J43" i="6"/>
  <c r="F43" i="6"/>
  <c r="F43" i="17" s="1"/>
  <c r="J46" i="6"/>
  <c r="F46" i="6"/>
  <c r="F46" i="17" s="1"/>
  <c r="J44" i="6"/>
  <c r="F44" i="6"/>
  <c r="F44" i="17" s="1"/>
  <c r="C70" i="12" l="1"/>
  <c r="D70" i="12" s="1"/>
  <c r="B100" i="8"/>
  <c r="B77" i="12"/>
  <c r="C66" i="12"/>
  <c r="D66" i="12" s="1"/>
  <c r="F35" i="18"/>
  <c r="F35" i="20"/>
  <c r="F35" i="15"/>
  <c r="F35" i="16"/>
  <c r="B69" i="12"/>
  <c r="B103" i="8" s="1"/>
  <c r="B104" i="8"/>
  <c r="B55" i="9"/>
  <c r="G36" i="20"/>
  <c r="G36" i="18"/>
  <c r="G36" i="16"/>
  <c r="G36" i="15"/>
  <c r="C68" i="12"/>
  <c r="D68" i="12" s="1"/>
  <c r="B71" i="12"/>
  <c r="B105" i="8" s="1"/>
  <c r="B67" i="12"/>
  <c r="B101" i="8" s="1"/>
  <c r="A80" i="9"/>
  <c r="E59" i="7"/>
  <c r="Z51" i="7" s="1"/>
  <c r="D60" i="7"/>
  <c r="AA51" i="7"/>
  <c r="AE51" i="7" s="1"/>
  <c r="B11" i="5"/>
  <c r="B14" i="5"/>
  <c r="B114" i="8"/>
  <c r="C76" i="12"/>
  <c r="D76" i="12" s="1"/>
  <c r="B81" i="12"/>
  <c r="C27" i="2"/>
  <c r="D27" i="2" s="1"/>
  <c r="B78" i="12"/>
  <c r="B111" i="8"/>
  <c r="AB27" i="7"/>
  <c r="AF27" i="7"/>
  <c r="G35" i="7" s="1"/>
  <c r="V29" i="7"/>
  <c r="AC29" i="7" s="1"/>
  <c r="K34" i="7"/>
  <c r="F34" i="7"/>
  <c r="AA39" i="6"/>
  <c r="AC39" i="6" s="1"/>
  <c r="AA42" i="6"/>
  <c r="AC42" i="6" s="1"/>
  <c r="AA41" i="6"/>
  <c r="AC41" i="6" s="1"/>
  <c r="AA43" i="6"/>
  <c r="AC43" i="6" s="1"/>
  <c r="AG43" i="6" s="1"/>
  <c r="AA40" i="6"/>
  <c r="AC40" i="6" s="1"/>
  <c r="B72" i="12" l="1"/>
  <c r="B56" i="9"/>
  <c r="G37" i="20"/>
  <c r="G37" i="18"/>
  <c r="G37" i="15"/>
  <c r="G37" i="16"/>
  <c r="F36" i="20"/>
  <c r="F36" i="18"/>
  <c r="F36" i="16"/>
  <c r="F36" i="15"/>
  <c r="A81" i="9"/>
  <c r="AA52" i="7"/>
  <c r="AE52" i="7" s="1"/>
  <c r="E60" i="7"/>
  <c r="Z52" i="7" s="1"/>
  <c r="D61" i="7"/>
  <c r="B82" i="12"/>
  <c r="B115" i="8"/>
  <c r="B73" i="12"/>
  <c r="B106" i="8"/>
  <c r="B79" i="12"/>
  <c r="B113" i="8" s="1"/>
  <c r="B112" i="8"/>
  <c r="F35" i="7"/>
  <c r="K35" i="7"/>
  <c r="R1" i="7"/>
  <c r="M1" i="7" s="1"/>
  <c r="V30" i="7"/>
  <c r="AC30" i="7" s="1"/>
  <c r="AC31" i="7" s="1"/>
  <c r="AC32" i="7" s="1"/>
  <c r="AC33" i="7" s="1"/>
  <c r="AC34" i="7" s="1"/>
  <c r="AF28" i="7"/>
  <c r="G36" i="7" s="1"/>
  <c r="AB28" i="7"/>
  <c r="AE41" i="6"/>
  <c r="AD41" i="6" s="1"/>
  <c r="G49" i="6" s="1"/>
  <c r="AE43" i="6"/>
  <c r="AD43" i="6" s="1"/>
  <c r="G51" i="6" s="1"/>
  <c r="AE40" i="6"/>
  <c r="AD40" i="6" s="1"/>
  <c r="G48" i="6" s="1"/>
  <c r="AE39" i="6"/>
  <c r="AD39" i="6" s="1"/>
  <c r="G47" i="6" s="1"/>
  <c r="AE42" i="6"/>
  <c r="AD42" i="6" s="1"/>
  <c r="G50" i="6" s="1"/>
  <c r="B57" i="9" l="1"/>
  <c r="G38" i="18"/>
  <c r="G38" i="20"/>
  <c r="G38" i="15"/>
  <c r="G38" i="16"/>
  <c r="F37" i="18"/>
  <c r="F37" i="20"/>
  <c r="F37" i="15"/>
  <c r="F37" i="16"/>
  <c r="F71" i="12"/>
  <c r="B96" i="12" s="1"/>
  <c r="B130" i="8" s="1"/>
  <c r="G50" i="17"/>
  <c r="F72" i="12"/>
  <c r="B100" i="12" s="1"/>
  <c r="B134" i="8" s="1"/>
  <c r="G51" i="17"/>
  <c r="F68" i="12"/>
  <c r="B86" i="12" s="1"/>
  <c r="B87" i="12" s="1"/>
  <c r="B121" i="8" s="1"/>
  <c r="G47" i="17"/>
  <c r="F69" i="12"/>
  <c r="B88" i="12" s="1"/>
  <c r="B122" i="8" s="1"/>
  <c r="G48" i="17"/>
  <c r="F70" i="12"/>
  <c r="B90" i="12" s="1"/>
  <c r="G49" i="17"/>
  <c r="A82" i="9"/>
  <c r="E61" i="7"/>
  <c r="Z53" i="7" s="1"/>
  <c r="C61" i="7"/>
  <c r="AA53" i="7"/>
  <c r="AE53" i="7" s="1"/>
  <c r="D62" i="7"/>
  <c r="V31" i="7"/>
  <c r="B74" i="12"/>
  <c r="B107" i="8"/>
  <c r="B91" i="12"/>
  <c r="B124" i="8"/>
  <c r="B116" i="8"/>
  <c r="B83" i="12"/>
  <c r="K36" i="7"/>
  <c r="F36" i="7"/>
  <c r="AB29" i="7"/>
  <c r="AF29" i="7"/>
  <c r="G37" i="7" s="1"/>
  <c r="F50" i="6"/>
  <c r="F50" i="17" s="1"/>
  <c r="J50" i="6"/>
  <c r="J47" i="6"/>
  <c r="F47" i="6"/>
  <c r="F47" i="17" s="1"/>
  <c r="J48" i="6"/>
  <c r="F48" i="6"/>
  <c r="F48" i="17" s="1"/>
  <c r="J51" i="6"/>
  <c r="F51" i="6"/>
  <c r="F51" i="17" s="1"/>
  <c r="J49" i="6"/>
  <c r="F49" i="6"/>
  <c r="F49" i="17" s="1"/>
  <c r="B97" i="12" l="1"/>
  <c r="C96" i="12"/>
  <c r="D96" i="12" s="1"/>
  <c r="B120" i="8"/>
  <c r="C80" i="12"/>
  <c r="D80" i="12" s="1"/>
  <c r="F38" i="18"/>
  <c r="F38" i="20"/>
  <c r="F38" i="16"/>
  <c r="F38" i="15"/>
  <c r="B58" i="9"/>
  <c r="G39" i="18"/>
  <c r="G39" i="20"/>
  <c r="G39" i="15"/>
  <c r="G39" i="16"/>
  <c r="C88" i="12"/>
  <c r="D88" i="12" s="1"/>
  <c r="C90" i="12"/>
  <c r="D90" i="12" s="1"/>
  <c r="C86" i="12"/>
  <c r="D86" i="12" s="1"/>
  <c r="B89" i="12"/>
  <c r="B123" i="8" s="1"/>
  <c r="A83" i="9"/>
  <c r="E62" i="7"/>
  <c r="Z54" i="7" s="1"/>
  <c r="AA54" i="7"/>
  <c r="AE54" i="7" s="1"/>
  <c r="D63" i="7"/>
  <c r="B75" i="12"/>
  <c r="B109" i="8" s="1"/>
  <c r="B108" i="8"/>
  <c r="B84" i="12"/>
  <c r="B117" i="8"/>
  <c r="B98" i="12"/>
  <c r="B131" i="8"/>
  <c r="B92" i="12"/>
  <c r="B125" i="8"/>
  <c r="V32" i="7"/>
  <c r="AB30" i="7"/>
  <c r="AF30" i="7"/>
  <c r="G38" i="7" s="1"/>
  <c r="K37" i="7"/>
  <c r="F37" i="7"/>
  <c r="F39" i="18" l="1"/>
  <c r="F39" i="20"/>
  <c r="F39" i="16"/>
  <c r="F39" i="15"/>
  <c r="B59" i="9"/>
  <c r="G40" i="20"/>
  <c r="G40" i="18"/>
  <c r="G40" i="16"/>
  <c r="G40" i="15"/>
  <c r="A84" i="9"/>
  <c r="D64" i="7"/>
  <c r="E63" i="7"/>
  <c r="Z55" i="7" s="1"/>
  <c r="AA55" i="7"/>
  <c r="AE55" i="7" s="1"/>
  <c r="B85" i="12"/>
  <c r="B119" i="8" s="1"/>
  <c r="B118" i="8"/>
  <c r="B93" i="12"/>
  <c r="B126" i="8"/>
  <c r="V33" i="7"/>
  <c r="B99" i="12"/>
  <c r="B133" i="8" s="1"/>
  <c r="B132" i="8"/>
  <c r="K38" i="7"/>
  <c r="F38" i="7"/>
  <c r="AF31" i="7"/>
  <c r="G39" i="7" s="1"/>
  <c r="AB31" i="7"/>
  <c r="B60" i="9" l="1"/>
  <c r="G41" i="18"/>
  <c r="G41" i="20"/>
  <c r="G41" i="15"/>
  <c r="G41" i="16"/>
  <c r="F40" i="20"/>
  <c r="F40" i="18"/>
  <c r="F40" i="15"/>
  <c r="F40" i="16"/>
  <c r="A85" i="9"/>
  <c r="E64" i="7"/>
  <c r="Z56" i="7" s="1"/>
  <c r="D65" i="7"/>
  <c r="AA56" i="7"/>
  <c r="AE56" i="7" s="1"/>
  <c r="B94" i="12"/>
  <c r="B127" i="8"/>
  <c r="V34" i="7"/>
  <c r="AC35" i="7" s="1"/>
  <c r="AC36" i="7" s="1"/>
  <c r="AC37" i="7" s="1"/>
  <c r="AC38" i="7" s="1"/>
  <c r="AB32" i="7"/>
  <c r="AF32" i="7"/>
  <c r="G40" i="7" s="1"/>
  <c r="F39" i="7"/>
  <c r="K39" i="7"/>
  <c r="F41" i="20" l="1"/>
  <c r="F41" i="18"/>
  <c r="F41" i="15"/>
  <c r="F41" i="16"/>
  <c r="B61" i="9"/>
  <c r="G42" i="18"/>
  <c r="G42" i="20"/>
  <c r="G42" i="15"/>
  <c r="G42" i="16"/>
  <c r="A86" i="9"/>
  <c r="D66" i="7"/>
  <c r="E65" i="7"/>
  <c r="Z57" i="7" s="1"/>
  <c r="AA57" i="7"/>
  <c r="AE57" i="7" s="1"/>
  <c r="V35" i="7"/>
  <c r="B95" i="12"/>
  <c r="B129" i="8" s="1"/>
  <c r="B128" i="8"/>
  <c r="K40" i="7"/>
  <c r="F40" i="7"/>
  <c r="AB33" i="7"/>
  <c r="AF33" i="7"/>
  <c r="G41" i="7" s="1"/>
  <c r="B62" i="9" l="1"/>
  <c r="G43" i="20"/>
  <c r="G43" i="18"/>
  <c r="G43" i="16"/>
  <c r="G43" i="15"/>
  <c r="F42" i="18"/>
  <c r="F42" i="20"/>
  <c r="F42" i="16"/>
  <c r="F42" i="15"/>
  <c r="A87" i="9"/>
  <c r="AA58" i="7"/>
  <c r="AE58" i="7" s="1"/>
  <c r="C66" i="7"/>
  <c r="E66" i="7"/>
  <c r="Z58" i="7" s="1"/>
  <c r="D67" i="7"/>
  <c r="V36" i="7"/>
  <c r="AF34" i="7"/>
  <c r="G42" i="7" s="1"/>
  <c r="AB34" i="7"/>
  <c r="K41" i="7"/>
  <c r="F41" i="7"/>
  <c r="B63" i="9" l="1"/>
  <c r="G44" i="18"/>
  <c r="G44" i="20"/>
  <c r="G44" i="16"/>
  <c r="G44" i="15"/>
  <c r="F43" i="20"/>
  <c r="F43" i="18"/>
  <c r="F43" i="15"/>
  <c r="F43" i="16"/>
  <c r="A88" i="9"/>
  <c r="AA59" i="7"/>
  <c r="AE59" i="7" s="1"/>
  <c r="D68" i="7"/>
  <c r="E67" i="7"/>
  <c r="Z59" i="7" s="1"/>
  <c r="V37" i="7"/>
  <c r="AF35" i="7"/>
  <c r="G43" i="7" s="1"/>
  <c r="AB35" i="7"/>
  <c r="K42" i="7"/>
  <c r="F42" i="7"/>
  <c r="B64" i="9" l="1"/>
  <c r="G45" i="18"/>
  <c r="G45" i="20"/>
  <c r="G45" i="16"/>
  <c r="G45" i="15"/>
  <c r="F44" i="20"/>
  <c r="F44" i="18"/>
  <c r="F44" i="15"/>
  <c r="F44" i="16"/>
  <c r="A89" i="9"/>
  <c r="D69" i="7"/>
  <c r="AA60" i="7"/>
  <c r="AE60" i="7" s="1"/>
  <c r="E68" i="7"/>
  <c r="Z60" i="7" s="1"/>
  <c r="V38" i="7"/>
  <c r="AC39" i="7" s="1"/>
  <c r="AC40" i="7" s="1"/>
  <c r="F43" i="7"/>
  <c r="K43" i="7"/>
  <c r="AB36" i="7"/>
  <c r="AF36" i="7"/>
  <c r="G44" i="7" s="1"/>
  <c r="F45" i="18" l="1"/>
  <c r="F45" i="20"/>
  <c r="F45" i="15"/>
  <c r="F45" i="16"/>
  <c r="B65" i="9"/>
  <c r="G46" i="18"/>
  <c r="G46" i="20"/>
  <c r="G46" i="16"/>
  <c r="G46" i="15"/>
  <c r="A90" i="9"/>
  <c r="D70" i="7"/>
  <c r="AA61" i="7"/>
  <c r="AE61" i="7" s="1"/>
  <c r="E69" i="7"/>
  <c r="Z61" i="7" s="1"/>
  <c r="V39" i="7"/>
  <c r="K44" i="7"/>
  <c r="F44" i="7"/>
  <c r="AB37" i="7"/>
  <c r="AF37" i="7"/>
  <c r="G45" i="7" s="1"/>
  <c r="F46" i="20" l="1"/>
  <c r="F46" i="18"/>
  <c r="F46" i="16"/>
  <c r="F46" i="15"/>
  <c r="B66" i="9"/>
  <c r="G47" i="18"/>
  <c r="G47" i="20"/>
  <c r="G47" i="16"/>
  <c r="G47" i="15"/>
  <c r="A91" i="9"/>
  <c r="D71" i="7"/>
  <c r="AA62" i="7"/>
  <c r="AE62" i="7" s="1"/>
  <c r="E70" i="7"/>
  <c r="Z62" i="7" s="1"/>
  <c r="V40" i="7"/>
  <c r="K45" i="7"/>
  <c r="F45" i="7"/>
  <c r="AF38" i="7"/>
  <c r="G46" i="7" s="1"/>
  <c r="AB38" i="7"/>
  <c r="F47" i="20" l="1"/>
  <c r="F47" i="18"/>
  <c r="F47" i="15"/>
  <c r="F47" i="16"/>
  <c r="B67" i="9"/>
  <c r="G48" i="18"/>
  <c r="G48" i="20"/>
  <c r="G48" i="16"/>
  <c r="G48" i="15"/>
  <c r="V41" i="7"/>
  <c r="V42" i="7" s="1"/>
  <c r="V43" i="7" s="1"/>
  <c r="V44" i="7" s="1"/>
  <c r="V45" i="7" s="1"/>
  <c r="V46" i="7" s="1"/>
  <c r="V47" i="7" s="1"/>
  <c r="V48" i="7" s="1"/>
  <c r="V49" i="7" s="1"/>
  <c r="V50" i="7" s="1"/>
  <c r="V51" i="7" s="1"/>
  <c r="V52" i="7" s="1"/>
  <c r="V53" i="7" s="1"/>
  <c r="V54" i="7" s="1"/>
  <c r="V55" i="7" s="1"/>
  <c r="V56" i="7" s="1"/>
  <c r="V57" i="7" s="1"/>
  <c r="V58" i="7" s="1"/>
  <c r="V59" i="7" s="1"/>
  <c r="V60" i="7" s="1"/>
  <c r="V61" i="7" s="1"/>
  <c r="V62" i="7" s="1"/>
  <c r="V63" i="7" s="1"/>
  <c r="V64" i="7" s="1"/>
  <c r="V65" i="7" s="1"/>
  <c r="V66" i="7" s="1"/>
  <c r="V67" i="7" s="1"/>
  <c r="V68" i="7" s="1"/>
  <c r="V69" i="7" s="1"/>
  <c r="AC41" i="7"/>
  <c r="AC42" i="7" s="1"/>
  <c r="AC43" i="7" s="1"/>
  <c r="AC44" i="7" s="1"/>
  <c r="AC45" i="7" s="1"/>
  <c r="AC46" i="7" s="1"/>
  <c r="A92" i="9"/>
  <c r="C71" i="7"/>
  <c r="AA63" i="7"/>
  <c r="AE63" i="7" s="1"/>
  <c r="D72" i="7"/>
  <c r="E71" i="7"/>
  <c r="Z63" i="7" s="1"/>
  <c r="K46" i="7"/>
  <c r="F46" i="7"/>
  <c r="AF39" i="7"/>
  <c r="G47" i="7" s="1"/>
  <c r="AB39" i="7"/>
  <c r="B68" i="9" l="1"/>
  <c r="G49" i="20"/>
  <c r="G49" i="18"/>
  <c r="G49" i="16"/>
  <c r="G49" i="15"/>
  <c r="F48" i="18"/>
  <c r="F48" i="20"/>
  <c r="F48" i="16"/>
  <c r="F48" i="15"/>
  <c r="A93" i="9"/>
  <c r="E72" i="7"/>
  <c r="Z64" i="7" s="1"/>
  <c r="AA64" i="7"/>
  <c r="AE64" i="7" s="1"/>
  <c r="D73" i="7"/>
  <c r="AB40" i="7"/>
  <c r="AF40" i="7"/>
  <c r="G48" i="7" s="1"/>
  <c r="K47" i="7"/>
  <c r="F47" i="7"/>
  <c r="G50" i="20" l="1"/>
  <c r="G50" i="18"/>
  <c r="G50" i="15"/>
  <c r="G50" i="16"/>
  <c r="F49" i="20"/>
  <c r="F49" i="18"/>
  <c r="F49" i="16"/>
  <c r="F49" i="15"/>
  <c r="A94" i="9"/>
  <c r="AA65" i="7"/>
  <c r="AE65" i="7" s="1"/>
  <c r="E73" i="7"/>
  <c r="Z65" i="7" s="1"/>
  <c r="D74" i="7"/>
  <c r="F48" i="7"/>
  <c r="B69" i="9"/>
  <c r="AB41" i="7"/>
  <c r="AF41" i="7"/>
  <c r="G49" i="7" s="1"/>
  <c r="G51" i="18" l="1"/>
  <c r="G51" i="20"/>
  <c r="G51" i="15"/>
  <c r="G51" i="16"/>
  <c r="F50" i="20"/>
  <c r="F50" i="18"/>
  <c r="F50" i="16"/>
  <c r="F50" i="15"/>
  <c r="A95" i="9"/>
  <c r="E74" i="7"/>
  <c r="Z66" i="7" s="1"/>
  <c r="D75" i="7"/>
  <c r="AA66" i="7"/>
  <c r="AE66" i="7" s="1"/>
  <c r="F49" i="7"/>
  <c r="B70" i="9"/>
  <c r="AF42" i="7"/>
  <c r="G50" i="7" s="1"/>
  <c r="AB42" i="7"/>
  <c r="G52" i="20" l="1"/>
  <c r="G52" i="18"/>
  <c r="G52" i="15"/>
  <c r="G52" i="16"/>
  <c r="F51" i="20"/>
  <c r="F51" i="18"/>
  <c r="F51" i="15"/>
  <c r="F51" i="16"/>
  <c r="A96" i="9"/>
  <c r="AA67" i="7"/>
  <c r="AE67" i="7" s="1"/>
  <c r="D76" i="7"/>
  <c r="E75" i="7"/>
  <c r="Z67" i="7" s="1"/>
  <c r="F50" i="7"/>
  <c r="B71" i="9"/>
  <c r="AF43" i="7"/>
  <c r="G51" i="7" s="1"/>
  <c r="AB43" i="7"/>
  <c r="G53" i="20" l="1"/>
  <c r="G53" i="18"/>
  <c r="G53" i="16"/>
  <c r="G53" i="15"/>
  <c r="F52" i="20"/>
  <c r="F52" i="18"/>
  <c r="F52" i="16"/>
  <c r="F52" i="15"/>
  <c r="A97" i="9"/>
  <c r="D77" i="7"/>
  <c r="E76" i="7"/>
  <c r="Z68" i="7" s="1"/>
  <c r="AA68" i="7"/>
  <c r="AE68" i="7" s="1"/>
  <c r="F51" i="7"/>
  <c r="B72" i="9"/>
  <c r="AB44" i="7"/>
  <c r="AF44" i="7"/>
  <c r="G52" i="7" s="1"/>
  <c r="G54" i="18" l="1"/>
  <c r="G54" i="20"/>
  <c r="G54" i="15"/>
  <c r="G54" i="16"/>
  <c r="F53" i="18"/>
  <c r="F53" i="20"/>
  <c r="F53" i="15"/>
  <c r="F53" i="16"/>
  <c r="A32" i="10"/>
  <c r="A98" i="9"/>
  <c r="C77" i="7"/>
  <c r="C5" i="16" s="1"/>
  <c r="C4" i="13" s="1"/>
  <c r="AA69" i="7"/>
  <c r="AE69" i="7" s="1"/>
  <c r="E77" i="7"/>
  <c r="Z69" i="7" s="1"/>
  <c r="F52" i="7"/>
  <c r="B73" i="9"/>
  <c r="AB45" i="7"/>
  <c r="AF45" i="7"/>
  <c r="G53" i="7" s="1"/>
  <c r="C23" i="13" l="1"/>
  <c r="C34" i="13"/>
  <c r="C15" i="13"/>
  <c r="C31" i="13"/>
  <c r="C21" i="13"/>
  <c r="C26" i="13"/>
  <c r="C16" i="13"/>
  <c r="C22" i="13"/>
  <c r="C29" i="13"/>
  <c r="C35" i="13"/>
  <c r="C17" i="13"/>
  <c r="C33" i="13"/>
  <c r="C24" i="13"/>
  <c r="C25" i="13"/>
  <c r="C30" i="13"/>
  <c r="C12" i="13"/>
  <c r="C28" i="13"/>
  <c r="C27" i="13"/>
  <c r="C18" i="13"/>
  <c r="C13" i="13"/>
  <c r="C32" i="13"/>
  <c r="C19" i="13"/>
  <c r="C14" i="13"/>
  <c r="C20" i="13"/>
  <c r="F54" i="18"/>
  <c r="F54" i="20"/>
  <c r="F54" i="16"/>
  <c r="F54" i="15"/>
  <c r="G55" i="20"/>
  <c r="G55" i="18"/>
  <c r="G55" i="15"/>
  <c r="G55" i="16"/>
  <c r="A56" i="10"/>
  <c r="A40" i="10"/>
  <c r="A39" i="10"/>
  <c r="A34" i="10"/>
  <c r="A33" i="10"/>
  <c r="A52" i="10"/>
  <c r="A51" i="10"/>
  <c r="A46" i="10"/>
  <c r="A45" i="10"/>
  <c r="A35" i="10"/>
  <c r="A41" i="10"/>
  <c r="A53" i="10"/>
  <c r="A47" i="10"/>
  <c r="A36" i="10"/>
  <c r="A42" i="10"/>
  <c r="A48" i="10"/>
  <c r="A54" i="10"/>
  <c r="A37" i="10"/>
  <c r="A50" i="10"/>
  <c r="A43" i="10"/>
  <c r="A49" i="10"/>
  <c r="A55" i="10"/>
  <c r="A38" i="10"/>
  <c r="A44" i="10"/>
  <c r="F53" i="7"/>
  <c r="B74" i="9"/>
  <c r="AC47" i="7"/>
  <c r="AF46" i="7"/>
  <c r="G54" i="7" s="1"/>
  <c r="AB46" i="7"/>
  <c r="G56" i="16" l="1"/>
  <c r="G56" i="15"/>
  <c r="F55" i="18"/>
  <c r="F55" i="20"/>
  <c r="F55" i="16"/>
  <c r="F55" i="15"/>
  <c r="F54" i="7"/>
  <c r="B75" i="9"/>
  <c r="AB47" i="7"/>
  <c r="AC48" i="7"/>
  <c r="AF47" i="7"/>
  <c r="G55" i="7" s="1"/>
  <c r="G57" i="16" l="1"/>
  <c r="G57" i="15"/>
  <c r="F56" i="15"/>
  <c r="F56" i="16"/>
  <c r="F55" i="7"/>
  <c r="B76" i="9"/>
  <c r="AB48" i="7"/>
  <c r="AC49" i="7"/>
  <c r="AF48" i="7"/>
  <c r="G56" i="7" s="1"/>
  <c r="F57" i="15" l="1"/>
  <c r="F57" i="16"/>
  <c r="G58" i="15"/>
  <c r="G58" i="16"/>
  <c r="F56" i="7"/>
  <c r="B77" i="9"/>
  <c r="AF49" i="7"/>
  <c r="G57" i="7" s="1"/>
  <c r="AB49" i="7"/>
  <c r="AC50" i="7"/>
  <c r="F58" i="15" l="1"/>
  <c r="F58" i="16"/>
  <c r="G59" i="16"/>
  <c r="G59" i="15"/>
  <c r="F57" i="7"/>
  <c r="B78" i="9"/>
  <c r="AC51" i="7"/>
  <c r="AF50" i="7"/>
  <c r="G58" i="7" s="1"/>
  <c r="AB50" i="7"/>
  <c r="G60" i="16" l="1"/>
  <c r="G60" i="15"/>
  <c r="F59" i="15"/>
  <c r="F59" i="16"/>
  <c r="F58" i="7"/>
  <c r="B79" i="9"/>
  <c r="AC52" i="7"/>
  <c r="AF51" i="7"/>
  <c r="G59" i="7" s="1"/>
  <c r="AB51" i="7"/>
  <c r="G61" i="16" l="1"/>
  <c r="G61" i="15"/>
  <c r="F60" i="15"/>
  <c r="F60" i="16"/>
  <c r="F59" i="7"/>
  <c r="B80" i="9"/>
  <c r="AC53" i="7"/>
  <c r="AF52" i="7"/>
  <c r="G60" i="7" s="1"/>
  <c r="AB52" i="7"/>
  <c r="G62" i="16" l="1"/>
  <c r="G62" i="15"/>
  <c r="F61" i="16"/>
  <c r="F61" i="15"/>
  <c r="F60" i="7"/>
  <c r="B81" i="9"/>
  <c r="AB53" i="7"/>
  <c r="AF53" i="7"/>
  <c r="G61" i="7" s="1"/>
  <c r="AC54" i="7"/>
  <c r="G63" i="16" l="1"/>
  <c r="G63" i="15"/>
  <c r="F62" i="16"/>
  <c r="F62" i="15"/>
  <c r="F61" i="7"/>
  <c r="B82" i="9"/>
  <c r="AB54" i="7"/>
  <c r="AF54" i="7"/>
  <c r="G62" i="7" s="1"/>
  <c r="AC55" i="7"/>
  <c r="G64" i="16" l="1"/>
  <c r="G64" i="15"/>
  <c r="F63" i="16"/>
  <c r="F63" i="15"/>
  <c r="F62" i="7"/>
  <c r="B83" i="9"/>
  <c r="AF55" i="7"/>
  <c r="G63" i="7" s="1"/>
  <c r="AB55" i="7"/>
  <c r="AC56" i="7"/>
  <c r="B84" i="9" l="1"/>
  <c r="G65" i="16"/>
  <c r="G65" i="15"/>
  <c r="F63" i="7"/>
  <c r="F64" i="15"/>
  <c r="F64" i="16"/>
  <c r="AC57" i="7"/>
  <c r="AF56" i="7"/>
  <c r="G64" i="7" s="1"/>
  <c r="AB56" i="7"/>
  <c r="B85" i="9" l="1"/>
  <c r="G66" i="15"/>
  <c r="G66" i="16"/>
  <c r="F64" i="7"/>
  <c r="F65" i="16"/>
  <c r="F65" i="15"/>
  <c r="AC58" i="7"/>
  <c r="AF57" i="7"/>
  <c r="G65" i="7" s="1"/>
  <c r="AB57" i="7"/>
  <c r="B86" i="9" l="1"/>
  <c r="G67" i="15"/>
  <c r="G67" i="16"/>
  <c r="F65" i="7"/>
  <c r="F66" i="15"/>
  <c r="F66" i="16"/>
  <c r="AB58" i="7"/>
  <c r="AF58" i="7"/>
  <c r="G66" i="7" s="1"/>
  <c r="AC59" i="7"/>
  <c r="B87" i="9" l="1"/>
  <c r="G68" i="16"/>
  <c r="G68" i="15"/>
  <c r="F66" i="7"/>
  <c r="F67" i="15"/>
  <c r="F67" i="16"/>
  <c r="AB59" i="7"/>
  <c r="AF59" i="7"/>
  <c r="G67" i="7" s="1"/>
  <c r="AC60" i="7"/>
  <c r="B88" i="9" l="1"/>
  <c r="G69" i="15"/>
  <c r="G69" i="16"/>
  <c r="F67" i="7"/>
  <c r="F68" i="16"/>
  <c r="F68" i="15"/>
  <c r="AC61" i="7"/>
  <c r="AF60" i="7"/>
  <c r="G68" i="7" s="1"/>
  <c r="AB60" i="7"/>
  <c r="F68" i="7" l="1"/>
  <c r="F69" i="16"/>
  <c r="F69" i="15"/>
  <c r="B89" i="9"/>
  <c r="G70" i="16"/>
  <c r="G70" i="15"/>
  <c r="AC62" i="7"/>
  <c r="AF61" i="7"/>
  <c r="G69" i="7" s="1"/>
  <c r="AB61" i="7"/>
  <c r="B90" i="9" l="1"/>
  <c r="G71" i="15"/>
  <c r="G71" i="16"/>
  <c r="F69" i="7"/>
  <c r="F70" i="16"/>
  <c r="F70" i="15"/>
  <c r="AC63" i="7"/>
  <c r="AF62" i="7"/>
  <c r="G70" i="7" s="1"/>
  <c r="AB62" i="7"/>
  <c r="B91" i="9" l="1"/>
  <c r="G72" i="15"/>
  <c r="G72" i="16"/>
  <c r="F70" i="7"/>
  <c r="F71" i="16"/>
  <c r="F71" i="15"/>
  <c r="AC64" i="7"/>
  <c r="AF63" i="7"/>
  <c r="G71" i="7" s="1"/>
  <c r="AB63" i="7"/>
  <c r="F71" i="7" l="1"/>
  <c r="F72" i="15"/>
  <c r="F72" i="16"/>
  <c r="B92" i="9"/>
  <c r="G73" i="15"/>
  <c r="G73" i="16"/>
  <c r="AC65" i="7"/>
  <c r="AF64" i="7"/>
  <c r="G72" i="7" s="1"/>
  <c r="AB64" i="7"/>
  <c r="B93" i="9" l="1"/>
  <c r="G74" i="16"/>
  <c r="G74" i="15"/>
  <c r="F72" i="7"/>
  <c r="F73" i="15"/>
  <c r="F73" i="16"/>
  <c r="AF65" i="7"/>
  <c r="G73" i="7" s="1"/>
  <c r="AB65" i="7"/>
  <c r="AC66" i="7"/>
  <c r="B94" i="9" l="1"/>
  <c r="G75" i="15"/>
  <c r="G75" i="16"/>
  <c r="F73" i="7"/>
  <c r="F74" i="15"/>
  <c r="F74" i="16"/>
  <c r="AB66" i="7"/>
  <c r="AC67" i="7"/>
  <c r="AF66" i="7"/>
  <c r="G74" i="7" s="1"/>
  <c r="F74" i="7" l="1"/>
  <c r="F75" i="16"/>
  <c r="F75" i="15"/>
  <c r="B95" i="9"/>
  <c r="G76" i="16"/>
  <c r="G76" i="15"/>
  <c r="AC68" i="7"/>
  <c r="AF67" i="7"/>
  <c r="G75" i="7" s="1"/>
  <c r="AB67" i="7"/>
  <c r="B96" i="9" l="1"/>
  <c r="G77" i="15"/>
  <c r="G77" i="16"/>
  <c r="F75" i="7"/>
  <c r="F76" i="16"/>
  <c r="F76" i="15"/>
  <c r="AC69" i="7"/>
  <c r="AF68" i="7"/>
  <c r="G76" i="7" s="1"/>
  <c r="AB68" i="7"/>
  <c r="B97" i="9" l="1"/>
  <c r="G78" i="16"/>
  <c r="G78" i="15"/>
  <c r="F76" i="7"/>
  <c r="F77" i="15"/>
  <c r="F77" i="16"/>
  <c r="AB69" i="7"/>
  <c r="AD3" i="7" s="1"/>
  <c r="AF69" i="7"/>
  <c r="AD4" i="7"/>
  <c r="F77" i="7" l="1"/>
  <c r="F78" i="15"/>
  <c r="F78" i="16"/>
  <c r="G77" i="7"/>
  <c r="AD5" i="7"/>
  <c r="D110" i="7" l="1"/>
  <c r="D111" i="7" s="1"/>
  <c r="D112" i="7" s="1"/>
  <c r="G79" i="16"/>
  <c r="G79" i="15"/>
  <c r="G8" i="7"/>
  <c r="F79" i="15"/>
  <c r="F79" i="16"/>
  <c r="B98" i="9"/>
  <c r="B32" i="10"/>
  <c r="K9" i="7" l="1"/>
  <c r="K10" i="7" s="1"/>
  <c r="L10" i="7" s="1"/>
  <c r="H9" i="20"/>
  <c r="H9" i="18"/>
  <c r="H9" i="19"/>
  <c r="H9" i="15"/>
  <c r="H9" i="16"/>
  <c r="H9" i="13"/>
  <c r="P2" i="7"/>
  <c r="H111" i="7"/>
  <c r="D113" i="7"/>
  <c r="H112" i="7"/>
  <c r="H113" i="7" l="1"/>
  <c r="D114" i="7"/>
  <c r="J112" i="7"/>
  <c r="D115" i="7" l="1"/>
  <c r="H114" i="7"/>
  <c r="J113" i="7"/>
  <c r="G78" i="7" l="1"/>
  <c r="J114" i="7"/>
  <c r="H115" i="7"/>
  <c r="D116" i="7"/>
  <c r="G12" i="19" l="1"/>
  <c r="G12" i="13"/>
  <c r="G58" i="20"/>
  <c r="G80" i="15"/>
  <c r="F78" i="7"/>
  <c r="B33" i="10"/>
  <c r="H116" i="7"/>
  <c r="J116" i="7" s="1"/>
  <c r="D117" i="7"/>
  <c r="G79" i="7"/>
  <c r="J115" i="7"/>
  <c r="G13" i="13" l="1"/>
  <c r="G13" i="19"/>
  <c r="F12" i="13"/>
  <c r="F12" i="19"/>
  <c r="G59" i="20"/>
  <c r="G81" i="15"/>
  <c r="F58" i="20"/>
  <c r="F80" i="15"/>
  <c r="F79" i="7"/>
  <c r="B34" i="10"/>
  <c r="D118" i="7"/>
  <c r="H117" i="7"/>
  <c r="J117" i="7" s="1"/>
  <c r="G80" i="7"/>
  <c r="G14" i="19" l="1"/>
  <c r="G14" i="13"/>
  <c r="F13" i="13"/>
  <c r="F13" i="19"/>
  <c r="G60" i="20"/>
  <c r="G82" i="15"/>
  <c r="F59" i="20"/>
  <c r="F81" i="15"/>
  <c r="F80" i="7"/>
  <c r="B35" i="10"/>
  <c r="G81" i="7"/>
  <c r="D119" i="7"/>
  <c r="H118" i="7"/>
  <c r="G15" i="13" l="1"/>
  <c r="G15" i="19"/>
  <c r="F14" i="13"/>
  <c r="F14" i="19"/>
  <c r="G61" i="20"/>
  <c r="G83" i="15"/>
  <c r="F60" i="20"/>
  <c r="F82" i="15"/>
  <c r="F81" i="7"/>
  <c r="B36" i="10"/>
  <c r="D120" i="7"/>
  <c r="H119" i="7"/>
  <c r="J119" i="7" s="1"/>
  <c r="G82" i="7"/>
  <c r="J118" i="7"/>
  <c r="G16" i="13" l="1"/>
  <c r="G16" i="19"/>
  <c r="F15" i="19"/>
  <c r="F15" i="13"/>
  <c r="F61" i="20"/>
  <c r="F83" i="15"/>
  <c r="G62" i="20"/>
  <c r="G84" i="15"/>
  <c r="F82" i="7"/>
  <c r="B37" i="10"/>
  <c r="D121" i="7"/>
  <c r="H120" i="7"/>
  <c r="F16" i="19" l="1"/>
  <c r="F16" i="13"/>
  <c r="F62" i="20"/>
  <c r="F84" i="15"/>
  <c r="D122" i="7"/>
  <c r="H121" i="7"/>
  <c r="J120" i="7"/>
  <c r="G83" i="7" l="1"/>
  <c r="D123" i="7"/>
  <c r="H122" i="7"/>
  <c r="J121" i="7"/>
  <c r="G17" i="19" l="1"/>
  <c r="G17" i="13"/>
  <c r="G63" i="20"/>
  <c r="G85" i="15"/>
  <c r="F83" i="7"/>
  <c r="B38" i="10"/>
  <c r="D124" i="7"/>
  <c r="H123" i="7"/>
  <c r="J122" i="7"/>
  <c r="F17" i="19" l="1"/>
  <c r="F17" i="13"/>
  <c r="F63" i="20"/>
  <c r="F85" i="15"/>
  <c r="D125" i="7"/>
  <c r="H124" i="7"/>
  <c r="J123" i="7"/>
  <c r="G84" i="7" l="1"/>
  <c r="D126" i="7"/>
  <c r="H125" i="7"/>
  <c r="J124" i="7"/>
  <c r="G18" i="13" l="1"/>
  <c r="G18" i="19"/>
  <c r="G64" i="20"/>
  <c r="G86" i="15"/>
  <c r="F84" i="7"/>
  <c r="B39" i="10"/>
  <c r="H126" i="7"/>
  <c r="D127" i="7"/>
  <c r="J125" i="7"/>
  <c r="F18" i="19" l="1"/>
  <c r="F18" i="13"/>
  <c r="F64" i="20"/>
  <c r="F86" i="15"/>
  <c r="D128" i="7"/>
  <c r="H128" i="7" s="1"/>
  <c r="H127" i="7"/>
  <c r="J127" i="7" s="1"/>
  <c r="G85" i="7"/>
  <c r="J126" i="7"/>
  <c r="G19" i="19" l="1"/>
  <c r="G19" i="13"/>
  <c r="G65" i="20"/>
  <c r="G87" i="15"/>
  <c r="F85" i="7"/>
  <c r="B40" i="10"/>
  <c r="G86" i="7"/>
  <c r="D129" i="7"/>
  <c r="F19" i="13" l="1"/>
  <c r="F19" i="19"/>
  <c r="G20" i="13"/>
  <c r="G20" i="19"/>
  <c r="G66" i="20"/>
  <c r="G88" i="15"/>
  <c r="F65" i="20"/>
  <c r="F87" i="15"/>
  <c r="F86" i="7"/>
  <c r="B41" i="10"/>
  <c r="D130" i="7"/>
  <c r="H129" i="7"/>
  <c r="J129" i="7" s="1"/>
  <c r="G87" i="7"/>
  <c r="J128" i="7"/>
  <c r="F20" i="13" l="1"/>
  <c r="F20" i="19"/>
  <c r="G21" i="13"/>
  <c r="G21" i="19"/>
  <c r="G67" i="20"/>
  <c r="G89" i="15"/>
  <c r="F66" i="20"/>
  <c r="F88" i="15"/>
  <c r="F87" i="7"/>
  <c r="B42" i="10"/>
  <c r="G88" i="7"/>
  <c r="D131" i="7"/>
  <c r="H130" i="7"/>
  <c r="G22" i="13" l="1"/>
  <c r="G22" i="19"/>
  <c r="F21" i="13"/>
  <c r="F21" i="19"/>
  <c r="G68" i="20"/>
  <c r="G90" i="15"/>
  <c r="F67" i="20"/>
  <c r="F89" i="15"/>
  <c r="F88" i="7"/>
  <c r="B43" i="10"/>
  <c r="G89" i="7"/>
  <c r="H131" i="7"/>
  <c r="D132" i="7"/>
  <c r="J130" i="7"/>
  <c r="G23" i="19" l="1"/>
  <c r="G23" i="13"/>
  <c r="F22" i="13"/>
  <c r="F22" i="19"/>
  <c r="G69" i="20"/>
  <c r="G91" i="15"/>
  <c r="F68" i="20"/>
  <c r="F90" i="15"/>
  <c r="F89" i="7"/>
  <c r="B44" i="10"/>
  <c r="D133" i="7"/>
  <c r="H132" i="7"/>
  <c r="J132" i="7" s="1"/>
  <c r="G90" i="7"/>
  <c r="J131" i="7"/>
  <c r="G24" i="19" l="1"/>
  <c r="G24" i="13"/>
  <c r="F23" i="13"/>
  <c r="F23" i="19"/>
  <c r="G70" i="20"/>
  <c r="G92" i="15"/>
  <c r="F69" i="20"/>
  <c r="F91" i="15"/>
  <c r="F90" i="7"/>
  <c r="B45" i="10"/>
  <c r="G91" i="7"/>
  <c r="D134" i="7"/>
  <c r="H133" i="7"/>
  <c r="G25" i="13" l="1"/>
  <c r="G25" i="19"/>
  <c r="F24" i="13"/>
  <c r="F24" i="19"/>
  <c r="F70" i="20"/>
  <c r="F92" i="15"/>
  <c r="G71" i="20"/>
  <c r="G93" i="15"/>
  <c r="F91" i="7"/>
  <c r="B46" i="10"/>
  <c r="D135" i="7"/>
  <c r="H134" i="7"/>
  <c r="J134" i="7" s="1"/>
  <c r="G92" i="7"/>
  <c r="J133" i="7"/>
  <c r="G26" i="13" l="1"/>
  <c r="G26" i="19"/>
  <c r="F25" i="19"/>
  <c r="F25" i="13"/>
  <c r="G72" i="20"/>
  <c r="G94" i="15"/>
  <c r="F71" i="20"/>
  <c r="F93" i="15"/>
  <c r="F92" i="7"/>
  <c r="B47" i="10"/>
  <c r="G93" i="7"/>
  <c r="D136" i="7"/>
  <c r="H135" i="7"/>
  <c r="G27" i="19" l="1"/>
  <c r="G27" i="13"/>
  <c r="F26" i="13"/>
  <c r="F26" i="19"/>
  <c r="G73" i="20"/>
  <c r="G95" i="15"/>
  <c r="F72" i="20"/>
  <c r="F94" i="15"/>
  <c r="F93" i="7"/>
  <c r="B48" i="10"/>
  <c r="D137" i="7"/>
  <c r="H136" i="7"/>
  <c r="J136" i="7" s="1"/>
  <c r="G94" i="7"/>
  <c r="J135" i="7"/>
  <c r="G28" i="13" l="1"/>
  <c r="G28" i="19"/>
  <c r="F27" i="13"/>
  <c r="F27" i="19"/>
  <c r="G74" i="20"/>
  <c r="G96" i="15"/>
  <c r="F73" i="20"/>
  <c r="F95" i="15"/>
  <c r="F94" i="7"/>
  <c r="B49" i="10"/>
  <c r="G95" i="7"/>
  <c r="D138" i="7"/>
  <c r="H137" i="7"/>
  <c r="G29" i="19" l="1"/>
  <c r="G29" i="13"/>
  <c r="F28" i="13"/>
  <c r="F28" i="19"/>
  <c r="G75" i="20"/>
  <c r="G97" i="15"/>
  <c r="F74" i="20"/>
  <c r="F96" i="15"/>
  <c r="F95" i="7"/>
  <c r="B50" i="10"/>
  <c r="D139" i="7"/>
  <c r="H138" i="7"/>
  <c r="J138" i="7" s="1"/>
  <c r="G96" i="7"/>
  <c r="J137" i="7"/>
  <c r="G30" i="19" l="1"/>
  <c r="G30" i="13"/>
  <c r="F29" i="13"/>
  <c r="F29" i="19"/>
  <c r="G76" i="20"/>
  <c r="G98" i="15"/>
  <c r="F75" i="20"/>
  <c r="F97" i="15"/>
  <c r="F96" i="7"/>
  <c r="B51" i="10"/>
  <c r="G97" i="7"/>
  <c r="D140" i="7"/>
  <c r="H139" i="7"/>
  <c r="G31" i="19" l="1"/>
  <c r="G31" i="13"/>
  <c r="F30" i="13"/>
  <c r="F30" i="19"/>
  <c r="G77" i="20"/>
  <c r="G99" i="15"/>
  <c r="F76" i="20"/>
  <c r="F98" i="15"/>
  <c r="F97" i="7"/>
  <c r="B52" i="10"/>
  <c r="D141" i="7"/>
  <c r="H140" i="7"/>
  <c r="J140" i="7" s="1"/>
  <c r="J139" i="7"/>
  <c r="F31" i="19" l="1"/>
  <c r="F31" i="13"/>
  <c r="F77" i="20"/>
  <c r="F99" i="15"/>
  <c r="G98" i="7"/>
  <c r="H141" i="7"/>
  <c r="D142" i="7"/>
  <c r="G100" i="15" l="1"/>
  <c r="G32" i="13"/>
  <c r="F98" i="7"/>
  <c r="B53" i="10"/>
  <c r="D143" i="7"/>
  <c r="H142" i="7"/>
  <c r="J141" i="7"/>
  <c r="F100" i="15" l="1"/>
  <c r="F32" i="13"/>
  <c r="G99" i="7"/>
  <c r="D144" i="7"/>
  <c r="H143" i="7"/>
  <c r="J142" i="7"/>
  <c r="G101" i="15" l="1"/>
  <c r="G33" i="13"/>
  <c r="F99" i="7"/>
  <c r="B54" i="10"/>
  <c r="D145" i="7"/>
  <c r="H144" i="7"/>
  <c r="J144" i="7" s="1"/>
  <c r="J143" i="7"/>
  <c r="F101" i="15" l="1"/>
  <c r="F33" i="13"/>
  <c r="G100" i="7"/>
  <c r="D146" i="7"/>
  <c r="H146" i="7" s="1"/>
  <c r="G101" i="7" s="1"/>
  <c r="H145" i="7"/>
  <c r="G103" i="15" l="1"/>
  <c r="G35" i="13"/>
  <c r="G102" i="15"/>
  <c r="G34" i="13"/>
  <c r="F101" i="7"/>
  <c r="F35" i="13" s="1"/>
  <c r="B56" i="10"/>
  <c r="F100" i="7"/>
  <c r="B55" i="10"/>
  <c r="J146" i="7"/>
  <c r="J145" i="7"/>
  <c r="F102" i="15" l="1"/>
  <c r="F34" i="13"/>
  <c r="C10" i="4"/>
  <c r="C11" i="4" s="1"/>
  <c r="F103" i="1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2" authorId="0" shapeId="0" xr:uid="{D8604D70-4738-424D-B844-AFA8A7A77BA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- 양수량</t>
        </r>
      </text>
    </comment>
    <comment ref="F2" authorId="0" shapeId="0" xr:uid="{682BF628-A0DE-4636-9CB6-71DF3A0A07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비수위 강하량
= Sw / Q
</t>
        </r>
      </text>
    </comment>
    <comment ref="G2" authorId="0" shapeId="0" xr:uid="{A1A16281-8742-4207-831A-62652B246D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비양수량
= Q / Sw
</t>
        </r>
      </text>
    </comment>
    <comment ref="D3" authorId="0" shapeId="0" xr:uid="{D4E32826-0955-4B7B-B305-FA7071141F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EBA9B5BA-FCFB-4D20-89BE-43D94AE68C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72FC4078-9C7E-42BD-8A4C-DD4CEE304A8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B61CF6FB-FB24-476C-B379-A9991DDA8A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Q16" authorId="0" shapeId="0" xr:uid="{E33F33A3-DAB6-4C56-B94E-4B6C0564100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2023/4/7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불필요한것들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지우고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단기양수일보에서의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재설정해줌
그래프를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다듬고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축제목을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달아줌
</t>
        </r>
        <r>
          <rPr>
            <sz val="9"/>
            <color indexed="81"/>
            <rFont val="Tahoma"/>
            <family val="2"/>
          </rPr>
          <t xml:space="preserve">
2023/3/15 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수정함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쉬트가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활성화되면서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돌아가는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프로시저를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차단함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단계양수일보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한번에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쓸수있게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재정립
폰트정리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FineTunning
</t>
        </r>
      </text>
    </comment>
    <comment ref="B17" authorId="0" shapeId="0" xr:uid="{F55EA6EA-8B66-4A5E-93EE-283AC30633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89%의 수위강하량(안정수위 - 자연수위)</t>
        </r>
      </text>
    </comment>
    <comment ref="F32" authorId="0" shapeId="0" xr:uid="{55DA17DF-0E78-4E17-91CA-7E895C528E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9393E6F8-5DD9-43EA-917E-D6A27B2919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T43" authorId="0" shapeId="0" xr:uid="{A4084D4B-3749-4E06-A72F-91B99C6F79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비양수량</t>
        </r>
        <r>
          <rPr>
            <sz val="9"/>
            <color indexed="81"/>
            <rFont val="Tahoma"/>
            <family val="2"/>
          </rPr>
          <t xml:space="preserve"> (Q / Sw)</t>
        </r>
      </text>
    </comment>
    <comment ref="U43" authorId="0" shapeId="0" xr:uid="{6B9CA8A6-C53D-4718-BB45-4D9CCFE7A6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비수위강하량</t>
        </r>
        <r>
          <rPr>
            <sz val="9"/>
            <color indexed="81"/>
            <rFont val="Tahoma"/>
            <family val="2"/>
          </rPr>
          <t xml:space="preserve"> ( Sw / Q )</t>
        </r>
      </text>
    </comment>
    <comment ref="N44" authorId="1" shapeId="0" xr:uid="{8D641FE4-5E19-4B0B-8A75-7762DF2CD08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46" authorId="1" shapeId="0" xr:uid="{573A232A-B40D-44AA-A4B9-181CCB7526D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L51" authorId="1" shapeId="0" xr:uid="{B4C821BA-66C4-47F2-A222-97CEC54E63F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  <comment ref="P55" authorId="0" shapeId="0" xr:uid="{C17FB596-06B7-4789-9987-E8E6979CAFB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=(M51*100)/M53 * 1.15 = 147
M51 = ((147 * m53) / 1.15) / 100
</t>
        </r>
      </text>
    </comment>
    <comment ref="P57" authorId="0" shapeId="0" xr:uid="{9520D513-E29D-487F-B219-27BD9535525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가채수량을</t>
        </r>
        <r>
          <rPr>
            <sz val="9"/>
            <color indexed="81"/>
            <rFont val="Tahoma"/>
            <family val="2"/>
          </rPr>
          <t xml:space="preserve"> 111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잡고
비율을</t>
        </r>
        <r>
          <rPr>
            <sz val="9"/>
            <color indexed="81"/>
            <rFont val="Tahoma"/>
            <family val="2"/>
          </rPr>
          <t xml:space="preserve"> 1.16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해야</t>
        </r>
        <r>
          <rPr>
            <sz val="9"/>
            <color indexed="81"/>
            <rFont val="Tahoma"/>
            <family val="2"/>
          </rPr>
          <t xml:space="preserve"> 
147</t>
        </r>
        <r>
          <rPr>
            <sz val="9"/>
            <color indexed="81"/>
            <rFont val="돋움"/>
            <family val="3"/>
            <charset val="129"/>
          </rPr>
          <t>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>.</t>
        </r>
      </text>
    </comment>
    <comment ref="U64" authorId="0" shapeId="0" xr:uid="{E131F6CE-CBCE-42D0-A021-045AEFB274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이것의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조절은</t>
        </r>
        <r>
          <rPr>
            <sz val="9"/>
            <color indexed="81"/>
            <rFont val="Tahoma"/>
            <family val="2"/>
          </rPr>
          <t xml:space="preserve"> 
mod_W1StepTEST.ConcatenateCells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B3" authorId="0" shapeId="0" xr:uid="{64D9BDF3-DED4-4E53-A001-9B5310E8F65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3" authorId="0" shapeId="0" xr:uid="{2522271C-ED48-4808-8341-A56E692ACC58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3" authorId="0" shapeId="0" xr:uid="{C02C9822-8F66-4C61-AB28-92A6B8651B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F3" authorId="1" shapeId="0" xr:uid="{C411CDF2-4AD4-4F70-BE28-DDF962CF63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D4" authorId="1" shapeId="0" xr:uid="{FAE4F25A-79B8-49A0-A320-799BDA36F6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
</t>
        </r>
      </text>
    </comment>
    <comment ref="D5" authorId="1" shapeId="0" xr:uid="{758FC08C-DE4C-44AE-9EFE-23CF981C4E9C}">
      <text>
        <r>
          <rPr>
            <b/>
            <sz val="9"/>
            <color indexed="81"/>
            <rFont val="Tahoma"/>
            <family val="2"/>
          </rPr>
          <t>minhwasoo:
T1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
아큐텍솔버를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돌렸을때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7" authorId="1" shapeId="0" xr:uid="{DBD3D08B-F57F-4CD8-84A5-FA8034D3CA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b  =  </t>
        </r>
        <r>
          <rPr>
            <sz val="11"/>
            <color indexed="81"/>
            <rFont val="Tahoma"/>
            <family val="2"/>
          </rPr>
          <t>S*10^(5.46*T*B)</t>
        </r>
      </text>
    </comment>
    <comment ref="G7" authorId="1" shapeId="0" xr:uid="{8E7C52E5-FBFE-40F6-8D93-3BB129AE7C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e = </t>
        </r>
        <r>
          <rPr>
            <sz val="12"/>
            <color indexed="81"/>
            <rFont val="Tahoma"/>
            <family val="2"/>
          </rPr>
          <t>S*e^(4pi*T*B)</t>
        </r>
      </text>
    </comment>
    <comment ref="H7" authorId="1" shapeId="0" xr:uid="{5135F970-761B-4B64-B36D-C94BFE06FC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8" authorId="1" shapeId="0" xr:uid="{DA3A0E40-50D4-4FB0-BB75-AFA276C2BC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K9" authorId="1" shapeId="0" xr:uid="{40C2F915-8A9C-4866-91A1-F9430FFB5E6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B10" authorId="0" shapeId="0" xr:uid="{ED242E7D-9E11-443B-A91C-E490512050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E10" authorId="1" shapeId="0" xr:uid="{EC2CC80D-CB8A-4CAC-B2AD-4600EB08AC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S1: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초기값
</t>
        </r>
      </text>
    </comment>
    <comment ref="H10" authorId="1" shapeId="0" xr:uid="{C80F7AA3-EE60-48F7-A47A-DA6FB8396E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PRN </t>
        </r>
        <r>
          <rPr>
            <sz val="9"/>
            <color indexed="81"/>
            <rFont val="돋움"/>
            <family val="3"/>
            <charset val="129"/>
          </rPr>
          <t>파일을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들때
토글시에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사용할지를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결정해준다</t>
        </r>
        <r>
          <rPr>
            <sz val="9"/>
            <color indexed="81"/>
            <rFont val="Tahoma"/>
            <family val="2"/>
          </rPr>
          <t>.</t>
        </r>
      </text>
    </comment>
    <comment ref="K10" authorId="1" shapeId="0" xr:uid="{0B4A55EF-CDAA-451F-B300-09CA62D81E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
rw : </t>
        </r>
        <r>
          <rPr>
            <sz val="9"/>
            <color indexed="81"/>
            <rFont val="돋움"/>
            <family val="3"/>
            <charset val="129"/>
          </rPr>
          <t>우물반경</t>
        </r>
        <r>
          <rPr>
            <sz val="9"/>
            <color indexed="81"/>
            <rFont val="Tahoma"/>
            <family val="2"/>
          </rPr>
          <t xml:space="preserve">(m), 
re :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(m), 
Sp : </t>
        </r>
        <r>
          <rPr>
            <sz val="9"/>
            <color indexed="81"/>
            <rFont val="돋움"/>
            <family val="3"/>
            <charset val="129"/>
          </rPr>
          <t>양수정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수위자료에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
Sa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B11" authorId="0" shapeId="0" xr:uid="{01E92331-D9C9-452A-912A-93EE0153F28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H13" authorId="1" shapeId="0" xr:uid="{377E899C-8A17-4E29-93B0-29D1230E1F7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T2: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회복시험의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D15" authorId="0" shapeId="0" xr:uid="{EA0329B5-61B2-4F79-9557-7F89AB70BD0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5" authorId="0" shapeId="0" xr:uid="{6C14A3C9-4696-4183-9320-516E5569B1A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5" authorId="0" shapeId="0" xr:uid="{36B764BB-E60B-49DC-93F1-53D75A63BC6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5" authorId="0" shapeId="0" xr:uid="{09849038-25FB-4F3A-A100-4F6A4197EE4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16" authorId="1" shapeId="0" xr:uid="{46965C09-F0AE-4F7A-8C5D-622422D311F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TA = (T1 + T2) / 2
</t>
        </r>
      </text>
    </comment>
    <comment ref="I16" authorId="1" shapeId="0" xr:uid="{0A941837-80BC-474E-9ABA-869CA333E1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S2: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8" authorId="0" shapeId="0" xr:uid="{567CA166-85C3-42C2-8854-E4DE13E627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㎝</t>
        </r>
        <r>
          <rPr>
            <sz val="9"/>
            <color indexed="81"/>
            <rFont val="Tahoma"/>
            <family val="2"/>
          </rPr>
          <t xml:space="preserve">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30" authorId="1" shapeId="0" xr:uid="{B8F61BE8-6D8F-4AF5-98BC-15C241B0B0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weber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F30" authorId="1" shapeId="0" xr:uid="{4638A8DC-2E2A-41F4-96C6-6C90CF5F1C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shultze, webber max value
</t>
        </r>
        <r>
          <rPr>
            <sz val="9"/>
            <color indexed="81"/>
            <rFont val="돋움"/>
            <family val="3"/>
            <charset val="129"/>
          </rPr>
          <t>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최대값
</t>
        </r>
      </text>
    </comment>
    <comment ref="G30" authorId="1" shapeId="0" xr:uid="{2CD470E4-3C8B-4334-BFE0-BCEA722180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평균수위강하량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N16" authorId="0" shapeId="0" xr:uid="{7B50E3F5-2ED8-49DC-9983-B0A2725F67F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O16" authorId="0" shapeId="0" xr:uid="{EE6805DF-7AB1-4EAB-BD77-C258FEB60EC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P16" authorId="0" shapeId="0" xr:uid="{88FD1DDF-A465-4B45-BF9C-A0D228B5A0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0" shapeId="0" xr:uid="{49C1B61C-2CB6-4C6F-BA36-3AC6D3A5BE01}">
      <text>
        <r>
          <rPr>
            <b/>
            <sz val="9"/>
            <color indexed="81"/>
            <rFont val="Tahoma"/>
            <family val="2"/>
          </rPr>
          <t xml:space="preserve">minhwasoo:
 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4314F8C3-F6B1-441C-9158-6BF3CE349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 xml:space="preserve">,
-- 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C112EC43-BE64-43E3-A73A-F554150664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</t>
        </r>
        <r>
          <rPr>
            <sz val="9"/>
            <color indexed="81"/>
            <rFont val="Tahoma"/>
            <family val="2"/>
          </rPr>
          <t xml:space="preserve">  (1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2.54cm)
=INT((8*2.54/2/100)^2*3.14159*100000)/100000
2023/4/7 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조정
</t>
        </r>
      </text>
    </comment>
    <comment ref="O17" authorId="0" shapeId="0" xr:uid="{618E3992-F1BD-4959-935F-AA85621ACB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46175A2D-0F47-488C-95B2-51804C4266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 - 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4680A38-A19E-4531-8BBE-624302C5EB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DF92F577-E182-4CD4-A37E-BDDF0E1B8FB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D3AD33C6-0506-47E0-83AC-8082DBEC50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 xml:space="preserve">사용방법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 xml:space="preserve">
리셋을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한뒤
</t>
        </r>
        <r>
          <rPr>
            <sz val="9"/>
            <color indexed="81"/>
            <rFont val="Tahoma"/>
            <family val="2"/>
          </rPr>
          <t xml:space="preserve">FindAnswer </t>
        </r>
        <r>
          <rPr>
            <sz val="9"/>
            <color indexed="81"/>
            <rFont val="돋움"/>
            <family val="3"/>
            <charset val="129"/>
          </rPr>
          <t>한뒤</t>
        </r>
        <r>
          <rPr>
            <sz val="9"/>
            <color indexed="81"/>
            <rFont val="Tahoma"/>
            <family val="2"/>
          </rPr>
          <t xml:space="preserve"> , L8</t>
        </r>
        <r>
          <rPr>
            <sz val="9"/>
            <color indexed="81"/>
            <rFont val="돋움"/>
            <family val="3"/>
            <charset val="129"/>
          </rPr>
          <t>셀이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나오면
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셋팅해준다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30061649-32E8-4034-BA61-2CFDF050060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 xml:space="preserve">- </t>
        </r>
        <r>
          <rPr>
            <b/>
            <sz val="11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</t>
        </r>
      </text>
    </comment>
    <comment ref="L8" authorId="1" shapeId="0" xr:uid="{17BF1692-2C7E-4C48-B9C6-729B47B61B19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>2019/11/27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 = G10 - K11
</t>
        </r>
      </text>
    </comment>
    <comment ref="G10" authorId="0" shapeId="0" xr:uid="{5B7B245E-F495-486B-880F-1F09CEC9EE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62AB46C-240D-4F80-8533-84650657A41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3" authorId="1" shapeId="0" xr:uid="{5F33E2FE-AFE7-4767-8353-DBC18F276A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조절하는값</t>
        </r>
        <r>
          <rPr>
            <sz val="9"/>
            <color indexed="81"/>
            <rFont val="Tahoma"/>
            <family val="2"/>
          </rPr>
          <t xml:space="preserve">, L10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맟추는게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보통인데
이것으로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없는경우가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현상이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생기는데
특히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이런경우는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실제양수시험한경우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수위차이가</t>
        </r>
        <r>
          <rPr>
            <sz val="9"/>
            <color indexed="81"/>
            <rFont val="Tahoma"/>
            <family val="2"/>
          </rPr>
          <t xml:space="preserve"> 10 </t>
        </r>
        <r>
          <rPr>
            <sz val="9"/>
            <color indexed="81"/>
            <rFont val="돋움"/>
            <family val="3"/>
            <charset val="129"/>
          </rPr>
          <t>이내로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떨어지는경우에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>.
2022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용택이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관정개발같은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...</t>
        </r>
        <r>
          <rPr>
            <sz val="9"/>
            <color indexed="81"/>
            <rFont val="돋움"/>
            <family val="3"/>
            <charset val="129"/>
          </rPr>
          <t xml:space="preserve">
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해결해주기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만들고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폼의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-3 ~ 3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될듯하다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O16" authorId="1" shapeId="0" xr:uid="{FF5919A9-29ED-413F-B9DC-428F0419D1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P16" authorId="1" shapeId="0" xr:uid="{920D7C69-0BF9-4040-A2B0-F788910294E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Q16" authorId="1" shapeId="0" xr:uid="{73CEA68F-5B52-40D4-9137-12E26B26AFC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1" shapeId="0" xr:uid="{54064C8D-9D75-4E58-9C40-6B20ACFBCD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</t>
        </r>
      </text>
    </comment>
    <comment ref="M17" authorId="0" shapeId="0" xr:uid="{2CB4BE3A-7758-40AB-8EB5-2AB6E88790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=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b/>
            <sz val="9"/>
            <color indexed="81"/>
            <rFont val="Tahoma"/>
            <family val="2"/>
          </rPr>
          <t xml:space="preserve"> / 1440 (=B10 /1440)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분당의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FBC4ECBC-F2EA-450C-833A-C601489325F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돋움"/>
            <family val="3"/>
            <charset val="129"/>
          </rPr>
          <t xml:space="preserve">
이론모델상의 , 경과시간당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O17" authorId="0" shapeId="0" xr:uid="{AE141CE6-559B-43BA-82C7-18B7F5F02C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케이싱의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단면적
</t>
        </r>
        <r>
          <rPr>
            <b/>
            <sz val="9"/>
            <color indexed="81"/>
            <rFont val="Tahoma"/>
            <family val="2"/>
          </rPr>
          <t xml:space="preserve"> = PI*R^2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 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 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8930E0A5-E9FE-4FBB-83BD-AD381A0A3AFD}">
      <text>
        <r>
          <rPr>
            <b/>
            <sz val="9"/>
            <color indexed="81"/>
            <rFont val="Tahoma"/>
            <family val="2"/>
          </rPr>
          <t xml:space="preserve">hwa soo min:
 - 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 / A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N17 / O17 </t>
        </r>
      </text>
    </comment>
    <comment ref="Q17" authorId="0" shapeId="0" xr:uid="{8B2257BB-8143-4E68-9106-951BEE9B768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차이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자연모델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수위강하량 - 이론상 정수위강하량</t>
        </r>
        <r>
          <rPr>
            <sz val="9"/>
            <color indexed="81"/>
            <rFont val="돋움"/>
            <family val="3"/>
            <charset val="129"/>
          </rPr>
          <t xml:space="preserve">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모델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R17" authorId="0" shapeId="0" xr:uid="{CEABECC5-F539-4334-921D-CDAF0A1FA9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6BE2C2EF-6808-4202-A612-A1B76D47E304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F709B0B6-DE37-45A7-84A5-A592343771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<sst xmlns="http://schemas.openxmlformats.org/spreadsheetml/2006/main" count="1415" uniqueCount="347">
  <si>
    <t>지하수위</t>
    <phoneticPr fontId="7" type="noConversion"/>
  </si>
  <si>
    <t>강하수위</t>
    <phoneticPr fontId="7" type="noConversion"/>
  </si>
  <si>
    <t>Sw/Q</t>
    <phoneticPr fontId="7" type="noConversion"/>
  </si>
  <si>
    <t>Q/Sw</t>
    <phoneticPr fontId="7" type="noConversion"/>
  </si>
  <si>
    <t xml:space="preserve"> </t>
  </si>
  <si>
    <t>그래프기울기저정</t>
    <phoneticPr fontId="7" type="noConversion"/>
  </si>
  <si>
    <t>비양수량(Q/Sw)</t>
    <phoneticPr fontId="7" type="noConversion"/>
  </si>
  <si>
    <t>1단계조정</t>
    <phoneticPr fontId="7" type="noConversion"/>
  </si>
  <si>
    <t>2단계조정</t>
    <phoneticPr fontId="7" type="noConversion"/>
  </si>
  <si>
    <t>3단계조정</t>
    <phoneticPr fontId="7" type="noConversion"/>
  </si>
  <si>
    <t>5단계조정</t>
    <phoneticPr fontId="7" type="noConversion"/>
  </si>
  <si>
    <t>그래프양수량조정</t>
    <phoneticPr fontId="7" type="noConversion"/>
  </si>
  <si>
    <t>Sw</t>
    <phoneticPr fontId="7" type="noConversion"/>
  </si>
  <si>
    <t>Q</t>
    <phoneticPr fontId="7" type="noConversion"/>
  </si>
  <si>
    <t>정해진 목표 가채수량</t>
    <phoneticPr fontId="7" type="noConversion"/>
  </si>
  <si>
    <t>계산상 가재수량</t>
    <phoneticPr fontId="7" type="noConversion"/>
  </si>
  <si>
    <t>C</t>
  </si>
  <si>
    <t>B</t>
  </si>
  <si>
    <t>우물효율</t>
    <phoneticPr fontId="7" type="noConversion"/>
  </si>
  <si>
    <t>기울기</t>
    <phoneticPr fontId="7" type="noConversion"/>
  </si>
  <si>
    <t>Y절편</t>
    <phoneticPr fontId="7" type="noConversion"/>
  </si>
  <si>
    <t xml:space="preserve"> </t>
    <phoneticPr fontId="7" type="noConversion"/>
  </si>
  <si>
    <t>Q=</t>
    <phoneticPr fontId="7" type="noConversion"/>
  </si>
  <si>
    <t>장기양수량</t>
    <phoneticPr fontId="7" type="noConversion"/>
  </si>
  <si>
    <t>유효우물</t>
    <phoneticPr fontId="7" type="noConversion"/>
  </si>
  <si>
    <t>반경  =</t>
    <phoneticPr fontId="7" type="noConversion"/>
  </si>
  <si>
    <t>m</t>
    <phoneticPr fontId="7" type="noConversion"/>
  </si>
  <si>
    <t>양수량</t>
    <phoneticPr fontId="7" type="noConversion"/>
  </si>
  <si>
    <t>T</t>
    <phoneticPr fontId="7" type="noConversion"/>
  </si>
  <si>
    <t>조사명</t>
    <phoneticPr fontId="7" type="noConversion"/>
  </si>
  <si>
    <t>우물직경</t>
    <phoneticPr fontId="7" type="noConversion"/>
  </si>
  <si>
    <t>케이싱직경</t>
    <phoneticPr fontId="7" type="noConversion"/>
  </si>
  <si>
    <t>S</t>
    <phoneticPr fontId="7" type="noConversion"/>
  </si>
  <si>
    <t>지구명</t>
    <phoneticPr fontId="7" type="noConversion"/>
  </si>
  <si>
    <t>관정심도</t>
    <phoneticPr fontId="7" type="noConversion"/>
  </si>
  <si>
    <t>B</t>
    <phoneticPr fontId="7" type="noConversion"/>
  </si>
  <si>
    <t>대수층손실</t>
    <phoneticPr fontId="7" type="noConversion"/>
  </si>
  <si>
    <t>위  치</t>
    <phoneticPr fontId="7" type="noConversion"/>
  </si>
  <si>
    <t>대수층두께</t>
    <phoneticPr fontId="7" type="noConversion"/>
  </si>
  <si>
    <t>t</t>
    <phoneticPr fontId="7" type="noConversion"/>
  </si>
  <si>
    <t>고정</t>
    <phoneticPr fontId="7" type="noConversion"/>
  </si>
  <si>
    <t>조사자</t>
    <phoneticPr fontId="7" type="noConversion"/>
  </si>
  <si>
    <t>적정양수량</t>
    <phoneticPr fontId="7" type="noConversion"/>
  </si>
  <si>
    <t>수중모터</t>
    <phoneticPr fontId="7" type="noConversion"/>
  </si>
  <si>
    <t>자연수위</t>
    <phoneticPr fontId="7" type="noConversion"/>
  </si>
  <si>
    <t>Re =</t>
    <phoneticPr fontId="7" type="noConversion"/>
  </si>
  <si>
    <t>A</t>
    <phoneticPr fontId="7" type="noConversion"/>
  </si>
  <si>
    <t>양수시험일</t>
    <phoneticPr fontId="7" type="noConversion"/>
  </si>
  <si>
    <t>안정수위</t>
    <phoneticPr fontId="7" type="noConversion"/>
  </si>
  <si>
    <t>2.25xTxt =</t>
    <phoneticPr fontId="7" type="noConversion"/>
  </si>
  <si>
    <t>수위강하량</t>
    <phoneticPr fontId="7" type="noConversion"/>
  </si>
  <si>
    <t>S =</t>
    <phoneticPr fontId="7" type="noConversion"/>
  </si>
  <si>
    <t>가채수량</t>
    <phoneticPr fontId="7" type="noConversion"/>
  </si>
  <si>
    <t>10^(5.46xTxB)=</t>
    <phoneticPr fontId="7" type="noConversion"/>
  </si>
  <si>
    <t>케이싱</t>
    <phoneticPr fontId="7" type="noConversion"/>
  </si>
  <si>
    <t>우물자재</t>
    <phoneticPr fontId="7" type="noConversion"/>
  </si>
  <si>
    <t>단계수위강하</t>
    <phoneticPr fontId="7" type="noConversion"/>
  </si>
  <si>
    <t>A/B =</t>
    <phoneticPr fontId="7" type="noConversion"/>
  </si>
  <si>
    <t>공번</t>
    <phoneticPr fontId="7" type="noConversion"/>
  </si>
  <si>
    <t>W-1</t>
    <phoneticPr fontId="7" type="noConversion"/>
  </si>
  <si>
    <t>T값</t>
    <phoneticPr fontId="7" type="noConversion"/>
  </si>
  <si>
    <t>선택치</t>
    <phoneticPr fontId="7" type="noConversion"/>
  </si>
  <si>
    <t>S값</t>
    <phoneticPr fontId="7" type="noConversion"/>
  </si>
  <si>
    <t>△h</t>
    <phoneticPr fontId="7" type="noConversion"/>
  </si>
  <si>
    <t>영향반경</t>
    <phoneticPr fontId="7" type="noConversion"/>
  </si>
  <si>
    <t>R</t>
    <phoneticPr fontId="7" type="noConversion"/>
  </si>
  <si>
    <t>포획구간</t>
    <phoneticPr fontId="7" type="noConversion"/>
  </si>
  <si>
    <t>단계양수시험</t>
    <phoneticPr fontId="7" type="noConversion"/>
  </si>
  <si>
    <t>K</t>
    <phoneticPr fontId="7" type="noConversion"/>
  </si>
  <si>
    <t>Shultze:</t>
    <phoneticPr fontId="7" type="noConversion"/>
  </si>
  <si>
    <t>상류</t>
    <phoneticPr fontId="7" type="noConversion"/>
  </si>
  <si>
    <t>하류</t>
    <phoneticPr fontId="7" type="noConversion"/>
  </si>
  <si>
    <t>장기디스시험</t>
    <phoneticPr fontId="7" type="noConversion"/>
  </si>
  <si>
    <t>Weber:</t>
    <phoneticPr fontId="7" type="noConversion"/>
  </si>
  <si>
    <t>장기c-j시험</t>
    <phoneticPr fontId="7" type="noConversion"/>
  </si>
  <si>
    <t>Jacob:</t>
    <phoneticPr fontId="7" type="noConversion"/>
  </si>
  <si>
    <t>회복수위시험</t>
    <phoneticPr fontId="7" type="noConversion"/>
  </si>
  <si>
    <t>평균</t>
    <phoneticPr fontId="7" type="noConversion"/>
  </si>
  <si>
    <t>s'=</t>
    <phoneticPr fontId="7" type="noConversion"/>
  </si>
  <si>
    <t>최대</t>
    <phoneticPr fontId="7" type="noConversion"/>
  </si>
  <si>
    <t>공번2</t>
    <phoneticPr fontId="7" type="noConversion"/>
  </si>
  <si>
    <t>저류계수</t>
    <phoneticPr fontId="7" type="noConversion"/>
  </si>
  <si>
    <t>유효우물반경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</si>
  <si>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7" type="noConversion"/>
  </si>
  <si>
    <t>SkinFactor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</si>
  <si>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</si>
  <si>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t>W-2</t>
  </si>
  <si>
    <t>경험식 1번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</si>
  <si>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</si>
  <si>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t>W-3</t>
  </si>
  <si>
    <t>경험식 2번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</si>
  <si>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</si>
  <si>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t>W-4</t>
  </si>
  <si>
    <t>경험식 3번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</si>
  <si>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</si>
  <si>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W-5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</si>
  <si>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7" type="noConversion"/>
  </si>
  <si>
    <t>W-6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</si>
  <si>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- 7</t>
    </r>
    <r>
      <rPr>
        <sz val="11"/>
        <color theme="1"/>
        <rFont val="맑은 고딕"/>
        <family val="2"/>
        <scheme val="minor"/>
      </rPr>
      <t/>
    </r>
  </si>
  <si>
    <t>W-7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</si>
  <si>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- 8</t>
    </r>
    <r>
      <rPr>
        <sz val="11"/>
        <color theme="1"/>
        <rFont val="맑은 고딕"/>
        <family val="2"/>
        <scheme val="minor"/>
      </rPr>
      <t/>
    </r>
  </si>
  <si>
    <t>W-8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</si>
  <si>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- 9</t>
    </r>
    <phoneticPr fontId="7" type="noConversion"/>
  </si>
  <si>
    <t>W-9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</si>
  <si>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- 10</t>
    </r>
    <phoneticPr fontId="7" type="noConversion"/>
  </si>
  <si>
    <t>W-10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</si>
  <si>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- 11</t>
    </r>
    <phoneticPr fontId="7" type="noConversion"/>
  </si>
  <si>
    <t>W-11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</si>
  <si>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- 12</t>
    </r>
    <r>
      <rPr>
        <sz val="11"/>
        <color theme="1"/>
        <rFont val="맑은 고딕"/>
        <family val="2"/>
        <charset val="129"/>
        <scheme val="minor"/>
      </rPr>
      <t/>
    </r>
  </si>
  <si>
    <t>W-12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</si>
  <si>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- 13</t>
    </r>
    <r>
      <rPr>
        <sz val="11"/>
        <color theme="1"/>
        <rFont val="맑은 고딕"/>
        <family val="2"/>
        <charset val="129"/>
        <scheme val="minor"/>
      </rPr>
      <t/>
    </r>
  </si>
  <si>
    <t>W-13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</si>
  <si>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- 14</t>
    </r>
    <r>
      <rPr>
        <sz val="11"/>
        <color theme="1"/>
        <rFont val="맑은 고딕"/>
        <family val="2"/>
        <charset val="129"/>
        <scheme val="minor"/>
      </rPr>
      <t/>
    </r>
  </si>
  <si>
    <t>W-14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</si>
  <si>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- 15</t>
    </r>
    <r>
      <rPr>
        <sz val="11"/>
        <color theme="1"/>
        <rFont val="맑은 고딕"/>
        <family val="2"/>
        <charset val="129"/>
        <scheme val="minor"/>
      </rPr>
      <t/>
    </r>
  </si>
  <si>
    <t>W-15</t>
  </si>
  <si>
    <t>△s</t>
    <phoneticPr fontId="7" type="noConversion"/>
  </si>
  <si>
    <t>Rw</t>
    <phoneticPr fontId="7" type="noConversion"/>
  </si>
  <si>
    <t>π</t>
    <phoneticPr fontId="7" type="noConversion"/>
  </si>
  <si>
    <t>자연수위(단위 m)</t>
    <phoneticPr fontId="7" type="noConversion"/>
  </si>
  <si>
    <t>σ =</t>
    <phoneticPr fontId="7" type="noConversion"/>
  </si>
  <si>
    <t>=</t>
    <phoneticPr fontId="7" type="noConversion"/>
  </si>
  <si>
    <t>a---&gt;</t>
    <phoneticPr fontId="7" type="noConversion"/>
  </si>
  <si>
    <t>b---&gt;</t>
    <phoneticPr fontId="7" type="noConversion"/>
  </si>
  <si>
    <t>e---&gt;</t>
    <phoneticPr fontId="7" type="noConversion"/>
  </si>
  <si>
    <t>공심도(굴착깊이)</t>
    <phoneticPr fontId="7" type="noConversion"/>
  </si>
  <si>
    <t>SkinFactor Re =</t>
    <phoneticPr fontId="7" type="noConversion"/>
  </si>
  <si>
    <t>케이싱심도</t>
    <phoneticPr fontId="7" type="noConversion"/>
  </si>
  <si>
    <t>회복수위</t>
    <phoneticPr fontId="7" type="noConversion"/>
  </si>
  <si>
    <t>수위회복량(Sw)</t>
    <phoneticPr fontId="7" type="noConversion"/>
  </si>
  <si>
    <t>Shultze   R =</t>
    <phoneticPr fontId="7" type="noConversion"/>
  </si>
  <si>
    <t>△h(수위강하량) m</t>
    <phoneticPr fontId="7" type="noConversion"/>
  </si>
  <si>
    <t xml:space="preserve">대수층두께(m) </t>
    <phoneticPr fontId="7" type="noConversion"/>
  </si>
  <si>
    <t>T(투수량계수, ㎡/일)</t>
    <phoneticPr fontId="7" type="noConversion"/>
  </si>
  <si>
    <t>1일</t>
    <phoneticPr fontId="7" type="noConversion"/>
  </si>
  <si>
    <t>안정도달(분)</t>
    <phoneticPr fontId="7" type="noConversion"/>
  </si>
  <si>
    <t>t(일)</t>
    <phoneticPr fontId="7" type="noConversion"/>
  </si>
  <si>
    <t>Weber   R =</t>
    <phoneticPr fontId="7" type="noConversion"/>
  </si>
  <si>
    <t>△h(수위강하량)</t>
    <phoneticPr fontId="7" type="noConversion"/>
  </si>
  <si>
    <t>T(투수량계수)</t>
    <phoneticPr fontId="7" type="noConversion"/>
  </si>
  <si>
    <t>안정도달</t>
    <phoneticPr fontId="7" type="noConversion"/>
  </si>
  <si>
    <t>Jacop   R =</t>
    <phoneticPr fontId="7" type="noConversion"/>
  </si>
  <si>
    <t>T 값 평균=</t>
    <phoneticPr fontId="7" type="noConversion"/>
  </si>
  <si>
    <t>S 값 적용=</t>
    <phoneticPr fontId="7" type="noConversion"/>
  </si>
  <si>
    <t>영향반경 평균=</t>
    <phoneticPr fontId="7" type="noConversion"/>
  </si>
  <si>
    <t>1단계양수량(Q1)</t>
    <phoneticPr fontId="7" type="noConversion"/>
  </si>
  <si>
    <t>1단계수위강하량(S1)</t>
    <phoneticPr fontId="7" type="noConversion"/>
  </si>
  <si>
    <t>4단계수위강하량(S2)</t>
    <phoneticPr fontId="7" type="noConversion"/>
  </si>
  <si>
    <t>2/3</t>
    <phoneticPr fontId="7" type="noConversion"/>
  </si>
  <si>
    <t>가채수량(Q)</t>
    <phoneticPr fontId="7" type="noConversion"/>
  </si>
  <si>
    <t>적용가채수량(Q)</t>
    <phoneticPr fontId="7" type="noConversion"/>
  </si>
  <si>
    <t>한계양수량</t>
    <phoneticPr fontId="7" type="noConversion"/>
  </si>
  <si>
    <t>취수계획량</t>
    <phoneticPr fontId="7" type="noConversion"/>
  </si>
  <si>
    <t>&lt;부록 : 4&gt; 양수시험일보</t>
    <phoneticPr fontId="7" type="noConversion"/>
  </si>
  <si>
    <t>초기치</t>
    <phoneticPr fontId="7" type="noConversion"/>
  </si>
  <si>
    <t>수위강하량 초기치조정</t>
    <phoneticPr fontId="7" type="noConversion"/>
  </si>
  <si>
    <t>단  계  양  수  시  험  일  보</t>
  </si>
  <si>
    <t>그래프조정</t>
    <phoneticPr fontId="7" type="noConversion"/>
  </si>
  <si>
    <t>Re</t>
    <phoneticPr fontId="7" type="noConversion"/>
  </si>
  <si>
    <t>Day</t>
    <phoneticPr fontId="7" type="noConversion"/>
  </si>
  <si>
    <t>조 사 명</t>
    <phoneticPr fontId="7" type="noConversion"/>
  </si>
  <si>
    <t>지 구 명</t>
    <phoneticPr fontId="7" type="noConversion"/>
  </si>
  <si>
    <t>위    치</t>
    <phoneticPr fontId="7" type="noConversion"/>
  </si>
  <si>
    <t>조 사 자</t>
    <phoneticPr fontId="7" type="noConversion"/>
  </si>
  <si>
    <t>수중모타</t>
  </si>
  <si>
    <t>일    시</t>
  </si>
  <si>
    <t>우물현황</t>
  </si>
  <si>
    <t>직     경</t>
    <phoneticPr fontId="7" type="noConversion"/>
  </si>
  <si>
    <t>심    도</t>
  </si>
  <si>
    <t>양수시험</t>
  </si>
  <si>
    <t>단계</t>
  </si>
  <si>
    <t>양수량(㎥/day)</t>
    <phoneticPr fontId="7" type="noConversion"/>
  </si>
  <si>
    <t>관측 시간</t>
    <phoneticPr fontId="7" type="noConversion"/>
  </si>
  <si>
    <t>경과시간(분)</t>
    <phoneticPr fontId="7" type="noConversion"/>
  </si>
  <si>
    <t>지하수위(m)</t>
    <phoneticPr fontId="7" type="noConversion"/>
  </si>
  <si>
    <t>수위강하량(m)</t>
    <phoneticPr fontId="7" type="noConversion"/>
  </si>
  <si>
    <t>비  고</t>
  </si>
  <si>
    <t>양수시작</t>
  </si>
  <si>
    <t>1분양수량</t>
    <phoneticPr fontId="7" type="noConversion"/>
  </si>
  <si>
    <t>시경수량</t>
    <phoneticPr fontId="7" type="noConversion"/>
  </si>
  <si>
    <t>양수종료</t>
  </si>
  <si>
    <t>장기양수 및 회복수위시험 일보</t>
    <phoneticPr fontId="7" type="noConversion"/>
  </si>
  <si>
    <t>확인
적색으로</t>
    <phoneticPr fontId="7" type="noConversion"/>
  </si>
  <si>
    <t>단계양수 3단계
수위강하량</t>
    <phoneticPr fontId="7" type="noConversion"/>
  </si>
  <si>
    <t>360분수
위강하량</t>
    <phoneticPr fontId="7" type="noConversion"/>
  </si>
  <si>
    <t>안정수위=</t>
  </si>
  <si>
    <t>도달시간</t>
    <phoneticPr fontId="7" type="noConversion"/>
  </si>
  <si>
    <t>확    인</t>
    <phoneticPr fontId="7" type="noConversion"/>
  </si>
  <si>
    <t>자연수위</t>
  </si>
  <si>
    <t>안정수위</t>
  </si>
  <si>
    <t>관측시간</t>
  </si>
  <si>
    <t>회복수위측정</t>
  </si>
  <si>
    <t>적용시간</t>
    <phoneticPr fontId="7" type="noConversion"/>
  </si>
  <si>
    <t>적용수위</t>
    <phoneticPr fontId="7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</si>
  <si>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</si>
  <si>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</si>
  <si>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</si>
  <si>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</si>
  <si>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</si>
  <si>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</si>
  <si>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</si>
  <si>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</si>
  <si>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&lt;END&gt;</t>
    <phoneticPr fontId="36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</si>
  <si>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</si>
  <si>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</si>
  <si>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</si>
  <si>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</si>
  <si>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</si>
  <si>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</si>
  <si>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</si>
  <si>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</si>
  <si>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</si>
  <si>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최소</t>
    <phoneticPr fontId="7" type="noConversion"/>
  </si>
  <si>
    <t>변화량</t>
    <phoneticPr fontId="7" type="noConversion"/>
  </si>
  <si>
    <t>SkinFactor</t>
  </si>
  <si>
    <t>Max</t>
    <phoneticPr fontId="7" type="noConversion"/>
  </si>
  <si>
    <t>Average</t>
    <phoneticPr fontId="7" type="noConversion"/>
  </si>
  <si>
    <t>자연 수위</t>
    <phoneticPr fontId="4" type="noConversion"/>
  </si>
  <si>
    <t xml:space="preserve">산수개발(주) </t>
  </si>
  <si>
    <t>1
2
3
4
5</t>
  </si>
  <si>
    <t>0
120
240
360
480</t>
  </si>
  <si>
    <t>120
120
120
120
120</t>
  </si>
  <si>
    <t>조사자</t>
  </si>
  <si>
    <t>주식회사 한일지하수</t>
  </si>
  <si>
    <t>부여지하수개발주식회사</t>
  </si>
  <si>
    <t>마인지오주식회사</t>
  </si>
  <si>
    <t xml:space="preserve">삼원개발(주) </t>
  </si>
  <si>
    <t>(주)세기</t>
  </si>
  <si>
    <t>(주)전일</t>
  </si>
  <si>
    <t>(주)태양이엔지</t>
  </si>
  <si>
    <t>(주)나우</t>
  </si>
  <si>
    <t>(주)동해엔지니어링</t>
  </si>
  <si>
    <t>(주)현윤이앤씨</t>
  </si>
  <si>
    <t>관 정</t>
  </si>
  <si>
    <t xml:space="preserve"> 양수정의 수질 변화기록</t>
  </si>
  <si>
    <t>: k값</t>
    <phoneticPr fontId="7" type="noConversion"/>
  </si>
  <si>
    <t xml:space="preserve">S1:  </t>
    <phoneticPr fontId="7" type="noConversion"/>
  </si>
  <si>
    <t>&lt;---T1, 장기양수T</t>
    <phoneticPr fontId="7" type="noConversion"/>
  </si>
  <si>
    <t>강하수위(Sw)</t>
    <phoneticPr fontId="7" type="noConversion"/>
  </si>
  <si>
    <r>
      <t>6∙Δh∙K</t>
    </r>
    <r>
      <rPr>
        <sz val="11"/>
        <color rgb="FF000000"/>
        <rFont val="Calibri"/>
        <family val="2"/>
      </rPr>
      <t>∙</t>
    </r>
    <r>
      <rPr>
        <sz val="11"/>
        <color rgb="FF000000"/>
        <rFont val="Cambria Math"/>
        <family val="1"/>
      </rPr>
      <t>t</t>
    </r>
  </si>
  <si>
    <t>경험식, Re1=</t>
    <phoneticPr fontId="7" type="noConversion"/>
  </si>
  <si>
    <t>경험식, Re2=</t>
    <phoneticPr fontId="7" type="noConversion"/>
  </si>
  <si>
    <t>경험식, Re3=</t>
    <phoneticPr fontId="7" type="noConversion"/>
  </si>
  <si>
    <t xml:space="preserve">시추조사시 수량의 대소에 따라 차등적용 = </t>
    <phoneticPr fontId="7" type="noConversion"/>
  </si>
  <si>
    <t>단계별수위강하</t>
    <phoneticPr fontId="7" type="noConversion"/>
  </si>
  <si>
    <t>단면적</t>
    <phoneticPr fontId="4" type="noConversion"/>
  </si>
  <si>
    <t>지하수위</t>
    <phoneticPr fontId="4" type="noConversion"/>
  </si>
  <si>
    <t>시간</t>
    <phoneticPr fontId="4" type="noConversion"/>
  </si>
  <si>
    <t>검사</t>
    <phoneticPr fontId="4" type="noConversion"/>
  </si>
  <si>
    <t>S2</t>
    <phoneticPr fontId="7" type="noConversion"/>
  </si>
  <si>
    <t xml:space="preserve"> T2 =</t>
    <phoneticPr fontId="7" type="noConversion"/>
  </si>
  <si>
    <t>T1 =</t>
    <phoneticPr fontId="7" type="noConversion"/>
  </si>
  <si>
    <t>(합)수도건설</t>
    <phoneticPr fontId="4" type="noConversion"/>
  </si>
  <si>
    <t>한국농어촌공사</t>
    <phoneticPr fontId="4" type="noConversion"/>
  </si>
  <si>
    <t>(주)우경엔지니어링</t>
    <phoneticPr fontId="4" type="noConversion"/>
  </si>
  <si>
    <t>(합)청대개발</t>
    <phoneticPr fontId="4" type="noConversion"/>
  </si>
  <si>
    <t>공  번 : W - 16</t>
  </si>
  <si>
    <t>공  번 : W - 17</t>
  </si>
  <si>
    <t>공  번 : W - 18</t>
  </si>
  <si>
    <t>공  번 : W - 19</t>
  </si>
  <si>
    <t>공  번 : W - 20</t>
  </si>
  <si>
    <t>공  번 : W - 21</t>
  </si>
  <si>
    <t>공  번 : W - 22</t>
  </si>
  <si>
    <t>공  번 : W - 23</t>
  </si>
  <si>
    <t>공  번 : W - 24</t>
  </si>
  <si>
    <t>공  번 : W - 25</t>
  </si>
  <si>
    <t>공  번 : W - 26</t>
  </si>
  <si>
    <t>공  번 : W - 27</t>
  </si>
  <si>
    <t>공  번 : W - 28</t>
  </si>
  <si>
    <t>공  번 : W - 29</t>
  </si>
  <si>
    <t>공  번 : W - 30</t>
  </si>
  <si>
    <t>공  번 : W - 31</t>
  </si>
  <si>
    <t>공  번 : W - 32</t>
  </si>
  <si>
    <t>공  번 : W - 33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</si>
  <si>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</si>
  <si>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</si>
  <si>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</si>
  <si>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</si>
  <si>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</si>
  <si>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</si>
  <si>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</si>
  <si>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</si>
  <si>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</si>
  <si>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</si>
  <si>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</si>
  <si>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</si>
  <si>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</si>
  <si>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</si>
  <si>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</si>
  <si>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W-31</t>
  </si>
  <si>
    <t>W-32</t>
  </si>
  <si>
    <t>W-33</t>
  </si>
  <si>
    <t>대웅엔지니어링 주식회사</t>
    <phoneticPr fontId="4" type="noConversion"/>
  </si>
  <si>
    <t>공  번 : W - 1</t>
    <phoneticPr fontId="7" type="noConversion"/>
  </si>
  <si>
    <t>조 사 자</t>
  </si>
  <si>
    <t>사 업 명</t>
  </si>
  <si>
    <t>위 치</t>
  </si>
  <si>
    <t>양 수 시 작 일</t>
  </si>
  <si>
    <t>양 수 종 료 일</t>
  </si>
  <si>
    <t>수중모터제원</t>
  </si>
  <si>
    <t>Hp</t>
  </si>
  <si>
    <t>m</t>
  </si>
  <si>
    <t>지하수시설제원</t>
  </si>
  <si>
    <t>㎜</t>
  </si>
  <si>
    <t xml:space="preserve">굴착심도 : </t>
  </si>
  <si>
    <t>양수시험결과</t>
  </si>
  <si>
    <t xml:space="preserve">안정수위 : </t>
  </si>
  <si>
    <t>단 계</t>
  </si>
  <si>
    <t>양수량</t>
  </si>
  <si>
    <t>(㎥/day)</t>
  </si>
  <si>
    <t>경과시간</t>
  </si>
  <si>
    <t>지하수위</t>
  </si>
  <si>
    <t>(m)</t>
  </si>
  <si>
    <t>수위강하량</t>
  </si>
  <si>
    <t>T</t>
  </si>
  <si>
    <t xml:space="preserve">EC </t>
    <phoneticPr fontId="4" type="noConversion"/>
  </si>
  <si>
    <t>장기양수 및 회복수위시험 일보</t>
  </si>
  <si>
    <t>모터심도</t>
    <phoneticPr fontId="7" type="noConversion"/>
  </si>
  <si>
    <t>PH</t>
    <phoneticPr fontId="4" type="noConversion"/>
  </si>
  <si>
    <t>장 기 양 수 시 험 일 보</t>
    <phoneticPr fontId="4" type="noConversion"/>
  </si>
  <si>
    <t>단 계 양 수 시 험 일 보</t>
    <phoneticPr fontId="4" type="noConversion"/>
  </si>
  <si>
    <t>채수계획량 :</t>
    <phoneticPr fontId="4" type="noConversion"/>
  </si>
  <si>
    <t>호공</t>
    <phoneticPr fontId="4" type="noConversion"/>
  </si>
  <si>
    <t>수위측정종료</t>
    <phoneticPr fontId="4" type="noConversion"/>
  </si>
  <si>
    <t>양 수 시 험 종 료</t>
    <phoneticPr fontId="4" type="noConversion"/>
  </si>
  <si>
    <t xml:space="preserve">자연수위 : </t>
    <phoneticPr fontId="4" type="noConversion"/>
  </si>
  <si>
    <t xml:space="preserve">모터마력 : </t>
    <phoneticPr fontId="4" type="noConversion"/>
  </si>
  <si>
    <t xml:space="preserve">굴착직경 : </t>
    <phoneticPr fontId="4" type="noConversion"/>
  </si>
  <si>
    <t xml:space="preserve">모터심도 : </t>
    <phoneticPr fontId="4" type="noConversion"/>
  </si>
  <si>
    <t>수위측정종료</t>
  </si>
  <si>
    <r>
      <t>회 복 시 험 일 보</t>
    </r>
    <r>
      <rPr>
        <b/>
        <sz val="15"/>
        <color rgb="FF000000"/>
        <rFont val="맑은 고딕"/>
        <family val="3"/>
        <charset val="129"/>
        <scheme val="major"/>
      </rPr>
      <t xml:space="preserve"> </t>
    </r>
    <phoneticPr fontId="4" type="noConversion"/>
  </si>
  <si>
    <t>㎥/day</t>
    <phoneticPr fontId="4" type="noConversion"/>
  </si>
  <si>
    <t>(분)</t>
    <phoneticPr fontId="4" type="noConversion"/>
  </si>
  <si>
    <t>℃</t>
    <phoneticPr fontId="4" type="noConversion"/>
  </si>
  <si>
    <r>
      <rPr>
        <sz val="11"/>
        <color rgb="FF000000"/>
        <rFont val="Calibri"/>
        <family val="3"/>
        <charset val="161"/>
      </rPr>
      <t>μ</t>
    </r>
    <r>
      <rPr>
        <sz val="11"/>
        <color rgb="FF000000"/>
        <rFont val="맑은 고딕"/>
        <family val="3"/>
        <charset val="129"/>
        <scheme val="minor"/>
      </rPr>
      <t>s/㎝</t>
    </r>
    <phoneticPr fontId="4" type="noConversion"/>
  </si>
  <si>
    <t>STABLETIME</t>
  </si>
  <si>
    <t>MY_TIME</t>
  </si>
  <si>
    <t>DAY</t>
  </si>
  <si>
    <t>충청남도 당진시 순성면 순성로 453-30번지</t>
    <phoneticPr fontId="7" type="noConversion"/>
  </si>
  <si>
    <t>순성중명아파트 이용허가 유효기간의 연장을 위한 지하수영향조사보고서</t>
    <phoneticPr fontId="7" type="noConversion"/>
  </si>
  <si>
    <t>순성중명아파트</t>
    <phoneticPr fontId="7" type="noConversion"/>
  </si>
  <si>
    <t>주식회사 한일지하수</t>
    <phoneticPr fontId="7" type="noConversion"/>
  </si>
  <si>
    <t>94
120
146
172
198</t>
  </si>
  <si>
    <t>16.09
18.31
20.80
23.58
27.81</t>
  </si>
  <si>
    <t>6.64
8.86
11.35
14.13
18.36</t>
  </si>
  <si>
    <t>14.157
13.544
12.881
12.173
10.773</t>
  </si>
  <si>
    <t>0.070638
0.073833
0.077633
0.082151
0.092821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</si>
</sst>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5">
    <numFmt numFmtId="176" formatCode="0.00_);[Red]\(0.00\)"/>
    <numFmt numFmtId="177" formatCode="0.000"/>
    <numFmt numFmtId="178" formatCode="0.0000"/>
    <numFmt numFmtId="179" formatCode="0.0000000"/>
    <numFmt numFmtId="180" formatCode="_(* #,##0_);_(* \(#,##0\);_(* &quot;-&quot;_);_(@_)"/>
    <numFmt numFmtId="181" formatCode="0.000_ "/>
    <numFmt numFmtId="182" formatCode="0.0"/>
    <numFmt numFmtId="183" formatCode="_-* #,##0.0_-;\-* #,##0.0_-;_-* &quot;-&quot;_-;_-@_-"/>
    <numFmt numFmtId="184" formatCode="_-* #,##0.0_-;\-* #,##0.0_-;_-* &quot;-&quot;??_-;_-@_-"/>
    <numFmt numFmtId="185" formatCode="\ 0\ &quot;지구&quot;\ "/>
    <numFmt numFmtId="186" formatCode="\ 0.00\ &quot;m&quot;\ "/>
    <numFmt numFmtId="187" formatCode="\ \ yy\ &quot;년&quot;\ \ \ m&quot; 월&quot;\ \ \ d\ &quot;일&quot;\ \ \ "/>
    <numFmt numFmtId="188" formatCode="0_);[Red]\(0\)"/>
    <numFmt numFmtId="189" formatCode="0.0000_ "/>
    <numFmt numFmtId="190" formatCode="0.0000000_ "/>
    <numFmt numFmtId="191" formatCode="&quot;t:&quot;0,000"/>
    <numFmt numFmtId="192" formatCode="0.0\ &quot;도&quot;"/>
    <numFmt numFmtId="193" formatCode="0.00_ "/>
    <numFmt numFmtId="194" formatCode="0_ "/>
    <numFmt numFmtId="195" formatCode="0.000\ &quot;%&quot;"/>
    <numFmt numFmtId="196" formatCode="\ 0.00"/>
    <numFmt numFmtId="197" formatCode="0.0_ "/>
    <numFmt numFmtId="198" formatCode="&quot;s`:&quot;0.00"/>
    <numFmt numFmtId="199" formatCode="0.0%"/>
    <numFmt numFmtId="200" formatCode="\ 0\ &quot;분&quot;\ "/>
    <numFmt numFmtId="201" formatCode="0.0\ &quot;Hp&quot;"/>
    <numFmt numFmtId="202" formatCode="h&quot;시&quot;\ mm&quot;분&quot;\ "/>
    <numFmt numFmtId="203" formatCode="0\ &quot;m/m&quot;"/>
    <numFmt numFmtId="204" formatCode="0\ &quot;M&quot;"/>
    <numFmt numFmtId="205" formatCode="0.00\ &quot;M&quot;"/>
    <numFmt numFmtId="206" formatCode="0.0\ &quot;M&quot;"/>
    <numFmt numFmtId="207" formatCode="\ 0\ \ "/>
    <numFmt numFmtId="208" formatCode="\ 0.00\ "/>
    <numFmt numFmtId="209" formatCode="#,##0.00;[Red]#,##0.00"/>
    <numFmt numFmtId="210" formatCode="\ 0\ "/>
    <numFmt numFmtId="211" formatCode="&quot;  마력 :&quot;\ 0.0&quot; HP&quot;"/>
    <numFmt numFmtId="212" formatCode="&quot;마력 :&quot;\ 0&quot; HP&quot;"/>
    <numFmt numFmtId="213" formatCode="yyyy&quot;년&quot;\ m&quot;월&quot;\ d&quot;일&quot;;@"/>
    <numFmt numFmtId="214" formatCode="0.00000"/>
    <numFmt numFmtId="215" formatCode="yy&quot;-&quot;m&quot;-&quot;d\ h:mm;@"/>
    <numFmt numFmtId="216" formatCode="#,##0.0_);[Red]\(#,##0.0\)"/>
    <numFmt numFmtId="217" formatCode="yyyy&quot;-&quot;mm&quot;-&quot;dd\ h:mm;@"/>
    <numFmt numFmtId="218" formatCode="#,##0.00_ "/>
    <numFmt numFmtId="219" formatCode="yyyy&quot;년&quot;\ mm&quot;월&quot;\ dd&quot;일&quot;\ h&quot;시&quot;\ mm&quot;분&quot;"/>
    <numFmt numFmtId="220" formatCode="0.000000"/>
  </numFmts>
  <fonts count="96">
    <font>
      <sz val="11"/>
      <color theme="1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name val="돋움"/>
      <family val="3"/>
      <charset val="129"/>
    </font>
    <font>
      <sz val="9"/>
      <name val="굴림체"/>
      <family val="3"/>
      <charset val="129"/>
    </font>
    <font>
      <sz val="8"/>
      <name val="맑은 고딕"/>
      <family val="2"/>
      <charset val="129"/>
      <scheme val="minor"/>
    </font>
    <font>
      <sz val="9"/>
      <color indexed="55"/>
      <name val="굴림체"/>
      <family val="3"/>
      <charset val="129"/>
    </font>
    <font>
      <sz val="11"/>
      <name val="굴림체"/>
      <family val="3"/>
      <charset val="129"/>
    </font>
    <font>
      <sz val="8"/>
      <name val="돋움"/>
      <family val="3"/>
      <charset val="129"/>
    </font>
    <font>
      <b/>
      <sz val="9"/>
      <name val="굴림체"/>
      <family val="3"/>
      <charset val="129"/>
    </font>
    <font>
      <sz val="9"/>
      <color indexed="10"/>
      <name val="굴림체"/>
      <family val="3"/>
      <charset val="129"/>
    </font>
    <font>
      <sz val="11"/>
      <color rgb="FF000000"/>
      <name val="돋움"/>
      <family val="3"/>
      <charset val="129"/>
    </font>
    <font>
      <sz val="8"/>
      <name val="굴림체"/>
      <family val="3"/>
      <charset val="129"/>
    </font>
    <font>
      <b/>
      <sz val="11"/>
      <name val="굴림체"/>
      <family val="3"/>
      <charset val="129"/>
    </font>
    <font>
      <sz val="10"/>
      <name val="맑은 고딕"/>
      <family val="3"/>
      <charset val="129"/>
    </font>
    <font>
      <sz val="11"/>
      <name val="맑은 고딕"/>
      <family val="3"/>
      <charset val="129"/>
    </font>
    <font>
      <sz val="9"/>
      <name val="맑은 고딕"/>
      <family val="3"/>
      <charset val="129"/>
    </font>
    <font>
      <sz val="10"/>
      <color indexed="8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color theme="0"/>
      <name val="맑은 고딕"/>
      <family val="3"/>
      <charset val="129"/>
    </font>
    <font>
      <sz val="10"/>
      <color indexed="10"/>
      <name val="맑은 고딕"/>
      <family val="3"/>
      <charset val="129"/>
    </font>
    <font>
      <sz val="9"/>
      <color indexed="10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sz val="8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1"/>
      <color indexed="8"/>
      <name val="Consolas"/>
      <family val="3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name val="Consolas"/>
      <family val="3"/>
    </font>
    <font>
      <sz val="11"/>
      <name val="Consolas"/>
      <family val="3"/>
      <charset val="129"/>
    </font>
    <font>
      <sz val="11"/>
      <color theme="1"/>
      <name val="맑은 고딕"/>
      <family val="2"/>
      <scheme val="minor"/>
    </font>
    <font>
      <b/>
      <sz val="11"/>
      <color indexed="10"/>
      <name val="맑은 고딕"/>
      <family val="3"/>
      <charset val="129"/>
    </font>
    <font>
      <i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2"/>
      <color theme="0"/>
      <name val="맑은 고딕"/>
      <family val="3"/>
      <charset val="129"/>
      <scheme val="minor"/>
    </font>
    <font>
      <sz val="10"/>
      <color indexed="8"/>
      <name val="굴림체"/>
      <family val="3"/>
      <charset val="129"/>
    </font>
    <font>
      <sz val="11"/>
      <color indexed="8"/>
      <name val="돋움체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sz val="8"/>
      <color indexed="8"/>
      <name val="굴림체"/>
      <family val="3"/>
      <charset val="129"/>
    </font>
    <font>
      <b/>
      <sz val="10"/>
      <color indexed="8"/>
      <name val="맑은 고딕"/>
      <family val="3"/>
      <charset val="129"/>
    </font>
    <font>
      <sz val="10"/>
      <color indexed="55"/>
      <name val="굴림체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b/>
      <sz val="9"/>
      <color indexed="81"/>
      <name val="돋움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1"/>
      <color indexed="55"/>
      <name val="돋움체"/>
      <family val="3"/>
      <charset val="129"/>
    </font>
    <font>
      <b/>
      <sz val="10"/>
      <name val="굴림체"/>
      <family val="3"/>
      <charset val="129"/>
    </font>
    <font>
      <b/>
      <sz val="16"/>
      <color indexed="8"/>
      <name val="맑은 고딕"/>
      <family val="3"/>
      <charset val="129"/>
    </font>
    <font>
      <sz val="18"/>
      <color indexed="8"/>
      <name val="맑은 고딕"/>
      <family val="3"/>
      <charset val="129"/>
    </font>
    <font>
      <sz val="10"/>
      <color indexed="9"/>
      <name val="맑은 고딕"/>
      <family val="3"/>
      <charset val="129"/>
    </font>
    <font>
      <sz val="18"/>
      <color indexed="9"/>
      <name val="맑은 고딕"/>
      <family val="3"/>
      <charset val="129"/>
    </font>
    <font>
      <b/>
      <sz val="14"/>
      <color indexed="8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sz val="11"/>
      <color indexed="81"/>
      <name val="Tahoma"/>
      <family val="2"/>
    </font>
    <font>
      <sz val="12"/>
      <color indexed="81"/>
      <name val="Tahoma"/>
      <family val="2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4"/>
      <color rgb="FF836967"/>
      <name val="Cambria Math"/>
      <family val="1"/>
    </font>
    <font>
      <sz val="11"/>
      <color rgb="FF000000"/>
      <name val="Calibri"/>
      <family val="2"/>
    </font>
    <font>
      <sz val="11"/>
      <color rgb="FF000000"/>
      <name val="Cambria Math"/>
      <family val="1"/>
    </font>
    <font>
      <sz val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</font>
    <font>
      <sz val="9"/>
      <color theme="1"/>
      <name val="굴림체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1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sz val="10"/>
      <color indexed="8"/>
      <name val="맑은 고딕"/>
      <family val="3"/>
      <charset val="129"/>
      <scheme val="major"/>
    </font>
    <font>
      <sz val="10.6"/>
      <color indexed="8"/>
      <name val="맑은 고딕"/>
      <family val="3"/>
      <charset val="129"/>
    </font>
    <font>
      <sz val="10.6"/>
      <color indexed="9"/>
      <name val="맑은 고딕"/>
      <family val="3"/>
      <charset val="129"/>
    </font>
    <font>
      <sz val="10.5"/>
      <name val="맑은 고딕"/>
      <family val="3"/>
      <charset val="129"/>
      <scheme val="major"/>
    </font>
    <font>
      <sz val="9"/>
      <color indexed="8"/>
      <name val="굴림체"/>
      <family val="3"/>
      <charset val="129"/>
    </font>
    <font>
      <sz val="9"/>
      <color indexed="8"/>
      <name val="맑은 고딕"/>
      <family val="3"/>
      <charset val="129"/>
      <scheme val="major"/>
    </font>
    <font>
      <sz val="10"/>
      <color indexed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  <scheme val="major"/>
    </font>
    <font>
      <b/>
      <i/>
      <sz val="14"/>
      <color rgb="FFFF0000"/>
      <name val="맑은 고딕"/>
      <family val="3"/>
      <charset val="129"/>
    </font>
    <font>
      <b/>
      <sz val="10"/>
      <color indexed="81"/>
      <name val="Tahoma"/>
      <family val="2"/>
    </font>
    <font>
      <b/>
      <sz val="10"/>
      <color indexed="81"/>
      <name val="돋움"/>
      <family val="3"/>
      <charset val="129"/>
    </font>
    <font>
      <b/>
      <sz val="11"/>
      <color indexed="81"/>
      <name val="Tahoma"/>
      <family val="2"/>
    </font>
    <font>
      <b/>
      <sz val="11"/>
      <color indexed="81"/>
      <name val="돋움"/>
      <family val="3"/>
      <charset val="129"/>
    </font>
    <font>
      <sz val="10"/>
      <color rgb="FF00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b/>
      <sz val="20"/>
      <color rgb="FF000000"/>
      <name val="맑은 고딕"/>
      <family val="3"/>
      <charset val="129"/>
      <scheme val="major"/>
    </font>
    <font>
      <sz val="11"/>
      <color rgb="FF000000"/>
      <name val="맑은 고딕"/>
      <family val="3"/>
      <charset val="129"/>
      <scheme val="major"/>
    </font>
    <font>
      <b/>
      <sz val="20"/>
      <color rgb="FF00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ajor"/>
    </font>
    <font>
      <sz val="10"/>
      <color rgb="FF000000"/>
      <name val="맑은 고딕"/>
      <family val="3"/>
      <charset val="129"/>
      <scheme val="major"/>
    </font>
    <font>
      <sz val="12"/>
      <color theme="1"/>
      <name val="맑은 고딕"/>
      <family val="3"/>
      <charset val="129"/>
      <scheme val="major"/>
    </font>
    <font>
      <b/>
      <sz val="15"/>
      <color rgb="FF000000"/>
      <name val="맑은 고딕"/>
      <family val="3"/>
      <charset val="129"/>
      <scheme val="major"/>
    </font>
    <font>
      <sz val="11"/>
      <color rgb="FF000000"/>
      <name val="Calibri"/>
      <family val="3"/>
      <charset val="161"/>
    </font>
    <font>
      <sz val="11"/>
      <color rgb="FF000000"/>
      <name val="맑은 고딕"/>
      <family val="3"/>
      <charset val="161"/>
      <scheme val="minor"/>
    </font>
    <font>
      <b/>
      <sz val="11"/>
      <color theme="0"/>
      <name val="맑은 고딕"/>
      <family val="2"/>
      <charset val="129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indexed="1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DBF3D9"/>
        <bgColor indexed="64"/>
      </patternFill>
    </fill>
    <fill>
      <patternFill patternType="solid">
        <fgColor rgb="FFE7E7FF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7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dashed">
        <color auto="1"/>
      </top>
      <bottom style="dashed">
        <color indexed="64"/>
      </bottom>
      <diagonal/>
    </border>
    <border>
      <left/>
      <right style="medium">
        <color indexed="64"/>
      </right>
      <top style="dashed">
        <color auto="1"/>
      </top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auto="1"/>
      </bottom>
      <diagonal/>
    </border>
    <border>
      <left/>
      <right/>
      <top style="medium">
        <color indexed="64"/>
      </top>
      <bottom style="dashed">
        <color auto="1"/>
      </bottom>
      <diagonal/>
    </border>
    <border>
      <left/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/>
      <top style="dashed">
        <color auto="1"/>
      </top>
      <bottom style="medium">
        <color indexed="64"/>
      </bottom>
      <diagonal/>
    </border>
    <border>
      <left/>
      <right style="medium">
        <color indexed="64"/>
      </right>
      <top style="dashed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theme="9" tint="0.39997558519241921"/>
      </top>
      <bottom/>
      <diagonal/>
    </border>
  </borders>
  <cellStyleXfs count="6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2" fillId="0" borderId="0"/>
    <xf numFmtId="180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>
      <alignment vertical="center"/>
    </xf>
  </cellStyleXfs>
  <cellXfs count="610">
    <xf numFmtId="0" fontId="0" fillId="0" borderId="0" xfId="0">
      <alignment vertical="center"/>
    </xf>
    <xf numFmtId="0" fontId="3" fillId="0" borderId="0" xfId="2" applyFont="1"/>
    <xf numFmtId="0" fontId="6" fillId="0" borderId="0" xfId="2" applyFont="1"/>
    <xf numFmtId="0" fontId="5" fillId="0" borderId="0" xfId="2" applyFont="1" applyAlignment="1">
      <alignment horizontal="center" vertical="center"/>
    </xf>
    <xf numFmtId="0" fontId="3" fillId="0" borderId="0" xfId="2" applyFont="1" applyAlignment="1">
      <alignment horizontal="center" vertical="center"/>
    </xf>
    <xf numFmtId="0" fontId="10" fillId="0" borderId="0" xfId="2" applyFont="1" applyAlignment="1">
      <alignment horizontal="center" vertical="center" readingOrder="1"/>
    </xf>
    <xf numFmtId="0" fontId="2" fillId="0" borderId="0" xfId="2"/>
    <xf numFmtId="0" fontId="3" fillId="0" borderId="0" xfId="2" applyFont="1" applyAlignment="1">
      <alignment horizontal="right"/>
    </xf>
    <xf numFmtId="177" fontId="6" fillId="0" borderId="0" xfId="2" applyNumberFormat="1" applyFont="1"/>
    <xf numFmtId="0" fontId="28" fillId="0" borderId="0" xfId="2" applyFont="1" applyAlignment="1">
      <alignment horizontal="center" vertical="center"/>
    </xf>
    <xf numFmtId="0" fontId="29" fillId="0" borderId="0" xfId="2" applyFont="1" applyAlignment="1">
      <alignment horizontal="center" vertical="center"/>
    </xf>
    <xf numFmtId="0" fontId="14" fillId="0" borderId="0" xfId="2" applyFont="1" applyAlignment="1">
      <alignment horizontal="center" vertical="center"/>
    </xf>
    <xf numFmtId="0" fontId="30" fillId="0" borderId="0" xfId="2" applyFont="1" applyAlignment="1">
      <alignment horizontal="center" vertical="center"/>
    </xf>
    <xf numFmtId="0" fontId="23" fillId="0" borderId="0" xfId="2" applyFont="1" applyAlignment="1">
      <alignment horizontal="center" vertical="center"/>
    </xf>
    <xf numFmtId="0" fontId="14" fillId="0" borderId="0" xfId="5" applyFont="1">
      <alignment vertical="center"/>
    </xf>
    <xf numFmtId="0" fontId="14" fillId="0" borderId="0" xfId="5" applyFont="1" applyAlignment="1">
      <alignment horizontal="center" vertical="center"/>
    </xf>
    <xf numFmtId="0" fontId="32" fillId="0" borderId="0" xfId="5" applyFont="1" applyAlignment="1">
      <alignment horizontal="left" vertical="center"/>
    </xf>
    <xf numFmtId="0" fontId="17" fillId="0" borderId="0" xfId="5" applyFont="1">
      <alignment vertical="center"/>
    </xf>
    <xf numFmtId="192" fontId="14" fillId="0" borderId="0" xfId="5" applyNumberFormat="1" applyFont="1">
      <alignment vertical="center"/>
    </xf>
    <xf numFmtId="0" fontId="14" fillId="0" borderId="1" xfId="5" applyFont="1" applyBorder="1" applyAlignment="1">
      <alignment horizontal="center" vertical="center"/>
    </xf>
    <xf numFmtId="193" fontId="14" fillId="0" borderId="0" xfId="5" applyNumberFormat="1" applyFont="1">
      <alignment vertical="center"/>
    </xf>
    <xf numFmtId="0" fontId="14" fillId="0" borderId="19" xfId="5" applyFont="1" applyBorder="1">
      <alignment vertical="center"/>
    </xf>
    <xf numFmtId="195" fontId="14" fillId="0" borderId="0" xfId="5" applyNumberFormat="1" applyFont="1">
      <alignment vertical="center"/>
    </xf>
    <xf numFmtId="196" fontId="17" fillId="0" borderId="0" xfId="5" applyNumberFormat="1" applyFont="1">
      <alignment vertical="center"/>
    </xf>
    <xf numFmtId="0" fontId="34" fillId="0" borderId="0" xfId="5" applyFont="1" applyAlignment="1">
      <alignment horizontal="right" vertical="center"/>
    </xf>
    <xf numFmtId="0" fontId="14" fillId="0" borderId="22" xfId="5" applyFont="1" applyBorder="1">
      <alignment vertical="center"/>
    </xf>
    <xf numFmtId="0" fontId="14" fillId="0" borderId="26" xfId="5" applyFont="1" applyBorder="1">
      <alignment vertical="center"/>
    </xf>
    <xf numFmtId="0" fontId="14" fillId="0" borderId="4" xfId="5" applyFont="1" applyBorder="1">
      <alignment vertical="center"/>
    </xf>
    <xf numFmtId="0" fontId="14" fillId="0" borderId="4" xfId="5" applyFont="1" applyBorder="1" applyAlignment="1">
      <alignment horizontal="center" vertical="center"/>
    </xf>
    <xf numFmtId="0" fontId="13" fillId="0" borderId="26" xfId="5" applyFont="1" applyBorder="1" applyAlignment="1">
      <alignment horizontal="center" vertical="center"/>
    </xf>
    <xf numFmtId="178" fontId="14" fillId="0" borderId="29" xfId="5" applyNumberFormat="1" applyFont="1" applyBorder="1" applyAlignment="1">
      <alignment horizontal="center" vertical="center"/>
    </xf>
    <xf numFmtId="0" fontId="14" fillId="0" borderId="29" xfId="5" applyFont="1" applyBorder="1" applyAlignment="1">
      <alignment horizontal="center" vertical="center"/>
    </xf>
    <xf numFmtId="178" fontId="14" fillId="0" borderId="0" xfId="5" applyNumberFormat="1" applyFont="1">
      <alignment vertical="center"/>
    </xf>
    <xf numFmtId="0" fontId="14" fillId="0" borderId="23" xfId="5" applyFont="1" applyBorder="1">
      <alignment vertical="center"/>
    </xf>
    <xf numFmtId="0" fontId="14" fillId="0" borderId="23" xfId="5" applyFont="1" applyBorder="1" applyAlignment="1">
      <alignment horizontal="center" vertical="center"/>
    </xf>
    <xf numFmtId="0" fontId="14" fillId="0" borderId="27" xfId="5" applyFont="1" applyBorder="1" applyAlignment="1">
      <alignment horizontal="center" vertical="center"/>
    </xf>
    <xf numFmtId="0" fontId="14" fillId="0" borderId="30" xfId="5" applyFont="1" applyBorder="1" applyAlignment="1">
      <alignment horizontal="center" vertical="center"/>
    </xf>
    <xf numFmtId="0" fontId="14" fillId="0" borderId="31" xfId="5" applyFont="1" applyBorder="1" applyAlignment="1">
      <alignment horizontal="center" vertical="center"/>
    </xf>
    <xf numFmtId="0" fontId="14" fillId="0" borderId="0" xfId="5" applyFont="1" applyAlignment="1">
      <alignment horizontal="right" vertical="center"/>
    </xf>
    <xf numFmtId="0" fontId="2" fillId="0" borderId="0" xfId="2" applyAlignment="1">
      <alignment horizontal="center"/>
    </xf>
    <xf numFmtId="0" fontId="28" fillId="0" borderId="0" xfId="2" applyFont="1" applyAlignment="1">
      <alignment horizontal="right" vertical="center"/>
    </xf>
    <xf numFmtId="0" fontId="28" fillId="0" borderId="0" xfId="2" applyFont="1" applyAlignment="1">
      <alignment vertical="center"/>
    </xf>
    <xf numFmtId="0" fontId="28" fillId="0" borderId="0" xfId="2" applyFont="1" applyAlignment="1">
      <alignment horizontal="right" vertical="center" wrapText="1"/>
    </xf>
    <xf numFmtId="0" fontId="28" fillId="0" borderId="0" xfId="2" quotePrefix="1" applyFont="1" applyAlignment="1">
      <alignment horizontal="right" vertical="center" wrapText="1"/>
    </xf>
    <xf numFmtId="0" fontId="35" fillId="15" borderId="12" xfId="2" applyFont="1" applyFill="1" applyBorder="1" applyAlignment="1">
      <alignment horizontal="right" vertical="center"/>
    </xf>
    <xf numFmtId="0" fontId="35" fillId="15" borderId="14" xfId="2" applyFont="1" applyFill="1" applyBorder="1" applyAlignment="1">
      <alignment horizontal="right" vertical="center"/>
    </xf>
    <xf numFmtId="0" fontId="35" fillId="15" borderId="34" xfId="2" applyFont="1" applyFill="1" applyBorder="1" applyAlignment="1">
      <alignment horizontal="right" vertical="center"/>
    </xf>
    <xf numFmtId="0" fontId="36" fillId="0" borderId="0" xfId="2" applyFont="1"/>
    <xf numFmtId="0" fontId="36" fillId="0" borderId="0" xfId="2" applyFont="1" applyAlignment="1">
      <alignment horizontal="center"/>
    </xf>
    <xf numFmtId="0" fontId="36" fillId="0" borderId="0" xfId="2" applyFont="1" applyAlignment="1">
      <alignment vertical="top"/>
    </xf>
    <xf numFmtId="181" fontId="36" fillId="0" borderId="0" xfId="2" applyNumberFormat="1" applyFont="1"/>
    <xf numFmtId="0" fontId="36" fillId="0" borderId="0" xfId="2" applyFont="1" applyAlignment="1">
      <alignment vertical="center"/>
    </xf>
    <xf numFmtId="0" fontId="36" fillId="3" borderId="0" xfId="2" applyFont="1" applyFill="1" applyAlignment="1">
      <alignment vertical="center"/>
    </xf>
    <xf numFmtId="0" fontId="36" fillId="0" borderId="0" xfId="2" applyFont="1" applyAlignment="1">
      <alignment horizontal="center" vertical="center"/>
    </xf>
    <xf numFmtId="181" fontId="36" fillId="0" borderId="0" xfId="2" applyNumberFormat="1" applyFont="1" applyAlignment="1">
      <alignment horizontal="center" vertical="center"/>
    </xf>
    <xf numFmtId="1" fontId="36" fillId="0" borderId="0" xfId="2" applyNumberFormat="1" applyFont="1" applyAlignment="1">
      <alignment vertical="center"/>
    </xf>
    <xf numFmtId="200" fontId="36" fillId="0" borderId="0" xfId="2" applyNumberFormat="1" applyFont="1" applyAlignment="1">
      <alignment vertical="center"/>
    </xf>
    <xf numFmtId="2" fontId="36" fillId="0" borderId="0" xfId="2" applyNumberFormat="1" applyFont="1" applyAlignment="1">
      <alignment vertical="center"/>
    </xf>
    <xf numFmtId="176" fontId="36" fillId="0" borderId="0" xfId="2" applyNumberFormat="1" applyFont="1" applyAlignment="1">
      <alignment vertical="center"/>
    </xf>
    <xf numFmtId="177" fontId="36" fillId="16" borderId="0" xfId="2" applyNumberFormat="1" applyFont="1" applyFill="1" applyAlignment="1">
      <alignment vertical="center"/>
    </xf>
    <xf numFmtId="182" fontId="36" fillId="0" borderId="0" xfId="2" applyNumberFormat="1" applyFont="1" applyAlignment="1">
      <alignment vertical="center"/>
    </xf>
    <xf numFmtId="181" fontId="36" fillId="0" borderId="0" xfId="2" applyNumberFormat="1" applyFont="1" applyAlignment="1">
      <alignment vertical="center"/>
    </xf>
    <xf numFmtId="0" fontId="38" fillId="0" borderId="0" xfId="2" applyFont="1" applyAlignment="1">
      <alignment vertical="center"/>
    </xf>
    <xf numFmtId="193" fontId="38" fillId="17" borderId="0" xfId="2" applyNumberFormat="1" applyFont="1" applyFill="1" applyAlignment="1">
      <alignment horizontal="center" vertical="center"/>
    </xf>
    <xf numFmtId="186" fontId="2" fillId="0" borderId="0" xfId="2" applyNumberFormat="1"/>
    <xf numFmtId="208" fontId="37" fillId="0" borderId="1" xfId="2" applyNumberFormat="1" applyFont="1" applyBorder="1" applyAlignment="1">
      <alignment horizontal="center" vertical="center"/>
    </xf>
    <xf numFmtId="186" fontId="36" fillId="0" borderId="0" xfId="2" applyNumberFormat="1" applyFont="1" applyAlignment="1">
      <alignment vertical="center"/>
    </xf>
    <xf numFmtId="0" fontId="39" fillId="18" borderId="0" xfId="2" applyFont="1" applyFill="1" applyAlignment="1">
      <alignment horizontal="center" vertical="center" wrapText="1"/>
    </xf>
    <xf numFmtId="209" fontId="36" fillId="8" borderId="0" xfId="2" applyNumberFormat="1" applyFont="1" applyFill="1" applyAlignment="1">
      <alignment horizontal="center" vertical="center"/>
    </xf>
    <xf numFmtId="0" fontId="36" fillId="8" borderId="0" xfId="2" applyFont="1" applyFill="1" applyAlignment="1">
      <alignment horizontal="center" vertical="center"/>
    </xf>
    <xf numFmtId="0" fontId="36" fillId="8" borderId="0" xfId="2" applyFont="1" applyFill="1" applyAlignment="1">
      <alignment horizontal="right" vertical="center" wrapText="1"/>
    </xf>
    <xf numFmtId="196" fontId="36" fillId="8" borderId="0" xfId="2" applyNumberFormat="1" applyFont="1" applyFill="1" applyAlignment="1">
      <alignment vertical="center"/>
    </xf>
    <xf numFmtId="0" fontId="36" fillId="3" borderId="0" xfId="2" applyFont="1" applyFill="1" applyAlignment="1">
      <alignment horizontal="center" vertical="center"/>
    </xf>
    <xf numFmtId="0" fontId="36" fillId="12" borderId="0" xfId="2" applyFont="1" applyFill="1" applyAlignment="1">
      <alignment horizontal="center" vertical="center"/>
    </xf>
    <xf numFmtId="0" fontId="36" fillId="0" borderId="0" xfId="2" applyFont="1" applyAlignment="1">
      <alignment horizontal="right" vertical="center"/>
    </xf>
    <xf numFmtId="205" fontId="36" fillId="0" borderId="0" xfId="2" applyNumberFormat="1" applyFont="1" applyAlignment="1">
      <alignment vertical="center"/>
    </xf>
    <xf numFmtId="176" fontId="36" fillId="0" borderId="0" xfId="2" applyNumberFormat="1" applyFont="1" applyAlignment="1">
      <alignment vertical="center" shrinkToFit="1"/>
    </xf>
    <xf numFmtId="0" fontId="41" fillId="6" borderId="0" xfId="2" applyFont="1" applyFill="1" applyAlignment="1">
      <alignment horizontal="center" vertical="center"/>
    </xf>
    <xf numFmtId="210" fontId="36" fillId="0" borderId="0" xfId="2" applyNumberFormat="1" applyFont="1" applyAlignment="1">
      <alignment vertical="center"/>
    </xf>
    <xf numFmtId="176" fontId="36" fillId="12" borderId="0" xfId="2" applyNumberFormat="1" applyFont="1" applyFill="1" applyAlignment="1">
      <alignment vertical="center"/>
    </xf>
    <xf numFmtId="196" fontId="36" fillId="0" borderId="0" xfId="2" applyNumberFormat="1" applyFont="1" applyAlignment="1">
      <alignment vertical="center"/>
    </xf>
    <xf numFmtId="210" fontId="36" fillId="0" borderId="0" xfId="2" applyNumberFormat="1" applyFont="1" applyAlignment="1">
      <alignment horizontal="right" vertical="center"/>
    </xf>
    <xf numFmtId="210" fontId="36" fillId="0" borderId="0" xfId="2" applyNumberFormat="1" applyFont="1" applyAlignment="1">
      <alignment horizontal="right"/>
    </xf>
    <xf numFmtId="200" fontId="42" fillId="0" borderId="0" xfId="2" applyNumberFormat="1" applyFont="1" applyAlignment="1">
      <alignment vertical="center"/>
    </xf>
    <xf numFmtId="214" fontId="36" fillId="0" borderId="0" xfId="2" applyNumberFormat="1" applyFont="1" applyAlignment="1">
      <alignment vertical="center"/>
    </xf>
    <xf numFmtId="0" fontId="43" fillId="0" borderId="0" xfId="2" applyFont="1" applyAlignment="1">
      <alignment vertical="center"/>
    </xf>
    <xf numFmtId="1" fontId="36" fillId="5" borderId="0" xfId="2" applyNumberFormat="1" applyFont="1" applyFill="1" applyAlignment="1">
      <alignment vertical="center"/>
    </xf>
    <xf numFmtId="0" fontId="36" fillId="5" borderId="0" xfId="2" applyFont="1" applyFill="1" applyAlignment="1">
      <alignment vertical="center"/>
    </xf>
    <xf numFmtId="200" fontId="36" fillId="5" borderId="0" xfId="2" applyNumberFormat="1" applyFont="1" applyFill="1" applyAlignment="1">
      <alignment vertical="center"/>
    </xf>
    <xf numFmtId="176" fontId="36" fillId="5" borderId="0" xfId="2" applyNumberFormat="1" applyFont="1" applyFill="1" applyAlignment="1">
      <alignment vertical="center" shrinkToFit="1"/>
    </xf>
    <xf numFmtId="0" fontId="43" fillId="5" borderId="0" xfId="2" applyFont="1" applyFill="1" applyAlignment="1">
      <alignment vertical="center"/>
    </xf>
    <xf numFmtId="200" fontId="1" fillId="2" borderId="0" xfId="1" applyNumberFormat="1">
      <alignment vertical="center"/>
    </xf>
    <xf numFmtId="176" fontId="1" fillId="2" borderId="0" xfId="1" applyNumberFormat="1" applyAlignment="1">
      <alignment vertical="center" shrinkToFit="1"/>
    </xf>
    <xf numFmtId="2" fontId="1" fillId="2" borderId="0" xfId="1" applyNumberFormat="1">
      <alignment vertical="center"/>
    </xf>
    <xf numFmtId="0" fontId="36" fillId="0" borderId="0" xfId="2" applyFont="1" applyAlignment="1">
      <alignment vertical="center" shrinkToFit="1"/>
    </xf>
    <xf numFmtId="200" fontId="36" fillId="0" borderId="0" xfId="2" applyNumberFormat="1" applyFont="1" applyAlignment="1">
      <alignment horizontal="right"/>
    </xf>
    <xf numFmtId="0" fontId="36" fillId="0" borderId="0" xfId="2" applyFont="1" applyAlignment="1">
      <alignment shrinkToFit="1"/>
    </xf>
    <xf numFmtId="0" fontId="14" fillId="0" borderId="0" xfId="2" applyFont="1" applyAlignment="1">
      <alignment horizontal="left"/>
    </xf>
    <xf numFmtId="2" fontId="14" fillId="0" borderId="0" xfId="2" applyNumberFormat="1" applyFont="1" applyAlignment="1">
      <alignment horizontal="left"/>
    </xf>
    <xf numFmtId="0" fontId="14" fillId="0" borderId="0" xfId="2" applyFont="1" applyAlignment="1">
      <alignment vertical="center"/>
    </xf>
    <xf numFmtId="207" fontId="37" fillId="0" borderId="1" xfId="2" applyNumberFormat="1" applyFont="1" applyBorder="1" applyAlignment="1">
      <alignment horizontal="center" vertical="center"/>
    </xf>
    <xf numFmtId="207" fontId="37" fillId="3" borderId="1" xfId="2" applyNumberFormat="1" applyFont="1" applyFill="1" applyBorder="1" applyAlignment="1">
      <alignment horizontal="center" vertical="center"/>
    </xf>
    <xf numFmtId="0" fontId="2" fillId="19" borderId="0" xfId="2" applyFill="1"/>
    <xf numFmtId="181" fontId="2" fillId="19" borderId="0" xfId="2" applyNumberFormat="1" applyFill="1"/>
    <xf numFmtId="208" fontId="47" fillId="0" borderId="1" xfId="2" applyNumberFormat="1" applyFont="1" applyBorder="1" applyAlignment="1">
      <alignment horizontal="center" vertical="center"/>
    </xf>
    <xf numFmtId="193" fontId="2" fillId="19" borderId="0" xfId="2" applyNumberFormat="1" applyFill="1"/>
    <xf numFmtId="176" fontId="2" fillId="19" borderId="0" xfId="2" applyNumberFormat="1" applyFill="1"/>
    <xf numFmtId="208" fontId="37" fillId="19" borderId="1" xfId="2" applyNumberFormat="1" applyFont="1" applyFill="1" applyBorder="1" applyAlignment="1">
      <alignment horizontal="center" vertical="center"/>
    </xf>
    <xf numFmtId="0" fontId="14" fillId="0" borderId="33" xfId="5" applyFont="1" applyBorder="1" applyAlignment="1">
      <alignment horizontal="center" vertical="center"/>
    </xf>
    <xf numFmtId="0" fontId="6" fillId="0" borderId="0" xfId="2" applyFont="1" applyAlignment="1">
      <alignment horizontal="center" vertical="center" wrapText="1"/>
    </xf>
    <xf numFmtId="0" fontId="3" fillId="0" borderId="0" xfId="2" applyFont="1" applyAlignment="1">
      <alignment horizontal="center" vertical="center" wrapText="1"/>
    </xf>
    <xf numFmtId="0" fontId="17" fillId="0" borderId="4" xfId="5" applyFont="1" applyBorder="1" applyAlignment="1">
      <alignment horizontal="center" vertical="center"/>
    </xf>
    <xf numFmtId="0" fontId="14" fillId="0" borderId="25" xfId="5" applyFont="1" applyBorder="1" applyAlignment="1">
      <alignment horizontal="center" vertical="center"/>
    </xf>
    <xf numFmtId="0" fontId="29" fillId="0" borderId="0" xfId="2" applyFont="1" applyAlignment="1">
      <alignment horizontal="left"/>
    </xf>
    <xf numFmtId="2" fontId="29" fillId="0" borderId="0" xfId="2" applyNumberFormat="1" applyFont="1" applyAlignment="1">
      <alignment horizontal="left"/>
    </xf>
    <xf numFmtId="1" fontId="29" fillId="0" borderId="0" xfId="2" applyNumberFormat="1" applyFont="1" applyAlignment="1">
      <alignment horizontal="left"/>
    </xf>
    <xf numFmtId="178" fontId="29" fillId="0" borderId="0" xfId="2" applyNumberFormat="1" applyFont="1" applyAlignment="1">
      <alignment horizontal="left"/>
    </xf>
    <xf numFmtId="193" fontId="29" fillId="0" borderId="0" xfId="2" applyNumberFormat="1" applyFont="1" applyAlignment="1">
      <alignment horizontal="left"/>
    </xf>
    <xf numFmtId="0" fontId="49" fillId="0" borderId="0" xfId="2" applyFont="1" applyAlignment="1">
      <alignment horizontal="centerContinuous" vertical="center"/>
    </xf>
    <xf numFmtId="0" fontId="50" fillId="0" borderId="0" xfId="2" applyFont="1" applyAlignment="1">
      <alignment horizontal="centerContinuous" vertical="center"/>
    </xf>
    <xf numFmtId="0" fontId="16" fillId="0" borderId="1" xfId="2" applyFont="1" applyBorder="1" applyAlignment="1">
      <alignment horizontal="centerContinuous" vertical="center"/>
    </xf>
    <xf numFmtId="0" fontId="16" fillId="0" borderId="2" xfId="2" applyFont="1" applyBorder="1" applyAlignment="1">
      <alignment horizontal="left" vertical="center"/>
    </xf>
    <xf numFmtId="0" fontId="16" fillId="0" borderId="6" xfId="2" applyFont="1" applyBorder="1" applyAlignment="1">
      <alignment vertical="center"/>
    </xf>
    <xf numFmtId="0" fontId="16" fillId="0" borderId="7" xfId="2" applyFont="1" applyBorder="1" applyAlignment="1">
      <alignment horizontal="center" vertical="center"/>
    </xf>
    <xf numFmtId="0" fontId="16" fillId="0" borderId="6" xfId="2" applyFont="1" applyBorder="1" applyAlignment="1">
      <alignment horizontal="right" vertical="center"/>
    </xf>
    <xf numFmtId="0" fontId="16" fillId="0" borderId="6" xfId="2" applyFont="1" applyBorder="1" applyAlignment="1">
      <alignment horizontal="centerContinuous" vertical="center"/>
    </xf>
    <xf numFmtId="0" fontId="16" fillId="0" borderId="7" xfId="2" applyFont="1" applyBorder="1" applyAlignment="1">
      <alignment horizontal="centerContinuous" vertical="center"/>
    </xf>
    <xf numFmtId="0" fontId="16" fillId="0" borderId="2" xfId="2" applyFont="1" applyBorder="1" applyAlignment="1">
      <alignment vertical="center"/>
    </xf>
    <xf numFmtId="0" fontId="51" fillId="0" borderId="6" xfId="2" applyFont="1" applyBorder="1" applyAlignment="1">
      <alignment horizontal="center" vertical="center"/>
    </xf>
    <xf numFmtId="187" fontId="51" fillId="0" borderId="7" xfId="2" applyNumberFormat="1" applyFont="1" applyBorder="1" applyAlignment="1">
      <alignment horizontal="centerContinuous" vertical="center"/>
    </xf>
    <xf numFmtId="0" fontId="51" fillId="0" borderId="1" xfId="2" applyFont="1" applyBorder="1" applyAlignment="1">
      <alignment horizontal="centerContinuous" vertical="center"/>
    </xf>
    <xf numFmtId="212" fontId="16" fillId="0" borderId="1" xfId="2" applyNumberFormat="1" applyFont="1" applyBorder="1" applyAlignment="1">
      <alignment horizontal="center" vertical="center"/>
    </xf>
    <xf numFmtId="203" fontId="16" fillId="0" borderId="2" xfId="2" applyNumberFormat="1" applyFont="1" applyBorder="1" applyAlignment="1">
      <alignment horizontal="center" vertical="center"/>
    </xf>
    <xf numFmtId="0" fontId="16" fillId="0" borderId="7" xfId="2" applyFont="1" applyBorder="1" applyAlignment="1">
      <alignment vertical="center"/>
    </xf>
    <xf numFmtId="0" fontId="16" fillId="0" borderId="1" xfId="2" applyFont="1" applyBorder="1" applyAlignment="1">
      <alignment horizontal="center" vertical="center"/>
    </xf>
    <xf numFmtId="204" fontId="16" fillId="0" borderId="1" xfId="2" applyNumberFormat="1" applyFont="1" applyBorder="1" applyAlignment="1">
      <alignment horizontal="right" vertical="center"/>
    </xf>
    <xf numFmtId="202" fontId="16" fillId="0" borderId="1" xfId="2" applyNumberFormat="1" applyFont="1" applyBorder="1" applyAlignment="1">
      <alignment horizontal="center" vertical="center"/>
    </xf>
    <xf numFmtId="205" fontId="16" fillId="0" borderId="2" xfId="2" applyNumberFormat="1" applyFont="1" applyBorder="1" applyAlignment="1">
      <alignment horizontal="center" vertical="center"/>
    </xf>
    <xf numFmtId="205" fontId="16" fillId="0" borderId="1" xfId="2" applyNumberFormat="1" applyFont="1" applyBorder="1" applyAlignment="1">
      <alignment horizontal="right" vertical="center"/>
    </xf>
    <xf numFmtId="0" fontId="16" fillId="0" borderId="1" xfId="2" applyFont="1" applyBorder="1" applyAlignment="1">
      <alignment horizontal="center" vertical="center" wrapText="1"/>
    </xf>
    <xf numFmtId="0" fontId="16" fillId="0" borderId="1" xfId="2" applyFont="1" applyBorder="1" applyAlignment="1">
      <alignment vertical="center"/>
    </xf>
    <xf numFmtId="1" fontId="16" fillId="0" borderId="1" xfId="2" applyNumberFormat="1" applyFont="1" applyBorder="1" applyAlignment="1">
      <alignment vertical="center"/>
    </xf>
    <xf numFmtId="202" fontId="16" fillId="0" borderId="1" xfId="2" applyNumberFormat="1" applyFont="1" applyBorder="1" applyAlignment="1">
      <alignment vertical="center"/>
    </xf>
    <xf numFmtId="210" fontId="16" fillId="0" borderId="2" xfId="2" applyNumberFormat="1" applyFont="1" applyBorder="1" applyAlignment="1">
      <alignment horizontal="right" vertical="center"/>
    </xf>
    <xf numFmtId="196" fontId="16" fillId="0" borderId="1" xfId="2" applyNumberFormat="1" applyFont="1" applyBorder="1" applyAlignment="1">
      <alignment vertical="center"/>
    </xf>
    <xf numFmtId="196" fontId="16" fillId="5" borderId="1" xfId="2" applyNumberFormat="1" applyFont="1" applyFill="1" applyBorder="1" applyAlignment="1">
      <alignment vertical="center"/>
    </xf>
    <xf numFmtId="213" fontId="16" fillId="0" borderId="1" xfId="2" applyNumberFormat="1" applyFont="1" applyBorder="1" applyAlignment="1">
      <alignment vertical="center"/>
    </xf>
    <xf numFmtId="210" fontId="16" fillId="5" borderId="2" xfId="2" applyNumberFormat="1" applyFont="1" applyFill="1" applyBorder="1" applyAlignment="1">
      <alignment horizontal="right" vertical="center"/>
    </xf>
    <xf numFmtId="196" fontId="16" fillId="8" borderId="1" xfId="2" applyNumberFormat="1" applyFont="1" applyFill="1" applyBorder="1" applyAlignment="1">
      <alignment vertical="center"/>
    </xf>
    <xf numFmtId="0" fontId="52" fillId="0" borderId="0" xfId="2" applyFont="1"/>
    <xf numFmtId="0" fontId="16" fillId="0" borderId="0" xfId="2" applyFont="1"/>
    <xf numFmtId="0" fontId="16" fillId="0" borderId="0" xfId="2" applyFont="1" applyAlignment="1">
      <alignment horizontal="center"/>
    </xf>
    <xf numFmtId="0" fontId="53" fillId="0" borderId="0" xfId="2" applyFont="1"/>
    <xf numFmtId="0" fontId="50" fillId="0" borderId="0" xfId="2" applyFont="1" applyAlignment="1">
      <alignment horizontal="centerContinuous" vertical="top"/>
    </xf>
    <xf numFmtId="186" fontId="16" fillId="0" borderId="0" xfId="2" applyNumberFormat="1" applyFont="1" applyAlignment="1">
      <alignment horizontal="centerContinuous"/>
    </xf>
    <xf numFmtId="1" fontId="17" fillId="0" borderId="0" xfId="2" applyNumberFormat="1" applyFont="1" applyAlignment="1">
      <alignment vertical="center"/>
    </xf>
    <xf numFmtId="2" fontId="17" fillId="0" borderId="0" xfId="2" applyNumberFormat="1" applyFont="1" applyAlignment="1">
      <alignment vertical="center"/>
    </xf>
    <xf numFmtId="0" fontId="17" fillId="0" borderId="0" xfId="2" applyFont="1" applyAlignment="1">
      <alignment vertical="center"/>
    </xf>
    <xf numFmtId="199" fontId="17" fillId="0" borderId="0" xfId="2" applyNumberFormat="1" applyFont="1" applyAlignment="1">
      <alignment vertical="center"/>
    </xf>
    <xf numFmtId="1" fontId="54" fillId="15" borderId="32" xfId="2" applyNumberFormat="1" applyFont="1" applyFill="1" applyBorder="1" applyAlignment="1">
      <alignment vertical="center"/>
    </xf>
    <xf numFmtId="0" fontId="54" fillId="15" borderId="33" xfId="2" applyFont="1" applyFill="1" applyBorder="1" applyAlignment="1">
      <alignment vertical="center"/>
    </xf>
    <xf numFmtId="0" fontId="54" fillId="15" borderId="35" xfId="2" applyFont="1" applyFill="1" applyBorder="1" applyAlignment="1">
      <alignment vertical="center"/>
    </xf>
    <xf numFmtId="0" fontId="14" fillId="0" borderId="0" xfId="5" applyFont="1" applyAlignment="1">
      <alignment horizontal="left" vertical="center"/>
    </xf>
    <xf numFmtId="0" fontId="17" fillId="0" borderId="0" xfId="5" applyFont="1" applyAlignment="1">
      <alignment horizontal="center" vertical="center"/>
    </xf>
    <xf numFmtId="178" fontId="14" fillId="0" borderId="0" xfId="5" applyNumberFormat="1" applyFont="1" applyAlignment="1">
      <alignment horizontal="center" vertical="center"/>
    </xf>
    <xf numFmtId="0" fontId="6" fillId="0" borderId="0" xfId="2" applyFont="1" applyAlignment="1">
      <alignment vertical="center"/>
    </xf>
    <xf numFmtId="0" fontId="3" fillId="0" borderId="1" xfId="2" applyFont="1" applyBorder="1" applyAlignment="1">
      <alignment horizontal="center" vertical="center"/>
    </xf>
    <xf numFmtId="0" fontId="6" fillId="0" borderId="0" xfId="2" applyFont="1" applyAlignment="1">
      <alignment horizontal="center" vertical="center"/>
    </xf>
    <xf numFmtId="0" fontId="11" fillId="0" borderId="0" xfId="2" applyFont="1" applyAlignment="1">
      <alignment horizontal="center" vertical="center"/>
    </xf>
    <xf numFmtId="0" fontId="20" fillId="8" borderId="1" xfId="2" applyFont="1" applyFill="1" applyBorder="1" applyAlignment="1">
      <alignment horizontal="center" vertical="center"/>
    </xf>
    <xf numFmtId="0" fontId="14" fillId="0" borderId="1" xfId="2" applyFont="1" applyBorder="1" applyAlignment="1">
      <alignment horizontal="center" vertical="center"/>
    </xf>
    <xf numFmtId="1" fontId="3" fillId="0" borderId="0" xfId="2" applyNumberFormat="1" applyFont="1" applyAlignment="1">
      <alignment horizontal="center" vertical="center"/>
    </xf>
    <xf numFmtId="176" fontId="3" fillId="0" borderId="0" xfId="2" applyNumberFormat="1" applyFont="1" applyAlignment="1">
      <alignment horizontal="center" vertical="center"/>
    </xf>
    <xf numFmtId="2" fontId="3" fillId="0" borderId="0" xfId="2" applyNumberFormat="1" applyFont="1" applyAlignment="1">
      <alignment horizontal="center" vertical="center"/>
    </xf>
    <xf numFmtId="177" fontId="3" fillId="0" borderId="0" xfId="2" applyNumberFormat="1" applyFont="1" applyAlignment="1">
      <alignment horizontal="center" vertical="center"/>
    </xf>
    <xf numFmtId="2" fontId="9" fillId="0" borderId="1" xfId="2" applyNumberFormat="1" applyFont="1" applyBorder="1" applyAlignment="1">
      <alignment horizontal="center" vertical="center"/>
    </xf>
    <xf numFmtId="178" fontId="3" fillId="0" borderId="0" xfId="2" applyNumberFormat="1" applyFont="1" applyAlignment="1">
      <alignment horizontal="center" vertical="center"/>
    </xf>
    <xf numFmtId="179" fontId="2" fillId="0" borderId="0" xfId="2" applyNumberFormat="1" applyAlignment="1">
      <alignment horizontal="center" vertical="center"/>
    </xf>
    <xf numFmtId="0" fontId="2" fillId="0" borderId="0" xfId="2" applyAlignment="1">
      <alignment horizontal="center" vertical="center"/>
    </xf>
    <xf numFmtId="1" fontId="3" fillId="0" borderId="1" xfId="2" applyNumberFormat="1" applyFont="1" applyBorder="1" applyAlignment="1">
      <alignment horizontal="center" vertical="center"/>
    </xf>
    <xf numFmtId="2" fontId="3" fillId="4" borderId="1" xfId="2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80" fontId="6" fillId="0" borderId="0" xfId="3" applyFont="1" applyBorder="1" applyAlignment="1">
      <alignment horizontal="center" vertical="center"/>
    </xf>
    <xf numFmtId="0" fontId="3" fillId="0" borderId="5" xfId="2" applyFont="1" applyBorder="1" applyAlignment="1">
      <alignment horizontal="center" vertical="center"/>
    </xf>
    <xf numFmtId="0" fontId="9" fillId="0" borderId="0" xfId="2" applyFont="1" applyAlignment="1">
      <alignment horizontal="center" vertical="center"/>
    </xf>
    <xf numFmtId="181" fontId="9" fillId="0" borderId="0" xfId="2" applyNumberFormat="1" applyFont="1" applyAlignment="1">
      <alignment horizontal="center" vertical="center"/>
    </xf>
    <xf numFmtId="2" fontId="9" fillId="0" borderId="0" xfId="2" applyNumberFormat="1" applyFont="1" applyAlignment="1">
      <alignment horizontal="center" vertical="center"/>
    </xf>
    <xf numFmtId="182" fontId="3" fillId="0" borderId="0" xfId="2" applyNumberFormat="1" applyFont="1" applyAlignment="1">
      <alignment horizontal="center" vertical="center"/>
    </xf>
    <xf numFmtId="180" fontId="6" fillId="0" borderId="0" xfId="2" applyNumberFormat="1" applyFont="1" applyAlignment="1">
      <alignment horizontal="center" vertical="center"/>
    </xf>
    <xf numFmtId="183" fontId="6" fillId="0" borderId="0" xfId="2" applyNumberFormat="1" applyFont="1" applyAlignment="1">
      <alignment horizontal="center" vertical="center"/>
    </xf>
    <xf numFmtId="184" fontId="6" fillId="0" borderId="0" xfId="2" applyNumberFormat="1" applyFont="1" applyAlignment="1">
      <alignment horizontal="center" vertical="center"/>
    </xf>
    <xf numFmtId="0" fontId="3" fillId="8" borderId="0" xfId="2" applyFont="1" applyFill="1" applyAlignment="1">
      <alignment horizontal="center" vertical="center"/>
    </xf>
    <xf numFmtId="0" fontId="14" fillId="8" borderId="1" xfId="2" applyFont="1" applyFill="1" applyBorder="1" applyAlignment="1">
      <alignment horizontal="center" vertical="center"/>
    </xf>
    <xf numFmtId="1" fontId="14" fillId="8" borderId="1" xfId="2" applyNumberFormat="1" applyFont="1" applyFill="1" applyBorder="1" applyAlignment="1">
      <alignment horizontal="center" vertical="center"/>
    </xf>
    <xf numFmtId="2" fontId="14" fillId="8" borderId="1" xfId="2" applyNumberFormat="1" applyFont="1" applyFill="1" applyBorder="1" applyAlignment="1">
      <alignment horizontal="center" vertical="center"/>
    </xf>
    <xf numFmtId="0" fontId="21" fillId="10" borderId="1" xfId="2" applyFont="1" applyFill="1" applyBorder="1" applyAlignment="1">
      <alignment horizontal="center" vertical="center"/>
    </xf>
    <xf numFmtId="176" fontId="14" fillId="0" borderId="0" xfId="2" applyNumberFormat="1" applyFont="1" applyAlignment="1">
      <alignment horizontal="center" vertical="center"/>
    </xf>
    <xf numFmtId="0" fontId="17" fillId="11" borderId="1" xfId="2" applyFont="1" applyFill="1" applyBorder="1" applyAlignment="1">
      <alignment horizontal="center" vertical="center"/>
    </xf>
    <xf numFmtId="1" fontId="3" fillId="4" borderId="1" xfId="2" applyNumberFormat="1" applyFont="1" applyFill="1" applyBorder="1" applyAlignment="1">
      <alignment horizontal="center" vertical="center"/>
    </xf>
    <xf numFmtId="1" fontId="9" fillId="4" borderId="1" xfId="2" applyNumberFormat="1" applyFont="1" applyFill="1" applyBorder="1" applyAlignment="1">
      <alignment horizontal="center" vertical="center"/>
    </xf>
    <xf numFmtId="2" fontId="6" fillId="0" borderId="1" xfId="2" applyNumberFormat="1" applyFont="1" applyBorder="1" applyAlignment="1">
      <alignment horizontal="center" vertical="center"/>
    </xf>
    <xf numFmtId="177" fontId="6" fillId="0" borderId="1" xfId="2" applyNumberFormat="1" applyFont="1" applyBorder="1" applyAlignment="1">
      <alignment horizontal="center" vertical="center"/>
    </xf>
    <xf numFmtId="181" fontId="33" fillId="14" borderId="4" xfId="5" applyNumberFormat="1" applyFont="1" applyFill="1" applyBorder="1" applyAlignment="1">
      <alignment horizontal="center" vertical="center"/>
    </xf>
    <xf numFmtId="0" fontId="14" fillId="14" borderId="4" xfId="5" quotePrefix="1" applyFont="1" applyFill="1" applyBorder="1" applyAlignment="1">
      <alignment horizontal="center" vertical="center"/>
    </xf>
    <xf numFmtId="0" fontId="14" fillId="14" borderId="4" xfId="5" applyFont="1" applyFill="1" applyBorder="1" applyAlignment="1">
      <alignment horizontal="center" vertical="center"/>
    </xf>
    <xf numFmtId="0" fontId="14" fillId="0" borderId="4" xfId="5" applyFont="1" applyBorder="1" applyAlignment="1">
      <alignment horizontal="right" vertical="center"/>
    </xf>
    <xf numFmtId="0" fontId="14" fillId="14" borderId="26" xfId="5" applyFont="1" applyFill="1" applyBorder="1" applyAlignment="1">
      <alignment horizontal="right" vertical="center"/>
    </xf>
    <xf numFmtId="0" fontId="14" fillId="0" borderId="26" xfId="5" applyFont="1" applyBorder="1" applyAlignment="1">
      <alignment horizontal="right" vertical="center"/>
    </xf>
    <xf numFmtId="0" fontId="34" fillId="0" borderId="30" xfId="5" applyFont="1" applyBorder="1" applyAlignment="1">
      <alignment horizontal="right" vertical="center"/>
    </xf>
    <xf numFmtId="0" fontId="2" fillId="0" borderId="29" xfId="2" applyBorder="1"/>
    <xf numFmtId="0" fontId="14" fillId="0" borderId="29" xfId="5" applyFont="1" applyBorder="1">
      <alignment vertical="center"/>
    </xf>
    <xf numFmtId="0" fontId="2" fillId="0" borderId="31" xfId="2" applyBorder="1" applyAlignment="1">
      <alignment horizontal="center"/>
    </xf>
    <xf numFmtId="0" fontId="21" fillId="21" borderId="16" xfId="5" applyFont="1" applyFill="1" applyBorder="1" applyAlignment="1">
      <alignment horizontal="center" vertical="center"/>
    </xf>
    <xf numFmtId="197" fontId="14" fillId="14" borderId="29" xfId="5" applyNumberFormat="1" applyFont="1" applyFill="1" applyBorder="1" applyAlignment="1">
      <alignment horizontal="center" vertical="center"/>
    </xf>
    <xf numFmtId="197" fontId="58" fillId="14" borderId="29" xfId="5" applyNumberFormat="1" applyFont="1" applyFill="1" applyBorder="1" applyAlignment="1">
      <alignment horizontal="center" vertical="center"/>
    </xf>
    <xf numFmtId="189" fontId="58" fillId="14" borderId="29" xfId="5" applyNumberFormat="1" applyFont="1" applyFill="1" applyBorder="1" applyAlignment="1">
      <alignment horizontal="center" vertical="center"/>
    </xf>
    <xf numFmtId="193" fontId="58" fillId="14" borderId="30" xfId="5" applyNumberFormat="1" applyFont="1" applyFill="1" applyBorder="1" applyAlignment="1">
      <alignment horizontal="center" vertical="center"/>
    </xf>
    <xf numFmtId="0" fontId="14" fillId="14" borderId="29" xfId="5" applyFont="1" applyFill="1" applyBorder="1" applyAlignment="1">
      <alignment horizontal="center" vertical="center"/>
    </xf>
    <xf numFmtId="194" fontId="17" fillId="14" borderId="20" xfId="5" applyNumberFormat="1" applyFont="1" applyFill="1" applyBorder="1" applyAlignment="1">
      <alignment horizontal="center" vertical="center"/>
    </xf>
    <xf numFmtId="0" fontId="59" fillId="0" borderId="0" xfId="0" applyFont="1">
      <alignment vertical="center"/>
    </xf>
    <xf numFmtId="0" fontId="62" fillId="0" borderId="0" xfId="2" applyFont="1" applyAlignment="1">
      <alignment horizontal="center" vertical="center"/>
    </xf>
    <xf numFmtId="0" fontId="22" fillId="23" borderId="1" xfId="2" applyFont="1" applyFill="1" applyBorder="1" applyAlignment="1">
      <alignment horizontal="center" vertical="center"/>
    </xf>
    <xf numFmtId="0" fontId="13" fillId="0" borderId="1" xfId="2" applyFont="1" applyBorder="1" applyAlignment="1">
      <alignment horizontal="center" vertical="center"/>
    </xf>
    <xf numFmtId="14" fontId="48" fillId="24" borderId="1" xfId="2" applyNumberFormat="1" applyFont="1" applyFill="1" applyBorder="1" applyAlignment="1">
      <alignment horizontal="center" vertical="center"/>
    </xf>
    <xf numFmtId="0" fontId="15" fillId="26" borderId="1" xfId="2" applyFont="1" applyFill="1" applyBorder="1" applyAlignment="1">
      <alignment horizontal="center" vertical="center"/>
    </xf>
    <xf numFmtId="0" fontId="13" fillId="26" borderId="1" xfId="2" applyFont="1" applyFill="1" applyBorder="1" applyAlignment="1">
      <alignment horizontal="center" vertical="center"/>
    </xf>
    <xf numFmtId="0" fontId="62" fillId="26" borderId="1" xfId="2" applyFont="1" applyFill="1" applyBorder="1" applyAlignment="1">
      <alignment horizontal="center" vertical="center"/>
    </xf>
    <xf numFmtId="188" fontId="24" fillId="27" borderId="1" xfId="2" applyNumberFormat="1" applyFont="1" applyFill="1" applyBorder="1" applyAlignment="1">
      <alignment horizontal="center" vertical="center"/>
    </xf>
    <xf numFmtId="0" fontId="14" fillId="27" borderId="1" xfId="2" applyFont="1" applyFill="1" applyBorder="1" applyAlignment="1">
      <alignment horizontal="center" vertical="center"/>
    </xf>
    <xf numFmtId="0" fontId="17" fillId="27" borderId="1" xfId="2" applyFont="1" applyFill="1" applyBorder="1" applyAlignment="1">
      <alignment horizontal="center" vertical="center"/>
    </xf>
    <xf numFmtId="0" fontId="62" fillId="0" borderId="14" xfId="2" applyFont="1" applyBorder="1" applyAlignment="1">
      <alignment horizontal="center" vertical="center"/>
    </xf>
    <xf numFmtId="0" fontId="62" fillId="25" borderId="34" xfId="2" applyFont="1" applyFill="1" applyBorder="1" applyAlignment="1">
      <alignment horizontal="center" vertical="center"/>
    </xf>
    <xf numFmtId="0" fontId="62" fillId="20" borderId="12" xfId="2" applyFont="1" applyFill="1" applyBorder="1" applyAlignment="1">
      <alignment horizontal="center" vertical="center"/>
    </xf>
    <xf numFmtId="0" fontId="3" fillId="27" borderId="1" xfId="2" applyFont="1" applyFill="1" applyBorder="1" applyAlignment="1">
      <alignment horizontal="center" vertical="center"/>
    </xf>
    <xf numFmtId="0" fontId="3" fillId="27" borderId="0" xfId="2" applyFont="1" applyFill="1" applyAlignment="1">
      <alignment horizontal="center" vertical="center"/>
    </xf>
    <xf numFmtId="0" fontId="64" fillId="27" borderId="0" xfId="2" applyFont="1" applyFill="1" applyAlignment="1">
      <alignment horizontal="center" vertical="center"/>
    </xf>
    <xf numFmtId="0" fontId="11" fillId="25" borderId="1" xfId="2" applyFont="1" applyFill="1" applyBorder="1" applyAlignment="1">
      <alignment horizontal="center" vertical="center"/>
    </xf>
    <xf numFmtId="0" fontId="3" fillId="25" borderId="1" xfId="2" applyFont="1" applyFill="1" applyBorder="1" applyAlignment="1">
      <alignment horizontal="center" vertical="center"/>
    </xf>
    <xf numFmtId="177" fontId="3" fillId="25" borderId="1" xfId="2" applyNumberFormat="1" applyFont="1" applyFill="1" applyBorder="1" applyAlignment="1">
      <alignment horizontal="center" vertical="center"/>
    </xf>
    <xf numFmtId="0" fontId="3" fillId="5" borderId="1" xfId="2" applyFont="1" applyFill="1" applyBorder="1" applyAlignment="1">
      <alignment horizontal="center" vertical="center"/>
    </xf>
    <xf numFmtId="1" fontId="9" fillId="0" borderId="1" xfId="2" applyNumberFormat="1" applyFont="1" applyBorder="1" applyAlignment="1">
      <alignment horizontal="center" vertical="center"/>
    </xf>
    <xf numFmtId="0" fontId="3" fillId="5" borderId="7" xfId="2" applyFont="1" applyFill="1" applyBorder="1" applyAlignment="1">
      <alignment horizontal="center" vertical="center"/>
    </xf>
    <xf numFmtId="2" fontId="3" fillId="27" borderId="1" xfId="2" applyNumberFormat="1" applyFont="1" applyFill="1" applyBorder="1" applyAlignment="1">
      <alignment horizontal="center" vertical="center"/>
    </xf>
    <xf numFmtId="0" fontId="14" fillId="0" borderId="28" xfId="2" applyFont="1" applyBorder="1" applyAlignment="1">
      <alignment horizontal="center" vertical="center" wrapText="1"/>
    </xf>
    <xf numFmtId="0" fontId="14" fillId="0" borderId="24" xfId="2" applyFont="1" applyBorder="1" applyAlignment="1">
      <alignment horizontal="center" vertical="center" wrapText="1"/>
    </xf>
    <xf numFmtId="0" fontId="14" fillId="0" borderId="55" xfId="2" applyFont="1" applyBorder="1" applyAlignment="1">
      <alignment horizontal="center" vertical="center" wrapText="1"/>
    </xf>
    <xf numFmtId="0" fontId="17" fillId="25" borderId="1" xfId="2" applyFont="1" applyFill="1" applyBorder="1" applyAlignment="1">
      <alignment horizontal="center" vertical="center"/>
    </xf>
    <xf numFmtId="0" fontId="12" fillId="7" borderId="12" xfId="2" applyFont="1" applyFill="1" applyBorder="1" applyAlignment="1">
      <alignment horizontal="center" vertical="center"/>
    </xf>
    <xf numFmtId="0" fontId="12" fillId="7" borderId="13" xfId="2" applyFont="1" applyFill="1" applyBorder="1" applyAlignment="1">
      <alignment horizontal="center" vertical="center"/>
    </xf>
    <xf numFmtId="0" fontId="12" fillId="7" borderId="32" xfId="2" applyFont="1" applyFill="1" applyBorder="1" applyAlignment="1">
      <alignment horizontal="center" vertical="center"/>
    </xf>
    <xf numFmtId="0" fontId="6" fillId="0" borderId="33" xfId="2" applyFont="1" applyBorder="1" applyAlignment="1">
      <alignment horizontal="center" vertical="center"/>
    </xf>
    <xf numFmtId="2" fontId="6" fillId="0" borderId="17" xfId="2" applyNumberFormat="1" applyFont="1" applyBorder="1" applyAlignment="1">
      <alignment horizontal="center" vertical="center"/>
    </xf>
    <xf numFmtId="177" fontId="6" fillId="0" borderId="17" xfId="2" applyNumberFormat="1" applyFont="1" applyBorder="1" applyAlignment="1">
      <alignment horizontal="center" vertical="center"/>
    </xf>
    <xf numFmtId="0" fontId="6" fillId="0" borderId="35" xfId="2" applyFont="1" applyBorder="1" applyAlignment="1">
      <alignment horizontal="center" vertical="center"/>
    </xf>
    <xf numFmtId="0" fontId="6" fillId="20" borderId="0" xfId="2" applyFont="1" applyFill="1"/>
    <xf numFmtId="2" fontId="3" fillId="22" borderId="0" xfId="2" applyNumberFormat="1" applyFont="1" applyFill="1" applyAlignment="1">
      <alignment horizontal="center" vertical="center"/>
    </xf>
    <xf numFmtId="1" fontId="3" fillId="22" borderId="0" xfId="2" applyNumberFormat="1" applyFont="1" applyFill="1" applyAlignment="1">
      <alignment horizontal="center" vertical="center"/>
    </xf>
    <xf numFmtId="0" fontId="54" fillId="13" borderId="1" xfId="5" applyFont="1" applyFill="1" applyBorder="1" applyAlignment="1">
      <alignment horizontal="center" vertical="center"/>
    </xf>
    <xf numFmtId="189" fontId="54" fillId="13" borderId="23" xfId="5" applyNumberFormat="1" applyFont="1" applyFill="1" applyBorder="1" applyAlignment="1">
      <alignment horizontal="center" vertical="center"/>
    </xf>
    <xf numFmtId="179" fontId="54" fillId="13" borderId="31" xfId="5" applyNumberFormat="1" applyFont="1" applyFill="1" applyBorder="1" applyAlignment="1">
      <alignment horizontal="center" vertical="center"/>
    </xf>
    <xf numFmtId="0" fontId="34" fillId="20" borderId="14" xfId="5" applyFont="1" applyFill="1" applyBorder="1" applyAlignment="1">
      <alignment horizontal="right" vertical="center"/>
    </xf>
    <xf numFmtId="0" fontId="34" fillId="20" borderId="34" xfId="5" applyFont="1" applyFill="1" applyBorder="1" applyAlignment="1">
      <alignment horizontal="right" vertical="center"/>
    </xf>
    <xf numFmtId="0" fontId="57" fillId="20" borderId="32" xfId="5" applyFont="1" applyFill="1" applyBorder="1" applyAlignment="1">
      <alignment horizontal="center" vertical="center"/>
    </xf>
    <xf numFmtId="0" fontId="57" fillId="20" borderId="33" xfId="5" applyFont="1" applyFill="1" applyBorder="1" applyAlignment="1">
      <alignment horizontal="center" vertical="center"/>
    </xf>
    <xf numFmtId="182" fontId="65" fillId="14" borderId="12" xfId="5" applyNumberFormat="1" applyFont="1" applyFill="1" applyBorder="1" applyAlignment="1">
      <alignment horizontal="center" vertical="center"/>
    </xf>
    <xf numFmtId="182" fontId="65" fillId="14" borderId="14" xfId="5" applyNumberFormat="1" applyFont="1" applyFill="1" applyBorder="1" applyAlignment="1">
      <alignment horizontal="center" vertical="center"/>
    </xf>
    <xf numFmtId="178" fontId="67" fillId="14" borderId="33" xfId="5" applyNumberFormat="1" applyFont="1" applyFill="1" applyBorder="1" applyAlignment="1">
      <alignment horizontal="center" vertical="center"/>
    </xf>
    <xf numFmtId="0" fontId="67" fillId="14" borderId="33" xfId="5" applyFont="1" applyFill="1" applyBorder="1" applyAlignment="1">
      <alignment horizontal="center" vertical="center"/>
    </xf>
    <xf numFmtId="0" fontId="67" fillId="14" borderId="35" xfId="5" applyFont="1" applyFill="1" applyBorder="1" applyAlignment="1">
      <alignment horizontal="center" vertical="center"/>
    </xf>
    <xf numFmtId="0" fontId="13" fillId="28" borderId="15" xfId="5" applyFont="1" applyFill="1" applyBorder="1" applyAlignment="1">
      <alignment horizontal="center" vertical="center"/>
    </xf>
    <xf numFmtId="0" fontId="13" fillId="28" borderId="49" xfId="5" applyFont="1" applyFill="1" applyBorder="1" applyAlignment="1">
      <alignment horizontal="center" vertical="center"/>
    </xf>
    <xf numFmtId="193" fontId="17" fillId="14" borderId="50" xfId="5" applyNumberFormat="1" applyFont="1" applyFill="1" applyBorder="1" applyAlignment="1">
      <alignment horizontal="center" vertical="center"/>
    </xf>
    <xf numFmtId="0" fontId="14" fillId="0" borderId="18" xfId="5" applyFont="1" applyBorder="1">
      <alignment vertical="center"/>
    </xf>
    <xf numFmtId="189" fontId="54" fillId="13" borderId="19" xfId="5" applyNumberFormat="1" applyFont="1" applyFill="1" applyBorder="1" applyAlignment="1">
      <alignment horizontal="center" vertical="center"/>
    </xf>
    <xf numFmtId="0" fontId="34" fillId="0" borderId="19" xfId="5" applyFont="1" applyBorder="1">
      <alignment vertical="center"/>
    </xf>
    <xf numFmtId="0" fontId="14" fillId="0" borderId="56" xfId="5" applyFont="1" applyBorder="1" applyAlignment="1">
      <alignment horizontal="center" vertical="center"/>
    </xf>
    <xf numFmtId="1" fontId="17" fillId="14" borderId="1" xfId="5" applyNumberFormat="1" applyFont="1" applyFill="1" applyBorder="1" applyAlignment="1">
      <alignment horizontal="center" vertical="center"/>
    </xf>
    <xf numFmtId="189" fontId="17" fillId="14" borderId="1" xfId="5" applyNumberFormat="1" applyFont="1" applyFill="1" applyBorder="1" applyAlignment="1">
      <alignment horizontal="center" vertical="center"/>
    </xf>
    <xf numFmtId="0" fontId="17" fillId="14" borderId="1" xfId="5" applyFont="1" applyFill="1" applyBorder="1" applyAlignment="1">
      <alignment horizontal="center" vertical="center"/>
    </xf>
    <xf numFmtId="0" fontId="13" fillId="28" borderId="50" xfId="5" applyFont="1" applyFill="1" applyBorder="1" applyAlignment="1">
      <alignment horizontal="center" vertical="center"/>
    </xf>
    <xf numFmtId="194" fontId="17" fillId="14" borderId="50" xfId="5" applyNumberFormat="1" applyFont="1" applyFill="1" applyBorder="1" applyAlignment="1">
      <alignment horizontal="center" vertical="center"/>
    </xf>
    <xf numFmtId="0" fontId="17" fillId="28" borderId="12" xfId="5" applyFont="1" applyFill="1" applyBorder="1" applyAlignment="1">
      <alignment horizontal="center" vertical="center"/>
    </xf>
    <xf numFmtId="0" fontId="17" fillId="28" borderId="13" xfId="5" applyFont="1" applyFill="1" applyBorder="1" applyAlignment="1">
      <alignment horizontal="center" vertical="center"/>
    </xf>
    <xf numFmtId="0" fontId="17" fillId="28" borderId="32" xfId="5" applyFont="1" applyFill="1" applyBorder="1" applyAlignment="1">
      <alignment horizontal="center" vertical="center"/>
    </xf>
    <xf numFmtId="193" fontId="17" fillId="14" borderId="14" xfId="5" applyNumberFormat="1" applyFont="1" applyFill="1" applyBorder="1" applyAlignment="1">
      <alignment horizontal="center" vertical="center"/>
    </xf>
    <xf numFmtId="198" fontId="17" fillId="5" borderId="25" xfId="5" applyNumberFormat="1" applyFont="1" applyFill="1" applyBorder="1" applyAlignment="1">
      <alignment horizontal="center" vertical="center"/>
    </xf>
    <xf numFmtId="0" fontId="65" fillId="0" borderId="21" xfId="5" applyFont="1" applyBorder="1" applyAlignment="1">
      <alignment horizontal="right" vertical="center"/>
    </xf>
    <xf numFmtId="181" fontId="14" fillId="8" borderId="23" xfId="5" applyNumberFormat="1" applyFont="1" applyFill="1" applyBorder="1">
      <alignment vertical="center"/>
    </xf>
    <xf numFmtId="197" fontId="63" fillId="9" borderId="16" xfId="5" applyNumberFormat="1" applyFont="1" applyFill="1" applyBorder="1" applyAlignment="1">
      <alignment horizontal="center" vertical="center"/>
    </xf>
    <xf numFmtId="0" fontId="36" fillId="27" borderId="0" xfId="2" applyFont="1" applyFill="1" applyAlignment="1">
      <alignment vertical="center"/>
    </xf>
    <xf numFmtId="177" fontId="36" fillId="27" borderId="1" xfId="2" applyNumberFormat="1" applyFont="1" applyFill="1" applyBorder="1" applyAlignment="1">
      <alignment vertical="center"/>
    </xf>
    <xf numFmtId="0" fontId="36" fillId="27" borderId="1" xfId="2" applyFont="1" applyFill="1" applyBorder="1" applyAlignment="1">
      <alignment vertical="center"/>
    </xf>
    <xf numFmtId="177" fontId="36" fillId="12" borderId="1" xfId="2" applyNumberFormat="1" applyFont="1" applyFill="1" applyBorder="1" applyAlignment="1">
      <alignment vertical="center"/>
    </xf>
    <xf numFmtId="177" fontId="38" fillId="21" borderId="1" xfId="2" applyNumberFormat="1" applyFont="1" applyFill="1" applyBorder="1" applyAlignment="1">
      <alignment horizontal="center" vertical="center"/>
    </xf>
    <xf numFmtId="0" fontId="68" fillId="0" borderId="0" xfId="2" applyFont="1" applyAlignment="1">
      <alignment horizontal="center" vertical="center"/>
    </xf>
    <xf numFmtId="0" fontId="68" fillId="0" borderId="0" xfId="2" applyFont="1" applyAlignment="1">
      <alignment horizontal="center" vertical="center" shrinkToFit="1"/>
    </xf>
    <xf numFmtId="0" fontId="36" fillId="27" borderId="0" xfId="2" applyFont="1" applyFill="1" applyAlignment="1">
      <alignment horizontal="center"/>
    </xf>
    <xf numFmtId="0" fontId="36" fillId="27" borderId="0" xfId="2" applyFont="1" applyFill="1"/>
    <xf numFmtId="181" fontId="36" fillId="27" borderId="0" xfId="2" applyNumberFormat="1" applyFont="1" applyFill="1"/>
    <xf numFmtId="181" fontId="36" fillId="27" borderId="0" xfId="2" applyNumberFormat="1" applyFont="1" applyFill="1" applyAlignment="1">
      <alignment vertical="center"/>
    </xf>
    <xf numFmtId="0" fontId="36" fillId="11" borderId="0" xfId="2" applyFont="1" applyFill="1" applyAlignment="1">
      <alignment vertical="center"/>
    </xf>
    <xf numFmtId="0" fontId="69" fillId="0" borderId="1" xfId="2" applyFont="1" applyBorder="1" applyAlignment="1">
      <alignment horizontal="center" vertical="center"/>
    </xf>
    <xf numFmtId="0" fontId="69" fillId="0" borderId="2" xfId="2" applyFont="1" applyBorder="1" applyAlignment="1">
      <alignment horizontal="left" vertical="center"/>
    </xf>
    <xf numFmtId="0" fontId="69" fillId="0" borderId="6" xfId="2" applyFont="1" applyBorder="1" applyAlignment="1">
      <alignment vertical="center"/>
    </xf>
    <xf numFmtId="186" fontId="69" fillId="0" borderId="6" xfId="2" applyNumberFormat="1" applyFont="1" applyBorder="1"/>
    <xf numFmtId="0" fontId="69" fillId="0" borderId="7" xfId="2" applyFont="1" applyBorder="1" applyAlignment="1">
      <alignment horizontal="center" vertical="center"/>
    </xf>
    <xf numFmtId="194" fontId="69" fillId="0" borderId="2" xfId="2" applyNumberFormat="1" applyFont="1" applyBorder="1" applyAlignment="1">
      <alignment horizontal="left" vertical="center"/>
    </xf>
    <xf numFmtId="0" fontId="69" fillId="0" borderId="6" xfId="2" applyFont="1" applyBorder="1" applyAlignment="1">
      <alignment horizontal="right" vertical="center"/>
    </xf>
    <xf numFmtId="186" fontId="69" fillId="0" borderId="6" xfId="2" applyNumberFormat="1" applyFont="1" applyBorder="1" applyAlignment="1">
      <alignment horizontal="centerContinuous" vertical="center"/>
    </xf>
    <xf numFmtId="0" fontId="69" fillId="0" borderId="7" xfId="2" applyFont="1" applyBorder="1" applyAlignment="1">
      <alignment horizontal="centerContinuous" vertical="center"/>
    </xf>
    <xf numFmtId="0" fontId="69" fillId="0" borderId="2" xfId="2" applyFont="1" applyBorder="1" applyAlignment="1">
      <alignment vertical="center"/>
    </xf>
    <xf numFmtId="0" fontId="69" fillId="0" borderId="6" xfId="2" applyFont="1" applyBorder="1" applyAlignment="1">
      <alignment horizontal="left" vertical="center"/>
    </xf>
    <xf numFmtId="0" fontId="69" fillId="0" borderId="0" xfId="2" applyFont="1" applyAlignment="1">
      <alignment vertical="center"/>
    </xf>
    <xf numFmtId="0" fontId="70" fillId="0" borderId="6" xfId="2" applyFont="1" applyBorder="1" applyAlignment="1">
      <alignment horizontal="centerContinuous" vertical="center"/>
    </xf>
    <xf numFmtId="187" fontId="70" fillId="0" borderId="6" xfId="2" applyNumberFormat="1" applyFont="1" applyBorder="1" applyAlignment="1">
      <alignment horizontal="centerContinuous" vertical="center"/>
    </xf>
    <xf numFmtId="186" fontId="70" fillId="0" borderId="6" xfId="2" applyNumberFormat="1" applyFont="1" applyBorder="1" applyAlignment="1">
      <alignment horizontal="centerContinuous"/>
    </xf>
    <xf numFmtId="0" fontId="70" fillId="0" borderId="7" xfId="2" applyFont="1" applyBorder="1" applyAlignment="1">
      <alignment horizontal="centerContinuous" vertical="center"/>
    </xf>
    <xf numFmtId="0" fontId="69" fillId="0" borderId="1" xfId="2" applyFont="1" applyBorder="1" applyAlignment="1">
      <alignment horizontal="centerContinuous" vertical="center"/>
    </xf>
    <xf numFmtId="0" fontId="70" fillId="0" borderId="2" xfId="2" applyFont="1" applyBorder="1" applyAlignment="1">
      <alignment horizontal="centerContinuous" vertical="center"/>
    </xf>
    <xf numFmtId="186" fontId="70" fillId="0" borderId="7" xfId="2" applyNumberFormat="1" applyFont="1" applyBorder="1" applyAlignment="1">
      <alignment horizontal="centerContinuous"/>
    </xf>
    <xf numFmtId="202" fontId="69" fillId="0" borderId="1" xfId="2" applyNumberFormat="1" applyFont="1" applyBorder="1" applyAlignment="1">
      <alignment horizontal="center" vertical="center"/>
    </xf>
    <xf numFmtId="0" fontId="69" fillId="0" borderId="6" xfId="2" applyFont="1" applyBorder="1" applyAlignment="1">
      <alignment horizontal="center" vertical="center"/>
    </xf>
    <xf numFmtId="0" fontId="69" fillId="0" borderId="1" xfId="2" applyFont="1" applyBorder="1" applyAlignment="1">
      <alignment horizontal="center" vertical="center" wrapText="1"/>
    </xf>
    <xf numFmtId="0" fontId="69" fillId="0" borderId="1" xfId="2" applyFont="1" applyBorder="1" applyAlignment="1">
      <alignment vertical="center"/>
    </xf>
    <xf numFmtId="1" fontId="69" fillId="0" borderId="1" xfId="2" applyNumberFormat="1" applyFont="1" applyBorder="1" applyAlignment="1">
      <alignment vertical="center"/>
    </xf>
    <xf numFmtId="202" fontId="69" fillId="0" borderId="1" xfId="2" applyNumberFormat="1" applyFont="1" applyBorder="1" applyAlignment="1">
      <alignment vertical="center"/>
    </xf>
    <xf numFmtId="208" fontId="69" fillId="0" borderId="1" xfId="2" applyNumberFormat="1" applyFont="1" applyBorder="1" applyAlignment="1">
      <alignment vertical="center"/>
    </xf>
    <xf numFmtId="208" fontId="69" fillId="0" borderId="1" xfId="2" applyNumberFormat="1" applyFont="1" applyBorder="1" applyAlignment="1">
      <alignment horizontal="center" vertical="center"/>
    </xf>
    <xf numFmtId="186" fontId="71" fillId="0" borderId="0" xfId="2" applyNumberFormat="1" applyFont="1"/>
    <xf numFmtId="0" fontId="16" fillId="0" borderId="0" xfId="2" applyFont="1" applyAlignment="1">
      <alignment vertical="center"/>
    </xf>
    <xf numFmtId="205" fontId="38" fillId="29" borderId="0" xfId="2" applyNumberFormat="1" applyFont="1" applyFill="1" applyAlignment="1">
      <alignment vertical="center"/>
    </xf>
    <xf numFmtId="0" fontId="68" fillId="0" borderId="0" xfId="2" applyFont="1" applyAlignment="1">
      <alignment vertical="center"/>
    </xf>
    <xf numFmtId="0" fontId="68" fillId="3" borderId="0" xfId="2" applyFont="1" applyFill="1" applyAlignment="1">
      <alignment vertical="center"/>
    </xf>
    <xf numFmtId="196" fontId="68" fillId="3" borderId="0" xfId="2" applyNumberFormat="1" applyFont="1" applyFill="1" applyAlignment="1">
      <alignment horizontal="center" vertical="center"/>
    </xf>
    <xf numFmtId="0" fontId="68" fillId="0" borderId="1" xfId="2" applyFont="1" applyBorder="1" applyAlignment="1">
      <alignment horizontal="center" vertical="center"/>
    </xf>
    <xf numFmtId="2" fontId="68" fillId="0" borderId="1" xfId="2" applyNumberFormat="1" applyFont="1" applyBorder="1" applyAlignment="1">
      <alignment horizontal="center" vertical="center"/>
    </xf>
    <xf numFmtId="2" fontId="68" fillId="0" borderId="0" xfId="2" applyNumberFormat="1" applyFont="1" applyAlignment="1">
      <alignment horizontal="center" vertical="center"/>
    </xf>
    <xf numFmtId="196" fontId="68" fillId="0" borderId="0" xfId="2" applyNumberFormat="1" applyFont="1" applyAlignment="1">
      <alignment horizontal="center" vertical="center"/>
    </xf>
    <xf numFmtId="0" fontId="68" fillId="0" borderId="0" xfId="2" applyFont="1" applyAlignment="1">
      <alignment horizontal="right" vertical="center"/>
    </xf>
    <xf numFmtId="0" fontId="68" fillId="0" borderId="1" xfId="2" applyFont="1" applyBorder="1" applyAlignment="1">
      <alignment vertical="center"/>
    </xf>
    <xf numFmtId="2" fontId="68" fillId="0" borderId="1" xfId="2" applyNumberFormat="1" applyFont="1" applyBorder="1" applyAlignment="1">
      <alignment vertical="center"/>
    </xf>
    <xf numFmtId="2" fontId="68" fillId="0" borderId="0" xfId="2" applyNumberFormat="1" applyFont="1" applyAlignment="1">
      <alignment vertical="center"/>
    </xf>
    <xf numFmtId="0" fontId="74" fillId="0" borderId="1" xfId="2" applyFont="1" applyBorder="1" applyAlignment="1">
      <alignment vertical="center"/>
    </xf>
    <xf numFmtId="176" fontId="68" fillId="0" borderId="0" xfId="2" applyNumberFormat="1" applyFont="1" applyAlignment="1">
      <alignment vertical="center"/>
    </xf>
    <xf numFmtId="0" fontId="74" fillId="0" borderId="0" xfId="2" applyFont="1" applyAlignment="1">
      <alignment vertical="center"/>
    </xf>
    <xf numFmtId="2" fontId="74" fillId="0" borderId="1" xfId="2" applyNumberFormat="1" applyFont="1" applyBorder="1" applyAlignment="1">
      <alignment vertical="center"/>
    </xf>
    <xf numFmtId="2" fontId="74" fillId="0" borderId="0" xfId="2" applyNumberFormat="1" applyFont="1" applyAlignment="1">
      <alignment vertical="center"/>
    </xf>
    <xf numFmtId="2" fontId="68" fillId="8" borderId="1" xfId="2" applyNumberFormat="1" applyFont="1" applyFill="1" applyBorder="1" applyAlignment="1">
      <alignment vertical="center"/>
    </xf>
    <xf numFmtId="2" fontId="68" fillId="8" borderId="0" xfId="2" applyNumberFormat="1" applyFont="1" applyFill="1" applyAlignment="1">
      <alignment vertical="center"/>
    </xf>
    <xf numFmtId="0" fontId="13" fillId="20" borderId="13" xfId="2" applyFont="1" applyFill="1" applyBorder="1" applyAlignment="1">
      <alignment horizontal="center" vertical="center"/>
    </xf>
    <xf numFmtId="2" fontId="13" fillId="20" borderId="13" xfId="2" applyNumberFormat="1" applyFont="1" applyFill="1" applyBorder="1" applyAlignment="1">
      <alignment horizontal="center" vertical="center"/>
    </xf>
    <xf numFmtId="0" fontId="13" fillId="27" borderId="1" xfId="2" applyFont="1" applyFill="1" applyBorder="1" applyAlignment="1">
      <alignment horizontal="center" vertical="center"/>
    </xf>
    <xf numFmtId="189" fontId="13" fillId="0" borderId="1" xfId="2" applyNumberFormat="1" applyFont="1" applyBorder="1" applyAlignment="1">
      <alignment horizontal="center" vertical="center"/>
    </xf>
    <xf numFmtId="182" fontId="13" fillId="0" borderId="1" xfId="2" applyNumberFormat="1" applyFont="1" applyBorder="1" applyAlignment="1">
      <alignment horizontal="center" vertical="center"/>
    </xf>
    <xf numFmtId="0" fontId="13" fillId="0" borderId="33" xfId="2" applyFont="1" applyBorder="1" applyAlignment="1">
      <alignment horizontal="center" vertical="center"/>
    </xf>
    <xf numFmtId="182" fontId="13" fillId="0" borderId="33" xfId="2" applyNumberFormat="1" applyFont="1" applyBorder="1" applyAlignment="1">
      <alignment horizontal="center" vertical="center"/>
    </xf>
    <xf numFmtId="191" fontId="13" fillId="0" borderId="1" xfId="2" applyNumberFormat="1" applyFont="1" applyBorder="1" applyAlignment="1">
      <alignment horizontal="center" vertical="center"/>
    </xf>
    <xf numFmtId="0" fontId="13" fillId="25" borderId="17" xfId="2" applyFont="1" applyFill="1" applyBorder="1" applyAlignment="1">
      <alignment horizontal="center" vertical="center"/>
    </xf>
    <xf numFmtId="181" fontId="13" fillId="25" borderId="17" xfId="2" applyNumberFormat="1" applyFont="1" applyFill="1" applyBorder="1" applyAlignment="1">
      <alignment horizontal="center" vertical="center"/>
    </xf>
    <xf numFmtId="0" fontId="13" fillId="0" borderId="17" xfId="2" applyFont="1" applyBorder="1" applyAlignment="1">
      <alignment horizontal="center" vertical="center"/>
    </xf>
    <xf numFmtId="0" fontId="13" fillId="27" borderId="17" xfId="2" applyFont="1" applyFill="1" applyBorder="1" applyAlignment="1">
      <alignment horizontal="center" vertical="center"/>
    </xf>
    <xf numFmtId="182" fontId="13" fillId="27" borderId="17" xfId="2" applyNumberFormat="1" applyFont="1" applyFill="1" applyBorder="1" applyAlignment="1">
      <alignment horizontal="center" vertical="center"/>
    </xf>
    <xf numFmtId="0" fontId="13" fillId="8" borderId="17" xfId="2" applyFont="1" applyFill="1" applyBorder="1" applyAlignment="1">
      <alignment horizontal="center" vertical="center"/>
    </xf>
    <xf numFmtId="0" fontId="13" fillId="8" borderId="35" xfId="2" applyFont="1" applyFill="1" applyBorder="1" applyAlignment="1">
      <alignment horizontal="center" vertical="center"/>
    </xf>
    <xf numFmtId="0" fontId="13" fillId="0" borderId="0" xfId="2" applyFont="1" applyAlignment="1">
      <alignment horizontal="center" vertical="center"/>
    </xf>
    <xf numFmtId="0" fontId="15" fillId="0" borderId="0" xfId="2" applyFont="1" applyAlignment="1">
      <alignment horizontal="center" vertical="center"/>
    </xf>
    <xf numFmtId="177" fontId="13" fillId="0" borderId="0" xfId="2" applyNumberFormat="1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2" fontId="15" fillId="0" borderId="0" xfId="2" applyNumberFormat="1" applyFont="1" applyAlignment="1">
      <alignment horizontal="center" vertical="center"/>
    </xf>
    <xf numFmtId="1" fontId="6" fillId="0" borderId="14" xfId="2" applyNumberFormat="1" applyFont="1" applyBorder="1" applyAlignment="1">
      <alignment horizontal="right" vertical="center"/>
    </xf>
    <xf numFmtId="1" fontId="6" fillId="0" borderId="34" xfId="2" applyNumberFormat="1" applyFont="1" applyBorder="1" applyAlignment="1">
      <alignment horizontal="right" vertical="center"/>
    </xf>
    <xf numFmtId="177" fontId="38" fillId="17" borderId="0" xfId="2" applyNumberFormat="1" applyFont="1" applyFill="1" applyAlignment="1">
      <alignment horizontal="center" vertical="center"/>
    </xf>
    <xf numFmtId="2" fontId="36" fillId="27" borderId="1" xfId="2" applyNumberFormat="1" applyFont="1" applyFill="1" applyBorder="1" applyAlignment="1">
      <alignment vertical="center"/>
    </xf>
    <xf numFmtId="0" fontId="36" fillId="27" borderId="1" xfId="2" applyFont="1" applyFill="1" applyBorder="1" applyAlignment="1">
      <alignment horizontal="center" vertical="center"/>
    </xf>
    <xf numFmtId="0" fontId="36" fillId="0" borderId="1" xfId="2" applyFont="1" applyBorder="1" applyAlignment="1">
      <alignment horizontal="center" vertical="center"/>
    </xf>
    <xf numFmtId="176" fontId="36" fillId="0" borderId="1" xfId="2" applyNumberFormat="1" applyFont="1" applyBorder="1" applyAlignment="1">
      <alignment horizontal="center" vertical="center"/>
    </xf>
    <xf numFmtId="197" fontId="75" fillId="9" borderId="1" xfId="2" applyNumberFormat="1" applyFont="1" applyFill="1" applyBorder="1" applyAlignment="1">
      <alignment horizontal="center" vertical="center"/>
    </xf>
    <xf numFmtId="197" fontId="63" fillId="9" borderId="1" xfId="5" applyNumberFormat="1" applyFont="1" applyFill="1" applyBorder="1" applyAlignment="1">
      <alignment horizontal="center" vertical="center"/>
    </xf>
    <xf numFmtId="0" fontId="63" fillId="30" borderId="1" xfId="5" applyFont="1" applyFill="1" applyBorder="1" applyAlignment="1">
      <alignment horizontal="center" vertical="center"/>
    </xf>
    <xf numFmtId="189" fontId="14" fillId="0" borderId="0" xfId="5" applyNumberFormat="1" applyFont="1" applyAlignment="1">
      <alignment horizontal="center" vertical="center"/>
    </xf>
    <xf numFmtId="179" fontId="14" fillId="0" borderId="0" xfId="5" applyNumberFormat="1" applyFont="1" applyAlignment="1">
      <alignment horizontal="center" vertical="center"/>
    </xf>
    <xf numFmtId="182" fontId="66" fillId="0" borderId="0" xfId="5" applyNumberFormat="1" applyFont="1" applyAlignment="1">
      <alignment horizontal="center" vertical="center"/>
    </xf>
    <xf numFmtId="0" fontId="14" fillId="5" borderId="0" xfId="5" applyFont="1" applyFill="1" applyAlignment="1">
      <alignment horizontal="center" vertical="center"/>
    </xf>
    <xf numFmtId="189" fontId="76" fillId="14" borderId="29" xfId="5" applyNumberFormat="1" applyFont="1" applyFill="1" applyBorder="1" applyAlignment="1">
      <alignment horizontal="center" vertical="center"/>
    </xf>
    <xf numFmtId="189" fontId="76" fillId="14" borderId="4" xfId="5" applyNumberFormat="1" applyFont="1" applyFill="1" applyBorder="1" applyAlignment="1">
      <alignment horizontal="center" vertical="center"/>
    </xf>
    <xf numFmtId="0" fontId="17" fillId="0" borderId="27" xfId="5" applyFont="1" applyBorder="1" applyAlignment="1">
      <alignment horizontal="center" vertical="center"/>
    </xf>
    <xf numFmtId="0" fontId="17" fillId="0" borderId="23" xfId="5" applyFont="1" applyBorder="1" applyAlignment="1">
      <alignment horizontal="right" vertical="center"/>
    </xf>
    <xf numFmtId="0" fontId="73" fillId="22" borderId="1" xfId="2" applyFont="1" applyFill="1" applyBorder="1" applyAlignment="1">
      <alignment horizontal="center" vertical="center"/>
    </xf>
    <xf numFmtId="0" fontId="72" fillId="22" borderId="1" xfId="2" applyFont="1" applyFill="1" applyBorder="1" applyAlignment="1">
      <alignment horizontal="center" vertical="center"/>
    </xf>
    <xf numFmtId="0" fontId="14" fillId="0" borderId="0" xfId="2" applyFont="1" applyAlignment="1">
      <alignment horizontal="left" vertical="center"/>
    </xf>
    <xf numFmtId="0" fontId="45" fillId="0" borderId="0" xfId="2" applyFont="1" applyAlignment="1">
      <alignment horizontal="center" vertical="center"/>
    </xf>
    <xf numFmtId="0" fontId="46" fillId="0" borderId="0" xfId="2" applyFont="1" applyAlignment="1">
      <alignment horizontal="center" vertical="center"/>
    </xf>
    <xf numFmtId="0" fontId="46" fillId="0" borderId="0" xfId="2" applyFont="1" applyAlignment="1">
      <alignment vertical="center"/>
    </xf>
    <xf numFmtId="0" fontId="14" fillId="0" borderId="12" xfId="2" applyFont="1" applyBorder="1" applyAlignment="1">
      <alignment horizontal="center" vertical="center"/>
    </xf>
    <xf numFmtId="215" fontId="14" fillId="0" borderId="32" xfId="2" applyNumberFormat="1" applyFont="1" applyBorder="1" applyAlignment="1">
      <alignment horizontal="center" vertical="center"/>
    </xf>
    <xf numFmtId="215" fontId="14" fillId="0" borderId="0" xfId="2" applyNumberFormat="1" applyFont="1" applyAlignment="1">
      <alignment horizontal="center" vertical="center"/>
    </xf>
    <xf numFmtId="0" fontId="14" fillId="0" borderId="14" xfId="2" applyFont="1" applyBorder="1" applyAlignment="1">
      <alignment horizontal="center" vertical="center"/>
    </xf>
    <xf numFmtId="216" fontId="14" fillId="0" borderId="33" xfId="2" applyNumberFormat="1" applyFont="1" applyBorder="1" applyAlignment="1">
      <alignment horizontal="center" vertical="center"/>
    </xf>
    <xf numFmtId="0" fontId="14" fillId="0" borderId="34" xfId="2" applyFont="1" applyBorder="1" applyAlignment="1">
      <alignment horizontal="center" vertical="center"/>
    </xf>
    <xf numFmtId="40" fontId="14" fillId="0" borderId="35" xfId="2" applyNumberFormat="1" applyFont="1" applyBorder="1" applyAlignment="1">
      <alignment horizontal="center" vertical="center"/>
    </xf>
    <xf numFmtId="216" fontId="14" fillId="0" borderId="0" xfId="2" applyNumberFormat="1" applyFont="1" applyAlignment="1">
      <alignment horizontal="center" vertical="center"/>
    </xf>
    <xf numFmtId="0" fontId="14" fillId="0" borderId="36" xfId="2" applyFont="1" applyBorder="1" applyAlignment="1">
      <alignment horizontal="center" vertical="center"/>
    </xf>
    <xf numFmtId="0" fontId="14" fillId="0" borderId="37" xfId="2" applyFont="1" applyBorder="1" applyAlignment="1">
      <alignment horizontal="center" vertical="center"/>
    </xf>
    <xf numFmtId="0" fontId="14" fillId="0" borderId="38" xfId="2" applyFont="1" applyBorder="1" applyAlignment="1">
      <alignment horizontal="center" vertical="center"/>
    </xf>
    <xf numFmtId="0" fontId="14" fillId="0" borderId="3" xfId="2" applyFont="1" applyBorder="1" applyAlignment="1">
      <alignment horizontal="center" vertical="center"/>
    </xf>
    <xf numFmtId="217" fontId="14" fillId="0" borderId="39" xfId="2" applyNumberFormat="1" applyFont="1" applyBorder="1" applyAlignment="1">
      <alignment horizontal="center" vertical="center"/>
    </xf>
    <xf numFmtId="0" fontId="14" fillId="0" borderId="40" xfId="2" applyFont="1" applyBorder="1" applyAlignment="1">
      <alignment horizontal="center" vertical="center"/>
    </xf>
    <xf numFmtId="182" fontId="14" fillId="0" borderId="41" xfId="2" applyNumberFormat="1" applyFont="1" applyBorder="1" applyAlignment="1">
      <alignment horizontal="center" vertical="center"/>
    </xf>
    <xf numFmtId="38" fontId="14" fillId="0" borderId="42" xfId="2" applyNumberFormat="1" applyFont="1" applyBorder="1" applyAlignment="1">
      <alignment horizontal="center" vertical="center"/>
    </xf>
    <xf numFmtId="218" fontId="14" fillId="0" borderId="40" xfId="2" applyNumberFormat="1" applyFont="1" applyBorder="1" applyAlignment="1">
      <alignment horizontal="center" vertical="center"/>
    </xf>
    <xf numFmtId="217" fontId="14" fillId="0" borderId="36" xfId="2" applyNumberFormat="1" applyFont="1" applyBorder="1" applyAlignment="1">
      <alignment horizontal="center" vertical="center"/>
    </xf>
    <xf numFmtId="182" fontId="14" fillId="0" borderId="38" xfId="2" applyNumberFormat="1" applyFont="1" applyBorder="1" applyAlignment="1">
      <alignment horizontal="center" vertical="center"/>
    </xf>
    <xf numFmtId="38" fontId="14" fillId="0" borderId="3" xfId="2" applyNumberFormat="1" applyFont="1" applyBorder="1" applyAlignment="1">
      <alignment horizontal="center" vertical="center"/>
    </xf>
    <xf numFmtId="218" fontId="14" fillId="0" borderId="37" xfId="2" applyNumberFormat="1" applyFont="1" applyBorder="1" applyAlignment="1">
      <alignment horizontal="center" vertical="center"/>
    </xf>
    <xf numFmtId="0" fontId="14" fillId="0" borderId="43" xfId="2" applyFont="1" applyBorder="1" applyAlignment="1">
      <alignment horizontal="center" vertical="center"/>
    </xf>
    <xf numFmtId="0" fontId="14" fillId="0" borderId="44" xfId="2" applyFont="1" applyBorder="1" applyAlignment="1">
      <alignment horizontal="center" vertical="center"/>
    </xf>
    <xf numFmtId="0" fontId="14" fillId="0" borderId="45" xfId="2" applyFont="1" applyBorder="1" applyAlignment="1">
      <alignment horizontal="center" vertical="center"/>
    </xf>
    <xf numFmtId="0" fontId="14" fillId="0" borderId="46" xfId="2" applyFont="1" applyBorder="1" applyAlignment="1">
      <alignment horizontal="center" vertical="center"/>
    </xf>
    <xf numFmtId="0" fontId="14" fillId="0" borderId="0" xfId="2" applyFont="1" applyAlignment="1">
      <alignment horizontal="center"/>
    </xf>
    <xf numFmtId="0" fontId="14" fillId="0" borderId="0" xfId="2" applyFont="1"/>
    <xf numFmtId="0" fontId="82" fillId="0" borderId="1" xfId="0" applyFont="1" applyBorder="1" applyAlignment="1">
      <alignment vertical="center" wrapText="1"/>
    </xf>
    <xf numFmtId="0" fontId="81" fillId="0" borderId="1" xfId="0" applyFont="1" applyBorder="1" applyAlignment="1">
      <alignment horizontal="center" vertical="center" wrapText="1"/>
    </xf>
    <xf numFmtId="0" fontId="82" fillId="0" borderId="14" xfId="0" applyFont="1" applyBorder="1" applyAlignment="1">
      <alignment horizontal="center" vertical="center" wrapText="1"/>
    </xf>
    <xf numFmtId="0" fontId="81" fillId="0" borderId="14" xfId="0" applyFont="1" applyBorder="1" applyAlignment="1">
      <alignment horizontal="center" vertical="center" wrapText="1"/>
    </xf>
    <xf numFmtId="0" fontId="84" fillId="0" borderId="2" xfId="0" applyFont="1" applyBorder="1" applyAlignment="1">
      <alignment horizontal="right" vertical="center" wrapText="1"/>
    </xf>
    <xf numFmtId="220" fontId="84" fillId="0" borderId="50" xfId="0" applyNumberFormat="1" applyFont="1" applyBorder="1" applyAlignment="1">
      <alignment vertical="center" wrapText="1"/>
    </xf>
    <xf numFmtId="0" fontId="84" fillId="0" borderId="1" xfId="0" applyFont="1" applyBorder="1" applyAlignment="1">
      <alignment horizontal="center" vertical="center" wrapText="1"/>
    </xf>
    <xf numFmtId="0" fontId="84" fillId="0" borderId="33" xfId="0" applyFont="1" applyBorder="1" applyAlignment="1">
      <alignment horizontal="center" vertical="center" wrapText="1"/>
    </xf>
    <xf numFmtId="0" fontId="84" fillId="0" borderId="14" xfId="0" applyFont="1" applyBorder="1" applyAlignment="1">
      <alignment horizontal="center" vertical="center" wrapText="1"/>
    </xf>
    <xf numFmtId="1" fontId="84" fillId="0" borderId="1" xfId="0" applyNumberFormat="1" applyFont="1" applyBorder="1" applyAlignment="1">
      <alignment horizontal="center" vertical="center" wrapText="1"/>
    </xf>
    <xf numFmtId="32" fontId="84" fillId="0" borderId="1" xfId="0" applyNumberFormat="1" applyFont="1" applyBorder="1" applyAlignment="1">
      <alignment horizontal="center" vertical="center" wrapText="1"/>
    </xf>
    <xf numFmtId="2" fontId="84" fillId="0" borderId="1" xfId="0" applyNumberFormat="1" applyFont="1" applyBorder="1" applyAlignment="1">
      <alignment horizontal="center" vertical="center" wrapText="1"/>
    </xf>
    <xf numFmtId="1" fontId="84" fillId="0" borderId="14" xfId="0" applyNumberFormat="1" applyFont="1" applyBorder="1" applyAlignment="1">
      <alignment horizontal="center" vertical="center" wrapText="1"/>
    </xf>
    <xf numFmtId="1" fontId="84" fillId="0" borderId="69" xfId="0" applyNumberFormat="1" applyFont="1" applyBorder="1" applyAlignment="1">
      <alignment horizontal="center" vertical="center" wrapText="1"/>
    </xf>
    <xf numFmtId="1" fontId="84" fillId="0" borderId="8" xfId="0" applyNumberFormat="1" applyFont="1" applyBorder="1" applyAlignment="1">
      <alignment horizontal="center" vertical="center" wrapText="1"/>
    </xf>
    <xf numFmtId="32" fontId="84" fillId="0" borderId="8" xfId="0" applyNumberFormat="1" applyFont="1" applyBorder="1" applyAlignment="1">
      <alignment horizontal="center" vertical="center" wrapText="1"/>
    </xf>
    <xf numFmtId="2" fontId="84" fillId="0" borderId="8" xfId="0" applyNumberFormat="1" applyFont="1" applyBorder="1" applyAlignment="1">
      <alignment horizontal="center" vertical="center" wrapText="1"/>
    </xf>
    <xf numFmtId="0" fontId="86" fillId="0" borderId="0" xfId="0" applyFont="1">
      <alignment vertical="center"/>
    </xf>
    <xf numFmtId="0" fontId="82" fillId="0" borderId="2" xfId="0" applyFont="1" applyBorder="1" applyAlignment="1">
      <alignment horizontal="right" vertical="center" wrapText="1"/>
    </xf>
    <xf numFmtId="220" fontId="82" fillId="0" borderId="50" xfId="0" applyNumberFormat="1" applyFont="1" applyBorder="1" applyAlignment="1">
      <alignment vertical="center" wrapText="1"/>
    </xf>
    <xf numFmtId="0" fontId="82" fillId="0" borderId="1" xfId="0" applyFont="1" applyBorder="1" applyAlignment="1">
      <alignment horizontal="center" vertical="center" wrapText="1"/>
    </xf>
    <xf numFmtId="0" fontId="82" fillId="0" borderId="33" xfId="0" applyFont="1" applyBorder="1" applyAlignment="1">
      <alignment horizontal="center" vertical="center" wrapText="1"/>
    </xf>
    <xf numFmtId="0" fontId="82" fillId="0" borderId="33" xfId="0" applyFont="1" applyBorder="1" applyAlignment="1">
      <alignment vertical="center" wrapText="1"/>
    </xf>
    <xf numFmtId="32" fontId="82" fillId="0" borderId="1" xfId="0" applyNumberFormat="1" applyFont="1" applyBorder="1" applyAlignment="1">
      <alignment horizontal="center" vertical="center" wrapText="1"/>
    </xf>
    <xf numFmtId="2" fontId="82" fillId="0" borderId="1" xfId="0" applyNumberFormat="1" applyFont="1" applyBorder="1" applyAlignment="1">
      <alignment horizontal="center" vertical="center" wrapText="1"/>
    </xf>
    <xf numFmtId="0" fontId="87" fillId="0" borderId="1" xfId="2" applyFont="1" applyBorder="1" applyAlignment="1">
      <alignment horizontal="center" vertical="center"/>
    </xf>
    <xf numFmtId="0" fontId="87" fillId="0" borderId="33" xfId="2" applyFont="1" applyBorder="1" applyAlignment="1">
      <alignment horizontal="center" vertical="center"/>
    </xf>
    <xf numFmtId="0" fontId="86" fillId="0" borderId="14" xfId="0" applyFont="1" applyBorder="1">
      <alignment vertical="center"/>
    </xf>
    <xf numFmtId="0" fontId="89" fillId="0" borderId="0" xfId="0" applyFont="1">
      <alignment vertical="center"/>
    </xf>
    <xf numFmtId="0" fontId="68" fillId="0" borderId="33" xfId="2" applyFont="1" applyBorder="1" applyAlignment="1">
      <alignment horizontal="center" vertical="center"/>
    </xf>
    <xf numFmtId="0" fontId="84" fillId="0" borderId="1" xfId="0" applyFont="1" applyBorder="1" applyAlignment="1">
      <alignment vertical="center" wrapText="1"/>
    </xf>
    <xf numFmtId="0" fontId="90" fillId="0" borderId="14" xfId="0" applyFont="1" applyBorder="1" applyAlignment="1">
      <alignment horizontal="center" vertical="center" wrapText="1"/>
    </xf>
    <xf numFmtId="0" fontId="90" fillId="0" borderId="1" xfId="0" applyFont="1" applyBorder="1" applyAlignment="1">
      <alignment horizontal="center" vertical="center" wrapText="1"/>
    </xf>
    <xf numFmtId="0" fontId="89" fillId="0" borderId="14" xfId="0" applyFont="1" applyBorder="1">
      <alignment vertical="center"/>
    </xf>
    <xf numFmtId="0" fontId="89" fillId="0" borderId="69" xfId="0" applyFont="1" applyBorder="1">
      <alignment vertical="center"/>
    </xf>
    <xf numFmtId="0" fontId="84" fillId="0" borderId="8" xfId="0" applyFont="1" applyBorder="1" applyAlignment="1">
      <alignment horizontal="center" vertical="center" wrapText="1"/>
    </xf>
    <xf numFmtId="0" fontId="84" fillId="0" borderId="70" xfId="0" applyFont="1" applyBorder="1" applyAlignment="1">
      <alignment horizontal="center" vertical="center" wrapText="1"/>
    </xf>
    <xf numFmtId="0" fontId="89" fillId="0" borderId="34" xfId="0" applyFont="1" applyBorder="1">
      <alignment vertical="center"/>
    </xf>
    <xf numFmtId="32" fontId="84" fillId="0" borderId="17" xfId="0" applyNumberFormat="1" applyFont="1" applyBorder="1" applyAlignment="1">
      <alignment horizontal="center" vertical="center" wrapText="1"/>
    </xf>
    <xf numFmtId="2" fontId="84" fillId="0" borderId="17" xfId="0" applyNumberFormat="1" applyFont="1" applyBorder="1" applyAlignment="1">
      <alignment horizontal="center" vertical="center" wrapText="1"/>
    </xf>
    <xf numFmtId="0" fontId="84" fillId="0" borderId="0" xfId="0" applyFont="1">
      <alignment vertical="center"/>
    </xf>
    <xf numFmtId="0" fontId="89" fillId="0" borderId="1" xfId="0" applyFont="1" applyBorder="1">
      <alignment vertical="center"/>
    </xf>
    <xf numFmtId="0" fontId="89" fillId="0" borderId="17" xfId="0" applyFont="1" applyBorder="1">
      <alignment vertical="center"/>
    </xf>
    <xf numFmtId="0" fontId="89" fillId="0" borderId="2" xfId="0" applyFont="1" applyBorder="1">
      <alignment vertical="center"/>
    </xf>
    <xf numFmtId="0" fontId="89" fillId="0" borderId="6" xfId="0" applyFont="1" applyBorder="1">
      <alignment vertical="center"/>
    </xf>
    <xf numFmtId="0" fontId="89" fillId="0" borderId="50" xfId="0" applyFont="1" applyBorder="1">
      <alignment vertical="center"/>
    </xf>
    <xf numFmtId="0" fontId="94" fillId="0" borderId="1" xfId="0" applyFont="1" applyBorder="1" applyAlignment="1">
      <alignment horizontal="center" vertical="center" wrapText="1"/>
    </xf>
    <xf numFmtId="0" fontId="95" fillId="31" borderId="0" xfId="0" applyFont="1" applyFill="1">
      <alignment vertical="center"/>
    </xf>
    <xf numFmtId="0" fontId="0" fillId="32" borderId="73" xfId="0" applyFill="1" applyBorder="1">
      <alignment vertical="center"/>
    </xf>
    <xf numFmtId="214" fontId="0" fillId="32" borderId="73" xfId="0" applyNumberFormat="1" applyFill="1" applyBorder="1">
      <alignment vertical="center"/>
    </xf>
    <xf numFmtId="0" fontId="0" fillId="0" borderId="73" xfId="0" applyBorder="1">
      <alignment vertical="center"/>
    </xf>
    <xf numFmtId="214" fontId="0" fillId="0" borderId="73" xfId="0" applyNumberFormat="1" applyBorder="1">
      <alignment vertical="center"/>
    </xf>
    <xf numFmtId="2" fontId="9" fillId="0" borderId="1" xfId="2" applyNumberFormat="1" applyFont="1" applyBorder="1" applyAlignment="1">
      <alignment horizontal="center" vertical="center"/>
    </xf>
    <xf numFmtId="0" fontId="8" fillId="0" borderId="1" xfId="2" applyFont="1" applyBorder="1" applyAlignment="1">
      <alignment horizontal="center" vertical="center"/>
    </xf>
    <xf numFmtId="0" fontId="19" fillId="8" borderId="5" xfId="2" applyFont="1" applyFill="1" applyBorder="1" applyAlignment="1">
      <alignment horizontal="right" vertical="center"/>
    </xf>
    <xf numFmtId="0" fontId="9" fillId="0" borderId="0" xfId="2" applyFont="1" applyAlignment="1">
      <alignment horizontal="center" vertical="center"/>
    </xf>
    <xf numFmtId="0" fontId="13" fillId="27" borderId="2" xfId="2" applyFont="1" applyFill="1" applyBorder="1" applyAlignment="1">
      <alignment horizontal="left" vertical="center"/>
    </xf>
    <xf numFmtId="0" fontId="13" fillId="27" borderId="6" xfId="2" applyFont="1" applyFill="1" applyBorder="1" applyAlignment="1">
      <alignment horizontal="left" vertical="center"/>
    </xf>
    <xf numFmtId="0" fontId="13" fillId="27" borderId="7" xfId="2" applyFont="1" applyFill="1" applyBorder="1" applyAlignment="1">
      <alignment horizontal="left" vertical="center"/>
    </xf>
    <xf numFmtId="0" fontId="15" fillId="0" borderId="0" xfId="2" applyFont="1" applyAlignment="1">
      <alignment horizontal="center" vertical="center"/>
    </xf>
    <xf numFmtId="186" fontId="18" fillId="9" borderId="1" xfId="2" applyNumberFormat="1" applyFont="1" applyFill="1" applyBorder="1" applyAlignment="1">
      <alignment horizontal="center" vertical="center"/>
    </xf>
    <xf numFmtId="187" fontId="16" fillId="27" borderId="1" xfId="2" applyNumberFormat="1" applyFont="1" applyFill="1" applyBorder="1" applyAlignment="1">
      <alignment horizontal="center" vertical="center"/>
    </xf>
    <xf numFmtId="187" fontId="19" fillId="8" borderId="2" xfId="2" applyNumberFormat="1" applyFont="1" applyFill="1" applyBorder="1" applyAlignment="1">
      <alignment horizontal="right" vertical="center"/>
    </xf>
    <xf numFmtId="187" fontId="19" fillId="8" borderId="6" xfId="2" applyNumberFormat="1" applyFont="1" applyFill="1" applyBorder="1" applyAlignment="1">
      <alignment horizontal="right" vertical="center"/>
    </xf>
    <xf numFmtId="187" fontId="19" fillId="8" borderId="7" xfId="2" applyNumberFormat="1" applyFont="1" applyFill="1" applyBorder="1" applyAlignment="1">
      <alignment horizontal="right" vertical="center"/>
    </xf>
    <xf numFmtId="185" fontId="13" fillId="27" borderId="2" xfId="2" applyNumberFormat="1" applyFont="1" applyFill="1" applyBorder="1" applyAlignment="1">
      <alignment horizontal="left" vertical="center"/>
    </xf>
    <xf numFmtId="185" fontId="13" fillId="27" borderId="6" xfId="2" applyNumberFormat="1" applyFont="1" applyFill="1" applyBorder="1" applyAlignment="1">
      <alignment horizontal="left" vertical="center"/>
    </xf>
    <xf numFmtId="185" fontId="13" fillId="27" borderId="7" xfId="2" applyNumberFormat="1" applyFont="1" applyFill="1" applyBorder="1" applyAlignment="1">
      <alignment horizontal="left" vertical="center"/>
    </xf>
    <xf numFmtId="0" fontId="13" fillId="27" borderId="2" xfId="2" applyFont="1" applyFill="1" applyBorder="1" applyAlignment="1">
      <alignment horizontal="center" vertical="center"/>
    </xf>
    <xf numFmtId="0" fontId="13" fillId="27" borderId="6" xfId="2" applyFont="1" applyFill="1" applyBorder="1" applyAlignment="1">
      <alignment horizontal="center" vertical="center"/>
    </xf>
    <xf numFmtId="0" fontId="13" fillId="27" borderId="7" xfId="2" applyFont="1" applyFill="1" applyBorder="1" applyAlignment="1">
      <alignment horizontal="center" vertical="center"/>
    </xf>
    <xf numFmtId="187" fontId="16" fillId="27" borderId="2" xfId="2" applyNumberFormat="1" applyFont="1" applyFill="1" applyBorder="1" applyAlignment="1">
      <alignment horizontal="center" vertical="center"/>
    </xf>
    <xf numFmtId="187" fontId="16" fillId="27" borderId="7" xfId="2" applyNumberFormat="1" applyFont="1" applyFill="1" applyBorder="1" applyAlignment="1">
      <alignment horizontal="center" vertical="center"/>
    </xf>
    <xf numFmtId="0" fontId="13" fillId="20" borderId="51" xfId="2" applyFont="1" applyFill="1" applyBorder="1" applyAlignment="1">
      <alignment horizontal="center" vertical="center"/>
    </xf>
    <xf numFmtId="0" fontId="13" fillId="20" borderId="49" xfId="2" applyFont="1" applyFill="1" applyBorder="1" applyAlignment="1">
      <alignment horizontal="center" vertical="center"/>
    </xf>
    <xf numFmtId="0" fontId="13" fillId="0" borderId="2" xfId="2" applyFont="1" applyBorder="1" applyAlignment="1">
      <alignment horizontal="center" vertical="center"/>
    </xf>
    <xf numFmtId="0" fontId="13" fillId="0" borderId="7" xfId="2" applyFont="1" applyBorder="1" applyAlignment="1">
      <alignment horizontal="center" vertical="center"/>
    </xf>
    <xf numFmtId="181" fontId="13" fillId="0" borderId="8" xfId="2" applyNumberFormat="1" applyFont="1" applyBorder="1" applyAlignment="1">
      <alignment horizontal="center" vertical="center"/>
    </xf>
    <xf numFmtId="181" fontId="13" fillId="0" borderId="9" xfId="2" applyNumberFormat="1" applyFont="1" applyBorder="1" applyAlignment="1">
      <alignment horizontal="center" vertical="center"/>
    </xf>
    <xf numFmtId="190" fontId="13" fillId="27" borderId="2" xfId="2" applyNumberFormat="1" applyFont="1" applyFill="1" applyBorder="1" applyAlignment="1">
      <alignment horizontal="center" vertical="center"/>
    </xf>
    <xf numFmtId="190" fontId="13" fillId="27" borderId="7" xfId="2" applyNumberFormat="1" applyFont="1" applyFill="1" applyBorder="1" applyAlignment="1">
      <alignment horizontal="center" vertical="center"/>
    </xf>
    <xf numFmtId="179" fontId="13" fillId="0" borderId="10" xfId="2" applyNumberFormat="1" applyFont="1" applyBorder="1" applyAlignment="1">
      <alignment horizontal="center" vertical="center"/>
    </xf>
    <xf numFmtId="179" fontId="13" fillId="0" borderId="47" xfId="2" applyNumberFormat="1" applyFont="1" applyBorder="1" applyAlignment="1">
      <alignment horizontal="center" vertical="center"/>
    </xf>
    <xf numFmtId="179" fontId="13" fillId="0" borderId="11" xfId="2" applyNumberFormat="1" applyFont="1" applyBorder="1" applyAlignment="1">
      <alignment horizontal="center" vertical="center"/>
    </xf>
    <xf numFmtId="179" fontId="13" fillId="0" borderId="48" xfId="2" applyNumberFormat="1" applyFont="1" applyBorder="1" applyAlignment="1">
      <alignment horizontal="center" vertical="center"/>
    </xf>
    <xf numFmtId="0" fontId="13" fillId="25" borderId="53" xfId="2" applyFont="1" applyFill="1" applyBorder="1" applyAlignment="1">
      <alignment horizontal="center" vertical="center"/>
    </xf>
    <xf numFmtId="0" fontId="13" fillId="25" borderId="54" xfId="2" applyFont="1" applyFill="1" applyBorder="1" applyAlignment="1">
      <alignment horizontal="center" vertical="center"/>
    </xf>
    <xf numFmtId="179" fontId="13" fillId="25" borderId="53" xfId="2" applyNumberFormat="1" applyFont="1" applyFill="1" applyBorder="1" applyAlignment="1">
      <alignment horizontal="center" vertical="center"/>
    </xf>
    <xf numFmtId="179" fontId="13" fillId="25" borderId="54" xfId="2" applyNumberFormat="1" applyFont="1" applyFill="1" applyBorder="1" applyAlignment="1">
      <alignment horizontal="center" vertical="center"/>
    </xf>
    <xf numFmtId="0" fontId="13" fillId="20" borderId="52" xfId="2" applyFont="1" applyFill="1" applyBorder="1" applyAlignment="1">
      <alignment horizontal="center" vertical="center"/>
    </xf>
    <xf numFmtId="207" fontId="69" fillId="0" borderId="1" xfId="2" applyNumberFormat="1" applyFont="1" applyBorder="1" applyAlignment="1">
      <alignment horizontal="center" vertical="center"/>
    </xf>
    <xf numFmtId="208" fontId="69" fillId="0" borderId="1" xfId="2" applyNumberFormat="1" applyFont="1" applyBorder="1" applyAlignment="1">
      <alignment horizontal="center" vertical="center"/>
    </xf>
    <xf numFmtId="0" fontId="69" fillId="0" borderId="1" xfId="2" applyFont="1" applyBorder="1" applyAlignment="1">
      <alignment horizontal="center" vertical="center"/>
    </xf>
    <xf numFmtId="201" fontId="69" fillId="0" borderId="2" xfId="2" applyNumberFormat="1" applyFont="1" applyBorder="1" applyAlignment="1">
      <alignment horizontal="center" vertical="center"/>
    </xf>
    <xf numFmtId="201" fontId="69" fillId="0" borderId="6" xfId="2" applyNumberFormat="1" applyFont="1" applyBorder="1" applyAlignment="1">
      <alignment horizontal="center" vertical="center"/>
    </xf>
    <xf numFmtId="201" fontId="69" fillId="0" borderId="7" xfId="2" applyNumberFormat="1" applyFont="1" applyBorder="1" applyAlignment="1">
      <alignment horizontal="center" vertical="center"/>
    </xf>
    <xf numFmtId="203" fontId="69" fillId="0" borderId="1" xfId="2" applyNumberFormat="1" applyFont="1" applyBorder="1" applyAlignment="1">
      <alignment horizontal="center" vertical="center"/>
    </xf>
    <xf numFmtId="204" fontId="69" fillId="0" borderId="1" xfId="2" applyNumberFormat="1" applyFont="1" applyBorder="1" applyAlignment="1">
      <alignment horizontal="center" vertical="center"/>
    </xf>
    <xf numFmtId="205" fontId="69" fillId="0" borderId="2" xfId="2" applyNumberFormat="1" applyFont="1" applyBorder="1" applyAlignment="1">
      <alignment horizontal="center" vertical="center"/>
    </xf>
    <xf numFmtId="205" fontId="69" fillId="0" borderId="6" xfId="2" applyNumberFormat="1" applyFont="1" applyBorder="1" applyAlignment="1">
      <alignment horizontal="center" vertical="center"/>
    </xf>
    <xf numFmtId="206" fontId="69" fillId="0" borderId="6" xfId="2" applyNumberFormat="1" applyFont="1" applyBorder="1" applyAlignment="1">
      <alignment horizontal="center" vertical="center"/>
    </xf>
    <xf numFmtId="202" fontId="69" fillId="0" borderId="1" xfId="2" applyNumberFormat="1" applyFont="1" applyBorder="1" applyAlignment="1">
      <alignment horizontal="center" vertical="center" wrapText="1"/>
    </xf>
    <xf numFmtId="0" fontId="69" fillId="0" borderId="1" xfId="2" applyFont="1" applyBorder="1" applyAlignment="1">
      <alignment horizontal="center" vertical="center" wrapText="1"/>
    </xf>
    <xf numFmtId="213" fontId="16" fillId="0" borderId="1" xfId="2" applyNumberFormat="1" applyFont="1" applyBorder="1" applyAlignment="1">
      <alignment horizontal="center" vertical="center"/>
    </xf>
    <xf numFmtId="0" fontId="40" fillId="8" borderId="0" xfId="2" applyFont="1" applyFill="1" applyAlignment="1">
      <alignment horizontal="right" vertical="center" wrapText="1"/>
    </xf>
    <xf numFmtId="211" fontId="16" fillId="0" borderId="1" xfId="2" applyNumberFormat="1" applyFont="1" applyBorder="1" applyAlignment="1">
      <alignment horizontal="left" vertical="center"/>
    </xf>
    <xf numFmtId="211" fontId="16" fillId="0" borderId="2" xfId="2" applyNumberFormat="1" applyFont="1" applyBorder="1" applyAlignment="1">
      <alignment horizontal="left" vertical="center"/>
    </xf>
    <xf numFmtId="0" fontId="16" fillId="0" borderId="1" xfId="2" applyFont="1" applyBorder="1" applyAlignment="1">
      <alignment horizontal="center" vertical="center" wrapText="1"/>
    </xf>
    <xf numFmtId="0" fontId="14" fillId="0" borderId="0" xfId="2" applyFont="1" applyAlignment="1">
      <alignment horizontal="center" vertical="center"/>
    </xf>
    <xf numFmtId="0" fontId="84" fillId="0" borderId="2" xfId="0" applyFont="1" applyBorder="1" applyAlignment="1">
      <alignment horizontal="center" vertical="center"/>
    </xf>
    <xf numFmtId="0" fontId="84" fillId="0" borderId="7" xfId="0" applyFont="1" applyBorder="1" applyAlignment="1">
      <alignment horizontal="center" vertical="center"/>
    </xf>
    <xf numFmtId="0" fontId="84" fillId="0" borderId="2" xfId="0" applyFont="1" applyBorder="1" applyAlignment="1">
      <alignment horizontal="center" vertical="center" wrapText="1"/>
    </xf>
    <xf numFmtId="0" fontId="84" fillId="0" borderId="6" xfId="0" applyFont="1" applyBorder="1" applyAlignment="1">
      <alignment horizontal="center" vertical="center" wrapText="1"/>
    </xf>
    <xf numFmtId="0" fontId="84" fillId="0" borderId="50" xfId="0" applyFont="1" applyBorder="1" applyAlignment="1">
      <alignment horizontal="center" vertical="center" wrapText="1"/>
    </xf>
    <xf numFmtId="0" fontId="84" fillId="0" borderId="6" xfId="0" applyFont="1" applyBorder="1" applyAlignment="1">
      <alignment horizontal="center" vertical="center"/>
    </xf>
    <xf numFmtId="0" fontId="84" fillId="0" borderId="50" xfId="0" applyFont="1" applyBorder="1" applyAlignment="1">
      <alignment horizontal="center" vertical="center"/>
    </xf>
    <xf numFmtId="0" fontId="84" fillId="0" borderId="53" xfId="0" applyFont="1" applyBorder="1" applyAlignment="1">
      <alignment horizontal="center" vertical="center"/>
    </xf>
    <xf numFmtId="0" fontId="84" fillId="0" borderId="54" xfId="0" applyFont="1" applyBorder="1" applyAlignment="1">
      <alignment horizontal="center" vertical="center"/>
    </xf>
    <xf numFmtId="0" fontId="84" fillId="0" borderId="1" xfId="0" applyFont="1" applyBorder="1" applyAlignment="1">
      <alignment horizontal="center" vertical="center" wrapText="1"/>
    </xf>
    <xf numFmtId="0" fontId="82" fillId="0" borderId="14" xfId="0" applyFont="1" applyBorder="1" applyAlignment="1">
      <alignment horizontal="center" vertical="center" wrapText="1"/>
    </xf>
    <xf numFmtId="0" fontId="82" fillId="0" borderId="1" xfId="0" applyFont="1" applyBorder="1" applyAlignment="1">
      <alignment horizontal="center" vertical="center" wrapText="1"/>
    </xf>
    <xf numFmtId="0" fontId="83" fillId="0" borderId="0" xfId="0" applyFont="1" applyAlignment="1">
      <alignment horizontal="center" vertical="center" wrapText="1"/>
    </xf>
    <xf numFmtId="0" fontId="84" fillId="0" borderId="64" xfId="0" applyFont="1" applyBorder="1" applyAlignment="1">
      <alignment horizontal="center" vertical="center" wrapText="1"/>
    </xf>
    <xf numFmtId="0" fontId="84" fillId="0" borderId="52" xfId="0" applyFont="1" applyBorder="1" applyAlignment="1">
      <alignment horizontal="center" vertical="center" wrapText="1"/>
    </xf>
    <xf numFmtId="0" fontId="84" fillId="0" borderId="51" xfId="0" applyFont="1" applyBorder="1" applyAlignment="1">
      <alignment horizontal="justify" vertical="center" wrapText="1"/>
    </xf>
    <xf numFmtId="0" fontId="84" fillId="0" borderId="65" xfId="0" applyFont="1" applyBorder="1" applyAlignment="1">
      <alignment horizontal="justify" vertical="center" wrapText="1"/>
    </xf>
    <xf numFmtId="0" fontId="84" fillId="0" borderId="49" xfId="0" applyFont="1" applyBorder="1" applyAlignment="1">
      <alignment horizontal="justify" vertical="center" wrapText="1"/>
    </xf>
    <xf numFmtId="0" fontId="84" fillId="0" borderId="66" xfId="0" applyFont="1" applyBorder="1" applyAlignment="1">
      <alignment horizontal="center" vertical="center" wrapText="1"/>
    </xf>
    <xf numFmtId="0" fontId="84" fillId="0" borderId="7" xfId="0" applyFont="1" applyBorder="1" applyAlignment="1">
      <alignment horizontal="center" vertical="center" wrapText="1"/>
    </xf>
    <xf numFmtId="219" fontId="84" fillId="0" borderId="2" xfId="0" applyNumberFormat="1" applyFont="1" applyBorder="1" applyAlignment="1">
      <alignment horizontal="justify" vertical="center" wrapText="1"/>
    </xf>
    <xf numFmtId="219" fontId="84" fillId="0" borderId="6" xfId="0" applyNumberFormat="1" applyFont="1" applyBorder="1" applyAlignment="1">
      <alignment horizontal="justify" vertical="center" wrapText="1"/>
    </xf>
    <xf numFmtId="219" fontId="84" fillId="0" borderId="50" xfId="0" applyNumberFormat="1" applyFont="1" applyBorder="1" applyAlignment="1">
      <alignment horizontal="justify" vertical="center" wrapText="1"/>
    </xf>
    <xf numFmtId="0" fontId="84" fillId="0" borderId="2" xfId="0" applyFont="1" applyBorder="1" applyAlignment="1">
      <alignment horizontal="left" vertical="center" wrapText="1"/>
    </xf>
    <xf numFmtId="0" fontId="84" fillId="0" borderId="6" xfId="0" applyFont="1" applyBorder="1" applyAlignment="1">
      <alignment horizontal="left" vertical="center" wrapText="1"/>
    </xf>
    <xf numFmtId="0" fontId="84" fillId="0" borderId="7" xfId="0" applyFont="1" applyBorder="1" applyAlignment="1">
      <alignment horizontal="left" vertical="center" wrapText="1"/>
    </xf>
    <xf numFmtId="0" fontId="84" fillId="0" borderId="2" xfId="0" applyFont="1" applyBorder="1" applyAlignment="1">
      <alignment horizontal="justify" vertical="center" wrapText="1"/>
    </xf>
    <xf numFmtId="0" fontId="84" fillId="0" borderId="6" xfId="0" applyFont="1" applyBorder="1" applyAlignment="1">
      <alignment horizontal="justify" vertical="center" wrapText="1"/>
    </xf>
    <xf numFmtId="0" fontId="84" fillId="0" borderId="50" xfId="0" applyFont="1" applyBorder="1" applyAlignment="1">
      <alignment horizontal="justify" vertical="center" wrapText="1"/>
    </xf>
    <xf numFmtId="0" fontId="84" fillId="0" borderId="67" xfId="0" applyFont="1" applyBorder="1" applyAlignment="1">
      <alignment horizontal="center" vertical="center"/>
    </xf>
    <xf numFmtId="0" fontId="84" fillId="0" borderId="68" xfId="0" applyFont="1" applyBorder="1" applyAlignment="1">
      <alignment horizontal="center" vertical="center"/>
    </xf>
    <xf numFmtId="0" fontId="84" fillId="0" borderId="10" xfId="0" applyFont="1" applyBorder="1" applyAlignment="1">
      <alignment horizontal="center" vertical="center" wrapText="1"/>
    </xf>
    <xf numFmtId="0" fontId="84" fillId="0" borderId="47" xfId="0" applyFont="1" applyBorder="1" applyAlignment="1">
      <alignment horizontal="center" vertical="center" wrapText="1"/>
    </xf>
    <xf numFmtId="0" fontId="68" fillId="0" borderId="2" xfId="2" applyFont="1" applyBorder="1" applyAlignment="1">
      <alignment horizontal="center" vertical="center"/>
    </xf>
    <xf numFmtId="0" fontId="68" fillId="0" borderId="6" xfId="2" applyFont="1" applyBorder="1" applyAlignment="1">
      <alignment horizontal="center" vertical="center"/>
    </xf>
    <xf numFmtId="0" fontId="68" fillId="0" borderId="50" xfId="2" applyFont="1" applyBorder="1" applyAlignment="1">
      <alignment horizontal="center" vertical="center"/>
    </xf>
    <xf numFmtId="0" fontId="84" fillId="0" borderId="10" xfId="0" applyFont="1" applyBorder="1" applyAlignment="1">
      <alignment horizontal="center" vertical="center"/>
    </xf>
    <xf numFmtId="0" fontId="84" fillId="0" borderId="5" xfId="0" applyFont="1" applyBorder="1" applyAlignment="1">
      <alignment horizontal="center" vertical="center"/>
    </xf>
    <xf numFmtId="0" fontId="84" fillId="0" borderId="72" xfId="0" applyFont="1" applyBorder="1" applyAlignment="1">
      <alignment horizontal="center" vertical="center"/>
    </xf>
    <xf numFmtId="0" fontId="89" fillId="0" borderId="2" xfId="0" applyFont="1" applyBorder="1" applyAlignment="1">
      <alignment horizontal="center" vertical="center"/>
    </xf>
    <xf numFmtId="0" fontId="89" fillId="0" borderId="6" xfId="0" applyFont="1" applyBorder="1" applyAlignment="1">
      <alignment horizontal="center" vertical="center"/>
    </xf>
    <xf numFmtId="0" fontId="89" fillId="0" borderId="50" xfId="0" applyFont="1" applyBorder="1" applyAlignment="1">
      <alignment horizontal="center" vertical="center"/>
    </xf>
    <xf numFmtId="0" fontId="89" fillId="0" borderId="53" xfId="0" applyFont="1" applyBorder="1" applyAlignment="1">
      <alignment horizontal="center" vertical="center"/>
    </xf>
    <xf numFmtId="0" fontId="89" fillId="0" borderId="67" xfId="0" applyFont="1" applyBorder="1" applyAlignment="1">
      <alignment horizontal="center" vertical="center"/>
    </xf>
    <xf numFmtId="0" fontId="89" fillId="0" borderId="68" xfId="0" applyFont="1" applyBorder="1" applyAlignment="1">
      <alignment horizontal="center" vertical="center"/>
    </xf>
    <xf numFmtId="0" fontId="89" fillId="0" borderId="7" xfId="0" applyFont="1" applyBorder="1" applyAlignment="1">
      <alignment horizontal="center" vertical="center"/>
    </xf>
    <xf numFmtId="0" fontId="89" fillId="0" borderId="54" xfId="0" applyFont="1" applyBorder="1" applyAlignment="1">
      <alignment horizontal="center" vertical="center"/>
    </xf>
    <xf numFmtId="0" fontId="84" fillId="0" borderId="47" xfId="0" applyFont="1" applyBorder="1" applyAlignment="1">
      <alignment horizontal="center" vertical="center"/>
    </xf>
    <xf numFmtId="0" fontId="91" fillId="0" borderId="71" xfId="0" applyFont="1" applyBorder="1" applyAlignment="1">
      <alignment horizontal="center" vertical="center"/>
    </xf>
    <xf numFmtId="0" fontId="91" fillId="0" borderId="67" xfId="0" applyFont="1" applyBorder="1" applyAlignment="1">
      <alignment horizontal="center" vertical="center"/>
    </xf>
    <xf numFmtId="0" fontId="91" fillId="0" borderId="68" xfId="0" applyFont="1" applyBorder="1" applyAlignment="1">
      <alignment horizontal="center" vertical="center"/>
    </xf>
    <xf numFmtId="0" fontId="82" fillId="0" borderId="66" xfId="0" applyFont="1" applyBorder="1" applyAlignment="1">
      <alignment horizontal="center" vertical="center" wrapText="1"/>
    </xf>
    <xf numFmtId="0" fontId="82" fillId="0" borderId="7" xfId="0" applyFont="1" applyBorder="1" applyAlignment="1">
      <alignment horizontal="center" vertical="center" wrapText="1"/>
    </xf>
    <xf numFmtId="219" fontId="82" fillId="0" borderId="2" xfId="0" applyNumberFormat="1" applyFont="1" applyBorder="1" applyAlignment="1">
      <alignment horizontal="justify" vertical="center" wrapText="1"/>
    </xf>
    <xf numFmtId="219" fontId="82" fillId="0" borderId="6" xfId="0" applyNumberFormat="1" applyFont="1" applyBorder="1" applyAlignment="1">
      <alignment horizontal="justify" vertical="center" wrapText="1"/>
    </xf>
    <xf numFmtId="219" fontId="82" fillId="0" borderId="50" xfId="0" applyNumberFormat="1" applyFont="1" applyBorder="1" applyAlignment="1">
      <alignment horizontal="justify" vertical="center" wrapText="1"/>
    </xf>
    <xf numFmtId="0" fontId="85" fillId="0" borderId="0" xfId="0" applyFont="1" applyAlignment="1">
      <alignment horizontal="center" vertical="center" wrapText="1"/>
    </xf>
    <xf numFmtId="0" fontId="82" fillId="0" borderId="64" xfId="0" applyFont="1" applyBorder="1" applyAlignment="1">
      <alignment horizontal="center" vertical="center" wrapText="1"/>
    </xf>
    <xf numFmtId="0" fontId="82" fillId="0" borderId="52" xfId="0" applyFont="1" applyBorder="1" applyAlignment="1">
      <alignment horizontal="center" vertical="center" wrapText="1"/>
    </xf>
    <xf numFmtId="0" fontId="82" fillId="0" borderId="51" xfId="0" applyFont="1" applyBorder="1" applyAlignment="1">
      <alignment horizontal="justify" vertical="center" wrapText="1"/>
    </xf>
    <xf numFmtId="0" fontId="82" fillId="0" borderId="65" xfId="0" applyFont="1" applyBorder="1" applyAlignment="1">
      <alignment horizontal="justify" vertical="center" wrapText="1"/>
    </xf>
    <xf numFmtId="0" fontId="82" fillId="0" borderId="49" xfId="0" applyFont="1" applyBorder="1" applyAlignment="1">
      <alignment horizontal="justify" vertical="center" wrapText="1"/>
    </xf>
    <xf numFmtId="0" fontId="82" fillId="0" borderId="2" xfId="0" applyFont="1" applyBorder="1" applyAlignment="1">
      <alignment horizontal="left" vertical="center" wrapText="1"/>
    </xf>
    <xf numFmtId="0" fontId="82" fillId="0" borderId="6" xfId="0" applyFont="1" applyBorder="1" applyAlignment="1">
      <alignment horizontal="left" vertical="center" wrapText="1"/>
    </xf>
    <xf numFmtId="0" fontId="82" fillId="0" borderId="7" xfId="0" applyFont="1" applyBorder="1" applyAlignment="1">
      <alignment horizontal="left" vertical="center" wrapText="1"/>
    </xf>
    <xf numFmtId="0" fontId="82" fillId="0" borderId="2" xfId="0" applyFont="1" applyBorder="1" applyAlignment="1">
      <alignment horizontal="justify" vertical="center" wrapText="1"/>
    </xf>
    <xf numFmtId="0" fontId="82" fillId="0" borderId="6" xfId="0" applyFont="1" applyBorder="1" applyAlignment="1">
      <alignment horizontal="justify" vertical="center" wrapText="1"/>
    </xf>
    <xf numFmtId="0" fontId="82" fillId="0" borderId="50" xfId="0" applyFont="1" applyBorder="1" applyAlignment="1">
      <alignment horizontal="justify" vertical="center" wrapText="1"/>
    </xf>
    <xf numFmtId="0" fontId="82" fillId="0" borderId="2" xfId="0" applyFont="1" applyBorder="1" applyAlignment="1">
      <alignment horizontal="center" vertical="center" wrapText="1"/>
    </xf>
    <xf numFmtId="0" fontId="88" fillId="0" borderId="71" xfId="0" applyFont="1" applyBorder="1" applyAlignment="1">
      <alignment horizontal="center" vertical="center"/>
    </xf>
    <xf numFmtId="0" fontId="88" fillId="0" borderId="67" xfId="0" applyFont="1" applyBorder="1" applyAlignment="1">
      <alignment horizontal="center" vertical="center"/>
    </xf>
    <xf numFmtId="0" fontId="88" fillId="0" borderId="68" xfId="0" applyFont="1" applyBorder="1" applyAlignment="1">
      <alignment horizontal="center" vertical="center"/>
    </xf>
    <xf numFmtId="0" fontId="82" fillId="0" borderId="2" xfId="0" applyFont="1" applyBorder="1" applyAlignment="1">
      <alignment horizontal="center" vertical="center"/>
    </xf>
    <xf numFmtId="0" fontId="82" fillId="0" borderId="7" xfId="0" applyFont="1" applyBorder="1" applyAlignment="1">
      <alignment horizontal="center" vertical="center"/>
    </xf>
    <xf numFmtId="0" fontId="14" fillId="0" borderId="62" xfId="2" applyFont="1" applyBorder="1" applyAlignment="1">
      <alignment horizontal="center" vertical="center"/>
    </xf>
    <xf numFmtId="0" fontId="14" fillId="0" borderId="63" xfId="2" applyFont="1" applyBorder="1" applyAlignment="1">
      <alignment horizontal="center" vertical="center"/>
    </xf>
    <xf numFmtId="0" fontId="17" fillId="0" borderId="59" xfId="2" applyFont="1" applyBorder="1" applyAlignment="1">
      <alignment horizontal="center" vertical="center"/>
    </xf>
    <xf numFmtId="0" fontId="17" fillId="0" borderId="61" xfId="2" applyFont="1" applyBorder="1" applyAlignment="1">
      <alignment horizontal="center" vertical="center"/>
    </xf>
    <xf numFmtId="0" fontId="17" fillId="0" borderId="60" xfId="2" applyFont="1" applyBorder="1" applyAlignment="1">
      <alignment horizontal="center" vertical="center"/>
    </xf>
    <xf numFmtId="0" fontId="14" fillId="0" borderId="57" xfId="2" applyFont="1" applyBorder="1" applyAlignment="1">
      <alignment horizontal="center" vertical="center"/>
    </xf>
    <xf numFmtId="0" fontId="14" fillId="0" borderId="58" xfId="2" applyFont="1" applyBorder="1" applyAlignment="1">
      <alignment horizontal="center" vertical="center"/>
    </xf>
  </cellXfs>
  <cellStyles count="6">
    <cellStyle name="나쁨" xfId="1" builtinId="27"/>
    <cellStyle name="백분율 2" xfId="4" xr:uid="{E7427DB0-7200-4499-906F-EAD0A4D93108}"/>
    <cellStyle name="쉼표 [0] 2" xfId="3" xr:uid="{F2628F4A-E587-4A59-B19D-7F35CFD6E758}"/>
    <cellStyle name="표준" xfId="0" builtinId="0"/>
    <cellStyle name="표준 2" xfId="2" xr:uid="{58E96D6F-E26D-4F9A-AD14-1E2187070458}"/>
    <cellStyle name="표준 2 2" xfId="5" xr:uid="{34750C69-1395-48AD-9044-A3C85406A852}"/>
  </cellStyles>
  <dxfs count="2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214" formatCode="0.00000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border outline="0"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맑은 고딕"/>
        <family val="2"/>
        <charset val="129"/>
        <scheme val="minor"/>
      </font>
      <fill>
        <patternFill patternType="solid">
          <fgColor theme="9"/>
          <bgColor theme="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2DA5FF"/>
      <color rgb="FFFFFFCD"/>
      <color rgb="FF993300"/>
      <color rgb="FF9E7E98"/>
      <color rgb="FFDBF3D9"/>
      <color rgb="FFFFFF99"/>
      <color rgb="FFE7E7FF"/>
      <color rgb="FFCCCCFF"/>
      <color rgb="FFFFCCCC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1</c:v>
                </c:pt>
                <c:pt idx="1">
                  <c:v>1.82</c:v>
                </c:pt>
                <c:pt idx="2">
                  <c:v>2.2999999999999998</c:v>
                </c:pt>
                <c:pt idx="3">
                  <c:v>2.63</c:v>
                </c:pt>
                <c:pt idx="4">
                  <c:v>2.9</c:v>
                </c:pt>
                <c:pt idx="5">
                  <c:v>3.71</c:v>
                </c:pt>
                <c:pt idx="6">
                  <c:v>4.1900000000000004</c:v>
                </c:pt>
                <c:pt idx="7">
                  <c:v>4.53</c:v>
                </c:pt>
                <c:pt idx="8">
                  <c:v>4.79</c:v>
                </c:pt>
                <c:pt idx="9">
                  <c:v>5</c:v>
                </c:pt>
                <c:pt idx="10">
                  <c:v>5.19</c:v>
                </c:pt>
                <c:pt idx="11">
                  <c:v>5.34</c:v>
                </c:pt>
                <c:pt idx="12">
                  <c:v>5.48</c:v>
                </c:pt>
                <c:pt idx="13">
                  <c:v>5.61</c:v>
                </c:pt>
                <c:pt idx="14">
                  <c:v>5.72</c:v>
                </c:pt>
                <c:pt idx="15">
                  <c:v>5.82</c:v>
                </c:pt>
                <c:pt idx="16">
                  <c:v>6.08</c:v>
                </c:pt>
                <c:pt idx="17">
                  <c:v>6.3</c:v>
                </c:pt>
                <c:pt idx="18">
                  <c:v>6.48</c:v>
                </c:pt>
                <c:pt idx="19">
                  <c:v>6.64</c:v>
                </c:pt>
                <c:pt idx="20" formatCode="\ 0.00\ ">
                  <c:v>6.8</c:v>
                </c:pt>
                <c:pt idx="21" formatCode="\ 0.00\ ">
                  <c:v>6.95</c:v>
                </c:pt>
                <c:pt idx="22" formatCode="\ 0.00\ ">
                  <c:v>7.09</c:v>
                </c:pt>
                <c:pt idx="23" formatCode="\ 0.00\ ">
                  <c:v>7.22</c:v>
                </c:pt>
                <c:pt idx="24" formatCode="\ 0.00\ ">
                  <c:v>7.35</c:v>
                </c:pt>
                <c:pt idx="25">
                  <c:v>7.97</c:v>
                </c:pt>
                <c:pt idx="26" formatCode="\ 0.00\ ">
                  <c:v>8.08</c:v>
                </c:pt>
                <c:pt idx="27">
                  <c:v>8.19</c:v>
                </c:pt>
                <c:pt idx="28" formatCode="\ 0.00\ ">
                  <c:v>8.2899999999999991</c:v>
                </c:pt>
                <c:pt idx="29">
                  <c:v>8.41</c:v>
                </c:pt>
                <c:pt idx="30" formatCode="\ 0.00\ ">
                  <c:v>8.4700000000000006</c:v>
                </c:pt>
                <c:pt idx="31" formatCode="\ 0.00\ ">
                  <c:v>8.5200000000000014</c:v>
                </c:pt>
                <c:pt idx="32" formatCode="\ 0.00\ ">
                  <c:v>8.56</c:v>
                </c:pt>
                <c:pt idx="33" formatCode="\ 0.00\ ">
                  <c:v>8.59</c:v>
                </c:pt>
                <c:pt idx="34" formatCode="\ 0.00\ ">
                  <c:v>8.61</c:v>
                </c:pt>
                <c:pt idx="35">
                  <c:v>8.6300000000000008</c:v>
                </c:pt>
                <c:pt idx="36" formatCode="\ 0.00\ ">
                  <c:v>8.7000000000000011</c:v>
                </c:pt>
                <c:pt idx="37" formatCode="\ 0.00\ ">
                  <c:v>8.7600000000000016</c:v>
                </c:pt>
                <c:pt idx="38" formatCode="\ 0.00\ ">
                  <c:v>8.8100000000000023</c:v>
                </c:pt>
                <c:pt idx="39">
                  <c:v>8.86</c:v>
                </c:pt>
                <c:pt idx="40" formatCode="\ 0.00\ ">
                  <c:v>9.0399999999999991</c:v>
                </c:pt>
                <c:pt idx="41" formatCode="\ 0.00\ ">
                  <c:v>9.1999999999999993</c:v>
                </c:pt>
                <c:pt idx="42" formatCode="\ 0.00\ ">
                  <c:v>9.35</c:v>
                </c:pt>
                <c:pt idx="43" formatCode="\ 0.00\ ">
                  <c:v>9.49</c:v>
                </c:pt>
                <c:pt idx="44" formatCode="\ 0.00\ ">
                  <c:v>9.620000000000001</c:v>
                </c:pt>
                <c:pt idx="45">
                  <c:v>10.35</c:v>
                </c:pt>
                <c:pt idx="46" formatCode="\ 0.00\ ">
                  <c:v>10.459999999999999</c:v>
                </c:pt>
                <c:pt idx="47">
                  <c:v>10.6</c:v>
                </c:pt>
                <c:pt idx="48" formatCode="\ 0.00\ ">
                  <c:v>10.709999999999999</c:v>
                </c:pt>
                <c:pt idx="49">
                  <c:v>10.85</c:v>
                </c:pt>
                <c:pt idx="50" formatCode="\ 0.00\ ">
                  <c:v>10.92</c:v>
                </c:pt>
                <c:pt idx="51" formatCode="\ 0.00\ ">
                  <c:v>10.97</c:v>
                </c:pt>
                <c:pt idx="52" formatCode="\ 0.00\ ">
                  <c:v>11.01</c:v>
                </c:pt>
                <c:pt idx="53" formatCode="\ 0.00\ ">
                  <c:v>11.04</c:v>
                </c:pt>
                <c:pt idx="54" formatCode="\ 0.00\ ">
                  <c:v>11.059999999999999</c:v>
                </c:pt>
                <c:pt idx="55">
                  <c:v>11.1</c:v>
                </c:pt>
                <c:pt idx="56" formatCode="\ 0.00\ ">
                  <c:v>11.18</c:v>
                </c:pt>
                <c:pt idx="57" formatCode="\ 0.00\ ">
                  <c:v>11.24</c:v>
                </c:pt>
                <c:pt idx="58" formatCode="\ 0.00\ ">
                  <c:v>11.290000000000001</c:v>
                </c:pt>
                <c:pt idx="59">
                  <c:v>11.35</c:v>
                </c:pt>
                <c:pt idx="60" formatCode="\ 0.00\ ">
                  <c:v>11.54</c:v>
                </c:pt>
                <c:pt idx="61" formatCode="\ 0.00\ ">
                  <c:v>11.709999999999999</c:v>
                </c:pt>
                <c:pt idx="62" formatCode="\ 0.00\ ">
                  <c:v>11.87</c:v>
                </c:pt>
                <c:pt idx="63" formatCode="\ 0.00\ ">
                  <c:v>12.02</c:v>
                </c:pt>
                <c:pt idx="64" formatCode="\ 0.00\ ">
                  <c:v>12.16</c:v>
                </c:pt>
                <c:pt idx="65">
                  <c:v>13.01</c:v>
                </c:pt>
                <c:pt idx="66" formatCode="\ 0.00\ ">
                  <c:v>13.129999999999999</c:v>
                </c:pt>
                <c:pt idx="67" formatCode="\ 0.00\ ">
                  <c:v>13.29</c:v>
                </c:pt>
                <c:pt idx="68" formatCode="\ 0.00\ ">
                  <c:v>13.409999999999998</c:v>
                </c:pt>
                <c:pt idx="69" formatCode="\ 0.00\ ">
                  <c:v>13.57</c:v>
                </c:pt>
                <c:pt idx="70" formatCode="\ 0.00\ ">
                  <c:v>13.64</c:v>
                </c:pt>
                <c:pt idx="71" formatCode="\ 0.00\ ">
                  <c:v>13.690000000000001</c:v>
                </c:pt>
                <c:pt idx="72" formatCode="\ 0.00\ ">
                  <c:v>13.73</c:v>
                </c:pt>
                <c:pt idx="73" formatCode="\ 0.00\ ">
                  <c:v>13.76</c:v>
                </c:pt>
                <c:pt idx="74" formatCode="\ 0.00\ ">
                  <c:v>13.79</c:v>
                </c:pt>
                <c:pt idx="75" formatCode="\ 0.00\ ">
                  <c:v>13.85</c:v>
                </c:pt>
                <c:pt idx="76" formatCode="\ 0.00\ ">
                  <c:v>13.94</c:v>
                </c:pt>
                <c:pt idx="77" formatCode="\ 0.00\ ">
                  <c:v>14.01</c:v>
                </c:pt>
                <c:pt idx="78" formatCode="\ 0.00\ ">
                  <c:v>14.06</c:v>
                </c:pt>
                <c:pt idx="79" formatCode="\ 0.00\ ">
                  <c:v>14.13</c:v>
                </c:pt>
                <c:pt idx="80" formatCode="\ 0.00\ ">
                  <c:v>14.340000000000002</c:v>
                </c:pt>
                <c:pt idx="81" formatCode="\ 0.00\ ">
                  <c:v>14.530000000000001</c:v>
                </c:pt>
                <c:pt idx="82" formatCode="\ 0.00\ ">
                  <c:v>14.700000000000001</c:v>
                </c:pt>
                <c:pt idx="83" formatCode="\ 0.00\ ">
                  <c:v>14.860000000000001</c:v>
                </c:pt>
                <c:pt idx="84" formatCode="\ 0.00\ ">
                  <c:v>15.000000000000002</c:v>
                </c:pt>
                <c:pt idx="85" formatCode="\ 0.00\ ">
                  <c:v>15.82</c:v>
                </c:pt>
                <c:pt idx="86" formatCode="\ 0.00\ ">
                  <c:v>16.13</c:v>
                </c:pt>
                <c:pt idx="87" formatCode="\ 0.00\ ">
                  <c:v>16.45</c:v>
                </c:pt>
                <c:pt idx="88" formatCode="\ 0.00\ ">
                  <c:v>16.75</c:v>
                </c:pt>
                <c:pt idx="89" formatCode="\ 0.00\ ">
                  <c:v>17.09</c:v>
                </c:pt>
                <c:pt idx="90" formatCode="\ 0.00\ ">
                  <c:v>17.239999999999998</c:v>
                </c:pt>
                <c:pt idx="91" formatCode="\ 0.00\ ">
                  <c:v>17.369999999999997</c:v>
                </c:pt>
                <c:pt idx="92" formatCode="\ 0.00\ ">
                  <c:v>17.479999999999997</c:v>
                </c:pt>
                <c:pt idx="93" formatCode="\ 0.00\ ">
                  <c:v>17.559999999999995</c:v>
                </c:pt>
                <c:pt idx="94" formatCode="\ 0.00\ ">
                  <c:v>17.629999999999995</c:v>
                </c:pt>
                <c:pt idx="95" formatCode="\ 0.00\ ">
                  <c:v>17.72</c:v>
                </c:pt>
                <c:pt idx="96" formatCode="\ 0.00\ ">
                  <c:v>17.91</c:v>
                </c:pt>
                <c:pt idx="97" formatCode="\ 0.00\ ">
                  <c:v>18.07</c:v>
                </c:pt>
                <c:pt idx="98" formatCode="\ 0.00\ ">
                  <c:v>18.21</c:v>
                </c:pt>
                <c:pt idx="99" formatCode="\ 0.00\ ">
                  <c:v>18.36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8A-4849-A153-14EB45726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F6-4E9B-B5C7-E5F877C0A3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328216015251615"/>
          <c:y val="7.7586370189525078E-2"/>
          <c:w val="0.72878002925690621"/>
          <c:h val="0.72557607023260029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Input!$D$3:$D$7</c:f>
              <c:numCache>
                <c:formatCode>0</c:formatCode>
                <c:ptCount val="5"/>
                <c:pt idx="0">
                  <c:v>94</c:v>
                </c:pt>
                <c:pt idx="1">
                  <c:v>120</c:v>
                </c:pt>
                <c:pt idx="2">
                  <c:v>146.19999999999999</c:v>
                </c:pt>
                <c:pt idx="3">
                  <c:v>172</c:v>
                </c:pt>
                <c:pt idx="4">
                  <c:v>197.79999999999998</c:v>
                </c:pt>
              </c:numCache>
            </c:numRef>
          </c:xVal>
          <c:yVal>
            <c:numRef>
              <c:f>Input!$F$3:$F$7</c:f>
              <c:numCache>
                <c:formatCode>0.000</c:formatCode>
                <c:ptCount val="5"/>
                <c:pt idx="0">
                  <c:v>7.0638297872340425E-2</c:v>
                </c:pt>
                <c:pt idx="1">
                  <c:v>7.3833333333333334E-2</c:v>
                </c:pt>
                <c:pt idx="2">
                  <c:v>7.7633378932968539E-2</c:v>
                </c:pt>
                <c:pt idx="3">
                  <c:v>8.2151162790697674E-2</c:v>
                </c:pt>
                <c:pt idx="4">
                  <c:v>9.282103134479272E-2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A9-463A-8AB7-53919E3EA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232.39999999999998"/>
          <c:min val="59.400000000000006"/>
        </c:scaling>
        <c:delete val="0"/>
        <c:axPos val="b"/>
        <c:majorGridlines>
          <c:spPr>
            <a:ln w="3175" cmpd="sng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38465670664406382"/>
              <c:y val="0.8994270974748844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7.299999999999997"/>
      </c:valAx>
      <c:valAx>
        <c:axId val="1"/>
        <c:scaling>
          <c:orientation val="minMax"/>
          <c:max val="0.10021527583561014"/>
          <c:min val="6.3244053381523002E-2"/>
        </c:scaling>
        <c:delete val="0"/>
        <c:axPos val="l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3.9716514308950818E-2"/>
              <c:y val="0.1048850574712643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9.2428056135217852E-3"/>
      </c:valAx>
      <c:spPr>
        <a:solidFill>
          <a:srgbClr val="FFFFFF"/>
        </a:solidFill>
        <a:ln w="22225" cmpd="thickThin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252393552020576"/>
          <c:y val="7.669373359580052E-2"/>
          <c:w val="0.74924245805306722"/>
          <c:h val="0.7035203412073490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5.2454546420563825E-2"/>
                  <c:y val="-0.3074926181102362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Input!$D$31:$D$36</c:f>
              <c:numCache>
                <c:formatCode>0</c:formatCode>
                <c:ptCount val="6"/>
                <c:pt idx="0">
                  <c:v>84</c:v>
                </c:pt>
                <c:pt idx="1">
                  <c:v>94</c:v>
                </c:pt>
                <c:pt idx="2">
                  <c:v>120</c:v>
                </c:pt>
                <c:pt idx="3">
                  <c:v>146.19999999999999</c:v>
                </c:pt>
                <c:pt idx="4">
                  <c:v>172</c:v>
                </c:pt>
                <c:pt idx="5">
                  <c:v>197.79999999999998</c:v>
                </c:pt>
              </c:numCache>
            </c:numRef>
          </c:xVal>
          <c:yVal>
            <c:numRef>
              <c:f>Input!$F$31:$F$36</c:f>
              <c:numCache>
                <c:formatCode>0.0</c:formatCode>
                <c:ptCount val="6"/>
                <c:pt idx="1">
                  <c:v>80.306702394565718</c:v>
                </c:pt>
                <c:pt idx="2">
                  <c:v>76.158297252458212</c:v>
                </c:pt>
                <c:pt idx="3">
                  <c:v>72.390076394011871</c:v>
                </c:pt>
                <c:pt idx="4">
                  <c:v>69.02685376033331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37-4B27-97DE-5EDEE1D0B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232.39999999999998"/>
          <c:min val="59.400000000000006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999500567"/>
              <c:y val="0.8748217628174964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17.299999999999997"/>
      </c:valAx>
      <c:valAx>
        <c:axId val="1"/>
        <c:scaling>
          <c:orientation val="minMax"/>
          <c:max val="100"/>
          <c:min val="4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4.8203428012793946E-2"/>
              <c:y val="0.23939263451443571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5"/>
      </c:valAx>
      <c:spPr>
        <a:noFill/>
        <a:ln w="19050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375697514"/>
          <c:y val="8.7503119487113284E-2"/>
          <c:w val="0.82475948989484671"/>
          <c:h val="0.71861744554657936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Input!$D$20:$D$24</c:f>
              <c:numCache>
                <c:formatCode>0</c:formatCode>
                <c:ptCount val="5"/>
                <c:pt idx="0">
                  <c:v>94</c:v>
                </c:pt>
                <c:pt idx="1">
                  <c:v>120</c:v>
                </c:pt>
                <c:pt idx="2">
                  <c:v>146.19999999999999</c:v>
                </c:pt>
                <c:pt idx="3">
                  <c:v>172</c:v>
                </c:pt>
                <c:pt idx="4">
                  <c:v>197.79999999999998</c:v>
                </c:pt>
              </c:numCache>
            </c:numRef>
          </c:xVal>
          <c:yVal>
            <c:numRef>
              <c:f>Input!$B$20:$B$24</c:f>
              <c:numCache>
                <c:formatCode>0.00</c:formatCode>
                <c:ptCount val="5"/>
                <c:pt idx="0">
                  <c:v>6.64</c:v>
                </c:pt>
                <c:pt idx="1">
                  <c:v>8.86</c:v>
                </c:pt>
                <c:pt idx="2">
                  <c:v>11.35</c:v>
                </c:pt>
                <c:pt idx="3">
                  <c:v>14.13</c:v>
                </c:pt>
                <c:pt idx="4">
                  <c:v>18.36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B5-48E9-92BF-B6E401C44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4062184534625481"/>
              <c:y val="0.9067251839421711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3.881679274542401E-2"/>
              <c:y val="0.22078012975650774"/>
            </c:manualLayout>
          </c:layout>
          <c:overlay val="0"/>
          <c:spPr>
            <a:noFill/>
            <a:ln w="25400">
              <a:noFill/>
            </a:ln>
          </c:spPr>
        </c:title>
        <c:numFmt formatCode="\ 0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5875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729115384182127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-1.3443024306279434E-3"/>
                  <c:y val="-0.15445056492401968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Input!$D$19:$D$24</c:f>
              <c:numCache>
                <c:formatCode>0</c:formatCode>
                <c:ptCount val="6"/>
                <c:pt idx="0">
                  <c:v>84</c:v>
                </c:pt>
                <c:pt idx="1">
                  <c:v>94</c:v>
                </c:pt>
                <c:pt idx="2">
                  <c:v>120</c:v>
                </c:pt>
                <c:pt idx="3">
                  <c:v>146.19999999999999</c:v>
                </c:pt>
                <c:pt idx="4">
                  <c:v>172</c:v>
                </c:pt>
                <c:pt idx="5">
                  <c:v>197.79999999999998</c:v>
                </c:pt>
              </c:numCache>
            </c:numRef>
          </c:xVal>
          <c:yVal>
            <c:numRef>
              <c:f>Input!$F$19:$F$24</c:f>
              <c:numCache>
                <c:formatCode>0.000</c:formatCode>
                <c:ptCount val="6"/>
                <c:pt idx="1">
                  <c:v>7.0638297872340425E-2</c:v>
                </c:pt>
                <c:pt idx="2">
                  <c:v>7.3833333333333334E-2</c:v>
                </c:pt>
                <c:pt idx="3">
                  <c:v>7.7633378932968539E-2</c:v>
                </c:pt>
                <c:pt idx="4">
                  <c:v>8.2151162790697674E-2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64-4707-B637-3FADF006E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232.39999999999998"/>
          <c:min val="59.400000000000006"/>
        </c:scaling>
        <c:delete val="0"/>
        <c:axPos val="b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3981465860555618"/>
              <c:y val="0.8811981120385703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7.299999999999997"/>
      </c:valAx>
      <c:valAx>
        <c:axId val="1"/>
        <c:scaling>
          <c:orientation val="minMax"/>
          <c:max val="0.10021527583561014"/>
          <c:min val="6.3244053381523002E-2"/>
        </c:scaling>
        <c:delete val="0"/>
        <c:axPos val="l"/>
        <c:majorGridlines>
          <c:spPr>
            <a:ln w="3175">
              <a:solidFill>
                <a:schemeClr val="tx1">
                  <a:lumMod val="85000"/>
                  <a:lumOff val="1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4.5466351445523405E-2"/>
              <c:y val="5.822416302765647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9.2428056135217852E-3"/>
      </c:valAx>
      <c:spPr>
        <a:solidFill>
          <a:srgbClr val="FFFFFF"/>
        </a:solidFill>
        <a:ln w="22225" cmpd="sng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StepTest!$D$12:$D$51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StepTest!$G$12:$G$51</c:f>
              <c:numCache>
                <c:formatCode>\ 0.00\ </c:formatCode>
                <c:ptCount val="40"/>
                <c:pt idx="0">
                  <c:v>1</c:v>
                </c:pt>
                <c:pt idx="1">
                  <c:v>1.82</c:v>
                </c:pt>
                <c:pt idx="2">
                  <c:v>2.2999999999999998</c:v>
                </c:pt>
                <c:pt idx="3">
                  <c:v>2.63</c:v>
                </c:pt>
                <c:pt idx="4">
                  <c:v>2.9</c:v>
                </c:pt>
                <c:pt idx="5">
                  <c:v>3.71</c:v>
                </c:pt>
                <c:pt idx="6">
                  <c:v>4.1900000000000004</c:v>
                </c:pt>
                <c:pt idx="7">
                  <c:v>4.53</c:v>
                </c:pt>
                <c:pt idx="8">
                  <c:v>4.79</c:v>
                </c:pt>
                <c:pt idx="9">
                  <c:v>5</c:v>
                </c:pt>
                <c:pt idx="10">
                  <c:v>5.19</c:v>
                </c:pt>
                <c:pt idx="11">
                  <c:v>5.34</c:v>
                </c:pt>
                <c:pt idx="12">
                  <c:v>5.48</c:v>
                </c:pt>
                <c:pt idx="13">
                  <c:v>5.61</c:v>
                </c:pt>
                <c:pt idx="14">
                  <c:v>5.72</c:v>
                </c:pt>
                <c:pt idx="15">
                  <c:v>5.82</c:v>
                </c:pt>
                <c:pt idx="16">
                  <c:v>6.08</c:v>
                </c:pt>
                <c:pt idx="17">
                  <c:v>6.3</c:v>
                </c:pt>
                <c:pt idx="18">
                  <c:v>6.48</c:v>
                </c:pt>
                <c:pt idx="19">
                  <c:v>6.64</c:v>
                </c:pt>
                <c:pt idx="20">
                  <c:v>7.97</c:v>
                </c:pt>
                <c:pt idx="21">
                  <c:v>8.19</c:v>
                </c:pt>
                <c:pt idx="22">
                  <c:v>8.41</c:v>
                </c:pt>
                <c:pt idx="23">
                  <c:v>8.6300000000000008</c:v>
                </c:pt>
                <c:pt idx="24">
                  <c:v>8.86</c:v>
                </c:pt>
                <c:pt idx="25">
                  <c:v>10.35</c:v>
                </c:pt>
                <c:pt idx="26">
                  <c:v>10.6</c:v>
                </c:pt>
                <c:pt idx="27">
                  <c:v>10.85</c:v>
                </c:pt>
                <c:pt idx="28">
                  <c:v>11.1</c:v>
                </c:pt>
                <c:pt idx="29">
                  <c:v>11.35</c:v>
                </c:pt>
                <c:pt idx="30">
                  <c:v>13.01</c:v>
                </c:pt>
                <c:pt idx="31">
                  <c:v>13.29</c:v>
                </c:pt>
                <c:pt idx="32">
                  <c:v>13.57</c:v>
                </c:pt>
                <c:pt idx="33">
                  <c:v>13.85</c:v>
                </c:pt>
                <c:pt idx="34">
                  <c:v>14.13</c:v>
                </c:pt>
                <c:pt idx="35">
                  <c:v>15.82</c:v>
                </c:pt>
                <c:pt idx="36">
                  <c:v>16.45</c:v>
                </c:pt>
                <c:pt idx="37">
                  <c:v>17.09</c:v>
                </c:pt>
                <c:pt idx="38">
                  <c:v>17.72</c:v>
                </c:pt>
                <c:pt idx="39">
                  <c:v>18.36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C9-41F6-B257-A05A327513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81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6980940152412087"/>
              <c:y val="0.92685934237424494"/>
            </c:manualLayout>
          </c:layout>
          <c:overlay val="0"/>
        </c:title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/>
                </a:pPr>
                <a:r>
                  <a:rPr lang="ko-KR" altLang="en-US" sz="10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3.7153699001794202E-2"/>
              <c:y val="0.18174164773372464"/>
            </c:manualLayout>
          </c:layout>
          <c:overlay val="0"/>
        </c:title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5226335040978398"/>
        </c:manualLayout>
      </c:layout>
      <c:scatterChart>
        <c:scatterStyle val="line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StepTest!$AC$4:$AC$43</c:f>
              <c:numCache>
                <c:formatCode>0.00</c:formatCode>
                <c:ptCount val="40"/>
                <c:pt idx="0">
                  <c:v>1.0084836766236362</c:v>
                </c:pt>
                <c:pt idx="1">
                  <c:v>1.823831226352735</c:v>
                </c:pt>
                <c:pt idx="2">
                  <c:v>2.3007789679991353</c:v>
                </c:pt>
                <c:pt idx="3">
                  <c:v>2.6391787760818337</c:v>
                </c:pt>
                <c:pt idx="4">
                  <c:v>2.9016620594372009</c:v>
                </c:pt>
                <c:pt idx="5">
                  <c:v>3.7170096091662996</c:v>
                </c:pt>
                <c:pt idx="6">
                  <c:v>4.1939573508127017</c:v>
                </c:pt>
                <c:pt idx="7">
                  <c:v>4.5323571588954001</c:v>
                </c:pt>
                <c:pt idx="8">
                  <c:v>4.7948404422507673</c:v>
                </c:pt>
                <c:pt idx="9">
                  <c:v>5.0093049005418004</c:v>
                </c:pt>
                <c:pt idx="10">
                  <c:v>5.1906320163567949</c:v>
                </c:pt>
                <c:pt idx="11">
                  <c:v>5.3477047086244989</c:v>
                </c:pt>
                <c:pt idx="12">
                  <c:v>5.4862526421882025</c:v>
                </c:pt>
                <c:pt idx="13">
                  <c:v>5.6101879919798661</c:v>
                </c:pt>
                <c:pt idx="14">
                  <c:v>5.7223011531484937</c:v>
                </c:pt>
                <c:pt idx="15">
                  <c:v>5.8246524502708992</c:v>
                </c:pt>
                <c:pt idx="16">
                  <c:v>6.0871357336262681</c:v>
                </c:pt>
                <c:pt idx="17">
                  <c:v>6.3016001919173013</c:v>
                </c:pt>
                <c:pt idx="18">
                  <c:v>6.4829273077322958</c:v>
                </c:pt>
                <c:pt idx="19">
                  <c:v>6.64</c:v>
                </c:pt>
                <c:pt idx="20">
                  <c:v>7.93932746792823</c:v>
                </c:pt>
                <c:pt idx="21">
                  <c:v>8.0506122120245465</c:v>
                </c:pt>
                <c:pt idx="22">
                  <c:v>8.154215830161192</c:v>
                </c:pt>
                <c:pt idx="23">
                  <c:v>8.4280002450008098</c:v>
                </c:pt>
                <c:pt idx="24">
                  <c:v>8.86</c:v>
                </c:pt>
                <c:pt idx="25">
                  <c:v>10.682878642507463</c:v>
                </c:pt>
                <c:pt idx="26">
                  <c:v>10.754633666599902</c:v>
                </c:pt>
                <c:pt idx="27">
                  <c:v>10.823680298492649</c:v>
                </c:pt>
                <c:pt idx="28">
                  <c:v>11.016439321253729</c:v>
                </c:pt>
                <c:pt idx="29">
                  <c:v>11.35</c:v>
                </c:pt>
                <c:pt idx="30">
                  <c:v>13.569773213296683</c:v>
                </c:pt>
                <c:pt idx="31">
                  <c:v>13.627173276802592</c:v>
                </c:pt>
                <c:pt idx="32">
                  <c:v>13.68308225966714</c:v>
                </c:pt>
                <c:pt idx="33">
                  <c:v>13.842590392871864</c:v>
                </c:pt>
                <c:pt idx="34">
                  <c:v>14.13</c:v>
                </c:pt>
                <c:pt idx="35">
                  <c:v>17.858705654574067</c:v>
                </c:pt>
                <c:pt idx="36">
                  <c:v>17.908712022872699</c:v>
                </c:pt>
                <c:pt idx="37">
                  <c:v>17.957728100682957</c:v>
                </c:pt>
                <c:pt idx="38">
                  <c:v>18.099208380970303</c:v>
                </c:pt>
                <c:pt idx="39">
                  <c:v>18.36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FE-4CC5-A12C-F6D6A9130DDB}"/>
            </c:ext>
          </c:extLst>
        </c:ser>
        <c:ser>
          <c:idx val="1"/>
          <c:order val="1"/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StepTest!$AD$4:$AD$43</c:f>
              <c:numCache>
                <c:formatCode>0.000</c:formatCode>
                <c:ptCount val="40"/>
                <c:pt idx="0">
                  <c:v>1</c:v>
                </c:pt>
                <c:pt idx="1">
                  <c:v>1.82</c:v>
                </c:pt>
                <c:pt idx="2">
                  <c:v>2.2999999999999998</c:v>
                </c:pt>
                <c:pt idx="3">
                  <c:v>2.63</c:v>
                </c:pt>
                <c:pt idx="4">
                  <c:v>2.9</c:v>
                </c:pt>
                <c:pt idx="5">
                  <c:v>3.71</c:v>
                </c:pt>
                <c:pt idx="6">
                  <c:v>4.1900000000000004</c:v>
                </c:pt>
                <c:pt idx="7">
                  <c:v>4.53</c:v>
                </c:pt>
                <c:pt idx="8">
                  <c:v>4.79</c:v>
                </c:pt>
                <c:pt idx="9">
                  <c:v>5</c:v>
                </c:pt>
                <c:pt idx="10">
                  <c:v>5.19</c:v>
                </c:pt>
                <c:pt idx="11">
                  <c:v>5.34</c:v>
                </c:pt>
                <c:pt idx="12">
                  <c:v>5.48</c:v>
                </c:pt>
                <c:pt idx="13">
                  <c:v>5.61</c:v>
                </c:pt>
                <c:pt idx="14">
                  <c:v>5.72</c:v>
                </c:pt>
                <c:pt idx="15">
                  <c:v>5.82</c:v>
                </c:pt>
                <c:pt idx="16">
                  <c:v>6.08</c:v>
                </c:pt>
                <c:pt idx="17">
                  <c:v>6.3</c:v>
                </c:pt>
                <c:pt idx="18">
                  <c:v>6.48</c:v>
                </c:pt>
                <c:pt idx="19">
                  <c:v>6.64</c:v>
                </c:pt>
                <c:pt idx="20">
                  <c:v>7.97</c:v>
                </c:pt>
                <c:pt idx="21">
                  <c:v>8.19</c:v>
                </c:pt>
                <c:pt idx="22">
                  <c:v>8.41</c:v>
                </c:pt>
                <c:pt idx="23">
                  <c:v>8.6300000000000008</c:v>
                </c:pt>
                <c:pt idx="24">
                  <c:v>8.86</c:v>
                </c:pt>
                <c:pt idx="25">
                  <c:v>10.35</c:v>
                </c:pt>
                <c:pt idx="26">
                  <c:v>10.6</c:v>
                </c:pt>
                <c:pt idx="27">
                  <c:v>10.85</c:v>
                </c:pt>
                <c:pt idx="28">
                  <c:v>11.1</c:v>
                </c:pt>
                <c:pt idx="29">
                  <c:v>11.35</c:v>
                </c:pt>
                <c:pt idx="30">
                  <c:v>13.01</c:v>
                </c:pt>
                <c:pt idx="31">
                  <c:v>13.29</c:v>
                </c:pt>
                <c:pt idx="32">
                  <c:v>13.57</c:v>
                </c:pt>
                <c:pt idx="33">
                  <c:v>13.85</c:v>
                </c:pt>
                <c:pt idx="34">
                  <c:v>14.13</c:v>
                </c:pt>
                <c:pt idx="35">
                  <c:v>15.82</c:v>
                </c:pt>
                <c:pt idx="36">
                  <c:v>16.45</c:v>
                </c:pt>
                <c:pt idx="37">
                  <c:v>17.09</c:v>
                </c:pt>
                <c:pt idx="38">
                  <c:v>17.72</c:v>
                </c:pt>
                <c:pt idx="39">
                  <c:v>18.36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FE-4CC5-A12C-F6D6A9130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  <a:endParaRPr lang="en-US" altLang="ko-K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수위강하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3A-4A2E-8C81-785191A9180E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LongTest!$G$10:$G$77</c:f>
              <c:numCache>
                <c:formatCode>\ 0.00</c:formatCode>
                <c:ptCount val="68"/>
                <c:pt idx="0">
                  <c:v>3.3156559522114577</c:v>
                </c:pt>
                <c:pt idx="1">
                  <c:v>4.6998797379046291</c:v>
                </c:pt>
                <c:pt idx="2">
                  <c:v>5.5095987451414139</c:v>
                </c:pt>
                <c:pt idx="3">
                  <c:v>6.084103523597804</c:v>
                </c:pt>
                <c:pt idx="4">
                  <c:v>6.5297240498237805</c:v>
                </c:pt>
                <c:pt idx="5">
                  <c:v>7.9139478355169501</c:v>
                </c:pt>
                <c:pt idx="6">
                  <c:v>8.7236668427537367</c:v>
                </c:pt>
                <c:pt idx="7">
                  <c:v>9.2981716212101269</c:v>
                </c:pt>
                <c:pt idx="8">
                  <c:v>9.7437921474360998</c:v>
                </c:pt>
                <c:pt idx="9">
                  <c:v>10.10789062844691</c:v>
                </c:pt>
                <c:pt idx="10">
                  <c:v>10.41573150781872</c:v>
                </c:pt>
                <c:pt idx="11">
                  <c:v>10.6823954069033</c:v>
                </c:pt>
                <c:pt idx="12">
                  <c:v>10.917609635683696</c:v>
                </c:pt>
                <c:pt idx="13">
                  <c:v>11.128015933129273</c:v>
                </c:pt>
                <c:pt idx="14">
                  <c:v>11.318351581320563</c:v>
                </c:pt>
                <c:pt idx="15">
                  <c:v>11.492114414140083</c:v>
                </c:pt>
                <c:pt idx="16">
                  <c:v>11.93773494036606</c:v>
                </c:pt>
                <c:pt idx="17">
                  <c:v>12.30183342137687</c:v>
                </c:pt>
                <c:pt idx="18">
                  <c:v>12.609674300748676</c:v>
                </c:pt>
                <c:pt idx="19">
                  <c:v>12.876338199833256</c:v>
                </c:pt>
                <c:pt idx="20">
                  <c:v>13.184179079205066</c:v>
                </c:pt>
                <c:pt idx="21">
                  <c:v>13.450842978289646</c:v>
                </c:pt>
                <c:pt idx="22">
                  <c:v>13.686057207070043</c:v>
                </c:pt>
                <c:pt idx="23">
                  <c:v>14.260561985526433</c:v>
                </c:pt>
                <c:pt idx="24">
                  <c:v>14.706182511752406</c:v>
                </c:pt>
                <c:pt idx="25">
                  <c:v>15.070280992763216</c:v>
                </c:pt>
                <c:pt idx="26">
                  <c:v>15.378121872135026</c:v>
                </c:pt>
                <c:pt idx="27">
                  <c:v>15.644785771219606</c:v>
                </c:pt>
                <c:pt idx="28">
                  <c:v>15.880000000000003</c:v>
                </c:pt>
                <c:pt idx="29">
                  <c:v>15.880000000000003</c:v>
                </c:pt>
                <c:pt idx="30">
                  <c:v>15.880000000000003</c:v>
                </c:pt>
                <c:pt idx="31">
                  <c:v>15.880000000000003</c:v>
                </c:pt>
                <c:pt idx="32">
                  <c:v>15.880000000000003</c:v>
                </c:pt>
                <c:pt idx="33">
                  <c:v>15.880000000000003</c:v>
                </c:pt>
                <c:pt idx="34">
                  <c:v>15.880000000000003</c:v>
                </c:pt>
                <c:pt idx="35">
                  <c:v>15.880000000000003</c:v>
                </c:pt>
                <c:pt idx="36">
                  <c:v>15.880000000000003</c:v>
                </c:pt>
                <c:pt idx="37">
                  <c:v>15.880000000000003</c:v>
                </c:pt>
                <c:pt idx="38">
                  <c:v>15.880000000000003</c:v>
                </c:pt>
                <c:pt idx="39">
                  <c:v>15.880000000000003</c:v>
                </c:pt>
                <c:pt idx="40">
                  <c:v>15.880000000000003</c:v>
                </c:pt>
                <c:pt idx="41">
                  <c:v>15.880000000000003</c:v>
                </c:pt>
                <c:pt idx="42">
                  <c:v>15.880000000000003</c:v>
                </c:pt>
                <c:pt idx="43">
                  <c:v>15.880000000000003</c:v>
                </c:pt>
                <c:pt idx="44">
                  <c:v>15.880000000000003</c:v>
                </c:pt>
                <c:pt idx="45">
                  <c:v>15.880000000000003</c:v>
                </c:pt>
                <c:pt idx="46">
                  <c:v>15.880000000000003</c:v>
                </c:pt>
                <c:pt idx="47">
                  <c:v>15.880000000000003</c:v>
                </c:pt>
                <c:pt idx="48">
                  <c:v>15.880000000000003</c:v>
                </c:pt>
                <c:pt idx="49">
                  <c:v>15.880000000000003</c:v>
                </c:pt>
                <c:pt idx="50">
                  <c:v>15.880000000000003</c:v>
                </c:pt>
                <c:pt idx="51">
                  <c:v>15.880000000000003</c:v>
                </c:pt>
                <c:pt idx="52">
                  <c:v>15.880000000000003</c:v>
                </c:pt>
                <c:pt idx="53">
                  <c:v>15.880000000000003</c:v>
                </c:pt>
                <c:pt idx="54">
                  <c:v>15.880000000000003</c:v>
                </c:pt>
                <c:pt idx="55">
                  <c:v>15.880000000000003</c:v>
                </c:pt>
                <c:pt idx="56">
                  <c:v>15.880000000000003</c:v>
                </c:pt>
                <c:pt idx="57">
                  <c:v>15.880000000000003</c:v>
                </c:pt>
                <c:pt idx="58">
                  <c:v>15.880000000000003</c:v>
                </c:pt>
                <c:pt idx="59">
                  <c:v>15.880000000000003</c:v>
                </c:pt>
                <c:pt idx="60">
                  <c:v>15.880000000000003</c:v>
                </c:pt>
                <c:pt idx="61">
                  <c:v>15.880000000000003</c:v>
                </c:pt>
                <c:pt idx="62">
                  <c:v>15.880000000000003</c:v>
                </c:pt>
                <c:pt idx="63">
                  <c:v>15.880000000000003</c:v>
                </c:pt>
                <c:pt idx="64">
                  <c:v>15.880000000000003</c:v>
                </c:pt>
                <c:pt idx="65">
                  <c:v>15.880000000000003</c:v>
                </c:pt>
                <c:pt idx="66">
                  <c:v>15.880000000000003</c:v>
                </c:pt>
                <c:pt idx="67">
                  <c:v>15.880000000000003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3A-4A2E-8C81-785191A9180E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LongTest!$H$10:$H$77</c:f>
              <c:numCache>
                <c:formatCode>yyyy"년"\ m"월"\ d"일";@</c:formatCode>
                <c:ptCount val="68"/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3A-4A2E-8C81-785191A91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740658186957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LongTest!$AF$1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5"/>
          </c:marker>
          <c:xVal>
            <c:numRef>
              <c:f>LongTest!$AA$2:$AA$83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LongTest!$AF$2:$AF$83</c:f>
              <c:numCache>
                <c:formatCode>0.00</c:formatCode>
                <c:ptCount val="82"/>
                <c:pt idx="0">
                  <c:v>3.3156559522114577</c:v>
                </c:pt>
                <c:pt idx="1">
                  <c:v>4.6998797379046291</c:v>
                </c:pt>
                <c:pt idx="2">
                  <c:v>5.5095987451414139</c:v>
                </c:pt>
                <c:pt idx="3">
                  <c:v>6.084103523597804</c:v>
                </c:pt>
                <c:pt idx="4">
                  <c:v>6.5297240498237805</c:v>
                </c:pt>
                <c:pt idx="5">
                  <c:v>7.9139478355169501</c:v>
                </c:pt>
                <c:pt idx="6">
                  <c:v>8.7236668427537367</c:v>
                </c:pt>
                <c:pt idx="7">
                  <c:v>9.2981716212101269</c:v>
                </c:pt>
                <c:pt idx="8">
                  <c:v>9.7437921474360998</c:v>
                </c:pt>
                <c:pt idx="9">
                  <c:v>10.10789062844691</c:v>
                </c:pt>
                <c:pt idx="10">
                  <c:v>10.41573150781872</c:v>
                </c:pt>
                <c:pt idx="11">
                  <c:v>10.6823954069033</c:v>
                </c:pt>
                <c:pt idx="12">
                  <c:v>10.917609635683696</c:v>
                </c:pt>
                <c:pt idx="13">
                  <c:v>11.128015933129273</c:v>
                </c:pt>
                <c:pt idx="14">
                  <c:v>11.318351581320563</c:v>
                </c:pt>
                <c:pt idx="15">
                  <c:v>11.492114414140083</c:v>
                </c:pt>
                <c:pt idx="16">
                  <c:v>11.93773494036606</c:v>
                </c:pt>
                <c:pt idx="17">
                  <c:v>12.30183342137687</c:v>
                </c:pt>
                <c:pt idx="18">
                  <c:v>12.609674300748676</c:v>
                </c:pt>
                <c:pt idx="19">
                  <c:v>12.876338199833256</c:v>
                </c:pt>
                <c:pt idx="20">
                  <c:v>13.184179079205066</c:v>
                </c:pt>
                <c:pt idx="21">
                  <c:v>13.450842978289646</c:v>
                </c:pt>
                <c:pt idx="22">
                  <c:v>13.686057207070043</c:v>
                </c:pt>
                <c:pt idx="23">
                  <c:v>14.260561985526433</c:v>
                </c:pt>
                <c:pt idx="24">
                  <c:v>14.706182511752406</c:v>
                </c:pt>
                <c:pt idx="25">
                  <c:v>15.070280992763216</c:v>
                </c:pt>
                <c:pt idx="26">
                  <c:v>15.378121872135026</c:v>
                </c:pt>
                <c:pt idx="27">
                  <c:v>15.644785771219606</c:v>
                </c:pt>
                <c:pt idx="28">
                  <c:v>15.880000000000003</c:v>
                </c:pt>
                <c:pt idx="29">
                  <c:v>15.880000000000003</c:v>
                </c:pt>
                <c:pt idx="30">
                  <c:v>15.880000000000003</c:v>
                </c:pt>
                <c:pt idx="31">
                  <c:v>15.880000000000003</c:v>
                </c:pt>
                <c:pt idx="32">
                  <c:v>15.880000000000003</c:v>
                </c:pt>
                <c:pt idx="33">
                  <c:v>15.880000000000003</c:v>
                </c:pt>
                <c:pt idx="34">
                  <c:v>15.880000000000003</c:v>
                </c:pt>
                <c:pt idx="35">
                  <c:v>15.880000000000003</c:v>
                </c:pt>
                <c:pt idx="36">
                  <c:v>15.880000000000003</c:v>
                </c:pt>
                <c:pt idx="37">
                  <c:v>15.880000000000003</c:v>
                </c:pt>
                <c:pt idx="38">
                  <c:v>15.880000000000003</c:v>
                </c:pt>
                <c:pt idx="39">
                  <c:v>15.880000000000003</c:v>
                </c:pt>
                <c:pt idx="40">
                  <c:v>15.880000000000003</c:v>
                </c:pt>
                <c:pt idx="41">
                  <c:v>15.880000000000003</c:v>
                </c:pt>
                <c:pt idx="42">
                  <c:v>15.880000000000003</c:v>
                </c:pt>
                <c:pt idx="43">
                  <c:v>15.880000000000003</c:v>
                </c:pt>
                <c:pt idx="44">
                  <c:v>15.880000000000003</c:v>
                </c:pt>
                <c:pt idx="45">
                  <c:v>15.880000000000003</c:v>
                </c:pt>
                <c:pt idx="46">
                  <c:v>15.880000000000003</c:v>
                </c:pt>
                <c:pt idx="47">
                  <c:v>15.880000000000003</c:v>
                </c:pt>
                <c:pt idx="48">
                  <c:v>15.880000000000003</c:v>
                </c:pt>
                <c:pt idx="49">
                  <c:v>15.880000000000003</c:v>
                </c:pt>
                <c:pt idx="50">
                  <c:v>15.880000000000003</c:v>
                </c:pt>
                <c:pt idx="51">
                  <c:v>15.880000000000003</c:v>
                </c:pt>
                <c:pt idx="52">
                  <c:v>15.880000000000003</c:v>
                </c:pt>
                <c:pt idx="53">
                  <c:v>15.880000000000003</c:v>
                </c:pt>
                <c:pt idx="54">
                  <c:v>15.880000000000003</c:v>
                </c:pt>
                <c:pt idx="55">
                  <c:v>15.880000000000003</c:v>
                </c:pt>
                <c:pt idx="56">
                  <c:v>15.880000000000003</c:v>
                </c:pt>
                <c:pt idx="57">
                  <c:v>15.880000000000003</c:v>
                </c:pt>
                <c:pt idx="58">
                  <c:v>15.880000000000003</c:v>
                </c:pt>
                <c:pt idx="59">
                  <c:v>15.880000000000003</c:v>
                </c:pt>
                <c:pt idx="60">
                  <c:v>15.880000000000003</c:v>
                </c:pt>
                <c:pt idx="61">
                  <c:v>15.880000000000003</c:v>
                </c:pt>
                <c:pt idx="62">
                  <c:v>15.880000000000003</c:v>
                </c:pt>
                <c:pt idx="63">
                  <c:v>15.880000000000003</c:v>
                </c:pt>
                <c:pt idx="64">
                  <c:v>15.880000000000003</c:v>
                </c:pt>
                <c:pt idx="65">
                  <c:v>15.880000000000003</c:v>
                </c:pt>
                <c:pt idx="66">
                  <c:v>15.880000000000003</c:v>
                </c:pt>
                <c:pt idx="67">
                  <c:v>15.880000000000003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3A-4E64-90DF-F889B176D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76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8996677139495493"/>
              <c:y val="0.91658950850321796"/>
            </c:manualLayout>
          </c:layout>
          <c:overlay val="0"/>
        </c:title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2.4591495028638662E-2"/>
              <c:y val="0.35711156653363535"/>
            </c:manualLayout>
          </c:layout>
          <c:overlay val="0"/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LongTest!$D$78:$D$101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LongTest!$G$78:$G$101</c:f>
              <c:numCache>
                <c:formatCode>\ 0.00</c:formatCode>
                <c:ptCount val="24"/>
                <c:pt idx="0">
                  <c:v>10.782796980712918</c:v>
                </c:pt>
                <c:pt idx="1">
                  <c:v>9.9244377821078142</c:v>
                </c:pt>
                <c:pt idx="2">
                  <c:v>9.1344078412220089</c:v>
                </c:pt>
                <c:pt idx="3">
                  <c:v>8.4072678414290092</c:v>
                </c:pt>
                <c:pt idx="4">
                  <c:v>7.7380114602010686</c:v>
                </c:pt>
                <c:pt idx="5">
                  <c:v>6.0332708686180201</c:v>
                </c:pt>
                <c:pt idx="6">
                  <c:v>5.7086815048240274</c:v>
                </c:pt>
                <c:pt idx="7">
                  <c:v>4.8359832049120115</c:v>
                </c:pt>
                <c:pt idx="8">
                  <c:v>4.4510171635721916</c:v>
                </c:pt>
                <c:pt idx="9">
                  <c:v>4.0966961527681098</c:v>
                </c:pt>
                <c:pt idx="10">
                  <c:v>3.9849717690342552</c:v>
                </c:pt>
                <c:pt idx="11">
                  <c:v>3.8762943132284762</c:v>
                </c:pt>
                <c:pt idx="12">
                  <c:v>3.7705806900631673</c:v>
                </c:pt>
                <c:pt idx="13">
                  <c:v>3.6677500704109298</c:v>
                </c:pt>
                <c:pt idx="14">
                  <c:v>3.5677238295022455</c:v>
                </c:pt>
                <c:pt idx="15">
                  <c:v>3.4704254868086104</c:v>
                </c:pt>
                <c:pt idx="16">
                  <c:v>3.3757806475651706</c:v>
                </c:pt>
                <c:pt idx="17">
                  <c:v>3.2837169458881377</c:v>
                </c:pt>
                <c:pt idx="18">
                  <c:v>3.194163989443497</c:v>
                </c:pt>
                <c:pt idx="19">
                  <c:v>2.9398941513767949</c:v>
                </c:pt>
                <c:pt idx="20">
                  <c:v>2.859717870281747</c:v>
                </c:pt>
                <c:pt idx="21">
                  <c:v>2.4225467088648833</c:v>
                </c:pt>
                <c:pt idx="22">
                  <c:v>2.0522068339748056</c:v>
                </c:pt>
                <c:pt idx="23">
                  <c:v>1.7384816045038303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3C-4D73-BC2D-84EE1285B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회복수위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.00\ &quot;m&quot;\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chart" Target="../charts/chart1.xml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15.emf"/><Relationship Id="rId7" Type="http://schemas.openxmlformats.org/officeDocument/2006/relationships/image" Target="../media/image11.emf"/><Relationship Id="rId2" Type="http://schemas.openxmlformats.org/officeDocument/2006/relationships/image" Target="../media/image16.emf"/><Relationship Id="rId1" Type="http://schemas.openxmlformats.org/officeDocument/2006/relationships/image" Target="../media/image17.emf"/><Relationship Id="rId6" Type="http://schemas.openxmlformats.org/officeDocument/2006/relationships/image" Target="../media/image12.emf"/><Relationship Id="rId5" Type="http://schemas.openxmlformats.org/officeDocument/2006/relationships/image" Target="../media/image13.emf"/><Relationship Id="rId4" Type="http://schemas.openxmlformats.org/officeDocument/2006/relationships/image" Target="../media/image14.emf"/><Relationship Id="rId9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9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2.emf"/><Relationship Id="rId2" Type="http://schemas.openxmlformats.org/officeDocument/2006/relationships/image" Target="../media/image20.emf"/><Relationship Id="rId1" Type="http://schemas.openxmlformats.org/officeDocument/2006/relationships/image" Target="../media/image21.emf"/><Relationship Id="rId5" Type="http://schemas.openxmlformats.org/officeDocument/2006/relationships/image" Target="../media/image24.emf"/><Relationship Id="rId4" Type="http://schemas.openxmlformats.org/officeDocument/2006/relationships/image" Target="../media/image23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8.emf"/><Relationship Id="rId2" Type="http://schemas.openxmlformats.org/officeDocument/2006/relationships/image" Target="../media/image29.emf"/><Relationship Id="rId1" Type="http://schemas.openxmlformats.org/officeDocument/2006/relationships/image" Target="../media/image30.emf"/><Relationship Id="rId6" Type="http://schemas.openxmlformats.org/officeDocument/2006/relationships/image" Target="../media/image25.emf"/><Relationship Id="rId5" Type="http://schemas.openxmlformats.org/officeDocument/2006/relationships/image" Target="../media/image26.emf"/><Relationship Id="rId4" Type="http://schemas.openxmlformats.org/officeDocument/2006/relationships/image" Target="../media/image27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1.emf"/><Relationship Id="rId1" Type="http://schemas.openxmlformats.org/officeDocument/2006/relationships/image" Target="../media/image32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1.emf"/><Relationship Id="rId2" Type="http://schemas.openxmlformats.org/officeDocument/2006/relationships/image" Target="../media/image34.emf"/><Relationship Id="rId1" Type="http://schemas.openxmlformats.org/officeDocument/2006/relationships/image" Target="../media/image35.emf"/><Relationship Id="rId4" Type="http://schemas.openxmlformats.org/officeDocument/2006/relationships/image" Target="../media/image33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7.emf"/><Relationship Id="rId2" Type="http://schemas.openxmlformats.org/officeDocument/2006/relationships/image" Target="../media/image38.emf"/><Relationship Id="rId1" Type="http://schemas.openxmlformats.org/officeDocument/2006/relationships/image" Target="../media/image39.emf"/><Relationship Id="rId4" Type="http://schemas.openxmlformats.org/officeDocument/2006/relationships/image" Target="../media/image36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40.emf"/><Relationship Id="rId1" Type="http://schemas.openxmlformats.org/officeDocument/2006/relationships/image" Target="../media/image4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114300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0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571500</xdr:colOff>
      <xdr:row>4</xdr:row>
      <xdr:rowOff>95250</xdr:rowOff>
    </xdr:from>
    <xdr:to>
      <xdr:col>11</xdr:col>
      <xdr:colOff>381399</xdr:colOff>
      <xdr:row>9</xdr:row>
      <xdr:rowOff>38212</xdr:rowOff>
    </xdr:to>
    <xdr:pic>
      <xdr:nvPicPr>
        <xdr:cNvPr id="3" name="그림 1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78105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12</xdr:col>
      <xdr:colOff>295275</xdr:colOff>
      <xdr:row>4</xdr:row>
      <xdr:rowOff>142875</xdr:rowOff>
    </xdr:from>
    <xdr:to>
      <xdr:col>14</xdr:col>
      <xdr:colOff>647465</xdr:colOff>
      <xdr:row>9</xdr:row>
      <xdr:rowOff>57054</xdr:rowOff>
    </xdr:to>
    <xdr:pic>
      <xdr:nvPicPr>
        <xdr:cNvPr id="4" name="그림 1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39275" y="8286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10</xdr:row>
      <xdr:rowOff>85725</xdr:rowOff>
    </xdr:from>
    <xdr:to>
      <xdr:col>10</xdr:col>
      <xdr:colOff>447421</xdr:colOff>
      <xdr:row>15</xdr:row>
      <xdr:rowOff>9427</xdr:rowOff>
    </xdr:to>
    <xdr:pic>
      <xdr:nvPicPr>
        <xdr:cNvPr id="5" name="그림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38850" y="1800225"/>
          <a:ext cx="2028571" cy="7809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638175</xdr:colOff>
      <xdr:row>17</xdr:row>
      <xdr:rowOff>123825</xdr:rowOff>
    </xdr:from>
    <xdr:to>
      <xdr:col>10</xdr:col>
      <xdr:colOff>495032</xdr:colOff>
      <xdr:row>23</xdr:row>
      <xdr:rowOff>47506</xdr:rowOff>
    </xdr:to>
    <xdr:pic>
      <xdr:nvPicPr>
        <xdr:cNvPr id="6" name="그림 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72175" y="303847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628650</xdr:colOff>
      <xdr:row>24</xdr:row>
      <xdr:rowOff>142875</xdr:rowOff>
    </xdr:from>
    <xdr:to>
      <xdr:col>10</xdr:col>
      <xdr:colOff>542650</xdr:colOff>
      <xdr:row>29</xdr:row>
      <xdr:rowOff>85625</xdr:rowOff>
    </xdr:to>
    <xdr:pic>
      <xdr:nvPicPr>
        <xdr:cNvPr id="7" name="그림 8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62650" y="4257675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31</xdr:row>
      <xdr:rowOff>66675</xdr:rowOff>
    </xdr:from>
    <xdr:to>
      <xdr:col>10</xdr:col>
      <xdr:colOff>199802</xdr:colOff>
      <xdr:row>35</xdr:row>
      <xdr:rowOff>57065</xdr:rowOff>
    </xdr:to>
    <xdr:pic>
      <xdr:nvPicPr>
        <xdr:cNvPr id="8" name="그림 9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38850" y="5381625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266700</xdr:colOff>
      <xdr:row>14</xdr:row>
      <xdr:rowOff>114300</xdr:rowOff>
    </xdr:from>
    <xdr:to>
      <xdr:col>15</xdr:col>
      <xdr:colOff>552033</xdr:colOff>
      <xdr:row>29</xdr:row>
      <xdr:rowOff>28264</xdr:rowOff>
    </xdr:to>
    <xdr:pic>
      <xdr:nvPicPr>
        <xdr:cNvPr id="9" name="그림 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48700" y="2514600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9525</xdr:rowOff>
    </xdr:from>
    <xdr:to>
      <xdr:col>12</xdr:col>
      <xdr:colOff>685800</xdr:colOff>
      <xdr:row>13</xdr:row>
      <xdr:rowOff>161925</xdr:rowOff>
    </xdr:to>
    <xdr:graphicFrame macro="">
      <xdr:nvGraphicFramePr>
        <xdr:cNvPr id="3" name="Chart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28</xdr:row>
      <xdr:rowOff>57149</xdr:rowOff>
    </xdr:from>
    <xdr:to>
      <xdr:col>12</xdr:col>
      <xdr:colOff>685800</xdr:colOff>
      <xdr:row>42</xdr:row>
      <xdr:rowOff>47624</xdr:rowOff>
    </xdr:to>
    <xdr:graphicFrame macro="">
      <xdr:nvGraphicFramePr>
        <xdr:cNvPr id="4" name="Chart 8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1</xdr:row>
      <xdr:rowOff>0</xdr:rowOff>
    </xdr:from>
    <xdr:to>
      <xdr:col>20</xdr:col>
      <xdr:colOff>0</xdr:colOff>
      <xdr:row>14</xdr:row>
      <xdr:rowOff>95250</xdr:rowOff>
    </xdr:to>
    <xdr:graphicFrame macro="">
      <xdr:nvGraphicFramePr>
        <xdr:cNvPr id="5" name="Chart 9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66675</xdr:colOff>
      <xdr:row>14</xdr:row>
      <xdr:rowOff>38100</xdr:rowOff>
    </xdr:from>
    <xdr:to>
      <xdr:col>12</xdr:col>
      <xdr:colOff>714375</xdr:colOff>
      <xdr:row>26</xdr:row>
      <xdr:rowOff>161925</xdr:rowOff>
    </xdr:to>
    <xdr:graphicFrame macro="">
      <xdr:nvGraphicFramePr>
        <xdr:cNvPr id="7" name="Chart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15</xdr:row>
          <xdr:rowOff>9525</xdr:rowOff>
        </xdr:from>
        <xdr:to>
          <xdr:col>14</xdr:col>
          <xdr:colOff>733425</xdr:colOff>
          <xdr:row>17</xdr:row>
          <xdr:rowOff>9525</xdr:rowOff>
        </xdr:to>
        <xdr:sp macro="" textlink="">
          <xdr:nvSpPr>
            <xdr:cNvPr id="1026" name="CommandButton_CB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17</xdr:row>
          <xdr:rowOff>66675</xdr:rowOff>
        </xdr:from>
        <xdr:to>
          <xdr:col>14</xdr:col>
          <xdr:colOff>733425</xdr:colOff>
          <xdr:row>19</xdr:row>
          <xdr:rowOff>66675</xdr:rowOff>
        </xdr:to>
        <xdr:sp macro="" textlink="">
          <xdr:nvSpPr>
            <xdr:cNvPr id="1027" name="CommandButton_CB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28</xdr:row>
          <xdr:rowOff>76200</xdr:rowOff>
        </xdr:from>
        <xdr:to>
          <xdr:col>14</xdr:col>
          <xdr:colOff>828675</xdr:colOff>
          <xdr:row>30</xdr:row>
          <xdr:rowOff>76200</xdr:rowOff>
        </xdr:to>
        <xdr:sp macro="" textlink="">
          <xdr:nvSpPr>
            <xdr:cNvPr id="1028" name="CommandButton_STEP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30</xdr:row>
          <xdr:rowOff>142875</xdr:rowOff>
        </xdr:from>
        <xdr:to>
          <xdr:col>14</xdr:col>
          <xdr:colOff>828675</xdr:colOff>
          <xdr:row>32</xdr:row>
          <xdr:rowOff>142875</xdr:rowOff>
        </xdr:to>
        <xdr:sp macro="" textlink="">
          <xdr:nvSpPr>
            <xdr:cNvPr id="1029" name="CommandButton_2880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19</xdr:row>
          <xdr:rowOff>114300</xdr:rowOff>
        </xdr:from>
        <xdr:to>
          <xdr:col>14</xdr:col>
          <xdr:colOff>733425</xdr:colOff>
          <xdr:row>21</xdr:row>
          <xdr:rowOff>76200</xdr:rowOff>
        </xdr:to>
        <xdr:sp macro="" textlink="">
          <xdr:nvSpPr>
            <xdr:cNvPr id="1030" name="CommandButton_Chart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33</xdr:row>
          <xdr:rowOff>28575</xdr:rowOff>
        </xdr:from>
        <xdr:to>
          <xdr:col>14</xdr:col>
          <xdr:colOff>828675</xdr:colOff>
          <xdr:row>35</xdr:row>
          <xdr:rowOff>28575</xdr:rowOff>
        </xdr:to>
        <xdr:sp macro="" textlink="">
          <xdr:nvSpPr>
            <xdr:cNvPr id="1031" name="CommandButton_1440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3</xdr:col>
      <xdr:colOff>333375</xdr:colOff>
      <xdr:row>48</xdr:row>
      <xdr:rowOff>47625</xdr:rowOff>
    </xdr:from>
    <xdr:ext cx="1762126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35</xdr:row>
          <xdr:rowOff>123825</xdr:rowOff>
        </xdr:from>
        <xdr:to>
          <xdr:col>14</xdr:col>
          <xdr:colOff>828675</xdr:colOff>
          <xdr:row>37</xdr:row>
          <xdr:rowOff>123825</xdr:rowOff>
        </xdr:to>
        <xdr:sp macro="" textlink="">
          <xdr:nvSpPr>
            <xdr:cNvPr id="1056" name="CommandButton_ClearReport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2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200025</xdr:colOff>
          <xdr:row>41</xdr:row>
          <xdr:rowOff>190500</xdr:rowOff>
        </xdr:from>
        <xdr:to>
          <xdr:col>15</xdr:col>
          <xdr:colOff>514350</xdr:colOff>
          <xdr:row>43</xdr:row>
          <xdr:rowOff>28575</xdr:rowOff>
        </xdr:to>
        <xdr:sp macro="" textlink="">
          <xdr:nvSpPr>
            <xdr:cNvPr id="1059" name="CommandButton1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2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43</xdr:row>
          <xdr:rowOff>104775</xdr:rowOff>
        </xdr:from>
        <xdr:to>
          <xdr:col>15</xdr:col>
          <xdr:colOff>523875</xdr:colOff>
          <xdr:row>45</xdr:row>
          <xdr:rowOff>9525</xdr:rowOff>
        </xdr:to>
        <xdr:sp macro="" textlink="">
          <xdr:nvSpPr>
            <xdr:cNvPr id="1060" name="CommandButton2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2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57150</xdr:colOff>
          <xdr:row>2</xdr:row>
          <xdr:rowOff>38100</xdr:rowOff>
        </xdr:from>
        <xdr:to>
          <xdr:col>11</xdr:col>
          <xdr:colOff>57150</xdr:colOff>
          <xdr:row>3</xdr:row>
          <xdr:rowOff>171450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11</xdr:col>
      <xdr:colOff>571500</xdr:colOff>
      <xdr:row>5</xdr:row>
      <xdr:rowOff>111171</xdr:rowOff>
    </xdr:from>
    <xdr:ext cx="1724025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3525500" y="153992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3525500" y="153992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1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571500</xdr:colOff>
      <xdr:row>8</xdr:row>
      <xdr:rowOff>7526</xdr:rowOff>
    </xdr:from>
    <xdr:ext cx="1609726" cy="9040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3525500" y="2293526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𝑒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4</m:t>
                                </m:r>
                                <m:r>
                                  <a:rPr lang="ko-KR" altLang="en-US" sz="1400" b="0" i="1">
                                    <a:latin typeface="Cambria Math" panose="02040503050406030204" pitchFamily="18" charset="0"/>
                                  </a:rPr>
                                  <m:t>𝜋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3525500" y="2293526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2.25𝑇𝑡^∗)/(𝑆∗𝑒^4</a:t>
              </a:r>
              <a:r>
                <a:rPr lang="ko-KR" altLang="en-US" sz="1400" b="0" i="0">
                  <a:latin typeface="Cambria Math" panose="02040503050406030204" pitchFamily="18" charset="0"/>
                </a:rPr>
                <a:t>𝜋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723900</xdr:colOff>
      <xdr:row>10</xdr:row>
      <xdr:rowOff>200025</xdr:rowOff>
    </xdr:from>
    <xdr:ext cx="1003480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3677900" y="30575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𝜔</m:t>
                        </m:r>
                      </m:sub>
                    </m:sSub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ko-KR" altLang="en-US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ko-KR" altLang="en-US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𝑆</m:t>
                                </m:r>
                              </m:e>
                              <m:sub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𝑃</m:t>
                                </m:r>
                              </m:sub>
                            </m:sSub>
                          </m:num>
                          <m:den>
                            <m:r>
                              <a:rPr lang="ko-KR" altLang="en-US" sz="1400" i="1">
                                <a:latin typeface="Cambria Math" panose="02040503050406030204" pitchFamily="18" charset="0"/>
                              </a:rPr>
                              <m:t>𝑆𝑎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3677900" y="30575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3</a:t>
              </a:r>
              <a:r>
                <a:rPr lang="ko-KR" altLang="en-US" sz="1400" i="0">
                  <a:latin typeface="Cambria Math" panose="02040503050406030204" pitchFamily="18" charset="0"/>
                </a:rPr>
                <a:t>=𝑟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𝜔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 √(</a:t>
              </a:r>
              <a:r>
                <a:rPr lang="ko-KR" altLang="en-US" sz="1400" i="0">
                  <a:latin typeface="Cambria Math" panose="02040503050406030204" pitchFamily="18" charset="0"/>
                </a:rPr>
                <a:t>𝑆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𝑃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400" i="0">
                  <a:latin typeface="Cambria Math" panose="02040503050406030204" pitchFamily="18" charset="0"/>
                </a:rPr>
                <a:t>𝑆𝑎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11</xdr:col>
      <xdr:colOff>514350</xdr:colOff>
      <xdr:row>2</xdr:row>
      <xdr:rowOff>28575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468350" y="6000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468350" y="6000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xdr:oneCellAnchor>
    <xdr:from>
      <xdr:col>9</xdr:col>
      <xdr:colOff>133350</xdr:colOff>
      <xdr:row>12</xdr:row>
      <xdr:rowOff>271462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 txBox="1"/>
          </xdr:nvSpPr>
          <xdr:spPr>
            <a:xfrm>
              <a:off x="11029950" y="36052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6⋅</m:t>
                            </m:r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F482B908-930F-8B31-BF8F-495B8FA9CE3F}"/>
                </a:ext>
              </a:extLst>
            </xdr:cNvPr>
            <xdr:cNvSpPr txBox="1"/>
          </xdr:nvSpPr>
          <xdr:spPr>
            <a:xfrm>
              <a:off x="11029950" y="36052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𝑅=√((6⋅Δℎ⋅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104775</xdr:colOff>
      <xdr:row>17</xdr:row>
      <xdr:rowOff>176212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00000000-0008-0000-0300-00000D000000}"/>
                </a:ext>
              </a:extLst>
            </xdr:cNvPr>
            <xdr:cNvSpPr txBox="1"/>
          </xdr:nvSpPr>
          <xdr:spPr>
            <a:xfrm>
              <a:off x="11001375" y="495776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=3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D5018EC3-56A6-48C8-B8A1-ECEAB10BF7D5}"/>
                </a:ext>
              </a:extLst>
            </xdr:cNvPr>
            <xdr:cNvSpPr txBox="1"/>
          </xdr:nvSpPr>
          <xdr:spPr>
            <a:xfrm>
              <a:off x="11001375" y="495776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3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√((Δℎ⋅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190500</xdr:colOff>
      <xdr:row>22</xdr:row>
      <xdr:rowOff>119062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300-00000E000000}"/>
                </a:ext>
              </a:extLst>
            </xdr:cNvPr>
            <xdr:cNvSpPr txBox="1"/>
          </xdr:nvSpPr>
          <xdr:spPr>
            <a:xfrm>
              <a:off x="11087100" y="63484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2BBF0B4A-91B0-45C4-AF68-CB7AB24A91CC}"/>
                </a:ext>
              </a:extLst>
            </xdr:cNvPr>
            <xdr:cNvSpPr txBox="1"/>
          </xdr:nvSpPr>
          <xdr:spPr>
            <a:xfrm>
              <a:off x="11087100" y="63484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2.25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</xdr:row>
          <xdr:rowOff>57150</xdr:rowOff>
        </xdr:from>
        <xdr:to>
          <xdr:col>8</xdr:col>
          <xdr:colOff>0</xdr:colOff>
          <xdr:row>2</xdr:row>
          <xdr:rowOff>228600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104775</xdr:colOff>
      <xdr:row>0</xdr:row>
      <xdr:rowOff>200025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2E0DB397-4AD0-4907-844D-C5FD19DBA969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28576</xdr:colOff>
      <xdr:row>2</xdr:row>
      <xdr:rowOff>296933</xdr:rowOff>
    </xdr:from>
    <xdr:to>
      <xdr:col>15</xdr:col>
      <xdr:colOff>409576</xdr:colOff>
      <xdr:row>13</xdr:row>
      <xdr:rowOff>85725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348284</xdr:colOff>
      <xdr:row>3</xdr:row>
      <xdr:rowOff>59635</xdr:rowOff>
    </xdr:from>
    <xdr:to>
      <xdr:col>39</xdr:col>
      <xdr:colOff>184702</xdr:colOff>
      <xdr:row>16</xdr:row>
      <xdr:rowOff>276225</xdr:rowOff>
    </xdr:to>
    <xdr:graphicFrame macro="">
      <xdr:nvGraphicFramePr>
        <xdr:cNvPr id="3" name="Chart 3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16</xdr:row>
          <xdr:rowOff>0</xdr:rowOff>
        </xdr:from>
        <xdr:to>
          <xdr:col>17</xdr:col>
          <xdr:colOff>533400</xdr:colOff>
          <xdr:row>17</xdr:row>
          <xdr:rowOff>123825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17</xdr:row>
          <xdr:rowOff>190500</xdr:rowOff>
        </xdr:from>
        <xdr:to>
          <xdr:col>17</xdr:col>
          <xdr:colOff>542925</xdr:colOff>
          <xdr:row>19</xdr:row>
          <xdr:rowOff>28575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4</xdr:row>
          <xdr:rowOff>47625</xdr:rowOff>
        </xdr:from>
        <xdr:to>
          <xdr:col>10</xdr:col>
          <xdr:colOff>552450</xdr:colOff>
          <xdr:row>5</xdr:row>
          <xdr:rowOff>161925</xdr:rowOff>
        </xdr:to>
        <xdr:sp macro="" textlink="">
          <xdr:nvSpPr>
            <xdr:cNvPr id="5128" name="CommandButton3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3</xdr:row>
          <xdr:rowOff>0</xdr:rowOff>
        </xdr:from>
        <xdr:to>
          <xdr:col>10</xdr:col>
          <xdr:colOff>552450</xdr:colOff>
          <xdr:row>4</xdr:row>
          <xdr:rowOff>9525</xdr:rowOff>
        </xdr:to>
        <xdr:sp macro="" textlink="">
          <xdr:nvSpPr>
            <xdr:cNvPr id="5129" name="ComboBox1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5</xdr:row>
          <xdr:rowOff>228600</xdr:rowOff>
        </xdr:from>
        <xdr:to>
          <xdr:col>10</xdr:col>
          <xdr:colOff>552450</xdr:colOff>
          <xdr:row>7</xdr:row>
          <xdr:rowOff>57150</xdr:rowOff>
        </xdr:to>
        <xdr:sp macro="" textlink="">
          <xdr:nvSpPr>
            <xdr:cNvPr id="5130" name="CommandButton4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161925</xdr:colOff>
      <xdr:row>2</xdr:row>
      <xdr:rowOff>19051</xdr:rowOff>
    </xdr:from>
    <xdr:to>
      <xdr:col>21</xdr:col>
      <xdr:colOff>266700</xdr:colOff>
      <xdr:row>14</xdr:row>
      <xdr:rowOff>133350</xdr:rowOff>
    </xdr:to>
    <xdr:graphicFrame macro="">
      <xdr:nvGraphicFramePr>
        <xdr:cNvPr id="3" name="Chart 9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333375</xdr:colOff>
      <xdr:row>108</xdr:row>
      <xdr:rowOff>114300</xdr:rowOff>
    </xdr:from>
    <xdr:to>
      <xdr:col>16</xdr:col>
      <xdr:colOff>38100</xdr:colOff>
      <xdr:row>132</xdr:row>
      <xdr:rowOff>95250</xdr:rowOff>
    </xdr:to>
    <xdr:graphicFrame macro="">
      <xdr:nvGraphicFramePr>
        <xdr:cNvPr id="4" name="Chart 16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23</xdr:row>
          <xdr:rowOff>0</xdr:rowOff>
        </xdr:from>
        <xdr:to>
          <xdr:col>20</xdr:col>
          <xdr:colOff>142875</xdr:colOff>
          <xdr:row>24</xdr:row>
          <xdr:rowOff>142875</xdr:rowOff>
        </xdr:to>
        <xdr:sp macro="" textlink="">
          <xdr:nvSpPr>
            <xdr:cNvPr id="6145" name="CommandButton2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7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17</xdr:row>
          <xdr:rowOff>200025</xdr:rowOff>
        </xdr:from>
        <xdr:to>
          <xdr:col>20</xdr:col>
          <xdr:colOff>142875</xdr:colOff>
          <xdr:row>19</xdr:row>
          <xdr:rowOff>85725</xdr:rowOff>
        </xdr:to>
        <xdr:sp macro="" textlink="">
          <xdr:nvSpPr>
            <xdr:cNvPr id="6146" name="CommandButton4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7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16</xdr:row>
          <xdr:rowOff>9525</xdr:rowOff>
        </xdr:from>
        <xdr:to>
          <xdr:col>20</xdr:col>
          <xdr:colOff>142875</xdr:colOff>
          <xdr:row>17</xdr:row>
          <xdr:rowOff>152400</xdr:rowOff>
        </xdr:to>
        <xdr:sp macro="" textlink="">
          <xdr:nvSpPr>
            <xdr:cNvPr id="6147" name="CommandButton5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7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10</xdr:row>
          <xdr:rowOff>57150</xdr:rowOff>
        </xdr:from>
        <xdr:to>
          <xdr:col>12</xdr:col>
          <xdr:colOff>219075</xdr:colOff>
          <xdr:row>11</xdr:row>
          <xdr:rowOff>190500</xdr:rowOff>
        </xdr:to>
        <xdr:sp macro="" textlink="">
          <xdr:nvSpPr>
            <xdr:cNvPr id="6149" name="CommandButton6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7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19</xdr:row>
          <xdr:rowOff>133350</xdr:rowOff>
        </xdr:from>
        <xdr:to>
          <xdr:col>20</xdr:col>
          <xdr:colOff>142875</xdr:colOff>
          <xdr:row>21</xdr:row>
          <xdr:rowOff>9525</xdr:rowOff>
        </xdr:to>
        <xdr:sp macro="" textlink="">
          <xdr:nvSpPr>
            <xdr:cNvPr id="6150" name="CommandButton7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7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21</xdr:row>
          <xdr:rowOff>219075</xdr:rowOff>
        </xdr:from>
        <xdr:to>
          <xdr:col>20</xdr:col>
          <xdr:colOff>142875</xdr:colOff>
          <xdr:row>22</xdr:row>
          <xdr:rowOff>219075</xdr:rowOff>
        </xdr:to>
        <xdr:sp macro="" textlink="">
          <xdr:nvSpPr>
            <xdr:cNvPr id="6151" name="ComboBox1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7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47625</xdr:rowOff>
        </xdr:from>
        <xdr:to>
          <xdr:col>8</xdr:col>
          <xdr:colOff>476250</xdr:colOff>
          <xdr:row>3</xdr:row>
          <xdr:rowOff>28575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8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123825</xdr:rowOff>
        </xdr:from>
        <xdr:to>
          <xdr:col>8</xdr:col>
          <xdr:colOff>476250</xdr:colOff>
          <xdr:row>5</xdr:row>
          <xdr:rowOff>104775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8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</xdr:row>
          <xdr:rowOff>47625</xdr:rowOff>
        </xdr:from>
        <xdr:to>
          <xdr:col>8</xdr:col>
          <xdr:colOff>523875</xdr:colOff>
          <xdr:row>3</xdr:row>
          <xdr:rowOff>28575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9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104775</xdr:rowOff>
        </xdr:from>
        <xdr:to>
          <xdr:col>8</xdr:col>
          <xdr:colOff>523875</xdr:colOff>
          <xdr:row>5</xdr:row>
          <xdr:rowOff>76200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9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152400</xdr:rowOff>
        </xdr:from>
        <xdr:to>
          <xdr:col>8</xdr:col>
          <xdr:colOff>523875</xdr:colOff>
          <xdr:row>7</xdr:row>
          <xdr:rowOff>133350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9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8</xdr:row>
          <xdr:rowOff>0</xdr:rowOff>
        </xdr:from>
        <xdr:to>
          <xdr:col>8</xdr:col>
          <xdr:colOff>533400</xdr:colOff>
          <xdr:row>9</xdr:row>
          <xdr:rowOff>190500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9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57150</xdr:rowOff>
        </xdr:from>
        <xdr:to>
          <xdr:col>8</xdr:col>
          <xdr:colOff>561975</xdr:colOff>
          <xdr:row>3</xdr:row>
          <xdr:rowOff>38100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A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3</xdr:row>
          <xdr:rowOff>104775</xdr:rowOff>
        </xdr:from>
        <xdr:to>
          <xdr:col>8</xdr:col>
          <xdr:colOff>571500</xdr:colOff>
          <xdr:row>5</xdr:row>
          <xdr:rowOff>85725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A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6</xdr:row>
          <xdr:rowOff>76200</xdr:rowOff>
        </xdr:from>
        <xdr:to>
          <xdr:col>8</xdr:col>
          <xdr:colOff>600075</xdr:colOff>
          <xdr:row>8</xdr:row>
          <xdr:rowOff>57150</xdr:rowOff>
        </xdr:to>
        <xdr:sp macro="" textlink="">
          <xdr:nvSpPr>
            <xdr:cNvPr id="9219" name="CommandButton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A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8</xdr:row>
          <xdr:rowOff>123825</xdr:rowOff>
        </xdr:from>
        <xdr:to>
          <xdr:col>8</xdr:col>
          <xdr:colOff>590550</xdr:colOff>
          <xdr:row>10</xdr:row>
          <xdr:rowOff>104775</xdr:rowOff>
        </xdr:to>
        <xdr:sp macro="" textlink="">
          <xdr:nvSpPr>
            <xdr:cNvPr id="9221" name="CommandButton4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A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5</xdr:row>
          <xdr:rowOff>19050</xdr:rowOff>
        </xdr:from>
        <xdr:to>
          <xdr:col>5</xdr:col>
          <xdr:colOff>133350</xdr:colOff>
          <xdr:row>6</xdr:row>
          <xdr:rowOff>95250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12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6</xdr:row>
          <xdr:rowOff>142875</xdr:rowOff>
        </xdr:from>
        <xdr:to>
          <xdr:col>5</xdr:col>
          <xdr:colOff>133350</xdr:colOff>
          <xdr:row>7</xdr:row>
          <xdr:rowOff>219075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12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05_Send\A1_ge_OriginalSaveFile,%20&#51648;&#50676;&#44277;%20%20-%202024-08-22.xlsm" TargetMode="External"/><Relationship Id="rId1" Type="http://schemas.openxmlformats.org/officeDocument/2006/relationships/externalLinkPath" Target="/12_dev/02_Excel2/01_Acquifer%20Pumping%20Test/01_&#50577;&#49688;&#49884;&#54744;/A1_ge_OriginalSaveFile,%20&#51648;&#50676;&#44277;%20%20-%202024-08-2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F"/>
      <sheetName val="Sheet1"/>
      <sheetName val="Input"/>
      <sheetName val="SkinFactor"/>
      <sheetName val="SafeYield"/>
      <sheetName val="StepTest"/>
      <sheetName val="Sheet2"/>
      <sheetName val="LongTest"/>
      <sheetName val="Step.Select"/>
      <sheetName val="Janggi.Select"/>
      <sheetName val="Recover.Select"/>
      <sheetName val="장회"/>
      <sheetName val="장회14"/>
      <sheetName val="단계"/>
      <sheetName val="장기28"/>
      <sheetName val="회복"/>
      <sheetName val="장기14"/>
      <sheetName val="회복12"/>
      <sheetName val="w1"/>
    </sheetNames>
    <sheetDataSet>
      <sheetData sheetId="0">
        <row r="4">
          <cell r="C4">
            <v>1</v>
          </cell>
          <cell r="D4" t="str">
            <v>공  번 : W - 1</v>
          </cell>
          <cell r="E4" t="str">
            <v>W-1</v>
          </cell>
          <cell r="F4">
            <v>150</v>
          </cell>
        </row>
        <row r="5">
          <cell r="C5">
            <v>2</v>
          </cell>
          <cell r="D5" t="str">
            <v>공  번 : W - 2</v>
          </cell>
          <cell r="E5" t="str">
            <v>W-2</v>
          </cell>
          <cell r="F5">
            <v>200</v>
          </cell>
        </row>
        <row r="6">
          <cell r="C6">
            <v>3</v>
          </cell>
          <cell r="D6" t="str">
            <v>공  번 : W - 3</v>
          </cell>
          <cell r="E6" t="str">
            <v>W-3</v>
          </cell>
          <cell r="F6">
            <v>250</v>
          </cell>
        </row>
        <row r="7">
          <cell r="C7">
            <v>5</v>
          </cell>
          <cell r="D7" t="str">
            <v>공  번 : W - 4</v>
          </cell>
          <cell r="E7" t="str">
            <v>W-4</v>
          </cell>
          <cell r="F7">
            <v>1700</v>
          </cell>
        </row>
        <row r="8">
          <cell r="C8">
            <v>7.5</v>
          </cell>
          <cell r="D8" t="str">
            <v>공  번 : W - 5</v>
          </cell>
          <cell r="E8" t="str">
            <v>W-5</v>
          </cell>
        </row>
        <row r="9">
          <cell r="C9">
            <v>10</v>
          </cell>
          <cell r="D9" t="str">
            <v>공  번 : W - 6</v>
          </cell>
          <cell r="E9" t="str">
            <v>W-6</v>
          </cell>
        </row>
        <row r="10">
          <cell r="C10">
            <v>15</v>
          </cell>
          <cell r="D10" t="str">
            <v>공  번 : W - 7</v>
          </cell>
          <cell r="E10" t="str">
            <v>W-7</v>
          </cell>
        </row>
        <row r="11">
          <cell r="C11">
            <v>20</v>
          </cell>
          <cell r="D11" t="str">
            <v>공  번 : W - 8</v>
          </cell>
          <cell r="E11" t="str">
            <v>W-8</v>
          </cell>
        </row>
        <row r="12">
          <cell r="C12">
            <v>25</v>
          </cell>
          <cell r="D12" t="str">
            <v>공  번 : W - 9</v>
          </cell>
          <cell r="E12" t="str">
            <v>W-9</v>
          </cell>
        </row>
        <row r="13">
          <cell r="C13">
            <v>30</v>
          </cell>
          <cell r="D13" t="str">
            <v>공  번 : W - 10</v>
          </cell>
          <cell r="E13" t="str">
            <v>W-10</v>
          </cell>
        </row>
        <row r="14">
          <cell r="D14" t="str">
            <v>공  번 : W - 11</v>
          </cell>
          <cell r="E14" t="str">
            <v>W-11</v>
          </cell>
        </row>
        <row r="15">
          <cell r="D15" t="str">
            <v>공  번 : W - 12</v>
          </cell>
          <cell r="E15" t="str">
            <v>W-12</v>
          </cell>
        </row>
        <row r="16">
          <cell r="D16" t="str">
            <v>공  번 : W - 13</v>
          </cell>
          <cell r="E16" t="str">
            <v>W-13</v>
          </cell>
        </row>
        <row r="17">
          <cell r="D17" t="str">
            <v>공  번 : W - 14</v>
          </cell>
          <cell r="E17" t="str">
            <v>W-14</v>
          </cell>
        </row>
        <row r="18">
          <cell r="D18" t="str">
            <v>공  번 : W - 15</v>
          </cell>
          <cell r="E18" t="str">
            <v>W-15</v>
          </cell>
        </row>
        <row r="19">
          <cell r="D19" t="str">
            <v>공  번 : W - 16</v>
          </cell>
          <cell r="E19" t="str">
            <v>W-16</v>
          </cell>
        </row>
        <row r="20">
          <cell r="D20" t="str">
            <v>공  번 : W - 17</v>
          </cell>
          <cell r="E20" t="str">
            <v>W-17</v>
          </cell>
        </row>
        <row r="21">
          <cell r="D21" t="str">
            <v>공  번 : W - 18</v>
          </cell>
          <cell r="E21" t="str">
            <v>W-18</v>
          </cell>
        </row>
        <row r="22">
          <cell r="D22" t="str">
            <v>공  번 : W - 19</v>
          </cell>
          <cell r="E22" t="str">
            <v>W-19</v>
          </cell>
        </row>
        <row r="23">
          <cell r="D23" t="str">
            <v>공  번 : W - 20</v>
          </cell>
          <cell r="E23" t="str">
            <v>W-20</v>
          </cell>
        </row>
        <row r="24">
          <cell r="D24" t="str">
            <v>공  번 : W - 21</v>
          </cell>
          <cell r="E24" t="str">
            <v>W-21</v>
          </cell>
        </row>
        <row r="25">
          <cell r="D25" t="str">
            <v>공  번 : W - 22</v>
          </cell>
          <cell r="E25" t="str">
            <v>W-22</v>
          </cell>
        </row>
        <row r="26">
          <cell r="D26" t="str">
            <v>공  번 : W - 23</v>
          </cell>
          <cell r="E26" t="str">
            <v>W-23</v>
          </cell>
        </row>
        <row r="27">
          <cell r="D27" t="str">
            <v>공  번 : W - 24</v>
          </cell>
          <cell r="E27" t="str">
            <v>W-24</v>
          </cell>
        </row>
        <row r="28">
          <cell r="D28" t="str">
            <v>공  번 : W - 25</v>
          </cell>
          <cell r="E28" t="str">
            <v>W-25</v>
          </cell>
        </row>
        <row r="29">
          <cell r="D29" t="str">
            <v>공  번 : W - 26</v>
          </cell>
          <cell r="E29" t="str">
            <v>W-26</v>
          </cell>
        </row>
        <row r="30">
          <cell r="D30" t="str">
            <v>공  번 : W - 27</v>
          </cell>
          <cell r="E30" t="str">
            <v>W-27</v>
          </cell>
        </row>
        <row r="31">
          <cell r="D31" t="str">
            <v>공  번 : W - 28</v>
          </cell>
          <cell r="E31" t="str">
            <v>W-28</v>
          </cell>
        </row>
        <row r="32">
          <cell r="D32" t="str">
            <v>공  번 : W - 29</v>
          </cell>
          <cell r="E32" t="str">
            <v>W-29</v>
          </cell>
        </row>
        <row r="33">
          <cell r="D33" t="str">
            <v>공  번 : W - 30</v>
          </cell>
          <cell r="E33" t="str">
            <v>W-30</v>
          </cell>
        </row>
        <row r="34">
          <cell r="D34" t="str">
            <v>공  번 : W - 31</v>
          </cell>
          <cell r="E34" t="str">
            <v>W-31</v>
          </cell>
        </row>
        <row r="35">
          <cell r="D35" t="str">
            <v>공  번 : W - 32</v>
          </cell>
          <cell r="E35" t="str">
            <v>W-32</v>
          </cell>
        </row>
        <row r="36">
          <cell r="D36" t="str">
            <v>공  번 : W - 33</v>
          </cell>
          <cell r="E36" t="str">
            <v>W-33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D7B8BB0-41F8-41B4-B417-F1903185CC63}" name="tableCorp" displayName="tableCorp" ref="J3:J19" totalsRowShown="0" headerRowDxfId="25" dataDxfId="24" headerRowCellStyle="표준 2" dataCellStyle="표준 2">
  <autoFilter ref="J3:J19" xr:uid="{ED7B8BB0-41F8-41B4-B417-F1903185CC63}"/>
  <tableColumns count="1">
    <tableColumn id="1" xr3:uid="{73373B9B-E3A5-4DA6-B25C-BFF142822A1D}" name="조사자" dataDxfId="23" dataCellStyle="표준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A128E7-606F-448E-BD0D-B8DFBF4016C9}" name="표3" displayName="표3" ref="H3:H7" totalsRowShown="0" headerRowDxfId="22" dataDxfId="21" headerRowCellStyle="표준 2" dataCellStyle="표준 2">
  <autoFilter ref="H3:H7" xr:uid="{E3A128E7-606F-448E-BD0D-B8DFBF4016C9}"/>
  <tableColumns count="1">
    <tableColumn id="1" xr3:uid="{1424B003-0D83-4A15-8DE2-905AFA0FED39}" name="유효우물반경" dataDxfId="20" dataCellStyle="표준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BC2798-820A-44A7-B34D-158303E757A7}" name="표4" displayName="표4" ref="G3:G6" totalsRowShown="0" headerRowDxfId="19" dataDxfId="18" headerRowCellStyle="표준 2" dataCellStyle="표준 2">
  <autoFilter ref="G3:G6" xr:uid="{25BC2798-820A-44A7-B34D-158303E757A7}"/>
  <tableColumns count="1">
    <tableColumn id="1" xr3:uid="{DC77E887-1561-4E8A-A912-7C363D1AADB6}" name="저류계수" dataDxfId="17" dataCellStyle="표준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7665B14-CDFA-4481-8166-B4D7B93641A7}" name="표5" displayName="표5" ref="F3:F7" totalsRowShown="0" headerRowDxfId="16" dataDxfId="15" headerRowCellStyle="표준 2" dataCellStyle="표준 2">
  <autoFilter ref="F3:F7" xr:uid="{37665B14-CDFA-4481-8166-B4D7B93641A7}"/>
  <tableColumns count="1">
    <tableColumn id="1" xr3:uid="{F0660956-0693-47E8-8ECF-E756500FF929}" name="우물직경" dataDxfId="14" dataCellStyle="표준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D6F5D56-B7DC-4926-9229-1B9BE575FA98}" name="표6" displayName="표6" ref="E3:E36" totalsRowShown="0" headerRowDxfId="13" dataDxfId="12" headerRowCellStyle="표준 2" dataCellStyle="표준 2">
  <autoFilter ref="E3:E36" xr:uid="{BD6F5D56-B7DC-4926-9229-1B9BE575FA98}"/>
  <tableColumns count="1">
    <tableColumn id="1" xr3:uid="{D396419C-61EA-4651-8D9C-1B6952524D8E}" name="공번2" dataDxfId="11" dataCellStyle="표준 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FCF2A89-C7B8-48E5-8E97-BF0C722715AF}" name="표7" displayName="표7" ref="D3:D36" totalsRowShown="0" headerRowDxfId="10" dataDxfId="9" headerRowCellStyle="표준 2" dataCellStyle="표준 2">
  <autoFilter ref="D3:D36" xr:uid="{6FCF2A89-C7B8-48E5-8E97-BF0C722715AF}"/>
  <tableColumns count="1">
    <tableColumn id="1" xr3:uid="{5835FC76-1E6A-49B8-9B5E-5D3D346D8254}" name="공번" dataDxfId="8" dataCellStyle="표준 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6F6CC0E-B250-43F8-88B9-E2BEFDDA2D54}" name="표8" displayName="표8" ref="C3:C13" totalsRowShown="0" headerRowDxfId="7" dataDxfId="6" headerRowCellStyle="표준 2" dataCellStyle="표준 2">
  <autoFilter ref="C3:C13" xr:uid="{A6F6CC0E-B250-43F8-88B9-E2BEFDDA2D54}"/>
  <tableColumns count="1">
    <tableColumn id="1" xr3:uid="{21DD6643-E5E6-424E-A67A-3951CFF3FFCF}" name="수중모터" dataDxfId="5" dataCellStyle="표준 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57B9436-079C-4274-A2F7-6418DFA55D2C}" name="표1" displayName="표1" ref="A1:C31" totalsRowShown="0" headerRowDxfId="4" tableBorderDxfId="3">
  <autoFilter ref="A1:C31" xr:uid="{E6407524-DB39-4516-83EF-E70C473FCE36}"/>
  <tableColumns count="3">
    <tableColumn id="1" xr3:uid="{519D0745-20E0-4CC8-BF43-02E6B9AB3707}" name="STABLETIME" dataDxfId="2"/>
    <tableColumn id="2" xr3:uid="{96DE12B1-65E5-4B58-9E75-1B17A0A37E58}" name="MY_TIME" dataDxfId="1"/>
    <tableColumn id="3" xr3:uid="{B773F446-920B-434D-A6DF-2773F562839A}" name="DAY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12" Type="http://schemas.openxmlformats.org/officeDocument/2006/relationships/table" Target="../tables/table7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11" Type="http://schemas.openxmlformats.org/officeDocument/2006/relationships/table" Target="../tables/table6.xml"/><Relationship Id="rId5" Type="http://schemas.openxmlformats.org/officeDocument/2006/relationships/image" Target="../media/image1.emf"/><Relationship Id="rId10" Type="http://schemas.openxmlformats.org/officeDocument/2006/relationships/table" Target="../tables/table5.xml"/><Relationship Id="rId4" Type="http://schemas.openxmlformats.org/officeDocument/2006/relationships/control" Target="../activeX/activeX1.xml"/><Relationship Id="rId9" Type="http://schemas.openxmlformats.org/officeDocument/2006/relationships/table" Target="../tables/table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13.emf"/><Relationship Id="rId18" Type="http://schemas.openxmlformats.org/officeDocument/2006/relationships/control" Target="../activeX/activeX9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17.emf"/><Relationship Id="rId7" Type="http://schemas.openxmlformats.org/officeDocument/2006/relationships/image" Target="../media/image10.emf"/><Relationship Id="rId12" Type="http://schemas.openxmlformats.org/officeDocument/2006/relationships/control" Target="../activeX/activeX6.xml"/><Relationship Id="rId17" Type="http://schemas.openxmlformats.org/officeDocument/2006/relationships/image" Target="../media/image15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8.xml"/><Relationship Id="rId20" Type="http://schemas.openxmlformats.org/officeDocument/2006/relationships/control" Target="../activeX/activeX10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5" Type="http://schemas.openxmlformats.org/officeDocument/2006/relationships/image" Target="../media/image14.emf"/><Relationship Id="rId10" Type="http://schemas.openxmlformats.org/officeDocument/2006/relationships/control" Target="../activeX/activeX5.xml"/><Relationship Id="rId19" Type="http://schemas.openxmlformats.org/officeDocument/2006/relationships/image" Target="../media/image16.emf"/><Relationship Id="rId4" Type="http://schemas.openxmlformats.org/officeDocument/2006/relationships/control" Target="../activeX/activeX2.xml"/><Relationship Id="rId9" Type="http://schemas.openxmlformats.org/officeDocument/2006/relationships/image" Target="../media/image11.emf"/><Relationship Id="rId14" Type="http://schemas.openxmlformats.org/officeDocument/2006/relationships/control" Target="../activeX/activeX7.xml"/><Relationship Id="rId2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2.xml"/><Relationship Id="rId5" Type="http://schemas.openxmlformats.org/officeDocument/2006/relationships/image" Target="../media/image18.emf"/><Relationship Id="rId4" Type="http://schemas.openxmlformats.org/officeDocument/2006/relationships/control" Target="../activeX/activeX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9.emf"/><Relationship Id="rId4" Type="http://schemas.openxmlformats.org/officeDocument/2006/relationships/control" Target="../activeX/activeX1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13" Type="http://schemas.openxmlformats.org/officeDocument/2006/relationships/image" Target="../media/image24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1.emf"/><Relationship Id="rId12" Type="http://schemas.openxmlformats.org/officeDocument/2006/relationships/control" Target="../activeX/activeX1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4.xml"/><Relationship Id="rId11" Type="http://schemas.openxmlformats.org/officeDocument/2006/relationships/image" Target="../media/image23.emf"/><Relationship Id="rId5" Type="http://schemas.openxmlformats.org/officeDocument/2006/relationships/image" Target="../media/image20.emf"/><Relationship Id="rId10" Type="http://schemas.openxmlformats.org/officeDocument/2006/relationships/control" Target="../activeX/activeX16.xml"/><Relationship Id="rId4" Type="http://schemas.openxmlformats.org/officeDocument/2006/relationships/control" Target="../activeX/activeX13.xml"/><Relationship Id="rId9" Type="http://schemas.openxmlformats.org/officeDocument/2006/relationships/image" Target="../media/image22.emf"/><Relationship Id="rId1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13" Type="http://schemas.openxmlformats.org/officeDocument/2006/relationships/image" Target="../media/image29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26.emf"/><Relationship Id="rId12" Type="http://schemas.openxmlformats.org/officeDocument/2006/relationships/control" Target="../activeX/activeX22.xml"/><Relationship Id="rId2" Type="http://schemas.openxmlformats.org/officeDocument/2006/relationships/drawing" Target="../drawings/drawing7.xml"/><Relationship Id="rId16" Type="http://schemas.openxmlformats.org/officeDocument/2006/relationships/comments" Target="../comments4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9.xml"/><Relationship Id="rId11" Type="http://schemas.openxmlformats.org/officeDocument/2006/relationships/image" Target="../media/image28.emf"/><Relationship Id="rId5" Type="http://schemas.openxmlformats.org/officeDocument/2006/relationships/image" Target="../media/image25.emf"/><Relationship Id="rId15" Type="http://schemas.openxmlformats.org/officeDocument/2006/relationships/image" Target="../media/image30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27.emf"/><Relationship Id="rId14" Type="http://schemas.openxmlformats.org/officeDocument/2006/relationships/control" Target="../activeX/activeX2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32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5.xml"/><Relationship Id="rId5" Type="http://schemas.openxmlformats.org/officeDocument/2006/relationships/image" Target="../media/image31.emf"/><Relationship Id="rId4" Type="http://schemas.openxmlformats.org/officeDocument/2006/relationships/control" Target="../activeX/activeX24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8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31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7.xml"/><Relationship Id="rId11" Type="http://schemas.openxmlformats.org/officeDocument/2006/relationships/image" Target="../media/image35.emf"/><Relationship Id="rId5" Type="http://schemas.openxmlformats.org/officeDocument/2006/relationships/image" Target="../media/image33.emf"/><Relationship Id="rId10" Type="http://schemas.openxmlformats.org/officeDocument/2006/relationships/control" Target="../activeX/activeX29.xml"/><Relationship Id="rId4" Type="http://schemas.openxmlformats.org/officeDocument/2006/relationships/control" Target="../activeX/activeX26.xml"/><Relationship Id="rId9" Type="http://schemas.openxmlformats.org/officeDocument/2006/relationships/image" Target="../media/image34.emf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2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37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1.xml"/><Relationship Id="rId11" Type="http://schemas.openxmlformats.org/officeDocument/2006/relationships/image" Target="../media/image39.emf"/><Relationship Id="rId5" Type="http://schemas.openxmlformats.org/officeDocument/2006/relationships/image" Target="../media/image36.emf"/><Relationship Id="rId10" Type="http://schemas.openxmlformats.org/officeDocument/2006/relationships/control" Target="../activeX/activeX33.xml"/><Relationship Id="rId4" Type="http://schemas.openxmlformats.org/officeDocument/2006/relationships/control" Target="../activeX/activeX30.xml"/><Relationship Id="rId9" Type="http://schemas.openxmlformats.org/officeDocument/2006/relationships/image" Target="../media/image38.emf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41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35.xml"/><Relationship Id="rId5" Type="http://schemas.openxmlformats.org/officeDocument/2006/relationships/image" Target="../media/image40.emf"/><Relationship Id="rId4" Type="http://schemas.openxmlformats.org/officeDocument/2006/relationships/control" Target="../activeX/activeX3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5C6DF-4EA1-43CA-8BDE-B53399D2B729}">
  <sheetPr codeName="Sheet11">
    <tabColor theme="9" tint="0.79998168889431442"/>
  </sheetPr>
  <dimension ref="C3:J36"/>
  <sheetViews>
    <sheetView workbookViewId="0">
      <selection activeCell="M10" sqref="M10"/>
    </sheetView>
  </sheetViews>
  <sheetFormatPr defaultColWidth="9" defaultRowHeight="18" customHeight="1"/>
  <cols>
    <col min="1" max="2" width="13.375" style="10" customWidth="1"/>
    <col min="3" max="3" width="14.75" style="10" customWidth="1"/>
    <col min="4" max="4" width="21" style="10" customWidth="1"/>
    <col min="5" max="5" width="12.875" style="10" customWidth="1"/>
    <col min="6" max="6" width="11.75" style="10" customWidth="1"/>
    <col min="7" max="7" width="14.375" style="10" customWidth="1"/>
    <col min="8" max="8" width="16.875" style="10" customWidth="1"/>
    <col min="9" max="9" width="9" style="10"/>
    <col min="10" max="10" width="26.125" style="10" customWidth="1"/>
    <col min="11" max="16384" width="9" style="10"/>
  </cols>
  <sheetData>
    <row r="3" spans="3:10" ht="18" customHeight="1">
      <c r="C3" s="9" t="s">
        <v>43</v>
      </c>
      <c r="D3" s="9" t="s">
        <v>58</v>
      </c>
      <c r="E3" s="9" t="s">
        <v>80</v>
      </c>
      <c r="F3" s="9" t="s">
        <v>30</v>
      </c>
      <c r="G3" s="10" t="s">
        <v>81</v>
      </c>
      <c r="H3" s="11" t="s">
        <v>82</v>
      </c>
      <c r="J3" s="10" t="s">
        <v>222</v>
      </c>
    </row>
    <row r="4" spans="3:10" ht="18" customHeight="1">
      <c r="C4" s="10">
        <v>1</v>
      </c>
      <c r="D4" s="12" t="s">
        <v>83</v>
      </c>
      <c r="E4" s="10" t="s">
        <v>59</v>
      </c>
      <c r="F4" s="10">
        <v>150</v>
      </c>
      <c r="G4" s="10">
        <v>5.0000000000000001E-4</v>
      </c>
      <c r="H4" s="10" t="s">
        <v>84</v>
      </c>
      <c r="J4" s="10" t="s">
        <v>218</v>
      </c>
    </row>
    <row r="5" spans="3:10" ht="18" customHeight="1">
      <c r="C5" s="10">
        <v>2</v>
      </c>
      <c r="D5" s="10" t="s">
        <v>85</v>
      </c>
      <c r="E5" s="10" t="s">
        <v>86</v>
      </c>
      <c r="F5" s="10">
        <v>200</v>
      </c>
      <c r="G5" s="10">
        <v>1E-3</v>
      </c>
      <c r="H5" s="13" t="s">
        <v>87</v>
      </c>
      <c r="J5" s="10" t="s">
        <v>223</v>
      </c>
    </row>
    <row r="6" spans="3:10" ht="18" customHeight="1">
      <c r="C6" s="10">
        <v>3</v>
      </c>
      <c r="D6" s="10" t="s">
        <v>88</v>
      </c>
      <c r="E6" s="10" t="s">
        <v>89</v>
      </c>
      <c r="F6" s="10">
        <v>250</v>
      </c>
      <c r="G6" s="10">
        <v>0.1</v>
      </c>
      <c r="H6" s="13" t="s">
        <v>90</v>
      </c>
      <c r="J6" s="10" t="s">
        <v>232</v>
      </c>
    </row>
    <row r="7" spans="3:10" ht="18" customHeight="1">
      <c r="C7" s="10">
        <v>5</v>
      </c>
      <c r="D7" s="10" t="s">
        <v>91</v>
      </c>
      <c r="E7" s="10" t="s">
        <v>92</v>
      </c>
      <c r="F7" s="10">
        <v>1700</v>
      </c>
      <c r="H7" s="13" t="s">
        <v>93</v>
      </c>
      <c r="J7" s="10" t="s">
        <v>231</v>
      </c>
    </row>
    <row r="8" spans="3:10" ht="18" customHeight="1">
      <c r="C8" s="10">
        <v>7.5</v>
      </c>
      <c r="D8" s="10" t="s">
        <v>94</v>
      </c>
      <c r="E8" s="10" t="s">
        <v>95</v>
      </c>
      <c r="H8" s="12"/>
      <c r="J8" s="10" t="s">
        <v>225</v>
      </c>
    </row>
    <row r="9" spans="3:10" ht="18" customHeight="1">
      <c r="C9" s="10">
        <v>10</v>
      </c>
      <c r="D9" s="12" t="s">
        <v>96</v>
      </c>
      <c r="E9" s="10" t="s">
        <v>97</v>
      </c>
      <c r="H9" s="12"/>
      <c r="J9" s="10" t="s">
        <v>230</v>
      </c>
    </row>
    <row r="10" spans="3:10" ht="18" customHeight="1">
      <c r="C10" s="10">
        <v>15</v>
      </c>
      <c r="D10" s="12" t="s">
        <v>98</v>
      </c>
      <c r="E10" s="10" t="s">
        <v>99</v>
      </c>
      <c r="H10" s="12"/>
      <c r="J10" s="10" t="s">
        <v>226</v>
      </c>
    </row>
    <row r="11" spans="3:10" ht="18" customHeight="1">
      <c r="C11" s="10">
        <v>20</v>
      </c>
      <c r="D11" s="10" t="s">
        <v>100</v>
      </c>
      <c r="E11" s="10" t="s">
        <v>101</v>
      </c>
      <c r="H11" s="12"/>
      <c r="J11" s="10" t="s">
        <v>229</v>
      </c>
    </row>
    <row r="12" spans="3:10" ht="18" customHeight="1">
      <c r="C12" s="10">
        <v>25</v>
      </c>
      <c r="D12" s="12" t="s">
        <v>102</v>
      </c>
      <c r="E12" s="10" t="s">
        <v>103</v>
      </c>
      <c r="H12" s="12"/>
      <c r="J12" s="10" t="s">
        <v>224</v>
      </c>
    </row>
    <row r="13" spans="3:10" ht="18" customHeight="1">
      <c r="C13" s="10">
        <v>30</v>
      </c>
      <c r="D13" s="12" t="s">
        <v>104</v>
      </c>
      <c r="E13" s="10" t="s">
        <v>105</v>
      </c>
      <c r="H13" s="12"/>
      <c r="J13" s="10" t="s">
        <v>228</v>
      </c>
    </row>
    <row r="14" spans="3:10" ht="18" customHeight="1">
      <c r="D14" s="12" t="s">
        <v>106</v>
      </c>
      <c r="E14" s="10" t="s">
        <v>107</v>
      </c>
      <c r="H14" s="12"/>
      <c r="J14" s="10" t="s">
        <v>227</v>
      </c>
    </row>
    <row r="15" spans="3:10" ht="18" customHeight="1">
      <c r="D15" s="12" t="s">
        <v>108</v>
      </c>
      <c r="E15" s="10" t="s">
        <v>109</v>
      </c>
      <c r="J15" s="10" t="s">
        <v>252</v>
      </c>
    </row>
    <row r="16" spans="3:10" ht="18" customHeight="1">
      <c r="D16" s="12" t="s">
        <v>110</v>
      </c>
      <c r="E16" s="10" t="s">
        <v>111</v>
      </c>
      <c r="J16" s="10" t="s">
        <v>253</v>
      </c>
    </row>
    <row r="17" spans="4:10" ht="18" customHeight="1">
      <c r="D17" s="12" t="s">
        <v>112</v>
      </c>
      <c r="E17" s="10" t="s">
        <v>113</v>
      </c>
      <c r="J17" s="11" t="s">
        <v>254</v>
      </c>
    </row>
    <row r="18" spans="4:10" ht="18" customHeight="1">
      <c r="D18" s="12" t="s">
        <v>114</v>
      </c>
      <c r="E18" s="10" t="s">
        <v>115</v>
      </c>
      <c r="J18" s="10" t="s">
        <v>255</v>
      </c>
    </row>
    <row r="19" spans="4:10" ht="18" customHeight="1">
      <c r="D19" s="12" t="s">
        <v>256</v>
      </c>
      <c r="E19" s="10" t="s">
        <v>274</v>
      </c>
      <c r="J19" s="10" t="s">
        <v>292</v>
      </c>
    </row>
    <row r="20" spans="4:10" ht="18" customHeight="1">
      <c r="D20" s="10" t="s">
        <v>257</v>
      </c>
      <c r="E20" s="10" t="s">
        <v>275</v>
      </c>
    </row>
    <row r="21" spans="4:10" ht="18" customHeight="1">
      <c r="D21" s="10" t="s">
        <v>258</v>
      </c>
      <c r="E21" s="10" t="s">
        <v>276</v>
      </c>
    </row>
    <row r="22" spans="4:10" ht="18" customHeight="1">
      <c r="D22" s="10" t="s">
        <v>259</v>
      </c>
      <c r="E22" s="10" t="s">
        <v>277</v>
      </c>
    </row>
    <row r="23" spans="4:10" ht="18" customHeight="1">
      <c r="D23" s="10" t="s">
        <v>260</v>
      </c>
      <c r="E23" s="10" t="s">
        <v>278</v>
      </c>
    </row>
    <row r="24" spans="4:10" ht="18" customHeight="1">
      <c r="D24" s="10" t="s">
        <v>261</v>
      </c>
      <c r="E24" s="10" t="s">
        <v>279</v>
      </c>
    </row>
    <row r="25" spans="4:10" ht="18" customHeight="1">
      <c r="D25" s="10" t="s">
        <v>262</v>
      </c>
      <c r="E25" s="10" t="s">
        <v>280</v>
      </c>
    </row>
    <row r="26" spans="4:10" ht="18" customHeight="1">
      <c r="D26" s="10" t="s">
        <v>263</v>
      </c>
      <c r="E26" s="10" t="s">
        <v>281</v>
      </c>
    </row>
    <row r="27" spans="4:10" ht="18" customHeight="1">
      <c r="D27" s="10" t="s">
        <v>264</v>
      </c>
      <c r="E27" s="10" t="s">
        <v>282</v>
      </c>
    </row>
    <row r="28" spans="4:10" ht="18" customHeight="1">
      <c r="D28" s="10" t="s">
        <v>265</v>
      </c>
      <c r="E28" s="10" t="s">
        <v>283</v>
      </c>
    </row>
    <row r="29" spans="4:10" ht="18" customHeight="1">
      <c r="D29" s="10" t="s">
        <v>266</v>
      </c>
      <c r="E29" s="10" t="s">
        <v>284</v>
      </c>
    </row>
    <row r="30" spans="4:10" ht="18" customHeight="1">
      <c r="D30" s="10" t="s">
        <v>267</v>
      </c>
      <c r="E30" s="10" t="s">
        <v>285</v>
      </c>
    </row>
    <row r="31" spans="4:10" ht="18" customHeight="1">
      <c r="D31" s="10" t="s">
        <v>268</v>
      </c>
      <c r="E31" s="10" t="s">
        <v>286</v>
      </c>
    </row>
    <row r="32" spans="4:10" ht="18" customHeight="1">
      <c r="D32" s="10" t="s">
        <v>269</v>
      </c>
      <c r="E32" s="10" t="s">
        <v>287</v>
      </c>
    </row>
    <row r="33" spans="4:5" ht="18" customHeight="1">
      <c r="D33" s="10" t="s">
        <v>270</v>
      </c>
      <c r="E33" s="10" t="s">
        <v>288</v>
      </c>
    </row>
    <row r="34" spans="4:5" ht="18" customHeight="1">
      <c r="D34" s="10" t="s">
        <v>271</v>
      </c>
      <c r="E34" s="10" t="s">
        <v>289</v>
      </c>
    </row>
    <row r="35" spans="4:5" ht="18" customHeight="1">
      <c r="D35" s="10" t="s">
        <v>272</v>
      </c>
      <c r="E35" s="10" t="s">
        <v>290</v>
      </c>
    </row>
    <row r="36" spans="4:5" ht="18" customHeight="1">
      <c r="D36" s="10" t="s">
        <v>273</v>
      </c>
      <c r="E36" s="10" t="s">
        <v>291</v>
      </c>
    </row>
  </sheetData>
  <phoneticPr fontId="4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61" r:id="rId4" name="CommandButton1">
          <controlPr defaultSize="0" autoLine="0" r:id="rId5">
            <anchor moveWithCells="1">
              <from>
                <xdr:col>11</xdr:col>
                <xdr:colOff>0</xdr:colOff>
                <xdr:row>2</xdr:row>
                <xdr:rowOff>114300</xdr:rowOff>
              </from>
              <to>
                <xdr:col>13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5361" r:id="rId4" name="CommandButton1"/>
      </mc:Fallback>
    </mc:AlternateContent>
  </controls>
  <tableParts count="7">
    <tablePart r:id="rId6"/>
    <tablePart r:id="rId7"/>
    <tablePart r:id="rId8"/>
    <tablePart r:id="rId9"/>
    <tablePart r:id="rId10"/>
    <tablePart r:id="rId11"/>
    <tablePart r:id="rId1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94F4F-F00D-415B-98E0-B246B9074319}">
  <sheetPr codeName="Sheet1"/>
  <dimension ref="A1:F100"/>
  <sheetViews>
    <sheetView workbookViewId="0"/>
  </sheetViews>
  <sheetFormatPr defaultColWidth="9" defaultRowHeight="13.5"/>
  <cols>
    <col min="1" max="5" width="9" style="6"/>
    <col min="6" max="6" width="29" style="6" customWidth="1"/>
    <col min="7" max="16384" width="9" style="6"/>
  </cols>
  <sheetData>
    <row r="1" spans="1:6">
      <c r="A1" s="100">
        <v>1</v>
      </c>
      <c r="B1" s="6">
        <f>F1</f>
        <v>1</v>
      </c>
      <c r="E1" s="6">
        <v>1</v>
      </c>
      <c r="F1" s="6">
        <f>StepTest!G12</f>
        <v>1</v>
      </c>
    </row>
    <row r="2" spans="1:6">
      <c r="A2" s="100">
        <v>2</v>
      </c>
      <c r="B2" s="6">
        <f t="shared" ref="B2:B20" si="0">F2</f>
        <v>1.82</v>
      </c>
      <c r="E2" s="6">
        <v>2</v>
      </c>
      <c r="F2" s="6">
        <f>StepTest!G13</f>
        <v>1.82</v>
      </c>
    </row>
    <row r="3" spans="1:6">
      <c r="A3" s="100">
        <v>3</v>
      </c>
      <c r="B3" s="6">
        <f t="shared" si="0"/>
        <v>2.2999999999999998</v>
      </c>
      <c r="E3" s="6">
        <v>3</v>
      </c>
      <c r="F3" s="6">
        <f>StepTest!G14</f>
        <v>2.2999999999999998</v>
      </c>
    </row>
    <row r="4" spans="1:6">
      <c r="A4" s="100">
        <v>4</v>
      </c>
      <c r="B4" s="6">
        <f t="shared" si="0"/>
        <v>2.63</v>
      </c>
      <c r="E4" s="6">
        <v>4</v>
      </c>
      <c r="F4" s="6">
        <f>StepTest!G15</f>
        <v>2.63</v>
      </c>
    </row>
    <row r="5" spans="1:6">
      <c r="A5" s="100">
        <v>5</v>
      </c>
      <c r="B5" s="6">
        <f t="shared" si="0"/>
        <v>2.9</v>
      </c>
      <c r="E5" s="6">
        <v>5</v>
      </c>
      <c r="F5" s="6">
        <f>StepTest!G16</f>
        <v>2.9</v>
      </c>
    </row>
    <row r="6" spans="1:6">
      <c r="A6" s="100">
        <v>10</v>
      </c>
      <c r="B6" s="6">
        <f t="shared" si="0"/>
        <v>3.71</v>
      </c>
      <c r="E6" s="6">
        <v>10</v>
      </c>
      <c r="F6" s="6">
        <f>StepTest!G17</f>
        <v>3.71</v>
      </c>
    </row>
    <row r="7" spans="1:6">
      <c r="A7" s="100">
        <v>15</v>
      </c>
      <c r="B7" s="6">
        <f t="shared" si="0"/>
        <v>4.1900000000000004</v>
      </c>
      <c r="E7" s="6">
        <v>15</v>
      </c>
      <c r="F7" s="6">
        <f>StepTest!G18</f>
        <v>4.1900000000000004</v>
      </c>
    </row>
    <row r="8" spans="1:6">
      <c r="A8" s="100">
        <v>20</v>
      </c>
      <c r="B8" s="6">
        <f t="shared" si="0"/>
        <v>4.53</v>
      </c>
      <c r="E8" s="6">
        <v>20</v>
      </c>
      <c r="F8" s="6">
        <f>StepTest!G19</f>
        <v>4.53</v>
      </c>
    </row>
    <row r="9" spans="1:6">
      <c r="A9" s="100">
        <v>25</v>
      </c>
      <c r="B9" s="6">
        <f t="shared" si="0"/>
        <v>4.79</v>
      </c>
      <c r="E9" s="6">
        <v>25</v>
      </c>
      <c r="F9" s="6">
        <f>StepTest!G20</f>
        <v>4.79</v>
      </c>
    </row>
    <row r="10" spans="1:6">
      <c r="A10" s="100">
        <v>30</v>
      </c>
      <c r="B10" s="6">
        <f t="shared" si="0"/>
        <v>5</v>
      </c>
      <c r="E10" s="6">
        <v>30</v>
      </c>
      <c r="F10" s="6">
        <f>StepTest!G21</f>
        <v>5</v>
      </c>
    </row>
    <row r="11" spans="1:6">
      <c r="A11" s="100">
        <v>35</v>
      </c>
      <c r="B11" s="6">
        <f t="shared" si="0"/>
        <v>5.19</v>
      </c>
      <c r="E11" s="6">
        <v>35</v>
      </c>
      <c r="F11" s="6">
        <f>StepTest!G22</f>
        <v>5.19</v>
      </c>
    </row>
    <row r="12" spans="1:6">
      <c r="A12" s="100">
        <v>40</v>
      </c>
      <c r="B12" s="6">
        <f t="shared" si="0"/>
        <v>5.34</v>
      </c>
      <c r="E12" s="6">
        <v>40</v>
      </c>
      <c r="F12" s="6">
        <f>StepTest!G23</f>
        <v>5.34</v>
      </c>
    </row>
    <row r="13" spans="1:6">
      <c r="A13" s="100">
        <v>45</v>
      </c>
      <c r="B13" s="6">
        <f t="shared" si="0"/>
        <v>5.48</v>
      </c>
      <c r="E13" s="6">
        <v>45</v>
      </c>
      <c r="F13" s="6">
        <f>StepTest!G24</f>
        <v>5.48</v>
      </c>
    </row>
    <row r="14" spans="1:6">
      <c r="A14" s="100">
        <v>50</v>
      </c>
      <c r="B14" s="6">
        <f t="shared" si="0"/>
        <v>5.61</v>
      </c>
      <c r="E14" s="6">
        <v>50</v>
      </c>
      <c r="F14" s="6">
        <f>StepTest!G25</f>
        <v>5.61</v>
      </c>
    </row>
    <row r="15" spans="1:6">
      <c r="A15" s="100">
        <v>55</v>
      </c>
      <c r="B15" s="6">
        <f t="shared" si="0"/>
        <v>5.72</v>
      </c>
      <c r="E15" s="6">
        <v>55</v>
      </c>
      <c r="F15" s="6">
        <f>StepTest!G26</f>
        <v>5.72</v>
      </c>
    </row>
    <row r="16" spans="1:6">
      <c r="A16" s="100">
        <v>60</v>
      </c>
      <c r="B16" s="6">
        <f t="shared" si="0"/>
        <v>5.82</v>
      </c>
      <c r="E16" s="6">
        <v>60</v>
      </c>
      <c r="F16" s="6">
        <f>StepTest!G27</f>
        <v>5.82</v>
      </c>
    </row>
    <row r="17" spans="1:6">
      <c r="A17" s="100">
        <v>75</v>
      </c>
      <c r="B17" s="6">
        <f t="shared" si="0"/>
        <v>6.08</v>
      </c>
      <c r="E17" s="6">
        <v>75</v>
      </c>
      <c r="F17" s="6">
        <f>StepTest!G28</f>
        <v>6.08</v>
      </c>
    </row>
    <row r="18" spans="1:6">
      <c r="A18" s="100">
        <v>90</v>
      </c>
      <c r="B18" s="6">
        <f t="shared" si="0"/>
        <v>6.3</v>
      </c>
      <c r="E18" s="6">
        <v>90</v>
      </c>
      <c r="F18" s="6">
        <f>StepTest!G29</f>
        <v>6.3</v>
      </c>
    </row>
    <row r="19" spans="1:6">
      <c r="A19" s="100">
        <v>105</v>
      </c>
      <c r="B19" s="6">
        <f t="shared" si="0"/>
        <v>6.48</v>
      </c>
      <c r="E19" s="6">
        <v>105</v>
      </c>
      <c r="F19" s="6">
        <f>StepTest!G30</f>
        <v>6.48</v>
      </c>
    </row>
    <row r="20" spans="1:6">
      <c r="A20" s="101">
        <v>120</v>
      </c>
      <c r="B20" s="102">
        <f t="shared" si="0"/>
        <v>6.64</v>
      </c>
      <c r="C20" s="102">
        <f>B26-B20</f>
        <v>1.33</v>
      </c>
      <c r="D20" s="103">
        <f>C20/10</f>
        <v>0.13300000000000001</v>
      </c>
      <c r="E20" s="6">
        <v>120</v>
      </c>
      <c r="F20" s="6">
        <f>StepTest!G31</f>
        <v>6.64</v>
      </c>
    </row>
    <row r="21" spans="1:6">
      <c r="A21" s="100">
        <v>121</v>
      </c>
      <c r="B21" s="104">
        <f>B20+D21</f>
        <v>6.8</v>
      </c>
      <c r="D21" s="6">
        <v>0.16</v>
      </c>
      <c r="E21" s="6">
        <v>130</v>
      </c>
      <c r="F21" s="6">
        <f>StepTest!G32</f>
        <v>7.97</v>
      </c>
    </row>
    <row r="22" spans="1:6">
      <c r="A22" s="100">
        <v>122</v>
      </c>
      <c r="B22" s="104">
        <f>B21+D22</f>
        <v>6.95</v>
      </c>
      <c r="D22" s="6">
        <v>0.15</v>
      </c>
      <c r="E22" s="6">
        <v>140</v>
      </c>
      <c r="F22" s="6">
        <f>StepTest!G33</f>
        <v>8.19</v>
      </c>
    </row>
    <row r="23" spans="1:6">
      <c r="A23" s="100">
        <v>123</v>
      </c>
      <c r="B23" s="104">
        <f>B22+D23</f>
        <v>7.09</v>
      </c>
      <c r="D23" s="6">
        <v>0.14000000000000001</v>
      </c>
      <c r="E23" s="6">
        <v>150</v>
      </c>
      <c r="F23" s="6">
        <f>StepTest!G34</f>
        <v>8.41</v>
      </c>
    </row>
    <row r="24" spans="1:6">
      <c r="A24" s="100">
        <v>124</v>
      </c>
      <c r="B24" s="104">
        <f>B23+D24</f>
        <v>7.22</v>
      </c>
      <c r="D24" s="6">
        <v>0.13</v>
      </c>
      <c r="E24" s="6">
        <v>180</v>
      </c>
      <c r="F24" s="6">
        <f>StepTest!G35</f>
        <v>8.6300000000000008</v>
      </c>
    </row>
    <row r="25" spans="1:6">
      <c r="A25" s="100">
        <v>125</v>
      </c>
      <c r="B25" s="104">
        <f>B24+D25</f>
        <v>7.35</v>
      </c>
      <c r="D25" s="6">
        <v>0.13</v>
      </c>
      <c r="E25" s="6">
        <v>240</v>
      </c>
      <c r="F25" s="6">
        <f>StepTest!G36</f>
        <v>8.86</v>
      </c>
    </row>
    <row r="26" spans="1:6">
      <c r="A26" s="100">
        <v>130</v>
      </c>
      <c r="B26" s="102">
        <f>F21</f>
        <v>7.97</v>
      </c>
      <c r="C26" s="102">
        <f>B28-B26</f>
        <v>0.21999999999999975</v>
      </c>
      <c r="D26" s="102">
        <f>C26/2</f>
        <v>0.10999999999999988</v>
      </c>
      <c r="E26" s="6">
        <v>250</v>
      </c>
      <c r="F26" s="6">
        <f>StepTest!G37</f>
        <v>10.35</v>
      </c>
    </row>
    <row r="27" spans="1:6">
      <c r="A27" s="100">
        <v>135</v>
      </c>
      <c r="B27" s="104">
        <f>B26+D27</f>
        <v>8.08</v>
      </c>
      <c r="D27" s="6">
        <v>0.11</v>
      </c>
      <c r="E27" s="6">
        <v>260</v>
      </c>
      <c r="F27" s="6">
        <f>StepTest!G38</f>
        <v>10.6</v>
      </c>
    </row>
    <row r="28" spans="1:6">
      <c r="A28" s="100">
        <v>140</v>
      </c>
      <c r="B28" s="102">
        <f>F22</f>
        <v>8.19</v>
      </c>
      <c r="C28" s="102">
        <f>B30-B28</f>
        <v>0.22000000000000064</v>
      </c>
      <c r="D28" s="102">
        <f>C28/2</f>
        <v>0.11000000000000032</v>
      </c>
      <c r="E28" s="6">
        <v>270</v>
      </c>
      <c r="F28" s="6">
        <f>StepTest!G39</f>
        <v>10.85</v>
      </c>
    </row>
    <row r="29" spans="1:6">
      <c r="A29" s="100">
        <v>145</v>
      </c>
      <c r="B29" s="104">
        <f>B28+D29</f>
        <v>8.2899999999999991</v>
      </c>
      <c r="D29" s="6">
        <v>0.1</v>
      </c>
      <c r="E29" s="6">
        <v>300</v>
      </c>
      <c r="F29" s="6">
        <f>StepTest!G40</f>
        <v>11.1</v>
      </c>
    </row>
    <row r="30" spans="1:6">
      <c r="A30" s="100">
        <v>150</v>
      </c>
      <c r="B30" s="102">
        <f>F23</f>
        <v>8.41</v>
      </c>
      <c r="C30" s="102">
        <f>B36-B30</f>
        <v>0.22000000000000064</v>
      </c>
      <c r="D30" s="105">
        <f>C30/6</f>
        <v>3.6666666666666771E-2</v>
      </c>
      <c r="E30" s="6">
        <v>360</v>
      </c>
      <c r="F30" s="6">
        <f>StepTest!G41</f>
        <v>11.35</v>
      </c>
    </row>
    <row r="31" spans="1:6">
      <c r="A31" s="100">
        <v>155</v>
      </c>
      <c r="B31" s="104">
        <f>B30+D31</f>
        <v>8.4700000000000006</v>
      </c>
      <c r="D31" s="6">
        <v>0.06</v>
      </c>
    </row>
    <row r="32" spans="1:6">
      <c r="A32" s="100">
        <v>160</v>
      </c>
      <c r="B32" s="104">
        <f t="shared" ref="B32:B39" si="1">B31+D32</f>
        <v>8.5200000000000014</v>
      </c>
      <c r="D32" s="6">
        <v>0.05</v>
      </c>
    </row>
    <row r="33" spans="1:4">
      <c r="A33" s="100">
        <v>165</v>
      </c>
      <c r="B33" s="104">
        <f t="shared" si="1"/>
        <v>8.56</v>
      </c>
      <c r="D33" s="6">
        <v>0.04</v>
      </c>
    </row>
    <row r="34" spans="1:4">
      <c r="A34" s="100">
        <v>170</v>
      </c>
      <c r="B34" s="104">
        <f t="shared" si="1"/>
        <v>8.59</v>
      </c>
      <c r="D34" s="6">
        <v>0.03</v>
      </c>
    </row>
    <row r="35" spans="1:4">
      <c r="A35" s="100">
        <v>175</v>
      </c>
      <c r="B35" s="104">
        <f t="shared" si="1"/>
        <v>8.61</v>
      </c>
      <c r="D35" s="6">
        <v>0.02</v>
      </c>
    </row>
    <row r="36" spans="1:4">
      <c r="A36" s="100">
        <v>180</v>
      </c>
      <c r="B36" s="102">
        <f>F24</f>
        <v>8.6300000000000008</v>
      </c>
      <c r="C36" s="102">
        <f>B40-B36</f>
        <v>0.22999999999999865</v>
      </c>
      <c r="D36" s="102">
        <f>C36/4</f>
        <v>5.7499999999999662E-2</v>
      </c>
    </row>
    <row r="37" spans="1:4">
      <c r="A37" s="100">
        <v>195</v>
      </c>
      <c r="B37" s="104">
        <f t="shared" si="1"/>
        <v>8.7000000000000011</v>
      </c>
      <c r="D37" s="6">
        <v>7.0000000000000007E-2</v>
      </c>
    </row>
    <row r="38" spans="1:4">
      <c r="A38" s="100">
        <v>210</v>
      </c>
      <c r="B38" s="104">
        <f t="shared" si="1"/>
        <v>8.7600000000000016</v>
      </c>
      <c r="D38" s="6">
        <v>0.06</v>
      </c>
    </row>
    <row r="39" spans="1:4">
      <c r="A39" s="100">
        <v>225</v>
      </c>
      <c r="B39" s="104">
        <f t="shared" si="1"/>
        <v>8.8100000000000023</v>
      </c>
      <c r="D39" s="6">
        <v>0.05</v>
      </c>
    </row>
    <row r="40" spans="1:4">
      <c r="A40" s="101">
        <v>240</v>
      </c>
      <c r="B40" s="102">
        <f>F25</f>
        <v>8.86</v>
      </c>
      <c r="C40" s="102">
        <f>B46-B40</f>
        <v>1.4900000000000002</v>
      </c>
      <c r="D40" s="103">
        <f>C40/10</f>
        <v>0.14900000000000002</v>
      </c>
    </row>
    <row r="41" spans="1:4">
      <c r="A41" s="100">
        <v>241</v>
      </c>
      <c r="B41" s="104">
        <f>B40+D41</f>
        <v>9.0399999999999991</v>
      </c>
      <c r="D41" s="6">
        <v>0.18</v>
      </c>
    </row>
    <row r="42" spans="1:4">
      <c r="A42" s="100">
        <v>242</v>
      </c>
      <c r="B42" s="104">
        <f>B41+D42</f>
        <v>9.1999999999999993</v>
      </c>
      <c r="D42" s="6">
        <v>0.16</v>
      </c>
    </row>
    <row r="43" spans="1:4">
      <c r="A43" s="100">
        <v>243</v>
      </c>
      <c r="B43" s="104">
        <f>B42+D43</f>
        <v>9.35</v>
      </c>
      <c r="D43" s="6">
        <v>0.15</v>
      </c>
    </row>
    <row r="44" spans="1:4">
      <c r="A44" s="100">
        <v>244</v>
      </c>
      <c r="B44" s="104">
        <f>B43+D44</f>
        <v>9.49</v>
      </c>
      <c r="D44" s="6">
        <v>0.14000000000000001</v>
      </c>
    </row>
    <row r="45" spans="1:4">
      <c r="A45" s="100">
        <v>245</v>
      </c>
      <c r="B45" s="104">
        <f>B44+D45</f>
        <v>9.620000000000001</v>
      </c>
      <c r="D45" s="6">
        <v>0.13</v>
      </c>
    </row>
    <row r="46" spans="1:4">
      <c r="A46" s="100">
        <v>250</v>
      </c>
      <c r="B46" s="102">
        <f>F26</f>
        <v>10.35</v>
      </c>
      <c r="C46" s="102">
        <f>B48-B46</f>
        <v>0.25</v>
      </c>
      <c r="D46" s="102">
        <f>C46/2</f>
        <v>0.125</v>
      </c>
    </row>
    <row r="47" spans="1:4">
      <c r="A47" s="100">
        <v>255</v>
      </c>
      <c r="B47" s="104">
        <f>B46+D47</f>
        <v>10.459999999999999</v>
      </c>
      <c r="D47" s="6">
        <v>0.11</v>
      </c>
    </row>
    <row r="48" spans="1:4">
      <c r="A48" s="100">
        <v>260</v>
      </c>
      <c r="B48" s="102">
        <f>F27</f>
        <v>10.6</v>
      </c>
      <c r="C48" s="102">
        <f>B50-B48</f>
        <v>0.25</v>
      </c>
      <c r="D48" s="102">
        <f>C48/2</f>
        <v>0.125</v>
      </c>
    </row>
    <row r="49" spans="1:6">
      <c r="A49" s="100">
        <v>265</v>
      </c>
      <c r="B49" s="104">
        <f>B48+D49</f>
        <v>10.709999999999999</v>
      </c>
      <c r="D49" s="6">
        <v>0.11</v>
      </c>
    </row>
    <row r="50" spans="1:6">
      <c r="A50" s="100">
        <v>270</v>
      </c>
      <c r="B50" s="102">
        <f>F28</f>
        <v>10.85</v>
      </c>
      <c r="C50" s="102">
        <f>B56-B50</f>
        <v>0.25</v>
      </c>
      <c r="D50" s="105">
        <f>C50/6</f>
        <v>4.1666666666666664E-2</v>
      </c>
    </row>
    <row r="51" spans="1:6">
      <c r="A51" s="100">
        <v>275</v>
      </c>
      <c r="B51" s="104">
        <f>B50+D51</f>
        <v>10.92</v>
      </c>
      <c r="D51" s="6">
        <v>7.0000000000000007E-2</v>
      </c>
    </row>
    <row r="52" spans="1:6">
      <c r="A52" s="100">
        <v>280</v>
      </c>
      <c r="B52" s="104">
        <f>B51+D52</f>
        <v>10.97</v>
      </c>
      <c r="D52" s="6">
        <v>0.05</v>
      </c>
    </row>
    <row r="53" spans="1:6">
      <c r="A53" s="100">
        <v>285</v>
      </c>
      <c r="B53" s="104">
        <f>B52+D53</f>
        <v>11.01</v>
      </c>
      <c r="D53" s="6">
        <v>0.04</v>
      </c>
    </row>
    <row r="54" spans="1:6">
      <c r="A54" s="100">
        <v>290</v>
      </c>
      <c r="B54" s="104">
        <f>B53+D54</f>
        <v>11.04</v>
      </c>
      <c r="D54" s="6">
        <v>0.03</v>
      </c>
    </row>
    <row r="55" spans="1:6">
      <c r="A55" s="100">
        <v>295</v>
      </c>
      <c r="B55" s="104">
        <f>B54+D55</f>
        <v>11.059999999999999</v>
      </c>
      <c r="D55" s="6">
        <v>0.02</v>
      </c>
    </row>
    <row r="56" spans="1:6">
      <c r="A56" s="100">
        <v>300</v>
      </c>
      <c r="B56" s="102">
        <f>F29</f>
        <v>11.1</v>
      </c>
      <c r="C56" s="102">
        <f>B60-B56</f>
        <v>0.25</v>
      </c>
      <c r="D56" s="102">
        <f>C56/4</f>
        <v>6.25E-2</v>
      </c>
    </row>
    <row r="57" spans="1:6">
      <c r="A57" s="100">
        <v>315</v>
      </c>
      <c r="B57" s="104">
        <f>B56+D57</f>
        <v>11.18</v>
      </c>
      <c r="D57" s="6">
        <v>0.08</v>
      </c>
    </row>
    <row r="58" spans="1:6">
      <c r="A58" s="100">
        <v>330</v>
      </c>
      <c r="B58" s="104">
        <f>B57+D58</f>
        <v>11.24</v>
      </c>
      <c r="D58" s="6">
        <v>0.06</v>
      </c>
    </row>
    <row r="59" spans="1:6">
      <c r="A59" s="100">
        <v>345</v>
      </c>
      <c r="B59" s="104">
        <f>B58+D59</f>
        <v>11.290000000000001</v>
      </c>
      <c r="D59" s="6">
        <v>0.05</v>
      </c>
    </row>
    <row r="60" spans="1:6">
      <c r="A60" s="101">
        <v>360</v>
      </c>
      <c r="B60" s="102">
        <f>F30</f>
        <v>11.35</v>
      </c>
      <c r="C60" s="102">
        <f>B66-B60</f>
        <v>1.6600000000000001</v>
      </c>
      <c r="D60" s="103">
        <f>C60/10</f>
        <v>0.16600000000000001</v>
      </c>
    </row>
    <row r="61" spans="1:6">
      <c r="A61" s="100">
        <v>361</v>
      </c>
      <c r="B61" s="104">
        <f>B60+D61</f>
        <v>11.54</v>
      </c>
      <c r="D61" s="6">
        <v>0.19</v>
      </c>
    </row>
    <row r="62" spans="1:6">
      <c r="A62" s="100">
        <v>362</v>
      </c>
      <c r="B62" s="104">
        <f>B61+D62</f>
        <v>11.709999999999999</v>
      </c>
      <c r="D62" s="6">
        <v>0.17</v>
      </c>
    </row>
    <row r="63" spans="1:6">
      <c r="A63" s="100">
        <v>363</v>
      </c>
      <c r="B63" s="104">
        <f>B62+D63</f>
        <v>11.87</v>
      </c>
      <c r="D63" s="6">
        <v>0.16</v>
      </c>
      <c r="E63" s="6">
        <v>370</v>
      </c>
      <c r="F63" s="6">
        <f>StepTest!G42</f>
        <v>13.01</v>
      </c>
    </row>
    <row r="64" spans="1:6">
      <c r="A64" s="100">
        <v>364</v>
      </c>
      <c r="B64" s="104">
        <f>B63+D64</f>
        <v>12.02</v>
      </c>
      <c r="D64" s="6">
        <v>0.15</v>
      </c>
      <c r="E64" s="6">
        <v>380</v>
      </c>
      <c r="F64" s="6">
        <f>StepTest!G43</f>
        <v>13.29</v>
      </c>
    </row>
    <row r="65" spans="1:6">
      <c r="A65" s="100">
        <v>365</v>
      </c>
      <c r="B65" s="104">
        <f>B64+D65</f>
        <v>12.16</v>
      </c>
      <c r="D65" s="6">
        <v>0.14000000000000001</v>
      </c>
      <c r="E65" s="6">
        <v>390</v>
      </c>
      <c r="F65" s="6">
        <f>StepTest!G44</f>
        <v>13.57</v>
      </c>
    </row>
    <row r="66" spans="1:6">
      <c r="A66" s="100">
        <v>370</v>
      </c>
      <c r="B66" s="102">
        <f>F63</f>
        <v>13.01</v>
      </c>
      <c r="C66" s="106">
        <f>B68-B66</f>
        <v>0.27999999999999936</v>
      </c>
      <c r="D66" s="102">
        <f>C66/2</f>
        <v>0.13999999999999968</v>
      </c>
      <c r="E66" s="6">
        <v>420</v>
      </c>
      <c r="F66" s="6">
        <f>StepTest!G45</f>
        <v>13.85</v>
      </c>
    </row>
    <row r="67" spans="1:6">
      <c r="A67" s="100">
        <v>375</v>
      </c>
      <c r="B67" s="104">
        <f>B66+D67</f>
        <v>13.129999999999999</v>
      </c>
      <c r="D67" s="6">
        <v>0.12</v>
      </c>
      <c r="E67" s="6">
        <v>480</v>
      </c>
      <c r="F67" s="6">
        <f>StepTest!G46</f>
        <v>14.13</v>
      </c>
    </row>
    <row r="68" spans="1:6">
      <c r="A68" s="100">
        <v>380</v>
      </c>
      <c r="B68" s="107">
        <f>F64</f>
        <v>13.29</v>
      </c>
      <c r="C68" s="102">
        <f>B70-B68</f>
        <v>0.28000000000000114</v>
      </c>
      <c r="D68" s="102">
        <f>C68/2</f>
        <v>0.14000000000000057</v>
      </c>
      <c r="E68" s="6">
        <v>490</v>
      </c>
      <c r="F68" s="6">
        <f>StepTest!G47</f>
        <v>15.82</v>
      </c>
    </row>
    <row r="69" spans="1:6">
      <c r="A69" s="100">
        <v>385</v>
      </c>
      <c r="B69" s="104">
        <f>B68+D69</f>
        <v>13.409999999999998</v>
      </c>
      <c r="D69" s="6">
        <v>0.12</v>
      </c>
      <c r="E69" s="6">
        <v>500</v>
      </c>
      <c r="F69" s="6">
        <f>StepTest!G48</f>
        <v>16.45</v>
      </c>
    </row>
    <row r="70" spans="1:6">
      <c r="A70" s="100">
        <v>390</v>
      </c>
      <c r="B70" s="107">
        <f>F65</f>
        <v>13.57</v>
      </c>
      <c r="C70" s="102">
        <f>B76-B70</f>
        <v>0.27999999999999936</v>
      </c>
      <c r="D70" s="105">
        <f>C70/6</f>
        <v>4.6666666666666558E-2</v>
      </c>
      <c r="E70" s="6">
        <v>510</v>
      </c>
      <c r="F70" s="6">
        <f>StepTest!G49</f>
        <v>17.09</v>
      </c>
    </row>
    <row r="71" spans="1:6">
      <c r="A71" s="100">
        <v>395</v>
      </c>
      <c r="B71" s="104">
        <f>B70+D71</f>
        <v>13.64</v>
      </c>
      <c r="D71" s="6">
        <v>7.0000000000000007E-2</v>
      </c>
      <c r="E71" s="6">
        <v>540</v>
      </c>
      <c r="F71" s="6">
        <f>StepTest!G50</f>
        <v>17.72</v>
      </c>
    </row>
    <row r="72" spans="1:6">
      <c r="A72" s="100">
        <v>400</v>
      </c>
      <c r="B72" s="104">
        <f>B71+D72</f>
        <v>13.690000000000001</v>
      </c>
      <c r="D72" s="6">
        <v>0.05</v>
      </c>
      <c r="E72" s="6">
        <v>600</v>
      </c>
      <c r="F72" s="6">
        <f>StepTest!G51</f>
        <v>18.36</v>
      </c>
    </row>
    <row r="73" spans="1:6">
      <c r="A73" s="100">
        <v>405</v>
      </c>
      <c r="B73" s="104">
        <f>B72+D73</f>
        <v>13.73</v>
      </c>
      <c r="D73" s="6">
        <v>0.04</v>
      </c>
    </row>
    <row r="74" spans="1:6">
      <c r="A74" s="100">
        <v>410</v>
      </c>
      <c r="B74" s="104">
        <f>B73+D74</f>
        <v>13.76</v>
      </c>
      <c r="D74" s="6">
        <v>0.03</v>
      </c>
    </row>
    <row r="75" spans="1:6">
      <c r="A75" s="100">
        <v>415</v>
      </c>
      <c r="B75" s="104">
        <f>B74+D75</f>
        <v>13.79</v>
      </c>
      <c r="D75" s="6">
        <v>0.03</v>
      </c>
    </row>
    <row r="76" spans="1:6">
      <c r="A76" s="100">
        <v>420</v>
      </c>
      <c r="B76" s="107">
        <f>F66</f>
        <v>13.85</v>
      </c>
      <c r="C76" s="102">
        <f>B80-B76</f>
        <v>0.28000000000000114</v>
      </c>
      <c r="D76" s="102">
        <f>C76/4</f>
        <v>7.0000000000000284E-2</v>
      </c>
    </row>
    <row r="77" spans="1:6">
      <c r="A77" s="100">
        <v>435</v>
      </c>
      <c r="B77" s="104">
        <f>B76+D77</f>
        <v>13.94</v>
      </c>
      <c r="D77" s="6">
        <v>0.09</v>
      </c>
    </row>
    <row r="78" spans="1:6">
      <c r="A78" s="100">
        <v>450</v>
      </c>
      <c r="B78" s="104">
        <f>B77+D78</f>
        <v>14.01</v>
      </c>
      <c r="D78" s="6">
        <v>7.0000000000000007E-2</v>
      </c>
    </row>
    <row r="79" spans="1:6">
      <c r="A79" s="100">
        <v>465</v>
      </c>
      <c r="B79" s="104">
        <f>B78+D79</f>
        <v>14.06</v>
      </c>
      <c r="D79" s="6">
        <v>0.05</v>
      </c>
    </row>
    <row r="80" spans="1:6">
      <c r="A80" s="101">
        <v>480</v>
      </c>
      <c r="B80" s="107">
        <f>F67</f>
        <v>14.13</v>
      </c>
      <c r="C80" s="102">
        <f>B86-B80</f>
        <v>1.6899999999999995</v>
      </c>
      <c r="D80" s="103">
        <f>C80/10</f>
        <v>0.16899999999999996</v>
      </c>
    </row>
    <row r="81" spans="1:4">
      <c r="A81" s="100">
        <v>481</v>
      </c>
      <c r="B81" s="104">
        <f>B80+D81</f>
        <v>14.340000000000002</v>
      </c>
      <c r="D81" s="6">
        <v>0.21</v>
      </c>
    </row>
    <row r="82" spans="1:4">
      <c r="A82" s="100">
        <v>482</v>
      </c>
      <c r="B82" s="104">
        <f>B81+D82</f>
        <v>14.530000000000001</v>
      </c>
      <c r="D82" s="6">
        <v>0.19</v>
      </c>
    </row>
    <row r="83" spans="1:4">
      <c r="A83" s="100">
        <v>483</v>
      </c>
      <c r="B83" s="104">
        <f>B82+D83</f>
        <v>14.700000000000001</v>
      </c>
      <c r="D83" s="6">
        <v>0.17</v>
      </c>
    </row>
    <row r="84" spans="1:4">
      <c r="A84" s="100">
        <v>484</v>
      </c>
      <c r="B84" s="104">
        <f>B83+D84</f>
        <v>14.860000000000001</v>
      </c>
      <c r="D84" s="6">
        <v>0.16</v>
      </c>
    </row>
    <row r="85" spans="1:4">
      <c r="A85" s="100">
        <v>485</v>
      </c>
      <c r="B85" s="104">
        <f>B84+D85</f>
        <v>15.000000000000002</v>
      </c>
      <c r="D85" s="6">
        <v>0.14000000000000001</v>
      </c>
    </row>
    <row r="86" spans="1:4">
      <c r="A86" s="100">
        <v>490</v>
      </c>
      <c r="B86" s="107">
        <f>F68</f>
        <v>15.82</v>
      </c>
      <c r="C86" s="102">
        <f>B88-B86</f>
        <v>0.62999999999999901</v>
      </c>
      <c r="D86" s="102">
        <f>C86/2</f>
        <v>0.3149999999999995</v>
      </c>
    </row>
    <row r="87" spans="1:4">
      <c r="A87" s="100">
        <v>495</v>
      </c>
      <c r="B87" s="104">
        <f>B86+D87</f>
        <v>16.13</v>
      </c>
      <c r="D87" s="6">
        <v>0.31</v>
      </c>
    </row>
    <row r="88" spans="1:4">
      <c r="A88" s="100">
        <v>500</v>
      </c>
      <c r="B88" s="107">
        <f>F69</f>
        <v>16.45</v>
      </c>
      <c r="C88" s="102">
        <f>B90-B88</f>
        <v>0.64000000000000057</v>
      </c>
      <c r="D88" s="102">
        <f>C88/2</f>
        <v>0.32000000000000028</v>
      </c>
    </row>
    <row r="89" spans="1:4">
      <c r="A89" s="100">
        <v>505</v>
      </c>
      <c r="B89" s="104">
        <f>B88+D89</f>
        <v>16.75</v>
      </c>
      <c r="D89" s="6">
        <v>0.3</v>
      </c>
    </row>
    <row r="90" spans="1:4">
      <c r="A90" s="100">
        <v>510</v>
      </c>
      <c r="B90" s="107">
        <f>F70</f>
        <v>17.09</v>
      </c>
      <c r="C90" s="102">
        <f>B96-B90</f>
        <v>0.62999999999999901</v>
      </c>
      <c r="D90" s="105">
        <f>C90/6</f>
        <v>0.10499999999999983</v>
      </c>
    </row>
    <row r="91" spans="1:4">
      <c r="A91" s="100">
        <v>515</v>
      </c>
      <c r="B91" s="104">
        <f>B90+D91</f>
        <v>17.239999999999998</v>
      </c>
      <c r="D91" s="6">
        <v>0.15</v>
      </c>
    </row>
    <row r="92" spans="1:4">
      <c r="A92" s="100">
        <v>520</v>
      </c>
      <c r="B92" s="104">
        <f>B91+D92</f>
        <v>17.369999999999997</v>
      </c>
      <c r="D92" s="6">
        <v>0.13</v>
      </c>
    </row>
    <row r="93" spans="1:4">
      <c r="A93" s="100">
        <v>525</v>
      </c>
      <c r="B93" s="104">
        <f>B92+D93</f>
        <v>17.479999999999997</v>
      </c>
      <c r="D93" s="6">
        <v>0.11</v>
      </c>
    </row>
    <row r="94" spans="1:4">
      <c r="A94" s="100">
        <v>530</v>
      </c>
      <c r="B94" s="104">
        <f>B93+D94</f>
        <v>17.559999999999995</v>
      </c>
      <c r="D94" s="6">
        <v>0.08</v>
      </c>
    </row>
    <row r="95" spans="1:4">
      <c r="A95" s="100">
        <v>535</v>
      </c>
      <c r="B95" s="104">
        <f>B94+D95</f>
        <v>17.629999999999995</v>
      </c>
      <c r="D95" s="6">
        <v>7.0000000000000007E-2</v>
      </c>
    </row>
    <row r="96" spans="1:4">
      <c r="A96" s="100">
        <v>540</v>
      </c>
      <c r="B96" s="107">
        <f>F71</f>
        <v>17.72</v>
      </c>
      <c r="C96" s="102">
        <f>B100-B96</f>
        <v>0.64000000000000057</v>
      </c>
      <c r="D96" s="102">
        <f>C96/4</f>
        <v>0.16000000000000014</v>
      </c>
    </row>
    <row r="97" spans="1:4">
      <c r="A97" s="100">
        <v>555</v>
      </c>
      <c r="B97" s="104">
        <f>B96+D97</f>
        <v>17.91</v>
      </c>
      <c r="D97" s="6">
        <v>0.19</v>
      </c>
    </row>
    <row r="98" spans="1:4">
      <c r="A98" s="100">
        <v>570</v>
      </c>
      <c r="B98" s="104">
        <f>B97+D98</f>
        <v>18.07</v>
      </c>
      <c r="D98" s="6">
        <v>0.16</v>
      </c>
    </row>
    <row r="99" spans="1:4">
      <c r="A99" s="100">
        <v>585</v>
      </c>
      <c r="B99" s="104">
        <f>B98+D99</f>
        <v>18.21</v>
      </c>
      <c r="D99" s="6">
        <v>0.14000000000000001</v>
      </c>
    </row>
    <row r="100" spans="1:4">
      <c r="A100" s="101">
        <v>600</v>
      </c>
      <c r="B100" s="65">
        <f>F72</f>
        <v>18.36</v>
      </c>
    </row>
  </sheetData>
  <phoneticPr fontId="4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F0601-9A1F-4C59-B811-0DB4AF0AE753}">
  <sheetPr codeName="shInput">
    <tabColor rgb="FF002060"/>
  </sheetPr>
  <dimension ref="A1:X80"/>
  <sheetViews>
    <sheetView topLeftCell="A41" zoomScaleNormal="100" workbookViewId="0">
      <selection activeCell="Q64" sqref="Q64"/>
    </sheetView>
  </sheetViews>
  <sheetFormatPr defaultColWidth="9" defaultRowHeight="13.5"/>
  <cols>
    <col min="1" max="1" width="13.875" style="1" customWidth="1"/>
    <col min="2" max="2" width="10.125" style="1" customWidth="1"/>
    <col min="3" max="3" width="12.25" style="1" bestFit="1" customWidth="1"/>
    <col min="4" max="4" width="8.375" style="1" customWidth="1"/>
    <col min="5" max="5" width="7.125" style="1" customWidth="1"/>
    <col min="6" max="6" width="6" style="1" bestFit="1" customWidth="1"/>
    <col min="7" max="7" width="9.75" style="1" bestFit="1" customWidth="1"/>
    <col min="8" max="8" width="10.375" style="2" customWidth="1"/>
    <col min="9" max="9" width="11.625" style="2" bestFit="1" customWidth="1"/>
    <col min="10" max="10" width="9" style="2"/>
    <col min="11" max="11" width="11.875" style="2" customWidth="1"/>
    <col min="12" max="12" width="10.375" style="2" customWidth="1"/>
    <col min="13" max="14" width="9" style="2"/>
    <col min="15" max="15" width="13.375" style="2" customWidth="1"/>
    <col min="16" max="16" width="9" style="2" customWidth="1"/>
    <col min="17" max="17" width="11.375" style="2" bestFit="1" customWidth="1"/>
    <col min="18" max="18" width="10.875" style="2" customWidth="1"/>
    <col min="19" max="19" width="12.75" style="2" customWidth="1"/>
    <col min="20" max="21" width="10.375" style="2" bestFit="1" customWidth="1"/>
    <col min="22" max="24" width="9.75" style="2" customWidth="1"/>
    <col min="25" max="16384" width="9" style="2"/>
  </cols>
  <sheetData>
    <row r="1" spans="1:17" s="167" customFormat="1">
      <c r="A1" s="4"/>
      <c r="B1" s="4"/>
      <c r="C1" s="4"/>
      <c r="D1" s="4"/>
      <c r="E1" s="3">
        <f>SUM(E3:E6)</f>
        <v>44.35</v>
      </c>
      <c r="F1" s="3"/>
      <c r="G1" s="3">
        <f>E1/E2</f>
        <v>0.88700000000000001</v>
      </c>
    </row>
    <row r="2" spans="1:17" s="167" customFormat="1">
      <c r="A2" s="234" t="s">
        <v>0</v>
      </c>
      <c r="B2" s="234" t="s">
        <v>238</v>
      </c>
      <c r="C2" s="4"/>
      <c r="D2" s="171">
        <f>D19</f>
        <v>84</v>
      </c>
      <c r="E2" s="3">
        <f>M51/3</f>
        <v>50</v>
      </c>
      <c r="F2" s="235" t="s">
        <v>2</v>
      </c>
      <c r="G2" s="3" t="s">
        <v>3</v>
      </c>
    </row>
    <row r="3" spans="1:17" s="167" customFormat="1">
      <c r="A3" s="172">
        <f>B3+$M$48</f>
        <v>16.09</v>
      </c>
      <c r="B3" s="255">
        <f>B20</f>
        <v>6.64</v>
      </c>
      <c r="C3" s="173"/>
      <c r="D3" s="256">
        <f t="shared" ref="D3:D7" si="0">D20</f>
        <v>94</v>
      </c>
      <c r="E3" s="4">
        <f>D3/12</f>
        <v>7.833333333333333</v>
      </c>
      <c r="F3" s="174">
        <f>B3/D3</f>
        <v>7.0638297872340425E-2</v>
      </c>
      <c r="G3" s="174">
        <f>1/F3</f>
        <v>14.156626506024097</v>
      </c>
    </row>
    <row r="4" spans="1:17" s="167" customFormat="1">
      <c r="A4" s="172">
        <f>B4+$M$48</f>
        <v>18.309999999999999</v>
      </c>
      <c r="B4" s="173">
        <f>B21</f>
        <v>8.86</v>
      </c>
      <c r="C4" s="173"/>
      <c r="D4" s="171">
        <f t="shared" si="0"/>
        <v>120</v>
      </c>
      <c r="E4" s="4">
        <f>D4/12</f>
        <v>10</v>
      </c>
      <c r="F4" s="174">
        <f t="shared" ref="F4:F7" si="1">B4/D4</f>
        <v>7.3833333333333334E-2</v>
      </c>
      <c r="G4" s="174">
        <f t="shared" ref="G4:G7" si="2">1/F4</f>
        <v>13.544018058690744</v>
      </c>
    </row>
    <row r="5" spans="1:17" s="167" customFormat="1">
      <c r="A5" s="172">
        <f>B5+$M$48</f>
        <v>20.799999999999997</v>
      </c>
      <c r="B5" s="173">
        <f>B22</f>
        <v>11.35</v>
      </c>
      <c r="C5" s="173"/>
      <c r="D5" s="171">
        <f t="shared" si="0"/>
        <v>146.19999999999999</v>
      </c>
      <c r="E5" s="4">
        <f>D5/12</f>
        <v>12.183333333333332</v>
      </c>
      <c r="F5" s="174">
        <f t="shared" si="1"/>
        <v>7.7633378932968539E-2</v>
      </c>
      <c r="G5" s="174">
        <f t="shared" si="2"/>
        <v>12.881057268722467</v>
      </c>
    </row>
    <row r="6" spans="1:17" s="167" customFormat="1">
      <c r="A6" s="172">
        <f>B6+$M$48</f>
        <v>23.58</v>
      </c>
      <c r="B6" s="255">
        <f>B23</f>
        <v>14.13</v>
      </c>
      <c r="C6" s="173"/>
      <c r="D6" s="171">
        <f>D23</f>
        <v>172</v>
      </c>
      <c r="E6" s="4">
        <f>D6/12</f>
        <v>14.333333333333334</v>
      </c>
      <c r="F6" s="174">
        <f t="shared" si="1"/>
        <v>8.2151162790697674E-2</v>
      </c>
      <c r="G6" s="174">
        <f t="shared" si="2"/>
        <v>12.172682236376504</v>
      </c>
    </row>
    <row r="7" spans="1:17" s="167" customFormat="1">
      <c r="A7" s="172">
        <f>B7+$M$48</f>
        <v>27.81</v>
      </c>
      <c r="B7" s="173">
        <f>B24</f>
        <v>18.36</v>
      </c>
      <c r="C7" s="173"/>
      <c r="D7" s="171">
        <f t="shared" si="0"/>
        <v>197.79999999999998</v>
      </c>
      <c r="E7" s="4">
        <f>D7/12</f>
        <v>16.483333333333331</v>
      </c>
      <c r="F7" s="174">
        <f t="shared" si="1"/>
        <v>9.282103134479272E-2</v>
      </c>
      <c r="G7" s="174">
        <f t="shared" si="2"/>
        <v>10.773420479302832</v>
      </c>
    </row>
    <row r="8" spans="1:17" s="167" customFormat="1">
      <c r="A8" s="4"/>
      <c r="B8" s="4" t="s">
        <v>4</v>
      </c>
      <c r="C8" s="4"/>
      <c r="D8" s="4"/>
      <c r="E8" s="473" t="s">
        <v>5</v>
      </c>
      <c r="F8" s="473"/>
      <c r="G8" s="473"/>
    </row>
    <row r="9" spans="1:17" s="167" customFormat="1">
      <c r="A9" s="4" t="s">
        <v>6</v>
      </c>
      <c r="B9" s="4" t="s">
        <v>2</v>
      </c>
      <c r="C9" s="4"/>
      <c r="D9" s="4"/>
      <c r="E9" s="233">
        <v>0.98</v>
      </c>
      <c r="F9" s="472" t="s">
        <v>7</v>
      </c>
      <c r="G9" s="472"/>
    </row>
    <row r="10" spans="1:17" s="167" customFormat="1">
      <c r="A10" s="176">
        <f>D20/B20</f>
        <v>14.156626506024097</v>
      </c>
      <c r="B10" s="176">
        <f>B20/D20</f>
        <v>7.0638297872340425E-2</v>
      </c>
      <c r="C10" s="4"/>
      <c r="D10" s="4"/>
      <c r="E10" s="233">
        <v>0.98</v>
      </c>
      <c r="F10" s="472" t="s">
        <v>8</v>
      </c>
      <c r="G10" s="472"/>
    </row>
    <row r="11" spans="1:17" s="167" customFormat="1">
      <c r="A11" s="176">
        <f t="shared" ref="A11:A14" si="3">D21/B21</f>
        <v>13.544018058690746</v>
      </c>
      <c r="B11" s="176">
        <f t="shared" ref="B11:B14" si="4">B21/D21</f>
        <v>7.3833333333333334E-2</v>
      </c>
      <c r="C11" s="4"/>
      <c r="D11" s="4" t="s">
        <v>4</v>
      </c>
      <c r="E11" s="233">
        <v>0.98</v>
      </c>
      <c r="F11" s="472" t="s">
        <v>9</v>
      </c>
      <c r="G11" s="472"/>
    </row>
    <row r="12" spans="1:17" s="167" customFormat="1">
      <c r="A12" s="176">
        <f t="shared" si="3"/>
        <v>12.881057268722467</v>
      </c>
      <c r="B12" s="176">
        <f t="shared" si="4"/>
        <v>7.7633378932968539E-2</v>
      </c>
      <c r="C12" s="4"/>
      <c r="D12" s="4"/>
      <c r="E12" s="233">
        <v>1</v>
      </c>
      <c r="F12" s="472" t="s">
        <v>10</v>
      </c>
      <c r="G12" s="472"/>
    </row>
    <row r="13" spans="1:17" s="167" customFormat="1">
      <c r="A13" s="176">
        <f t="shared" si="3"/>
        <v>12.172682236376502</v>
      </c>
      <c r="B13" s="176">
        <f t="shared" si="4"/>
        <v>8.2151162790697674E-2</v>
      </c>
      <c r="C13" s="4"/>
      <c r="D13" s="4" t="s">
        <v>4</v>
      </c>
      <c r="E13" s="473" t="s">
        <v>11</v>
      </c>
      <c r="F13" s="473"/>
      <c r="G13" s="473"/>
    </row>
    <row r="14" spans="1:17" s="167" customFormat="1">
      <c r="A14" s="176">
        <f t="shared" si="3"/>
        <v>10.773420479302832</v>
      </c>
      <c r="B14" s="176">
        <f t="shared" si="4"/>
        <v>9.282103134479272E-2</v>
      </c>
      <c r="C14" s="4"/>
      <c r="D14" s="4"/>
      <c r="E14" s="233">
        <v>1</v>
      </c>
      <c r="F14" s="472" t="s">
        <v>7</v>
      </c>
      <c r="G14" s="472"/>
    </row>
    <row r="15" spans="1:17" s="167" customFormat="1">
      <c r="A15" s="4"/>
      <c r="B15" s="4"/>
      <c r="C15" s="4"/>
      <c r="D15" s="4"/>
      <c r="E15" s="233">
        <v>1</v>
      </c>
      <c r="F15" s="472" t="s">
        <v>8</v>
      </c>
      <c r="G15" s="472"/>
    </row>
    <row r="16" spans="1:17" s="167" customFormat="1">
      <c r="A16" s="4"/>
      <c r="B16" s="166" t="s">
        <v>12</v>
      </c>
      <c r="C16" s="4"/>
      <c r="D16" s="166" t="s">
        <v>13</v>
      </c>
      <c r="E16" s="233">
        <v>1</v>
      </c>
      <c r="F16" s="472" t="s">
        <v>9</v>
      </c>
      <c r="G16" s="472"/>
      <c r="Q16" s="223">
        <v>45024</v>
      </c>
    </row>
    <row r="17" spans="1:21" s="167" customFormat="1">
      <c r="A17" s="4"/>
      <c r="B17" s="175">
        <f>M52</f>
        <v>14.13</v>
      </c>
      <c r="C17" s="4"/>
      <c r="D17" s="240">
        <f>M47</f>
        <v>172</v>
      </c>
      <c r="E17" s="233">
        <v>1</v>
      </c>
      <c r="F17" s="472" t="s">
        <v>10</v>
      </c>
      <c r="G17" s="472"/>
      <c r="P17" s="5"/>
      <c r="Q17" s="177"/>
      <c r="S17" s="178"/>
    </row>
    <row r="18" spans="1:21" s="167" customFormat="1">
      <c r="A18" s="4"/>
      <c r="B18" s="4"/>
      <c r="C18" s="4"/>
      <c r="D18" s="4"/>
      <c r="E18" s="4"/>
      <c r="F18" s="173"/>
      <c r="G18" s="173"/>
      <c r="P18" s="5"/>
    </row>
    <row r="19" spans="1:21" s="167" customFormat="1">
      <c r="A19" s="4"/>
      <c r="B19" s="173"/>
      <c r="C19" s="173"/>
      <c r="D19" s="179">
        <f>INT(D20*0.9)</f>
        <v>84</v>
      </c>
      <c r="E19" s="4"/>
      <c r="F19" s="173"/>
      <c r="G19" s="173"/>
    </row>
    <row r="20" spans="1:21" s="167" customFormat="1">
      <c r="A20" s="234" t="s">
        <v>244</v>
      </c>
      <c r="B20" s="180">
        <f>INT(B$17*C20*100)/100</f>
        <v>6.64</v>
      </c>
      <c r="C20" s="4">
        <f>0.48*E9</f>
        <v>0.47039999999999998</v>
      </c>
      <c r="D20" s="198">
        <f>INT(D$17*E20)</f>
        <v>94</v>
      </c>
      <c r="E20" s="241">
        <f>0.55*E14</f>
        <v>0.55000000000000004</v>
      </c>
      <c r="F20" s="174">
        <f>B20/D20</f>
        <v>7.0638297872340425E-2</v>
      </c>
      <c r="G20" s="4">
        <f>F20-F19</f>
        <v>7.0638297872340425E-2</v>
      </c>
    </row>
    <row r="21" spans="1:21" s="167" customFormat="1" ht="16.5">
      <c r="A21" s="173">
        <f>B21-B20</f>
        <v>2.2199999999999998</v>
      </c>
      <c r="B21" s="180">
        <f>INT(B$17*C21*100)/100</f>
        <v>8.86</v>
      </c>
      <c r="C21" s="4">
        <f>0.64*E10</f>
        <v>0.62719999999999998</v>
      </c>
      <c r="D21" s="198">
        <f>INT(D$17*E21)</f>
        <v>120</v>
      </c>
      <c r="E21" s="241">
        <f>0.7*E15</f>
        <v>0.7</v>
      </c>
      <c r="F21" s="174">
        <f>B21/D21</f>
        <v>7.3833333333333334E-2</v>
      </c>
      <c r="G21" s="4">
        <f>F21-F20</f>
        <v>3.1950354609929094E-3</v>
      </c>
      <c r="O21" s="181"/>
      <c r="P21" s="181"/>
      <c r="Q21" s="181"/>
      <c r="R21" s="181"/>
      <c r="S21" s="181"/>
      <c r="T21" s="181"/>
    </row>
    <row r="22" spans="1:21" s="167" customFormat="1">
      <c r="A22" s="173">
        <f>B22-B21</f>
        <v>2.4900000000000002</v>
      </c>
      <c r="B22" s="180">
        <f>INT(B$17*C22*100)/100</f>
        <v>11.35</v>
      </c>
      <c r="C22" s="4">
        <f>0.82*E11</f>
        <v>0.80359999999999998</v>
      </c>
      <c r="D22" s="199">
        <f>(D$17*E22)</f>
        <v>146.19999999999999</v>
      </c>
      <c r="E22" s="241">
        <f>0.85*E16</f>
        <v>0.85</v>
      </c>
      <c r="F22" s="174">
        <f>B22/D22</f>
        <v>7.7633378932968539E-2</v>
      </c>
      <c r="G22" s="4">
        <f>F22-F21</f>
        <v>3.8000455996352045E-3</v>
      </c>
    </row>
    <row r="23" spans="1:21" s="167" customFormat="1">
      <c r="A23" s="173">
        <f>B23-B22</f>
        <v>2.7800000000000011</v>
      </c>
      <c r="B23" s="180">
        <f>INT(B$17*C23*100)/100</f>
        <v>14.13</v>
      </c>
      <c r="C23" s="4">
        <v>1</v>
      </c>
      <c r="D23" s="198">
        <f>D$17*E23</f>
        <v>172</v>
      </c>
      <c r="E23" s="239">
        <v>1</v>
      </c>
      <c r="F23" s="174">
        <f>B23/D23</f>
        <v>8.2151162790697674E-2</v>
      </c>
      <c r="G23" s="4">
        <f>F23-F22</f>
        <v>4.5177838577291352E-3</v>
      </c>
      <c r="O23" s="182"/>
      <c r="Q23" s="182"/>
      <c r="S23" s="182"/>
      <c r="U23" s="182"/>
    </row>
    <row r="24" spans="1:21" s="167" customFormat="1">
      <c r="A24" s="173">
        <f>B24-B23</f>
        <v>4.2299999999999986</v>
      </c>
      <c r="B24" s="180">
        <f>INT(B$17*C24*100)/100</f>
        <v>18.36</v>
      </c>
      <c r="C24" s="4">
        <f>1.3*E12</f>
        <v>1.3</v>
      </c>
      <c r="D24" s="198">
        <f>D$17*E24</f>
        <v>197.79999999999998</v>
      </c>
      <c r="E24" s="239">
        <v>1.1499999999999999</v>
      </c>
      <c r="F24" s="174"/>
      <c r="G24" s="173"/>
      <c r="O24" s="182"/>
      <c r="Q24" s="182"/>
      <c r="S24" s="182"/>
      <c r="U24" s="182"/>
    </row>
    <row r="25" spans="1:21" s="167" customFormat="1">
      <c r="A25" s="4"/>
      <c r="B25" s="4"/>
      <c r="C25" s="4"/>
      <c r="D25" s="183"/>
      <c r="E25" s="4"/>
      <c r="F25" s="174">
        <f>B24/D24</f>
        <v>9.282103134479272E-2</v>
      </c>
      <c r="G25" s="173"/>
      <c r="O25" s="182"/>
      <c r="Q25" s="182"/>
      <c r="S25" s="182"/>
      <c r="U25" s="182"/>
    </row>
    <row r="26" spans="1:21" s="167" customFormat="1">
      <c r="A26" s="475" t="s">
        <v>14</v>
      </c>
      <c r="B26" s="475"/>
      <c r="C26" s="184">
        <f>INT(M51*1)</f>
        <v>150</v>
      </c>
      <c r="D26" s="4"/>
      <c r="E26" s="4"/>
      <c r="F26" s="185">
        <f>M50/M51</f>
        <v>0.10586666666666666</v>
      </c>
      <c r="G26" s="4"/>
      <c r="O26" s="182"/>
      <c r="Q26" s="182"/>
      <c r="S26" s="182"/>
      <c r="U26" s="182"/>
    </row>
    <row r="27" spans="1:21" s="167" customFormat="1">
      <c r="A27" s="475" t="s">
        <v>15</v>
      </c>
      <c r="B27" s="475"/>
      <c r="C27" s="186">
        <f>SafeYield!B7</f>
        <v>155.516775123532</v>
      </c>
      <c r="D27" s="173">
        <f>(C27/D6)*100</f>
        <v>90.416729722983717</v>
      </c>
      <c r="E27" s="4"/>
      <c r="F27" s="4"/>
      <c r="G27" s="4"/>
      <c r="O27" s="182"/>
      <c r="Q27" s="182"/>
      <c r="S27" s="182"/>
      <c r="U27" s="182"/>
    </row>
    <row r="28" spans="1:21" s="167" customFormat="1">
      <c r="A28" s="4"/>
      <c r="B28" s="4"/>
      <c r="C28" s="4"/>
      <c r="D28" s="4"/>
      <c r="E28" s="4"/>
      <c r="F28" s="4"/>
      <c r="G28" s="4"/>
      <c r="O28" s="182"/>
      <c r="Q28" s="182"/>
      <c r="S28" s="182"/>
      <c r="U28" s="182"/>
    </row>
    <row r="29" spans="1:21" s="167" customFormat="1" ht="13.5" customHeight="1">
      <c r="A29" s="4"/>
      <c r="B29" s="4"/>
      <c r="C29" s="4"/>
      <c r="D29" s="4"/>
      <c r="E29" s="4"/>
      <c r="F29" s="4"/>
      <c r="G29" s="4"/>
      <c r="O29" s="182"/>
      <c r="Q29" s="182"/>
      <c r="S29" s="182"/>
      <c r="U29" s="182"/>
    </row>
    <row r="30" spans="1:21" s="167" customFormat="1" ht="13.5" customHeight="1">
      <c r="A30" s="166" t="s">
        <v>16</v>
      </c>
      <c r="B30" s="166" t="s">
        <v>17</v>
      </c>
      <c r="C30" s="4"/>
      <c r="D30" s="4"/>
      <c r="E30" s="187">
        <f>ROUNDUP(F32,-1)</f>
        <v>90</v>
      </c>
      <c r="F30" s="187">
        <f>ROUNDDOWN(F35,-1)</f>
        <v>60</v>
      </c>
      <c r="G30" s="4"/>
      <c r="O30" s="182"/>
      <c r="Q30" s="182"/>
      <c r="S30" s="182"/>
      <c r="U30" s="182"/>
    </row>
    <row r="31" spans="1:21" s="167" customFormat="1" ht="13.5" customHeight="1">
      <c r="A31" s="233">
        <v>1.473E-4</v>
      </c>
      <c r="B31" s="233">
        <v>5.6462999999999999E-2</v>
      </c>
      <c r="C31" s="4"/>
      <c r="D31" s="171">
        <f t="shared" ref="D31:D36" si="5">D19</f>
        <v>84</v>
      </c>
      <c r="E31" s="4"/>
      <c r="F31" s="187"/>
      <c r="G31" s="187"/>
      <c r="O31" s="182"/>
      <c r="Q31" s="182"/>
      <c r="S31" s="182"/>
      <c r="U31" s="182"/>
    </row>
    <row r="32" spans="1:21" s="167" customFormat="1" ht="13.5" customHeight="1">
      <c r="A32" s="4">
        <f t="shared" ref="A32:B34" si="6">A31</f>
        <v>1.473E-4</v>
      </c>
      <c r="B32" s="4">
        <f t="shared" si="6"/>
        <v>5.6462999999999999E-2</v>
      </c>
      <c r="C32" s="4"/>
      <c r="D32" s="171">
        <f t="shared" si="5"/>
        <v>94</v>
      </c>
      <c r="E32" s="4"/>
      <c r="F32" s="187">
        <f>B32*D32/(B32*D32+A32*D32*D32)*100</f>
        <v>80.306702394565718</v>
      </c>
      <c r="G32" s="187"/>
      <c r="O32" s="182"/>
      <c r="Q32" s="182"/>
      <c r="S32" s="182"/>
      <c r="U32" s="182"/>
    </row>
    <row r="33" spans="1:21" s="167" customFormat="1" ht="13.5" customHeight="1">
      <c r="A33" s="4">
        <f t="shared" si="6"/>
        <v>1.473E-4</v>
      </c>
      <c r="B33" s="4">
        <f t="shared" si="6"/>
        <v>5.6462999999999999E-2</v>
      </c>
      <c r="C33" s="4"/>
      <c r="D33" s="171">
        <f t="shared" si="5"/>
        <v>120</v>
      </c>
      <c r="E33" s="4"/>
      <c r="F33" s="187">
        <f>B33*D33/(B33*D33+A33*D33*D33)*100</f>
        <v>76.158297252458212</v>
      </c>
      <c r="G33" s="187"/>
      <c r="N33" s="181"/>
      <c r="O33" s="188"/>
      <c r="P33" s="189"/>
      <c r="Q33" s="188"/>
      <c r="R33" s="189"/>
      <c r="S33" s="188"/>
      <c r="T33" s="189"/>
      <c r="U33" s="188"/>
    </row>
    <row r="34" spans="1:21" s="167" customFormat="1" ht="13.5" customHeight="1">
      <c r="A34" s="4">
        <f t="shared" si="6"/>
        <v>1.473E-4</v>
      </c>
      <c r="B34" s="4">
        <f t="shared" si="6"/>
        <v>5.6462999999999999E-2</v>
      </c>
      <c r="C34" s="4"/>
      <c r="D34" s="171">
        <f t="shared" si="5"/>
        <v>146.19999999999999</v>
      </c>
      <c r="E34" s="4"/>
      <c r="F34" s="187">
        <f>B34*D34/(B34*D34+A34*D34*D34)*100</f>
        <v>72.390076394011871</v>
      </c>
      <c r="G34" s="187"/>
      <c r="N34" s="181"/>
      <c r="O34" s="188"/>
      <c r="P34" s="190"/>
      <c r="Q34" s="188"/>
      <c r="R34" s="190"/>
      <c r="S34" s="188"/>
      <c r="T34" s="190"/>
      <c r="U34" s="188"/>
    </row>
    <row r="35" spans="1:21" s="167" customFormat="1" ht="13.5" customHeight="1">
      <c r="A35" s="4">
        <f>A34</f>
        <v>1.473E-4</v>
      </c>
      <c r="B35" s="4">
        <f>B34</f>
        <v>5.6462999999999999E-2</v>
      </c>
      <c r="C35" s="4"/>
      <c r="D35" s="171">
        <f t="shared" si="5"/>
        <v>172</v>
      </c>
      <c r="E35" s="4"/>
      <c r="F35" s="187">
        <f>B35*D35/(B35*D35+A35*D35*D35)*100</f>
        <v>69.02685376033331</v>
      </c>
      <c r="G35" s="187"/>
      <c r="N35" s="181"/>
    </row>
    <row r="36" spans="1:21" s="167" customFormat="1" ht="13.5" customHeight="1">
      <c r="A36" s="4"/>
      <c r="B36" s="4"/>
      <c r="C36" s="4"/>
      <c r="D36" s="171">
        <f t="shared" si="5"/>
        <v>197.79999999999998</v>
      </c>
      <c r="E36" s="4"/>
      <c r="F36" s="187"/>
      <c r="G36" s="187"/>
      <c r="N36" s="181"/>
    </row>
    <row r="37" spans="1:21" s="167" customFormat="1" ht="13.5" customHeight="1">
      <c r="A37" s="166" t="s">
        <v>18</v>
      </c>
      <c r="B37" s="166" t="s">
        <v>19</v>
      </c>
      <c r="C37" s="166" t="s">
        <v>20</v>
      </c>
      <c r="D37" s="4" t="s">
        <v>21</v>
      </c>
      <c r="E37" s="4" t="s">
        <v>21</v>
      </c>
      <c r="F37" s="187">
        <f>AVERAGE(F32:F35)</f>
        <v>74.470482450342288</v>
      </c>
      <c r="G37" s="4"/>
      <c r="P37" s="220">
        <v>1.473E-4</v>
      </c>
      <c r="Q37" s="220">
        <v>0.14499999999999999</v>
      </c>
    </row>
    <row r="38" spans="1:21" s="167" customFormat="1" ht="13.5" customHeight="1">
      <c r="A38" s="242">
        <v>71.951999999999998</v>
      </c>
      <c r="B38" s="233">
        <v>0.14499999999999999</v>
      </c>
      <c r="C38" s="233">
        <v>93.701999999999998</v>
      </c>
      <c r="D38" s="4"/>
      <c r="E38" s="4" t="s">
        <v>21</v>
      </c>
      <c r="F38" s="4"/>
      <c r="G38" s="4"/>
      <c r="P38" s="220">
        <v>5.6462999999999999E-2</v>
      </c>
      <c r="Q38" s="220">
        <v>93.701999999999998</v>
      </c>
    </row>
    <row r="39" spans="1:21" s="167" customFormat="1" ht="13.5" customHeight="1">
      <c r="A39" s="168"/>
      <c r="B39" s="4" t="s">
        <v>22</v>
      </c>
      <c r="C39" s="173">
        <f>(C38-A38)/B38</f>
        <v>150</v>
      </c>
      <c r="D39" s="4">
        <f>C38-B38*M51</f>
        <v>71.951999999999998</v>
      </c>
      <c r="E39" s="4"/>
      <c r="F39" s="4"/>
      <c r="G39" s="4"/>
    </row>
    <row r="40" spans="1:21" s="167" customFormat="1" ht="13.5" customHeight="1">
      <c r="A40" s="168" t="s">
        <v>23</v>
      </c>
      <c r="B40" s="4" t="s">
        <v>22</v>
      </c>
      <c r="C40" s="4">
        <f>INT(C39)</f>
        <v>150</v>
      </c>
      <c r="D40" s="4"/>
      <c r="E40" s="4"/>
      <c r="F40" s="4"/>
      <c r="G40" s="4"/>
    </row>
    <row r="41" spans="1:21" s="167" customFormat="1" ht="13.5" customHeight="1">
      <c r="A41" s="4"/>
      <c r="B41" s="4"/>
      <c r="C41" s="4"/>
      <c r="D41" s="4"/>
      <c r="E41" s="4"/>
      <c r="F41" s="4"/>
      <c r="G41" s="4"/>
    </row>
    <row r="42" spans="1:21" s="167" customFormat="1" ht="17.25" customHeight="1" thickBot="1">
      <c r="A42" s="236" t="s">
        <v>24</v>
      </c>
      <c r="B42" s="237"/>
      <c r="C42" s="4"/>
      <c r="D42" s="4"/>
      <c r="E42" s="4"/>
      <c r="F42" s="4"/>
      <c r="G42" s="4"/>
    </row>
    <row r="43" spans="1:21" s="167" customFormat="1" ht="21" customHeight="1">
      <c r="A43" s="236" t="s">
        <v>25</v>
      </c>
      <c r="B43" s="238">
        <f>INT(SQRT((2.25*A44*A47)/(A45*10^(5.46*A44*A46)))*1000)/1000</f>
        <v>0</v>
      </c>
      <c r="C43" s="4" t="s">
        <v>26</v>
      </c>
      <c r="D43" s="4"/>
      <c r="E43" s="4"/>
      <c r="F43" s="4"/>
      <c r="G43" s="4"/>
      <c r="Q43" s="247" t="s">
        <v>27</v>
      </c>
      <c r="R43" s="248" t="s">
        <v>0</v>
      </c>
      <c r="S43" s="248" t="s">
        <v>1</v>
      </c>
      <c r="T43" s="248" t="s">
        <v>3</v>
      </c>
      <c r="U43" s="249" t="s">
        <v>2</v>
      </c>
    </row>
    <row r="44" spans="1:21" s="167" customFormat="1" ht="16.5">
      <c r="A44" s="191">
        <f>B58</f>
        <v>40.21</v>
      </c>
      <c r="B44" s="364" t="s">
        <v>28</v>
      </c>
      <c r="C44" s="365"/>
      <c r="D44" s="365"/>
      <c r="E44" s="4"/>
      <c r="F44" s="4"/>
      <c r="G44" s="4"/>
      <c r="H44" s="224" t="s">
        <v>29</v>
      </c>
      <c r="I44" s="476" t="s">
        <v>339</v>
      </c>
      <c r="J44" s="477"/>
      <c r="K44" s="478"/>
      <c r="L44" s="224" t="s">
        <v>30</v>
      </c>
      <c r="M44" s="228">
        <v>200</v>
      </c>
      <c r="N44" s="224" t="s">
        <v>31</v>
      </c>
      <c r="Q44" s="369">
        <v>94</v>
      </c>
      <c r="R44" s="200">
        <v>16.09</v>
      </c>
      <c r="S44" s="200">
        <v>6.64</v>
      </c>
      <c r="T44" s="201">
        <v>14.157</v>
      </c>
      <c r="U44" s="250">
        <v>7.0638297872340425E-2</v>
      </c>
    </row>
    <row r="45" spans="1:21" s="167" customFormat="1" ht="16.5">
      <c r="A45" s="233">
        <v>5.0000000000000001E-4</v>
      </c>
      <c r="B45" s="364" t="s">
        <v>32</v>
      </c>
      <c r="C45" s="365"/>
      <c r="D45" s="365"/>
      <c r="E45" s="4"/>
      <c r="F45" s="4"/>
      <c r="G45" s="4"/>
      <c r="H45" s="224" t="s">
        <v>33</v>
      </c>
      <c r="I45" s="485" t="s">
        <v>340</v>
      </c>
      <c r="J45" s="486"/>
      <c r="K45" s="487"/>
      <c r="L45" s="224" t="s">
        <v>34</v>
      </c>
      <c r="M45" s="195">
        <v>100</v>
      </c>
      <c r="N45" s="229">
        <f>M44</f>
        <v>200</v>
      </c>
      <c r="Q45" s="369">
        <v>120</v>
      </c>
      <c r="R45" s="200">
        <v>18.309999999999999</v>
      </c>
      <c r="S45" s="200">
        <v>8.86</v>
      </c>
      <c r="T45" s="201">
        <v>13.544</v>
      </c>
      <c r="U45" s="250">
        <v>7.3833333333333334E-2</v>
      </c>
    </row>
    <row r="46" spans="1:21" s="167" customFormat="1" ht="16.5">
      <c r="A46" s="4">
        <f>B34</f>
        <v>5.6462999999999999E-2</v>
      </c>
      <c r="B46" s="364" t="s">
        <v>35</v>
      </c>
      <c r="C46" s="479" t="s">
        <v>36</v>
      </c>
      <c r="D46" s="479"/>
      <c r="E46" s="4"/>
      <c r="F46" s="4"/>
      <c r="G46" s="4"/>
      <c r="H46" s="224" t="s">
        <v>37</v>
      </c>
      <c r="I46" s="476" t="s">
        <v>338</v>
      </c>
      <c r="J46" s="477"/>
      <c r="K46" s="478"/>
      <c r="L46" s="224" t="s">
        <v>38</v>
      </c>
      <c r="M46" s="192">
        <f>IF(I52&gt;M48, M45-I52,M45-M48)</f>
        <v>83</v>
      </c>
      <c r="N46" s="11"/>
      <c r="Q46" s="369">
        <v>146</v>
      </c>
      <c r="R46" s="200">
        <v>20.799999999999997</v>
      </c>
      <c r="S46" s="200">
        <v>11.35</v>
      </c>
      <c r="T46" s="201">
        <v>12.881</v>
      </c>
      <c r="U46" s="250">
        <v>7.7633378932968539E-2</v>
      </c>
    </row>
    <row r="47" spans="1:21" s="167" customFormat="1" ht="16.5">
      <c r="A47" s="4">
        <f>120/1440</f>
        <v>8.3333333333333329E-2</v>
      </c>
      <c r="B47" s="364" t="s">
        <v>39</v>
      </c>
      <c r="C47" s="479" t="s">
        <v>40</v>
      </c>
      <c r="D47" s="479"/>
      <c r="E47" s="4"/>
      <c r="F47" s="4"/>
      <c r="G47" s="4"/>
      <c r="H47" s="224" t="s">
        <v>41</v>
      </c>
      <c r="I47" s="488" t="s">
        <v>341</v>
      </c>
      <c r="J47" s="489"/>
      <c r="K47" s="490"/>
      <c r="L47" s="224" t="s">
        <v>42</v>
      </c>
      <c r="M47" s="193">
        <f>INT((M51*100)/M53)</f>
        <v>172</v>
      </c>
      <c r="N47" s="11"/>
      <c r="Q47" s="369">
        <v>172</v>
      </c>
      <c r="R47" s="200">
        <v>23.58</v>
      </c>
      <c r="S47" s="200">
        <v>14.13</v>
      </c>
      <c r="T47" s="201">
        <v>12.173</v>
      </c>
      <c r="U47" s="250">
        <v>8.2151162790697674E-2</v>
      </c>
    </row>
    <row r="48" spans="1:21" s="167" customFormat="1" ht="17.25" thickBot="1">
      <c r="A48" s="4"/>
      <c r="B48" s="365"/>
      <c r="C48" s="365"/>
      <c r="D48" s="365"/>
      <c r="E48" s="4"/>
      <c r="F48" s="4"/>
      <c r="G48" s="4"/>
      <c r="H48" s="224" t="s">
        <v>43</v>
      </c>
      <c r="I48" s="246">
        <v>5</v>
      </c>
      <c r="J48" s="480" t="s">
        <v>293</v>
      </c>
      <c r="K48" s="480"/>
      <c r="L48" s="224" t="s">
        <v>44</v>
      </c>
      <c r="M48" s="195">
        <v>9.4499999999999993</v>
      </c>
      <c r="N48" s="11"/>
      <c r="Q48" s="370">
        <v>198</v>
      </c>
      <c r="R48" s="251">
        <v>27.81</v>
      </c>
      <c r="S48" s="251">
        <v>18.36</v>
      </c>
      <c r="T48" s="252">
        <v>10.773</v>
      </c>
      <c r="U48" s="253">
        <v>9.282103134479272E-2</v>
      </c>
    </row>
    <row r="49" spans="1:24" s="167" customFormat="1" ht="16.5">
      <c r="A49" s="4" t="s">
        <v>45</v>
      </c>
      <c r="B49" s="366">
        <f>INT(SQRT(B54)*1000)/1000</f>
        <v>0</v>
      </c>
      <c r="C49" s="364" t="s">
        <v>46</v>
      </c>
      <c r="D49" s="367" t="s">
        <v>21</v>
      </c>
      <c r="E49" s="4"/>
      <c r="F49" s="4"/>
      <c r="G49" s="4"/>
      <c r="H49" s="224" t="s">
        <v>47</v>
      </c>
      <c r="I49" s="481" t="str">
        <f>I45</f>
        <v>순성중명아파트</v>
      </c>
      <c r="J49" s="481"/>
      <c r="K49" s="481"/>
      <c r="L49" s="224" t="s">
        <v>48</v>
      </c>
      <c r="M49" s="195">
        <v>25.33</v>
      </c>
      <c r="N49" s="11"/>
    </row>
    <row r="50" spans="1:24" s="167" customFormat="1" ht="16.5">
      <c r="A50" s="4" t="s">
        <v>49</v>
      </c>
      <c r="B50" s="364">
        <f>INT(2.25*A44*A47*1000)/1000</f>
        <v>7.5389999999999997</v>
      </c>
      <c r="C50" s="364">
        <f>B50</f>
        <v>7.5389999999999997</v>
      </c>
      <c r="D50" s="365"/>
      <c r="E50" s="4"/>
      <c r="F50" s="4"/>
      <c r="G50" s="4"/>
      <c r="H50" s="224" t="s">
        <v>317</v>
      </c>
      <c r="I50" s="246">
        <v>50</v>
      </c>
      <c r="J50" s="491"/>
      <c r="K50" s="492"/>
      <c r="L50" s="224" t="s">
        <v>50</v>
      </c>
      <c r="M50" s="194">
        <f>M49-M48</f>
        <v>15.879999999999999</v>
      </c>
      <c r="N50" s="11"/>
    </row>
    <row r="51" spans="1:24" s="167" customFormat="1" ht="16.5">
      <c r="A51" s="4" t="s">
        <v>51</v>
      </c>
      <c r="B51" s="364">
        <f>A45</f>
        <v>5.0000000000000001E-4</v>
      </c>
      <c r="C51" s="364" t="s">
        <v>35</v>
      </c>
      <c r="D51" s="368" t="s">
        <v>21</v>
      </c>
      <c r="E51" s="4"/>
      <c r="F51" s="4"/>
      <c r="G51" s="4"/>
      <c r="H51" s="224"/>
      <c r="I51" s="482"/>
      <c r="J51" s="483"/>
      <c r="K51" s="484"/>
      <c r="L51" s="169" t="s">
        <v>52</v>
      </c>
      <c r="M51" s="195">
        <v>150</v>
      </c>
      <c r="N51" s="11"/>
      <c r="O51" s="167">
        <f>M51</f>
        <v>150</v>
      </c>
      <c r="P51" s="165">
        <f>ROUND((O51/O52)*100,1)</f>
        <v>172.4</v>
      </c>
    </row>
    <row r="52" spans="1:24" s="167" customFormat="1" ht="16.5">
      <c r="A52" s="168" t="s">
        <v>53</v>
      </c>
      <c r="B52" s="364">
        <f>INT(10^((INT(5.46*A44*A46*1000))/1000)*1000)/1000</f>
        <v>2488857318282.3979</v>
      </c>
      <c r="C52" s="364">
        <f>INT(B52*B51*1000)/1000</f>
        <v>1244428659.141</v>
      </c>
      <c r="D52" s="365"/>
      <c r="E52" s="4"/>
      <c r="F52" s="4"/>
      <c r="G52" s="4"/>
      <c r="H52" s="225" t="s">
        <v>54</v>
      </c>
      <c r="I52" s="246">
        <v>17</v>
      </c>
      <c r="J52" s="222" t="s">
        <v>55</v>
      </c>
      <c r="K52" s="170">
        <v>0</v>
      </c>
      <c r="L52" s="221" t="s">
        <v>56</v>
      </c>
      <c r="M52" s="192">
        <f>INT(M50*0.89*100)/100</f>
        <v>14.13</v>
      </c>
      <c r="N52" s="196"/>
      <c r="O52" s="167">
        <f>M53</f>
        <v>87</v>
      </c>
      <c r="P52" s="165"/>
    </row>
    <row r="53" spans="1:24" s="167" customFormat="1" ht="16.5">
      <c r="A53" s="4"/>
      <c r="B53" s="4"/>
      <c r="C53" s="4"/>
      <c r="D53" s="4"/>
      <c r="E53" s="4"/>
      <c r="F53" s="4"/>
      <c r="G53" s="4"/>
      <c r="H53" s="11"/>
      <c r="I53" s="474" t="s">
        <v>243</v>
      </c>
      <c r="J53" s="474"/>
      <c r="K53" s="474"/>
      <c r="L53" s="474"/>
      <c r="M53" s="197">
        <v>87</v>
      </c>
      <c r="N53" s="11"/>
    </row>
    <row r="54" spans="1:24" ht="18.75" customHeight="1">
      <c r="A54" s="7" t="s">
        <v>57</v>
      </c>
      <c r="B54" s="1">
        <f>INT(C50/C52*1000)/1000</f>
        <v>0</v>
      </c>
      <c r="H54" s="226" t="s">
        <v>58</v>
      </c>
      <c r="I54" s="227" t="s">
        <v>59</v>
      </c>
      <c r="J54" s="165"/>
      <c r="K54" s="165"/>
      <c r="L54" s="165"/>
      <c r="M54" s="165"/>
      <c r="N54" s="165"/>
    </row>
    <row r="55" spans="1:24">
      <c r="A55" s="7"/>
      <c r="P55" s="2">
        <f>INT((M51*100)/M53)*1.15</f>
        <v>197.79999999999998</v>
      </c>
      <c r="R55" s="254"/>
    </row>
    <row r="56" spans="1:24" ht="14.25" thickBot="1">
      <c r="A56" s="7"/>
    </row>
    <row r="57" spans="1:24" s="167" customFormat="1" ht="18" customHeight="1">
      <c r="A57" s="232"/>
      <c r="B57" s="349" t="s">
        <v>60</v>
      </c>
      <c r="C57" s="349" t="s">
        <v>61</v>
      </c>
      <c r="D57" s="493" t="s">
        <v>62</v>
      </c>
      <c r="E57" s="509"/>
      <c r="F57" s="493" t="s">
        <v>61</v>
      </c>
      <c r="G57" s="509"/>
      <c r="H57" s="349" t="s">
        <v>63</v>
      </c>
      <c r="I57" s="350">
        <f>M50</f>
        <v>15.879999999999999</v>
      </c>
      <c r="J57" s="349" t="s">
        <v>64</v>
      </c>
      <c r="K57" s="349" t="s">
        <v>65</v>
      </c>
      <c r="L57" s="493" t="s">
        <v>66</v>
      </c>
      <c r="M57" s="494"/>
      <c r="P57" s="167">
        <f xml:space="preserve"> ((147 * M53) / 1.15) / 100</f>
        <v>111.20869565217392</v>
      </c>
    </row>
    <row r="58" spans="1:24" s="167" customFormat="1" ht="18" customHeight="1">
      <c r="A58" s="230" t="s">
        <v>67</v>
      </c>
      <c r="B58" s="351">
        <v>40.21</v>
      </c>
      <c r="C58" s="222"/>
      <c r="D58" s="495">
        <v>0.22439999999999999</v>
      </c>
      <c r="E58" s="496"/>
      <c r="F58" s="495"/>
      <c r="G58" s="496"/>
      <c r="H58" s="222" t="s">
        <v>68</v>
      </c>
      <c r="I58" s="352">
        <f>C62/M46</f>
        <v>0.54722891566265064</v>
      </c>
      <c r="J58" s="222" t="s">
        <v>69</v>
      </c>
      <c r="K58" s="353">
        <f>INT((6*I57*I58*I60/I59)^0.5)</f>
        <v>13</v>
      </c>
      <c r="L58" s="222" t="s">
        <v>70</v>
      </c>
      <c r="M58" s="354" t="s">
        <v>71</v>
      </c>
    </row>
    <row r="59" spans="1:24" s="167" customFormat="1" ht="18" customHeight="1">
      <c r="A59" s="230" t="s">
        <v>72</v>
      </c>
      <c r="B59" s="351">
        <v>59.61</v>
      </c>
      <c r="C59" s="497">
        <f>B59</f>
        <v>59.61</v>
      </c>
      <c r="D59" s="499">
        <v>0.15190000000000001</v>
      </c>
      <c r="E59" s="500"/>
      <c r="F59" s="501">
        <f>INT((D59+D60)/1*10000000)/10000000</f>
        <v>0.15190000000000001</v>
      </c>
      <c r="G59" s="502"/>
      <c r="H59" s="222" t="s">
        <v>32</v>
      </c>
      <c r="I59" s="222">
        <f>F62</f>
        <v>0.15190000000000001</v>
      </c>
      <c r="J59" s="222" t="s">
        <v>73</v>
      </c>
      <c r="K59" s="353">
        <f>INT(3*(I57*I58*I60/I59)^0.5)</f>
        <v>16</v>
      </c>
      <c r="L59" s="353"/>
      <c r="M59" s="355"/>
    </row>
    <row r="60" spans="1:24" s="167" customFormat="1" ht="18" customHeight="1">
      <c r="A60" s="230" t="s">
        <v>74</v>
      </c>
      <c r="B60" s="351"/>
      <c r="C60" s="498"/>
      <c r="D60" s="499"/>
      <c r="E60" s="500"/>
      <c r="F60" s="503"/>
      <c r="G60" s="504"/>
      <c r="H60" s="356">
        <f>LongTest!AE33</f>
        <v>720</v>
      </c>
      <c r="I60" s="352">
        <f>INT(H60/1440*10000)/10000</f>
        <v>0.5</v>
      </c>
      <c r="J60" s="222" t="s">
        <v>75</v>
      </c>
      <c r="K60" s="353">
        <f>(2.25*I61*I60/I59)^0.5</f>
        <v>18.340912511588275</v>
      </c>
      <c r="L60" s="353"/>
      <c r="M60" s="355"/>
    </row>
    <row r="61" spans="1:24" s="167" customFormat="1" ht="18" customHeight="1">
      <c r="A61" s="230" t="s">
        <v>76</v>
      </c>
      <c r="B61" s="351">
        <v>31.23</v>
      </c>
      <c r="C61" s="222">
        <f>B61</f>
        <v>31.23</v>
      </c>
      <c r="D61" s="495"/>
      <c r="E61" s="496"/>
      <c r="F61" s="495"/>
      <c r="G61" s="496"/>
      <c r="H61" s="222" t="s">
        <v>28</v>
      </c>
      <c r="I61" s="222">
        <f>C62</f>
        <v>45.42</v>
      </c>
      <c r="J61" s="222" t="s">
        <v>77</v>
      </c>
      <c r="K61" s="353">
        <f>((K58+K59+K60)/3)</f>
        <v>15.780304170529424</v>
      </c>
      <c r="L61" s="353"/>
      <c r="M61" s="355"/>
    </row>
    <row r="62" spans="1:24" s="167" customFormat="1" ht="18" customHeight="1" thickBot="1">
      <c r="A62" s="231" t="s">
        <v>61</v>
      </c>
      <c r="B62" s="357"/>
      <c r="C62" s="358">
        <f>INT((C58+C59+C61)*1000/2)/1000</f>
        <v>45.42</v>
      </c>
      <c r="D62" s="505"/>
      <c r="E62" s="506"/>
      <c r="F62" s="507">
        <f>F59</f>
        <v>0.15190000000000001</v>
      </c>
      <c r="G62" s="508"/>
      <c r="H62" s="359" t="s">
        <v>78</v>
      </c>
      <c r="I62" s="360">
        <v>70.33</v>
      </c>
      <c r="J62" s="359" t="s">
        <v>79</v>
      </c>
      <c r="K62" s="361">
        <f>MAX(K58:K60)</f>
        <v>18.340912511588275</v>
      </c>
      <c r="L62" s="362"/>
      <c r="M62" s="363"/>
    </row>
    <row r="63" spans="1:24" s="167" customFormat="1" ht="18" customHeight="1" thickBot="1">
      <c r="A63" s="4"/>
      <c r="B63" s="4"/>
      <c r="C63" s="4"/>
      <c r="D63" s="4"/>
      <c r="E63" s="4"/>
      <c r="F63" s="4"/>
      <c r="G63" s="4"/>
    </row>
    <row r="64" spans="1:24" s="109" customFormat="1" ht="97.5" customHeight="1" thickBot="1">
      <c r="A64" s="110"/>
      <c r="B64" s="110"/>
      <c r="C64" s="110"/>
      <c r="D64" s="110"/>
      <c r="E64" s="110"/>
      <c r="F64" s="110"/>
      <c r="G64" s="110"/>
      <c r="Q64" s="243" t="s">
        <v>342</v>
      </c>
      <c r="R64" s="244" t="s">
        <v>343</v>
      </c>
      <c r="S64" s="244" t="s">
        <v>344</v>
      </c>
      <c r="T64" s="244" t="s">
        <v>345</v>
      </c>
      <c r="U64" s="244" t="s">
        <v>346</v>
      </c>
      <c r="V64" s="244" t="s">
        <v>219</v>
      </c>
      <c r="W64" s="244" t="s">
        <v>220</v>
      </c>
      <c r="X64" s="245" t="s">
        <v>221</v>
      </c>
    </row>
    <row r="69" spans="17:17">
      <c r="Q69" s="8"/>
    </row>
    <row r="70" spans="17:17">
      <c r="Q70" s="8"/>
    </row>
    <row r="71" spans="17:17">
      <c r="Q71" s="8"/>
    </row>
    <row r="72" spans="17:17">
      <c r="Q72" s="8"/>
    </row>
    <row r="73" spans="17:17">
      <c r="Q73" s="8"/>
    </row>
    <row r="80" spans="17:17" ht="27.75" customHeight="1"/>
  </sheetData>
  <mergeCells count="36">
    <mergeCell ref="D61:E61"/>
    <mergeCell ref="F61:G61"/>
    <mergeCell ref="D62:E62"/>
    <mergeCell ref="F62:G62"/>
    <mergeCell ref="D57:E57"/>
    <mergeCell ref="F57:G57"/>
    <mergeCell ref="L57:M57"/>
    <mergeCell ref="D58:E58"/>
    <mergeCell ref="F58:G58"/>
    <mergeCell ref="C59:C60"/>
    <mergeCell ref="D59:E59"/>
    <mergeCell ref="F59:G60"/>
    <mergeCell ref="D60:E60"/>
    <mergeCell ref="I53:L53"/>
    <mergeCell ref="A26:B26"/>
    <mergeCell ref="A27:B27"/>
    <mergeCell ref="I44:K44"/>
    <mergeCell ref="C46:D46"/>
    <mergeCell ref="C47:D47"/>
    <mergeCell ref="J48:K48"/>
    <mergeCell ref="I49:K49"/>
    <mergeCell ref="I51:K51"/>
    <mergeCell ref="I45:K45"/>
    <mergeCell ref="I47:K47"/>
    <mergeCell ref="I46:K46"/>
    <mergeCell ref="J50:K50"/>
    <mergeCell ref="E8:G8"/>
    <mergeCell ref="F9:G9"/>
    <mergeCell ref="F10:G10"/>
    <mergeCell ref="F11:G11"/>
    <mergeCell ref="F12:G12"/>
    <mergeCell ref="F14:G14"/>
    <mergeCell ref="F15:G15"/>
    <mergeCell ref="F16:G16"/>
    <mergeCell ref="F17:G17"/>
    <mergeCell ref="E13:G13"/>
  </mergeCells>
  <phoneticPr fontId="7" type="noConversion"/>
  <dataValidations count="5">
    <dataValidation type="list" allowBlank="1" showInputMessage="1" showErrorMessage="1" sqref="M44" xr:uid="{89434B35-4ADE-4199-9D72-8B9E18658185}">
      <formula1>well_radius</formula1>
    </dataValidation>
    <dataValidation type="list" allowBlank="1" showInputMessage="1" showErrorMessage="1" sqref="I54" xr:uid="{37D0ED02-1962-4DC7-A4C3-B58807E33DA6}">
      <formula1>gongbun2</formula1>
    </dataValidation>
    <dataValidation type="list" allowBlank="1" showInputMessage="1" showErrorMessage="1" sqref="J48:K48" xr:uid="{65694B5F-A176-4815-8B8F-14769819AAF7}">
      <formula1>gongbun</formula1>
    </dataValidation>
    <dataValidation type="list" allowBlank="1" showInputMessage="1" showErrorMessage="1" sqref="I48" xr:uid="{905AE607-597B-48C7-8CCC-4DDAB66435AF}">
      <formula1>pump_hp</formula1>
    </dataValidation>
    <dataValidation type="list" allowBlank="1" showInputMessage="1" showErrorMessage="1" sqref="I47:K47" xr:uid="{EEE4D69E-5A4C-4802-8D18-16E80E00DA8C}">
      <formula1>INDIRECT("tableCorp[조사자]")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60" r:id="rId4" name="CommandButton2">
          <controlPr defaultSize="0" autoLine="0" r:id="rId5">
            <anchor moveWithCells="1">
              <from>
                <xdr:col>14</xdr:col>
                <xdr:colOff>209550</xdr:colOff>
                <xdr:row>43</xdr:row>
                <xdr:rowOff>104775</xdr:rowOff>
              </from>
              <to>
                <xdr:col>15</xdr:col>
                <xdr:colOff>523875</xdr:colOff>
                <xdr:row>45</xdr:row>
                <xdr:rowOff>9525</xdr:rowOff>
              </to>
            </anchor>
          </controlPr>
        </control>
      </mc:Choice>
      <mc:Fallback>
        <control shapeId="1060" r:id="rId4" name="CommandButton2"/>
      </mc:Fallback>
    </mc:AlternateContent>
    <mc:AlternateContent xmlns:mc="http://schemas.openxmlformats.org/markup-compatibility/2006">
      <mc:Choice Requires="x14">
        <control shapeId="1059" r:id="rId6" name="CommandButton1">
          <controlPr defaultSize="0" autoLine="0" r:id="rId7">
            <anchor moveWithCells="1">
              <from>
                <xdr:col>14</xdr:col>
                <xdr:colOff>200025</xdr:colOff>
                <xdr:row>41</xdr:row>
                <xdr:rowOff>190500</xdr:rowOff>
              </from>
              <to>
                <xdr:col>15</xdr:col>
                <xdr:colOff>514350</xdr:colOff>
                <xdr:row>43</xdr:row>
                <xdr:rowOff>28575</xdr:rowOff>
              </to>
            </anchor>
          </controlPr>
        </control>
      </mc:Choice>
      <mc:Fallback>
        <control shapeId="1059" r:id="rId6" name="CommandButton1"/>
      </mc:Fallback>
    </mc:AlternateContent>
    <mc:AlternateContent xmlns:mc="http://schemas.openxmlformats.org/markup-compatibility/2006">
      <mc:Choice Requires="x14">
        <control shapeId="1056" r:id="rId8" name="CommandButton_ClearReport">
          <controlPr defaultSize="0" autoLine="0" r:id="rId9">
            <anchor moveWithCells="1">
              <from>
                <xdr:col>13</xdr:col>
                <xdr:colOff>142875</xdr:colOff>
                <xdr:row>35</xdr:row>
                <xdr:rowOff>123825</xdr:rowOff>
              </from>
              <to>
                <xdr:col>14</xdr:col>
                <xdr:colOff>828675</xdr:colOff>
                <xdr:row>37</xdr:row>
                <xdr:rowOff>123825</xdr:rowOff>
              </to>
            </anchor>
          </controlPr>
        </control>
      </mc:Choice>
      <mc:Fallback>
        <control shapeId="1056" r:id="rId8" name="CommandButton_ClearReport"/>
      </mc:Fallback>
    </mc:AlternateContent>
    <mc:AlternateContent xmlns:mc="http://schemas.openxmlformats.org/markup-compatibility/2006">
      <mc:Choice Requires="x14">
        <control shapeId="1031" r:id="rId10" name="CommandButton_1440">
          <controlPr defaultSize="0" autoLine="0" r:id="rId11">
            <anchor moveWithCells="1">
              <from>
                <xdr:col>13</xdr:col>
                <xdr:colOff>142875</xdr:colOff>
                <xdr:row>33</xdr:row>
                <xdr:rowOff>28575</xdr:rowOff>
              </from>
              <to>
                <xdr:col>14</xdr:col>
                <xdr:colOff>828675</xdr:colOff>
                <xdr:row>35</xdr:row>
                <xdr:rowOff>28575</xdr:rowOff>
              </to>
            </anchor>
          </controlPr>
        </control>
      </mc:Choice>
      <mc:Fallback>
        <control shapeId="1031" r:id="rId10" name="CommandButton_1440"/>
      </mc:Fallback>
    </mc:AlternateContent>
    <mc:AlternateContent xmlns:mc="http://schemas.openxmlformats.org/markup-compatibility/2006">
      <mc:Choice Requires="x14">
        <control shapeId="1030" r:id="rId12" name="CommandButton_Chart">
          <controlPr defaultSize="0" autoLine="0" r:id="rId13">
            <anchor moveWithCells="1">
              <from>
                <xdr:col>13</xdr:col>
                <xdr:colOff>95250</xdr:colOff>
                <xdr:row>19</xdr:row>
                <xdr:rowOff>114300</xdr:rowOff>
              </from>
              <to>
                <xdr:col>14</xdr:col>
                <xdr:colOff>733425</xdr:colOff>
                <xdr:row>21</xdr:row>
                <xdr:rowOff>76200</xdr:rowOff>
              </to>
            </anchor>
          </controlPr>
        </control>
      </mc:Choice>
      <mc:Fallback>
        <control shapeId="1030" r:id="rId12" name="CommandButton_Chart"/>
      </mc:Fallback>
    </mc:AlternateContent>
    <mc:AlternateContent xmlns:mc="http://schemas.openxmlformats.org/markup-compatibility/2006">
      <mc:Choice Requires="x14">
        <control shapeId="1029" r:id="rId14" name="CommandButton_2880">
          <controlPr defaultSize="0" autoLine="0" r:id="rId15">
            <anchor moveWithCells="1">
              <from>
                <xdr:col>13</xdr:col>
                <xdr:colOff>142875</xdr:colOff>
                <xdr:row>30</xdr:row>
                <xdr:rowOff>142875</xdr:rowOff>
              </from>
              <to>
                <xdr:col>14</xdr:col>
                <xdr:colOff>828675</xdr:colOff>
                <xdr:row>32</xdr:row>
                <xdr:rowOff>142875</xdr:rowOff>
              </to>
            </anchor>
          </controlPr>
        </control>
      </mc:Choice>
      <mc:Fallback>
        <control shapeId="1029" r:id="rId14" name="CommandButton_2880"/>
      </mc:Fallback>
    </mc:AlternateContent>
    <mc:AlternateContent xmlns:mc="http://schemas.openxmlformats.org/markup-compatibility/2006">
      <mc:Choice Requires="x14">
        <control shapeId="1028" r:id="rId16" name="CommandButton_STEP">
          <controlPr defaultSize="0" autoLine="0" r:id="rId17">
            <anchor moveWithCells="1">
              <from>
                <xdr:col>13</xdr:col>
                <xdr:colOff>142875</xdr:colOff>
                <xdr:row>28</xdr:row>
                <xdr:rowOff>76200</xdr:rowOff>
              </from>
              <to>
                <xdr:col>14</xdr:col>
                <xdr:colOff>828675</xdr:colOff>
                <xdr:row>30</xdr:row>
                <xdr:rowOff>76200</xdr:rowOff>
              </to>
            </anchor>
          </controlPr>
        </control>
      </mc:Choice>
      <mc:Fallback>
        <control shapeId="1028" r:id="rId16" name="CommandButton_STEP"/>
      </mc:Fallback>
    </mc:AlternateContent>
    <mc:AlternateContent xmlns:mc="http://schemas.openxmlformats.org/markup-compatibility/2006">
      <mc:Choice Requires="x14">
        <control shapeId="1027" r:id="rId18" name="CommandButton_CB2">
          <controlPr defaultSize="0" autoLine="0" r:id="rId19">
            <anchor moveWithCells="1">
              <from>
                <xdr:col>13</xdr:col>
                <xdr:colOff>95250</xdr:colOff>
                <xdr:row>17</xdr:row>
                <xdr:rowOff>66675</xdr:rowOff>
              </from>
              <to>
                <xdr:col>14</xdr:col>
                <xdr:colOff>733425</xdr:colOff>
                <xdr:row>19</xdr:row>
                <xdr:rowOff>66675</xdr:rowOff>
              </to>
            </anchor>
          </controlPr>
        </control>
      </mc:Choice>
      <mc:Fallback>
        <control shapeId="1027" r:id="rId18" name="CommandButton_CB2"/>
      </mc:Fallback>
    </mc:AlternateContent>
    <mc:AlternateContent xmlns:mc="http://schemas.openxmlformats.org/markup-compatibility/2006">
      <mc:Choice Requires="x14">
        <control shapeId="1026" r:id="rId20" name="CommandButton_CB1">
          <controlPr defaultSize="0" autoLine="0" r:id="rId21">
            <anchor moveWithCells="1">
              <from>
                <xdr:col>13</xdr:col>
                <xdr:colOff>95250</xdr:colOff>
                <xdr:row>15</xdr:row>
                <xdr:rowOff>9525</xdr:rowOff>
              </from>
              <to>
                <xdr:col>14</xdr:col>
                <xdr:colOff>733425</xdr:colOff>
                <xdr:row>17</xdr:row>
                <xdr:rowOff>9525</xdr:rowOff>
              </to>
            </anchor>
          </controlPr>
        </control>
      </mc:Choice>
      <mc:Fallback>
        <control shapeId="1026" r:id="rId20" name="CommandButton_CB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4C998-1F0F-4A9D-94A2-0870D18A745B}">
  <sheetPr codeName="shW_aSkinFactor">
    <tabColor rgb="FFC00000"/>
  </sheetPr>
  <dimension ref="A1:O114"/>
  <sheetViews>
    <sheetView tabSelected="1" zoomScaleNormal="100" workbookViewId="0">
      <selection activeCell="O21" sqref="O21"/>
    </sheetView>
  </sheetViews>
  <sheetFormatPr defaultColWidth="9" defaultRowHeight="13.5"/>
  <cols>
    <col min="1" max="1" width="9" style="6"/>
    <col min="2" max="2" width="17.875" style="6" customWidth="1"/>
    <col min="3" max="3" width="16.375" style="6" customWidth="1"/>
    <col min="4" max="4" width="22.125" style="6" customWidth="1"/>
    <col min="5" max="5" width="14.375" style="6" customWidth="1"/>
    <col min="6" max="7" width="13.25" style="6" customWidth="1"/>
    <col min="8" max="8" width="18" style="39" customWidth="1"/>
    <col min="9" max="9" width="18.75" style="39" customWidth="1"/>
    <col min="10" max="10" width="13.875" style="6" customWidth="1"/>
    <col min="11" max="11" width="13.125" style="6" bestFit="1" customWidth="1"/>
    <col min="12" max="12" width="13.375" style="6" customWidth="1"/>
    <col min="13" max="13" width="11.625" style="6" customWidth="1"/>
    <col min="14" max="16384" width="9" style="6"/>
  </cols>
  <sheetData>
    <row r="1" spans="1:15" ht="22.7" customHeight="1">
      <c r="A1" s="14"/>
      <c r="B1" s="162" t="str">
        <f>Input!I45</f>
        <v>순성중명아파트</v>
      </c>
      <c r="C1" s="14"/>
      <c r="D1" s="14"/>
      <c r="E1" s="14"/>
      <c r="F1" s="14"/>
      <c r="G1" s="14"/>
      <c r="H1" s="15"/>
      <c r="I1" s="15"/>
      <c r="J1" s="14"/>
      <c r="K1" s="14"/>
      <c r="L1" s="14"/>
      <c r="M1" s="14"/>
      <c r="N1" s="14"/>
      <c r="O1" s="14"/>
    </row>
    <row r="2" spans="1:15" ht="22.7" customHeight="1" thickBot="1">
      <c r="A2" s="14"/>
      <c r="B2" s="16" t="str">
        <f>Input!J48</f>
        <v>공  번 : W - 1</v>
      </c>
      <c r="C2" s="17" t="str">
        <f>Input!I46</f>
        <v>충청남도 당진시 순성면 순성로 453-30번지</v>
      </c>
      <c r="D2" s="14"/>
      <c r="E2" s="14"/>
      <c r="F2" s="14"/>
      <c r="G2" s="14"/>
      <c r="H2" s="15"/>
      <c r="I2" s="15"/>
      <c r="J2" s="14"/>
      <c r="K2" s="14"/>
      <c r="L2" s="14"/>
      <c r="M2" s="18"/>
      <c r="N2" s="18"/>
      <c r="O2" s="14"/>
    </row>
    <row r="3" spans="1:15" ht="22.7" customHeight="1">
      <c r="A3" s="14"/>
      <c r="B3" s="281" t="s">
        <v>116</v>
      </c>
      <c r="C3" s="282" t="s">
        <v>13</v>
      </c>
      <c r="D3" s="282" t="s">
        <v>28</v>
      </c>
      <c r="E3" s="282" t="s">
        <v>117</v>
      </c>
      <c r="F3" s="282" t="s">
        <v>32</v>
      </c>
      <c r="G3" s="282" t="s">
        <v>118</v>
      </c>
      <c r="H3" s="283" t="s">
        <v>35</v>
      </c>
      <c r="I3" s="270" t="s">
        <v>119</v>
      </c>
      <c r="J3" s="14"/>
      <c r="K3" s="14"/>
      <c r="L3" s="14"/>
      <c r="M3" s="14"/>
      <c r="N3" s="14"/>
      <c r="O3" s="14"/>
    </row>
    <row r="4" spans="1:15" ht="22.7" customHeight="1">
      <c r="A4" s="14"/>
      <c r="B4" s="284">
        <f>LongTest!G10</f>
        <v>3.3156559522114577</v>
      </c>
      <c r="C4" s="276">
        <f>LongTest!B10</f>
        <v>150</v>
      </c>
      <c r="D4" s="277">
        <v>1.855</v>
      </c>
      <c r="E4" s="278">
        <f>Input!M44/2000</f>
        <v>0.1</v>
      </c>
      <c r="F4" s="19">
        <v>5.0000000000000001E-4</v>
      </c>
      <c r="G4" s="19">
        <f>PI()</f>
        <v>3.1415926535897931</v>
      </c>
      <c r="H4" s="108">
        <f>Input!$A$46</f>
        <v>5.6462999999999999E-2</v>
      </c>
      <c r="I4" s="271">
        <f>Input!M48</f>
        <v>9.4499999999999993</v>
      </c>
      <c r="J4" s="14"/>
      <c r="K4" s="14"/>
      <c r="L4" s="14"/>
      <c r="M4" s="14"/>
      <c r="N4" s="14"/>
      <c r="O4" s="14"/>
    </row>
    <row r="5" spans="1:15" ht="22.7" customHeight="1" thickBot="1">
      <c r="A5" s="14">
        <v>0</v>
      </c>
      <c r="B5" s="272"/>
      <c r="C5" s="21"/>
      <c r="D5" s="273">
        <v>4.1534000000000004</v>
      </c>
      <c r="E5" s="274" t="s">
        <v>237</v>
      </c>
      <c r="F5" s="21"/>
      <c r="G5" s="21"/>
      <c r="H5" s="275"/>
      <c r="I5" s="279" t="s">
        <v>48</v>
      </c>
      <c r="J5" s="14"/>
      <c r="K5" s="14"/>
      <c r="L5" s="14"/>
      <c r="M5" s="14"/>
      <c r="N5" s="14"/>
      <c r="O5" s="14"/>
    </row>
    <row r="6" spans="1:15" ht="22.7" customHeight="1">
      <c r="A6" s="14"/>
      <c r="B6" s="206" t="s">
        <v>120</v>
      </c>
      <c r="C6" s="202">
        <f>(2*G4*B4*D5)/(C4)</f>
        <v>0.57684857972915171</v>
      </c>
      <c r="D6" s="203"/>
      <c r="E6" s="202">
        <f>1.15*LOG((2.25*D5*(1/1440))/(F4*E4^2))</f>
        <v>3.5802418472835975</v>
      </c>
      <c r="F6" s="204" t="s">
        <v>121</v>
      </c>
      <c r="G6" s="384">
        <f>C6-E6</f>
        <v>-3.0033932675544457</v>
      </c>
      <c r="H6" s="35"/>
      <c r="I6" s="271">
        <f>Input!M49</f>
        <v>25.33</v>
      </c>
      <c r="J6" s="264">
        <f>MAX(C13,C18,C23)</f>
        <v>60.6</v>
      </c>
      <c r="K6" s="262" t="s">
        <v>215</v>
      </c>
      <c r="M6" s="20"/>
      <c r="N6" s="14"/>
      <c r="O6" s="14"/>
    </row>
    <row r="7" spans="1:15" ht="22.7" customHeight="1">
      <c r="A7" s="14"/>
      <c r="B7" s="207" t="s">
        <v>122</v>
      </c>
      <c r="C7" s="28">
        <f>2.25*D4*(120/1440)</f>
        <v>0.34781249999999997</v>
      </c>
      <c r="D7" s="27"/>
      <c r="E7" s="205" t="s">
        <v>123</v>
      </c>
      <c r="F7" s="28">
        <f>F4*10^(5.46*D4*H4)</f>
        <v>1.8657102918072644E-3</v>
      </c>
      <c r="G7" s="205" t="s">
        <v>124</v>
      </c>
      <c r="H7" s="35">
        <f>F4*EXP(4*G4*D4*H4)</f>
        <v>1.8645881819731776E-3</v>
      </c>
      <c r="I7" s="279" t="s">
        <v>125</v>
      </c>
      <c r="J7" s="265">
        <f>ROUND((C13+C18+C23)/3,1)</f>
        <v>52.3</v>
      </c>
      <c r="K7" s="263" t="s">
        <v>216</v>
      </c>
      <c r="L7" s="14"/>
      <c r="M7" s="20"/>
      <c r="N7" s="14"/>
      <c r="O7" s="14"/>
    </row>
    <row r="8" spans="1:15" ht="22.7" customHeight="1" thickBot="1">
      <c r="A8" s="14"/>
      <c r="B8" s="208" t="s">
        <v>126</v>
      </c>
      <c r="C8" s="383">
        <f>ROUND(E4*EXP(-1*G6),3)</f>
        <v>2.0150000000000001</v>
      </c>
      <c r="D8" s="209"/>
      <c r="E8" s="209"/>
      <c r="F8" s="210"/>
      <c r="G8" s="209"/>
      <c r="H8" s="211"/>
      <c r="I8" s="280">
        <f>Input!M45</f>
        <v>100</v>
      </c>
      <c r="J8" s="260" t="s">
        <v>240</v>
      </c>
      <c r="K8" s="266">
        <f>ROUND(SQRT(C7/F7),4)</f>
        <v>13.653700000000001</v>
      </c>
      <c r="L8" s="14"/>
      <c r="M8" s="14"/>
      <c r="N8" s="22"/>
      <c r="O8" s="14"/>
    </row>
    <row r="9" spans="1:15" ht="22.7" customHeight="1" thickBot="1">
      <c r="A9" s="14"/>
      <c r="B9" s="14"/>
      <c r="C9" s="14"/>
      <c r="D9" s="14"/>
      <c r="E9" s="14"/>
      <c r="F9" s="14"/>
      <c r="G9" s="14"/>
      <c r="H9" s="15"/>
      <c r="I9" s="269" t="s">
        <v>127</v>
      </c>
      <c r="J9" s="260" t="s">
        <v>241</v>
      </c>
      <c r="K9" s="267">
        <f>ROUND(SQRT(C7/H7),4)</f>
        <v>13.6578</v>
      </c>
      <c r="L9" s="14"/>
      <c r="M9" s="14"/>
      <c r="N9" s="14"/>
      <c r="O9" s="14"/>
    </row>
    <row r="10" spans="1:15" ht="22.7" customHeight="1" thickBot="1">
      <c r="A10" s="14"/>
      <c r="B10" s="14" t="s">
        <v>128</v>
      </c>
      <c r="C10" s="23">
        <f>LongTest!F101</f>
        <v>11.18848160450383</v>
      </c>
      <c r="D10" s="24" t="s">
        <v>236</v>
      </c>
      <c r="E10" s="257">
        <v>8.029E-2</v>
      </c>
      <c r="H10" s="212" t="s">
        <v>214</v>
      </c>
      <c r="I10" s="218">
        <f>Input!I52</f>
        <v>17</v>
      </c>
      <c r="J10" s="261" t="s">
        <v>242</v>
      </c>
      <c r="K10" s="268">
        <f>ROUND(E4*SQRT(E10/F4),4)</f>
        <v>1.2672000000000001</v>
      </c>
      <c r="L10" s="14"/>
      <c r="M10" s="14"/>
      <c r="N10" s="14"/>
      <c r="O10" s="14"/>
    </row>
    <row r="11" spans="1:15" ht="22.7" customHeight="1">
      <c r="A11" s="14"/>
      <c r="B11" s="14" t="s">
        <v>129</v>
      </c>
      <c r="C11" s="23">
        <f>I6-C10</f>
        <v>14.141518395496169</v>
      </c>
      <c r="D11" s="14"/>
      <c r="E11" s="14"/>
      <c r="F11" s="14"/>
      <c r="G11" s="14"/>
      <c r="H11" s="15"/>
      <c r="J11" s="14"/>
      <c r="K11" s="14"/>
      <c r="L11" s="14"/>
      <c r="M11" s="14"/>
      <c r="N11" s="14"/>
      <c r="O11" s="14"/>
    </row>
    <row r="12" spans="1:15" ht="15" customHeight="1" thickBot="1">
      <c r="A12" s="14"/>
      <c r="B12" s="14"/>
      <c r="C12" s="14"/>
      <c r="D12" s="14"/>
      <c r="E12" s="14"/>
      <c r="F12" s="14"/>
      <c r="G12" s="14"/>
      <c r="H12" s="15"/>
      <c r="J12" s="14"/>
      <c r="K12" s="14"/>
      <c r="L12" s="14"/>
      <c r="M12" s="14"/>
      <c r="N12" s="14"/>
      <c r="O12" s="14"/>
    </row>
    <row r="13" spans="1:15" ht="22.7" customHeight="1" thickBot="1">
      <c r="A13" s="14"/>
      <c r="B13" s="286" t="s">
        <v>130</v>
      </c>
      <c r="C13" s="288">
        <f>ROUND(SQRT(6*B16*E16*H16/I16),1)</f>
        <v>43.3</v>
      </c>
      <c r="D13" s="25"/>
      <c r="E13" s="386" t="s">
        <v>251</v>
      </c>
      <c r="F13" s="287">
        <f>D5</f>
        <v>4.1534000000000004</v>
      </c>
      <c r="G13" s="386" t="s">
        <v>250</v>
      </c>
      <c r="H13" s="258">
        <v>3.8359999999999999</v>
      </c>
      <c r="I13" s="285">
        <v>57.09</v>
      </c>
      <c r="J13" s="14"/>
      <c r="K13" s="14"/>
      <c r="L13" s="14"/>
      <c r="M13" s="14"/>
      <c r="N13" s="14"/>
      <c r="O13" s="14"/>
    </row>
    <row r="14" spans="1:15" ht="22.7" customHeight="1">
      <c r="A14" s="14"/>
      <c r="B14" s="26"/>
      <c r="C14" s="21"/>
      <c r="D14" s="27"/>
      <c r="E14" s="27"/>
      <c r="F14" s="27"/>
      <c r="G14" s="27"/>
      <c r="H14" s="28"/>
      <c r="I14" s="35"/>
      <c r="J14" s="14"/>
      <c r="K14" s="14"/>
      <c r="L14" s="14"/>
      <c r="M14" s="14"/>
      <c r="N14" s="14"/>
      <c r="O14" s="14"/>
    </row>
    <row r="15" spans="1:15" ht="22.7" customHeight="1">
      <c r="A15" s="14"/>
      <c r="B15" s="29" t="s">
        <v>131</v>
      </c>
      <c r="C15" s="28" t="s">
        <v>132</v>
      </c>
      <c r="D15" s="28" t="s">
        <v>133</v>
      </c>
      <c r="E15" s="28" t="s">
        <v>68</v>
      </c>
      <c r="F15" s="28" t="s">
        <v>134</v>
      </c>
      <c r="G15" s="28" t="s">
        <v>135</v>
      </c>
      <c r="H15" s="28" t="s">
        <v>136</v>
      </c>
      <c r="I15" s="385" t="s">
        <v>249</v>
      </c>
      <c r="J15" s="14"/>
      <c r="K15" s="14"/>
      <c r="L15" s="14"/>
      <c r="M15" s="14"/>
      <c r="N15" s="14"/>
      <c r="O15" s="14"/>
    </row>
    <row r="16" spans="1:15" ht="22.7" customHeight="1" thickBot="1">
      <c r="A16" s="14"/>
      <c r="B16" s="216">
        <f>I6-I4</f>
        <v>15.879999999999999</v>
      </c>
      <c r="C16" s="213">
        <f>I8-IF(I4&gt;I10,I4,I10)</f>
        <v>83</v>
      </c>
      <c r="D16" s="215">
        <f>(F13+H13)/2</f>
        <v>3.9946999999999999</v>
      </c>
      <c r="E16" s="30">
        <f>INT(D16/C16*100000)/100000</f>
        <v>4.8120000000000003E-2</v>
      </c>
      <c r="F16" s="31">
        <v>1440</v>
      </c>
      <c r="G16" s="217">
        <v>540</v>
      </c>
      <c r="H16" s="215">
        <f>INT(G16/F16*10000)/10000</f>
        <v>0.375</v>
      </c>
      <c r="I16" s="259">
        <v>9.165E-4</v>
      </c>
      <c r="J16" s="14"/>
      <c r="K16" s="14"/>
      <c r="L16" s="14"/>
      <c r="M16" s="14"/>
      <c r="N16" s="14"/>
      <c r="O16" s="14"/>
    </row>
    <row r="17" spans="1:15" ht="24" customHeight="1" thickBot="1">
      <c r="A17" s="14"/>
      <c r="B17" s="14"/>
      <c r="C17" s="14"/>
      <c r="D17" s="14"/>
      <c r="E17" s="32"/>
      <c r="F17" s="14"/>
      <c r="G17" s="14"/>
      <c r="H17" s="15"/>
      <c r="I17" s="15"/>
      <c r="J17" s="14"/>
      <c r="K17" s="14"/>
      <c r="L17" s="14"/>
      <c r="M17" s="14"/>
      <c r="N17" s="14"/>
      <c r="O17" s="14"/>
    </row>
    <row r="18" spans="1:15" ht="22.7" customHeight="1" thickBot="1">
      <c r="A18" s="14"/>
      <c r="B18" s="286" t="s">
        <v>137</v>
      </c>
      <c r="C18" s="288">
        <f>ROUND(3*SQRT(B21*E21*H21/I21),1)</f>
        <v>53</v>
      </c>
      <c r="D18" s="25"/>
      <c r="E18" s="33"/>
      <c r="F18" s="33"/>
      <c r="G18" s="33"/>
      <c r="H18" s="34"/>
      <c r="I18" s="112"/>
      <c r="J18" s="14"/>
      <c r="K18" s="14"/>
      <c r="L18" s="14"/>
      <c r="M18" s="14"/>
      <c r="N18" s="14"/>
      <c r="O18" s="14"/>
    </row>
    <row r="19" spans="1:15" ht="22.7" customHeight="1">
      <c r="A19" s="14"/>
      <c r="B19" s="26"/>
      <c r="C19" s="21"/>
      <c r="D19" s="27"/>
      <c r="E19" s="27"/>
      <c r="F19" s="27"/>
      <c r="G19" s="27"/>
      <c r="H19" s="28"/>
      <c r="I19" s="35"/>
      <c r="J19" s="14"/>
      <c r="K19" s="14"/>
      <c r="L19" s="14"/>
      <c r="M19" s="14"/>
      <c r="N19" s="14"/>
      <c r="O19" s="14"/>
    </row>
    <row r="20" spans="1:15" ht="22.7" customHeight="1">
      <c r="A20" s="14"/>
      <c r="B20" s="29" t="s">
        <v>138</v>
      </c>
      <c r="C20" s="28" t="s">
        <v>38</v>
      </c>
      <c r="D20" s="28" t="s">
        <v>139</v>
      </c>
      <c r="E20" s="111" t="s">
        <v>68</v>
      </c>
      <c r="F20" s="28" t="s">
        <v>134</v>
      </c>
      <c r="G20" s="28" t="s">
        <v>140</v>
      </c>
      <c r="H20" s="28" t="s">
        <v>39</v>
      </c>
      <c r="I20" s="35" t="s">
        <v>32</v>
      </c>
      <c r="J20" s="14"/>
      <c r="K20" s="14"/>
      <c r="L20" s="14"/>
      <c r="M20" s="14"/>
      <c r="N20" s="219" t="s">
        <v>239</v>
      </c>
      <c r="O20" s="14"/>
    </row>
    <row r="21" spans="1:15" ht="22.7" customHeight="1" thickBot="1">
      <c r="A21" s="14"/>
      <c r="B21" s="36">
        <f t="shared" ref="B21:I21" si="0">B16</f>
        <v>15.879999999999999</v>
      </c>
      <c r="C21" s="214">
        <f t="shared" si="0"/>
        <v>83</v>
      </c>
      <c r="D21" s="31">
        <f t="shared" si="0"/>
        <v>3.9946999999999999</v>
      </c>
      <c r="E21" s="215">
        <f t="shared" si="0"/>
        <v>4.8120000000000003E-2</v>
      </c>
      <c r="F21" s="31">
        <f t="shared" si="0"/>
        <v>1440</v>
      </c>
      <c r="G21" s="31">
        <f>G16</f>
        <v>540</v>
      </c>
      <c r="H21" s="31">
        <f t="shared" si="0"/>
        <v>0.375</v>
      </c>
      <c r="I21" s="37">
        <f t="shared" si="0"/>
        <v>9.165E-4</v>
      </c>
      <c r="J21" s="14"/>
      <c r="K21" s="14"/>
      <c r="L21" s="14"/>
      <c r="M21" s="14"/>
      <c r="N21" s="14"/>
      <c r="O21" s="14"/>
    </row>
    <row r="22" spans="1:15" ht="24" customHeight="1" thickBot="1">
      <c r="A22" s="14"/>
      <c r="B22" s="14"/>
      <c r="C22" s="14"/>
      <c r="D22" s="14"/>
      <c r="E22" s="14"/>
      <c r="F22" s="14"/>
      <c r="G22" s="14"/>
      <c r="H22" s="15"/>
      <c r="I22" s="15"/>
      <c r="J22" s="14"/>
      <c r="K22" s="14"/>
      <c r="L22" s="14"/>
      <c r="M22" s="14"/>
      <c r="N22" s="14"/>
      <c r="O22" s="14"/>
    </row>
    <row r="23" spans="1:15" ht="22.7" customHeight="1" thickBot="1">
      <c r="A23" s="14"/>
      <c r="B23" s="286" t="s">
        <v>141</v>
      </c>
      <c r="C23" s="288">
        <f>ROUND(SQRT((2.25*D26*H26)/I26),1)</f>
        <v>60.6</v>
      </c>
      <c r="D23" s="25"/>
      <c r="E23" s="33"/>
      <c r="F23" s="33"/>
      <c r="G23" s="33"/>
      <c r="H23" s="34"/>
      <c r="I23" s="112"/>
      <c r="J23" s="14"/>
      <c r="K23" s="14"/>
      <c r="L23" s="14"/>
      <c r="M23" s="14"/>
      <c r="N23" s="14"/>
      <c r="O23" s="14"/>
    </row>
    <row r="24" spans="1:15" ht="22.7" customHeight="1">
      <c r="A24" s="14"/>
      <c r="B24" s="26"/>
      <c r="C24" s="21"/>
      <c r="D24" s="27"/>
      <c r="E24" s="27"/>
      <c r="F24" s="27"/>
      <c r="G24" s="27"/>
      <c r="H24" s="28"/>
      <c r="I24" s="35"/>
      <c r="J24" s="14"/>
      <c r="K24" s="14"/>
      <c r="L24" s="14"/>
      <c r="M24" s="14"/>
      <c r="N24" s="162"/>
      <c r="O24" s="14"/>
    </row>
    <row r="25" spans="1:15" ht="22.7" customHeight="1">
      <c r="A25" s="14"/>
      <c r="B25" s="29" t="s">
        <v>138</v>
      </c>
      <c r="C25" s="28" t="s">
        <v>38</v>
      </c>
      <c r="D25" s="28" t="s">
        <v>139</v>
      </c>
      <c r="E25" s="28" t="s">
        <v>68</v>
      </c>
      <c r="F25" s="28" t="s">
        <v>134</v>
      </c>
      <c r="G25" s="28" t="s">
        <v>140</v>
      </c>
      <c r="H25" s="111" t="s">
        <v>39</v>
      </c>
      <c r="I25" s="35" t="s">
        <v>32</v>
      </c>
      <c r="J25" s="14"/>
      <c r="K25" s="14"/>
      <c r="L25" s="14"/>
      <c r="M25" s="14"/>
      <c r="N25" s="14"/>
      <c r="O25" s="14"/>
    </row>
    <row r="26" spans="1:15" ht="22.7" customHeight="1" thickBot="1">
      <c r="A26" s="14"/>
      <c r="B26" s="36">
        <f t="shared" ref="B26:I26" si="1">B21</f>
        <v>15.879999999999999</v>
      </c>
      <c r="C26" s="31">
        <f t="shared" si="1"/>
        <v>83</v>
      </c>
      <c r="D26" s="31">
        <f t="shared" si="1"/>
        <v>3.9946999999999999</v>
      </c>
      <c r="E26" s="30">
        <f t="shared" si="1"/>
        <v>4.8120000000000003E-2</v>
      </c>
      <c r="F26" s="31">
        <f t="shared" si="1"/>
        <v>1440</v>
      </c>
      <c r="G26" s="31">
        <f t="shared" si="1"/>
        <v>540</v>
      </c>
      <c r="H26" s="215">
        <f>INT(G16/F16*10000)/10000</f>
        <v>0.375</v>
      </c>
      <c r="I26" s="37">
        <f t="shared" si="1"/>
        <v>9.165E-4</v>
      </c>
      <c r="J26" s="14"/>
      <c r="K26" s="14"/>
      <c r="L26" s="14"/>
      <c r="M26" s="14"/>
      <c r="N26" s="14"/>
      <c r="O26" s="14"/>
    </row>
    <row r="27" spans="1:15" ht="22.7" customHeight="1">
      <c r="A27" s="14"/>
      <c r="B27" s="15"/>
      <c r="C27" s="15"/>
      <c r="D27" s="163"/>
      <c r="E27" s="164"/>
      <c r="F27" s="15"/>
      <c r="G27" s="15"/>
      <c r="H27"/>
      <c r="I27" s="15"/>
      <c r="J27" s="14"/>
      <c r="K27" s="14"/>
      <c r="L27"/>
      <c r="M27" s="14"/>
      <c r="N27" s="14"/>
      <c r="O27" s="14"/>
    </row>
    <row r="28" spans="1:15" ht="22.7" customHeight="1">
      <c r="A28" s="14"/>
      <c r="B28" s="38" t="s">
        <v>142</v>
      </c>
      <c r="C28" s="379">
        <f>D16</f>
        <v>3.9946999999999999</v>
      </c>
      <c r="D28" s="382">
        <f>(C28/C16)*(100/86400)</f>
        <v>5.5704763498438192E-5</v>
      </c>
      <c r="E28" s="162" t="s">
        <v>235</v>
      </c>
      <c r="F28" s="14"/>
      <c r="G28" s="14"/>
      <c r="H28" s="15"/>
      <c r="I28" s="15"/>
      <c r="J28" s="14" t="s">
        <v>21</v>
      </c>
      <c r="K28" s="14"/>
      <c r="L28"/>
      <c r="M28" s="14"/>
      <c r="N28" s="14"/>
      <c r="O28" s="14"/>
    </row>
    <row r="29" spans="1:15" ht="22.7" customHeight="1">
      <c r="A29" s="14"/>
      <c r="B29" s="38" t="s">
        <v>143</v>
      </c>
      <c r="C29" s="380">
        <f>I16</f>
        <v>9.165E-4</v>
      </c>
      <c r="D29" s="15">
        <f>(C28*100)/(C16*86400)</f>
        <v>5.5704763498438192E-5</v>
      </c>
      <c r="E29" s="14"/>
      <c r="F29" s="14"/>
      <c r="G29" s="14"/>
      <c r="H29" s="15"/>
      <c r="I29" s="15"/>
      <c r="J29" s="14"/>
      <c r="K29" s="14"/>
      <c r="L29" s="14"/>
      <c r="M29" s="14"/>
      <c r="N29" s="14"/>
      <c r="O29" s="14"/>
    </row>
    <row r="30" spans="1:15" ht="22.7" customHeight="1">
      <c r="A30" s="14"/>
      <c r="B30" s="38" t="s">
        <v>144</v>
      </c>
      <c r="C30" s="381">
        <f>(C13+C18+C23)/3</f>
        <v>52.300000000000004</v>
      </c>
      <c r="D30" s="14"/>
      <c r="E30" s="376">
        <f>(C13+C18)/2</f>
        <v>48.15</v>
      </c>
      <c r="F30" s="377">
        <f>MAX(C13,C18)</f>
        <v>53</v>
      </c>
      <c r="G30" s="378">
        <f>ROUND(C4/(G4*F30^2*I16),3)</f>
        <v>18.545999999999999</v>
      </c>
      <c r="H30" s="15"/>
      <c r="I30" s="15"/>
      <c r="J30" s="14"/>
      <c r="K30" s="14"/>
      <c r="L30" s="14"/>
      <c r="M30" s="14"/>
      <c r="N30" s="14"/>
      <c r="O30" s="14"/>
    </row>
    <row r="31" spans="1:15" ht="22.7" customHeight="1">
      <c r="A31" s="14"/>
      <c r="F31" s="14"/>
      <c r="G31" s="14"/>
      <c r="H31" s="15"/>
      <c r="I31" s="15"/>
      <c r="J31" s="14"/>
      <c r="K31" s="14"/>
      <c r="L31" s="14"/>
      <c r="M31" s="14"/>
      <c r="N31" s="14"/>
      <c r="O31" s="14"/>
    </row>
    <row r="32" spans="1:15" ht="22.7" customHeight="1">
      <c r="A32" s="14"/>
      <c r="B32" s="14"/>
      <c r="C32" s="14"/>
      <c r="D32" s="14"/>
      <c r="E32" s="14"/>
      <c r="F32" s="14"/>
      <c r="G32" s="14"/>
      <c r="H32" s="15"/>
      <c r="I32" s="15"/>
      <c r="J32" s="14"/>
      <c r="K32" s="14"/>
      <c r="L32" s="14"/>
      <c r="M32" s="14"/>
      <c r="N32" s="14"/>
      <c r="O32" s="14"/>
    </row>
    <row r="33" spans="1:15" ht="22.7" customHeight="1">
      <c r="A33" s="14"/>
      <c r="D33" s="14"/>
      <c r="E33" s="14"/>
      <c r="F33" s="14"/>
      <c r="G33" s="14"/>
      <c r="H33" s="15"/>
      <c r="I33" s="15"/>
      <c r="J33" s="14"/>
      <c r="K33" s="14"/>
      <c r="L33" s="14"/>
      <c r="M33" s="14"/>
      <c r="N33" s="14"/>
      <c r="O33" s="14"/>
    </row>
    <row r="34" spans="1:15" ht="22.7" customHeight="1">
      <c r="A34" s="14"/>
      <c r="B34" s="14"/>
      <c r="C34" s="14"/>
      <c r="D34" s="14"/>
      <c r="E34" s="14"/>
      <c r="F34" s="14"/>
      <c r="G34" s="14"/>
      <c r="H34" s="15"/>
      <c r="I34" s="15"/>
      <c r="J34" s="14"/>
      <c r="K34" s="14"/>
      <c r="L34" s="14"/>
      <c r="M34" s="14"/>
      <c r="N34" s="14"/>
      <c r="O34" s="14"/>
    </row>
    <row r="35" spans="1:15" ht="22.7" customHeight="1">
      <c r="A35" s="14"/>
      <c r="B35" s="14"/>
      <c r="C35" s="14"/>
      <c r="D35" s="14"/>
      <c r="E35" s="14"/>
      <c r="F35" s="14"/>
      <c r="G35" s="14"/>
      <c r="H35" s="15"/>
      <c r="I35" s="15"/>
      <c r="J35" s="14"/>
      <c r="K35" s="14"/>
      <c r="L35" s="14"/>
      <c r="M35" s="14"/>
      <c r="N35" s="14"/>
      <c r="O35" s="14"/>
    </row>
    <row r="36" spans="1:15" ht="22.7" customHeight="1">
      <c r="A36" s="14"/>
      <c r="B36" s="14"/>
      <c r="C36" s="14"/>
      <c r="D36" s="14"/>
      <c r="E36" s="14"/>
      <c r="F36" s="14"/>
      <c r="G36" s="14"/>
      <c r="H36" s="15"/>
      <c r="I36" s="15"/>
      <c r="J36" s="14"/>
      <c r="K36" s="14"/>
      <c r="L36" s="14"/>
      <c r="M36" s="14"/>
      <c r="N36" s="14"/>
      <c r="O36" s="14"/>
    </row>
    <row r="37" spans="1:15" ht="22.7" customHeight="1">
      <c r="A37" s="14"/>
      <c r="B37" s="14"/>
      <c r="C37" s="14"/>
      <c r="D37" s="14"/>
      <c r="E37" s="14"/>
      <c r="F37" s="14"/>
      <c r="G37" s="14"/>
      <c r="H37" s="15"/>
      <c r="I37" s="15"/>
      <c r="J37" s="14"/>
      <c r="K37" s="14"/>
      <c r="L37" s="14"/>
      <c r="M37" s="14"/>
      <c r="N37" s="14"/>
      <c r="O37" s="14"/>
    </row>
    <row r="38" spans="1:15" ht="22.7" customHeight="1">
      <c r="A38" s="14"/>
      <c r="B38" s="14"/>
      <c r="C38" s="14"/>
      <c r="D38" s="14"/>
      <c r="E38" s="14"/>
      <c r="F38" s="14"/>
      <c r="G38" s="14"/>
      <c r="H38" s="15"/>
      <c r="I38" s="15"/>
      <c r="J38" s="14"/>
      <c r="K38" s="14"/>
      <c r="L38" s="14"/>
      <c r="M38" s="14"/>
      <c r="N38" s="14"/>
      <c r="O38" s="14"/>
    </row>
    <row r="39" spans="1:15" ht="22.7" customHeight="1">
      <c r="A39" s="14"/>
      <c r="B39" s="14"/>
      <c r="C39" s="14"/>
      <c r="D39" s="14"/>
      <c r="E39" s="14"/>
      <c r="F39" s="14"/>
      <c r="G39" s="14"/>
      <c r="H39" s="15"/>
      <c r="I39" s="15"/>
      <c r="J39" s="14"/>
      <c r="K39" s="14"/>
      <c r="L39" s="14"/>
      <c r="M39" s="14"/>
      <c r="N39" s="14"/>
      <c r="O39" s="14"/>
    </row>
    <row r="40" spans="1:15" ht="22.7" customHeight="1">
      <c r="A40" s="14"/>
      <c r="B40" s="14"/>
      <c r="C40" s="14"/>
      <c r="D40" s="14"/>
      <c r="E40" s="14"/>
      <c r="F40" s="14"/>
      <c r="G40" s="14"/>
      <c r="H40" s="15"/>
      <c r="I40" s="15"/>
      <c r="J40" s="14"/>
      <c r="K40" s="14"/>
      <c r="L40" s="14"/>
      <c r="M40" s="14"/>
      <c r="N40" s="14"/>
      <c r="O40" s="14"/>
    </row>
    <row r="41" spans="1:15" ht="16.5">
      <c r="A41" s="14"/>
      <c r="B41" s="14"/>
      <c r="C41" s="14"/>
      <c r="D41" s="14"/>
      <c r="E41" s="14"/>
      <c r="F41" s="14"/>
      <c r="G41" s="14"/>
      <c r="H41" s="15"/>
      <c r="I41" s="15"/>
      <c r="J41" s="14"/>
      <c r="K41" s="14"/>
      <c r="L41" s="14"/>
      <c r="M41" s="14"/>
      <c r="N41" s="14"/>
      <c r="O41" s="14"/>
    </row>
    <row r="42" spans="1:15" ht="16.5">
      <c r="A42" s="14"/>
      <c r="B42" s="14"/>
      <c r="C42" s="14"/>
      <c r="D42" s="14"/>
      <c r="E42" s="14"/>
      <c r="F42" s="14"/>
      <c r="G42" s="14"/>
      <c r="H42" s="15"/>
      <c r="I42" s="15"/>
      <c r="J42" s="14"/>
      <c r="K42" s="14"/>
      <c r="L42" s="14"/>
      <c r="M42" s="14"/>
      <c r="N42" s="14"/>
      <c r="O42" s="14"/>
    </row>
    <row r="43" spans="1:15" ht="16.5">
      <c r="A43" s="14"/>
      <c r="B43" s="14"/>
      <c r="C43" s="14"/>
      <c r="D43" s="14"/>
      <c r="E43" s="14"/>
      <c r="F43" s="14"/>
      <c r="G43" s="14"/>
      <c r="H43" s="15"/>
      <c r="I43" s="15"/>
      <c r="J43" s="14"/>
      <c r="K43" s="14"/>
      <c r="L43" s="14"/>
      <c r="M43" s="14"/>
      <c r="N43" s="14"/>
      <c r="O43" s="14"/>
    </row>
    <row r="44" spans="1:15" ht="16.5">
      <c r="A44" s="14"/>
      <c r="B44" s="14"/>
      <c r="C44" s="14"/>
      <c r="D44" s="14"/>
      <c r="E44" s="14"/>
      <c r="F44" s="14"/>
      <c r="G44" s="14"/>
      <c r="H44" s="15"/>
      <c r="I44" s="15"/>
      <c r="J44" s="14"/>
      <c r="K44" s="14"/>
      <c r="L44" s="14"/>
      <c r="M44" s="14"/>
      <c r="N44" s="14"/>
      <c r="O44" s="14"/>
    </row>
    <row r="45" spans="1:15" ht="16.5">
      <c r="A45" s="14"/>
      <c r="B45" s="14"/>
      <c r="C45" s="14"/>
      <c r="D45" s="14"/>
      <c r="E45" s="14"/>
      <c r="F45" s="14"/>
      <c r="G45" s="14"/>
      <c r="H45" s="15"/>
      <c r="I45" s="15"/>
      <c r="J45" s="14"/>
      <c r="K45" s="14"/>
      <c r="L45" s="14"/>
      <c r="M45" s="14"/>
      <c r="N45" s="14"/>
      <c r="O45" s="14"/>
    </row>
    <row r="46" spans="1:15" ht="16.5">
      <c r="A46" s="14"/>
      <c r="B46" s="14"/>
      <c r="C46" s="14"/>
      <c r="D46" s="14"/>
      <c r="E46" s="14"/>
      <c r="F46" s="14"/>
      <c r="G46" s="14"/>
      <c r="H46" s="15"/>
      <c r="I46" s="15"/>
      <c r="J46" s="14"/>
      <c r="K46" s="14"/>
      <c r="L46" s="14"/>
      <c r="M46" s="14"/>
      <c r="N46" s="14"/>
      <c r="O46" s="14"/>
    </row>
    <row r="47" spans="1:15" ht="16.5">
      <c r="A47" s="14"/>
      <c r="B47" s="14"/>
      <c r="C47" s="14"/>
      <c r="D47" s="14"/>
      <c r="E47" s="14"/>
      <c r="F47" s="14"/>
      <c r="G47" s="14"/>
      <c r="H47" s="15"/>
      <c r="I47" s="15"/>
      <c r="J47" s="14"/>
      <c r="K47" s="14"/>
      <c r="L47" s="14"/>
      <c r="M47" s="14"/>
      <c r="N47" s="14"/>
      <c r="O47" s="14"/>
    </row>
    <row r="48" spans="1:15" ht="16.5">
      <c r="A48" s="14"/>
      <c r="B48" s="14"/>
      <c r="C48" s="14"/>
      <c r="D48" s="14"/>
      <c r="E48" s="14"/>
      <c r="F48" s="14"/>
      <c r="G48" s="14"/>
      <c r="H48" s="15"/>
      <c r="I48" s="15"/>
      <c r="J48" s="14"/>
      <c r="K48" s="14"/>
      <c r="L48" s="14"/>
      <c r="M48" s="14"/>
      <c r="N48" s="14"/>
      <c r="O48" s="14"/>
    </row>
    <row r="49" spans="1:15" ht="16.5">
      <c r="A49" s="14"/>
      <c r="B49" s="14"/>
      <c r="C49" s="14"/>
      <c r="D49" s="14"/>
      <c r="E49" s="14"/>
      <c r="F49" s="14"/>
      <c r="G49" s="14"/>
      <c r="H49" s="15"/>
      <c r="I49" s="15"/>
      <c r="J49" s="14"/>
      <c r="K49" s="14"/>
      <c r="L49" s="14"/>
      <c r="M49" s="14"/>
      <c r="N49" s="14"/>
      <c r="O49" s="14"/>
    </row>
    <row r="50" spans="1:15" ht="16.5">
      <c r="A50" s="14"/>
      <c r="B50" s="14"/>
      <c r="C50" s="14"/>
      <c r="D50" s="14"/>
      <c r="E50" s="14"/>
      <c r="F50" s="14"/>
      <c r="G50" s="14"/>
      <c r="H50" s="15"/>
      <c r="I50" s="15"/>
      <c r="J50" s="14"/>
      <c r="K50" s="14"/>
      <c r="L50" s="14"/>
      <c r="M50" s="14"/>
      <c r="N50" s="14"/>
      <c r="O50" s="14"/>
    </row>
    <row r="51" spans="1:15" ht="16.5">
      <c r="A51" s="14"/>
      <c r="B51" s="14"/>
      <c r="C51" s="14"/>
      <c r="D51" s="14"/>
      <c r="E51" s="14"/>
      <c r="F51" s="14"/>
      <c r="G51" s="14"/>
      <c r="H51" s="15"/>
      <c r="I51" s="15"/>
      <c r="J51" s="14"/>
      <c r="K51" s="14"/>
      <c r="L51" s="14"/>
      <c r="M51" s="14"/>
      <c r="N51" s="14"/>
      <c r="O51" s="14"/>
    </row>
    <row r="52" spans="1:15" ht="16.5">
      <c r="A52" s="14"/>
      <c r="B52" s="14"/>
      <c r="C52" s="14"/>
      <c r="D52" s="14"/>
      <c r="E52" s="14"/>
      <c r="F52" s="14"/>
      <c r="G52" s="14"/>
      <c r="H52" s="15"/>
      <c r="I52" s="15"/>
      <c r="J52" s="14"/>
      <c r="K52" s="14"/>
      <c r="L52" s="14"/>
      <c r="M52" s="14"/>
      <c r="N52" s="14"/>
      <c r="O52" s="14"/>
    </row>
    <row r="53" spans="1:15" ht="16.5">
      <c r="A53" s="14"/>
      <c r="B53" s="14"/>
      <c r="C53" s="14"/>
      <c r="D53" s="14"/>
      <c r="E53" s="14"/>
      <c r="F53" s="14"/>
      <c r="G53" s="14"/>
      <c r="H53" s="15"/>
      <c r="I53" s="15"/>
      <c r="J53" s="14"/>
      <c r="K53" s="14"/>
      <c r="L53" s="14"/>
      <c r="M53" s="14"/>
      <c r="N53" s="14"/>
      <c r="O53" s="14"/>
    </row>
    <row r="54" spans="1:15" ht="16.5">
      <c r="A54" s="14"/>
      <c r="B54" s="14"/>
      <c r="C54" s="14"/>
      <c r="D54" s="14"/>
      <c r="E54" s="14"/>
      <c r="F54" s="14"/>
      <c r="G54" s="14"/>
      <c r="H54" s="15"/>
      <c r="I54" s="15"/>
      <c r="J54" s="14"/>
      <c r="K54" s="14"/>
      <c r="L54" s="14"/>
      <c r="M54" s="14"/>
      <c r="N54" s="14"/>
      <c r="O54" s="14"/>
    </row>
    <row r="55" spans="1:15" ht="16.5">
      <c r="A55" s="14"/>
      <c r="B55" s="14"/>
      <c r="C55" s="14"/>
      <c r="D55" s="14"/>
      <c r="E55" s="14"/>
      <c r="F55" s="14"/>
      <c r="G55" s="14"/>
      <c r="H55" s="15"/>
      <c r="I55" s="15"/>
      <c r="J55" s="14"/>
      <c r="K55" s="14"/>
      <c r="L55" s="14"/>
      <c r="M55" s="14"/>
      <c r="N55" s="14"/>
      <c r="O55" s="14"/>
    </row>
    <row r="56" spans="1:15" ht="16.5">
      <c r="A56" s="14"/>
      <c r="B56" s="14"/>
      <c r="C56" s="14"/>
      <c r="D56" s="14"/>
      <c r="E56" s="14"/>
      <c r="F56" s="14"/>
      <c r="G56" s="14"/>
      <c r="H56" s="15"/>
      <c r="I56" s="15"/>
      <c r="J56" s="14"/>
      <c r="K56" s="14"/>
      <c r="L56" s="14"/>
      <c r="M56" s="14"/>
      <c r="N56" s="14"/>
      <c r="O56" s="14"/>
    </row>
    <row r="57" spans="1:15" ht="16.5">
      <c r="A57" s="14"/>
      <c r="B57" s="14"/>
      <c r="C57" s="14"/>
      <c r="D57" s="14"/>
      <c r="E57" s="14"/>
      <c r="F57" s="14"/>
      <c r="G57" s="14"/>
      <c r="H57" s="15"/>
      <c r="I57" s="15"/>
      <c r="J57" s="14"/>
      <c r="K57" s="14"/>
      <c r="L57" s="14"/>
      <c r="M57" s="14"/>
      <c r="N57" s="14"/>
      <c r="O57" s="14"/>
    </row>
    <row r="58" spans="1:15" ht="16.5">
      <c r="A58" s="14"/>
      <c r="B58" s="14"/>
      <c r="C58" s="14"/>
      <c r="D58" s="14"/>
      <c r="E58" s="14"/>
      <c r="F58" s="14"/>
      <c r="G58" s="14"/>
      <c r="H58" s="15"/>
      <c r="I58" s="15"/>
      <c r="J58" s="14"/>
      <c r="K58" s="14"/>
      <c r="L58" s="14"/>
      <c r="M58" s="14"/>
      <c r="N58" s="14"/>
      <c r="O58" s="14"/>
    </row>
    <row r="59" spans="1:15" ht="16.5">
      <c r="A59" s="14"/>
      <c r="B59" s="14"/>
      <c r="C59" s="14"/>
      <c r="D59" s="14"/>
      <c r="E59" s="14"/>
      <c r="F59" s="14"/>
      <c r="G59" s="14"/>
      <c r="H59" s="15"/>
      <c r="I59" s="15"/>
      <c r="J59" s="14"/>
      <c r="K59" s="14"/>
      <c r="L59" s="14"/>
      <c r="M59" s="14"/>
      <c r="N59" s="14"/>
      <c r="O59" s="14"/>
    </row>
    <row r="60" spans="1:15" ht="16.5">
      <c r="A60" s="14"/>
      <c r="B60" s="14"/>
      <c r="C60" s="14"/>
      <c r="D60" s="14"/>
      <c r="E60" s="14"/>
      <c r="F60" s="14"/>
      <c r="G60" s="14"/>
      <c r="H60" s="15"/>
      <c r="I60" s="15"/>
      <c r="J60" s="14"/>
      <c r="K60" s="14"/>
      <c r="L60" s="14"/>
      <c r="M60" s="14"/>
      <c r="N60" s="14"/>
      <c r="O60" s="14"/>
    </row>
    <row r="61" spans="1:15" ht="16.5">
      <c r="A61" s="14"/>
      <c r="B61" s="14"/>
      <c r="C61" s="14"/>
      <c r="D61" s="14"/>
      <c r="E61" s="14"/>
      <c r="F61" s="14"/>
      <c r="G61" s="14"/>
      <c r="H61" s="15"/>
      <c r="I61" s="15"/>
      <c r="J61" s="14"/>
      <c r="K61" s="14"/>
      <c r="L61" s="14"/>
      <c r="M61" s="14"/>
      <c r="N61" s="14"/>
      <c r="O61" s="14"/>
    </row>
    <row r="62" spans="1:15" ht="16.5">
      <c r="A62" s="14"/>
      <c r="B62" s="14"/>
      <c r="C62" s="14"/>
      <c r="D62" s="14"/>
      <c r="E62" s="14"/>
      <c r="F62" s="14"/>
      <c r="G62" s="14"/>
      <c r="H62" s="15"/>
      <c r="I62" s="15"/>
      <c r="J62" s="14"/>
      <c r="K62" s="14"/>
      <c r="L62" s="14"/>
      <c r="M62" s="14"/>
      <c r="N62" s="14"/>
      <c r="O62" s="14"/>
    </row>
    <row r="63" spans="1:15" ht="16.5">
      <c r="A63" s="14"/>
      <c r="B63" s="14"/>
      <c r="C63" s="14"/>
      <c r="D63" s="14"/>
      <c r="E63" s="14"/>
      <c r="F63" s="14"/>
      <c r="G63" s="14"/>
      <c r="H63" s="15"/>
      <c r="I63" s="15"/>
      <c r="J63" s="14"/>
      <c r="K63" s="14"/>
      <c r="L63" s="14"/>
      <c r="M63" s="14"/>
      <c r="N63" s="14"/>
      <c r="O63" s="14"/>
    </row>
    <row r="64" spans="1:15" ht="16.5">
      <c r="A64" s="14"/>
      <c r="B64" s="14"/>
      <c r="C64" s="14"/>
      <c r="D64" s="14"/>
      <c r="E64" s="14"/>
      <c r="F64" s="14"/>
      <c r="G64" s="14"/>
      <c r="H64" s="15"/>
      <c r="I64" s="15"/>
      <c r="J64" s="14"/>
      <c r="K64" s="14"/>
      <c r="L64" s="14"/>
      <c r="M64" s="14"/>
      <c r="N64" s="14"/>
      <c r="O64" s="14"/>
    </row>
    <row r="65" spans="1:15" ht="16.5">
      <c r="A65" s="14"/>
      <c r="B65" s="14"/>
      <c r="C65" s="14"/>
      <c r="D65" s="14"/>
      <c r="E65" s="14"/>
      <c r="F65" s="14"/>
      <c r="G65" s="14"/>
      <c r="H65" s="15"/>
      <c r="I65" s="15"/>
      <c r="J65" s="14"/>
      <c r="K65" s="14"/>
      <c r="L65" s="14"/>
      <c r="M65" s="14"/>
      <c r="N65" s="14"/>
      <c r="O65" s="14"/>
    </row>
    <row r="66" spans="1:15" ht="16.5">
      <c r="A66" s="14"/>
      <c r="B66" s="14"/>
      <c r="C66" s="14"/>
      <c r="D66" s="14"/>
      <c r="E66" s="14"/>
      <c r="F66" s="14"/>
      <c r="G66" s="14"/>
      <c r="H66" s="15"/>
      <c r="I66" s="15"/>
      <c r="J66" s="14"/>
      <c r="K66" s="14"/>
      <c r="L66" s="14"/>
      <c r="M66" s="14"/>
      <c r="N66" s="14"/>
      <c r="O66" s="14"/>
    </row>
    <row r="67" spans="1:15" ht="16.5">
      <c r="A67" s="14"/>
      <c r="B67" s="14"/>
      <c r="C67" s="14"/>
      <c r="D67" s="14"/>
      <c r="E67" s="14"/>
      <c r="F67" s="14"/>
      <c r="G67" s="14"/>
      <c r="H67" s="15"/>
      <c r="I67" s="15"/>
      <c r="J67" s="14"/>
      <c r="K67" s="14"/>
      <c r="L67" s="14"/>
      <c r="M67" s="14"/>
      <c r="N67" s="14"/>
      <c r="O67" s="14"/>
    </row>
    <row r="68" spans="1:15" ht="16.5">
      <c r="A68" s="14"/>
      <c r="B68" s="14"/>
      <c r="C68" s="14"/>
      <c r="D68" s="14"/>
      <c r="E68" s="14"/>
      <c r="F68" s="14"/>
      <c r="G68" s="14"/>
      <c r="H68" s="15"/>
      <c r="I68" s="15"/>
      <c r="J68" s="14"/>
      <c r="K68" s="14"/>
      <c r="L68" s="14"/>
      <c r="M68" s="14"/>
      <c r="N68" s="14"/>
      <c r="O68" s="14"/>
    </row>
    <row r="69" spans="1:15" ht="16.5">
      <c r="A69" s="14"/>
      <c r="B69" s="14"/>
      <c r="C69" s="14"/>
      <c r="D69" s="14"/>
      <c r="E69" s="14"/>
      <c r="F69" s="14"/>
      <c r="G69" s="14"/>
      <c r="H69" s="15"/>
      <c r="I69" s="15"/>
      <c r="J69" s="14"/>
      <c r="K69" s="14"/>
      <c r="L69" s="14"/>
      <c r="M69" s="14"/>
      <c r="N69" s="14"/>
      <c r="O69" s="14"/>
    </row>
    <row r="70" spans="1:15" ht="16.5">
      <c r="A70" s="14"/>
      <c r="B70" s="14"/>
      <c r="C70" s="14"/>
      <c r="D70" s="14"/>
      <c r="E70" s="14"/>
      <c r="F70" s="14"/>
      <c r="G70" s="14"/>
      <c r="H70" s="15"/>
      <c r="I70" s="15"/>
      <c r="J70" s="14"/>
      <c r="K70" s="14"/>
      <c r="L70" s="14"/>
      <c r="M70" s="14"/>
      <c r="N70" s="14"/>
      <c r="O70" s="14"/>
    </row>
    <row r="71" spans="1:15" ht="16.5">
      <c r="A71" s="14"/>
      <c r="B71" s="14"/>
      <c r="C71" s="14"/>
      <c r="D71" s="14"/>
      <c r="E71" s="14"/>
      <c r="F71" s="14"/>
      <c r="G71" s="14"/>
      <c r="H71" s="15"/>
      <c r="I71" s="15"/>
      <c r="J71" s="14"/>
      <c r="K71" s="14"/>
      <c r="L71" s="14"/>
      <c r="M71" s="14"/>
      <c r="N71" s="14"/>
      <c r="O71" s="14"/>
    </row>
    <row r="72" spans="1:15" ht="16.5">
      <c r="A72" s="14"/>
      <c r="B72" s="14"/>
      <c r="C72" s="14"/>
      <c r="D72" s="14"/>
      <c r="E72" s="14"/>
      <c r="F72" s="14"/>
      <c r="G72" s="14"/>
      <c r="H72" s="15"/>
      <c r="I72" s="15"/>
      <c r="J72" s="14"/>
      <c r="K72" s="14"/>
      <c r="L72" s="14"/>
      <c r="M72" s="14"/>
      <c r="N72" s="14"/>
      <c r="O72" s="14"/>
    </row>
    <row r="73" spans="1:15" ht="16.5">
      <c r="A73" s="14"/>
      <c r="B73" s="14"/>
      <c r="C73" s="14"/>
      <c r="D73" s="14"/>
      <c r="E73" s="14"/>
      <c r="F73" s="14"/>
      <c r="G73" s="14"/>
      <c r="H73" s="15"/>
      <c r="I73" s="15"/>
      <c r="J73" s="14"/>
      <c r="K73" s="14"/>
      <c r="L73" s="14"/>
      <c r="M73" s="14"/>
      <c r="N73" s="14"/>
      <c r="O73" s="14"/>
    </row>
    <row r="74" spans="1:15" ht="16.5">
      <c r="A74" s="14"/>
      <c r="B74" s="14"/>
      <c r="C74" s="14"/>
      <c r="D74" s="14"/>
      <c r="E74" s="14"/>
      <c r="F74" s="14"/>
      <c r="G74" s="14"/>
      <c r="H74" s="15"/>
      <c r="I74" s="15"/>
      <c r="J74" s="14"/>
      <c r="K74" s="14"/>
      <c r="L74" s="14"/>
      <c r="M74" s="14"/>
      <c r="N74" s="14"/>
      <c r="O74" s="14"/>
    </row>
    <row r="75" spans="1:15" ht="16.5">
      <c r="A75" s="14"/>
      <c r="B75" s="14"/>
      <c r="C75" s="14"/>
      <c r="D75" s="14"/>
      <c r="E75" s="14"/>
      <c r="F75" s="14"/>
      <c r="G75" s="14"/>
      <c r="H75" s="15"/>
      <c r="I75" s="15"/>
      <c r="J75" s="14"/>
      <c r="K75" s="14"/>
      <c r="L75" s="14"/>
      <c r="M75" s="14"/>
      <c r="N75" s="14"/>
      <c r="O75" s="14"/>
    </row>
    <row r="76" spans="1:15" ht="16.5">
      <c r="A76" s="14"/>
      <c r="B76" s="14"/>
      <c r="C76" s="14"/>
      <c r="D76" s="14"/>
      <c r="E76" s="14"/>
      <c r="F76" s="14"/>
      <c r="G76" s="14"/>
      <c r="H76" s="15"/>
      <c r="I76" s="15"/>
      <c r="J76" s="14"/>
      <c r="K76" s="14"/>
      <c r="L76" s="14"/>
      <c r="M76" s="14"/>
      <c r="N76" s="14"/>
      <c r="O76" s="14"/>
    </row>
    <row r="77" spans="1:15" ht="16.5">
      <c r="A77" s="14"/>
      <c r="B77" s="14"/>
      <c r="C77" s="14"/>
      <c r="D77" s="14"/>
      <c r="E77" s="14"/>
      <c r="F77" s="14"/>
      <c r="G77" s="14"/>
      <c r="H77" s="15"/>
      <c r="I77" s="15"/>
      <c r="J77" s="14"/>
      <c r="K77" s="14"/>
      <c r="L77" s="14"/>
      <c r="M77" s="14"/>
      <c r="N77" s="14"/>
      <c r="O77" s="14"/>
    </row>
    <row r="78" spans="1:15" ht="16.5">
      <c r="A78" s="14"/>
      <c r="B78" s="14"/>
      <c r="C78" s="14"/>
      <c r="D78" s="14"/>
      <c r="E78" s="14"/>
      <c r="F78" s="14"/>
      <c r="G78" s="14"/>
      <c r="H78" s="15"/>
      <c r="I78" s="15"/>
      <c r="J78" s="14"/>
      <c r="K78" s="14"/>
      <c r="L78" s="14"/>
      <c r="M78" s="14"/>
      <c r="N78" s="14"/>
      <c r="O78" s="14"/>
    </row>
    <row r="79" spans="1:15" ht="16.5">
      <c r="A79" s="14"/>
      <c r="B79" s="14"/>
      <c r="C79" s="14"/>
      <c r="D79" s="14"/>
      <c r="E79" s="14"/>
      <c r="F79" s="14"/>
      <c r="G79" s="14"/>
      <c r="H79" s="15"/>
      <c r="I79" s="15"/>
      <c r="J79" s="14"/>
      <c r="K79" s="14"/>
      <c r="L79" s="14"/>
      <c r="M79" s="14"/>
      <c r="N79" s="14"/>
      <c r="O79" s="14"/>
    </row>
    <row r="80" spans="1:15" ht="16.5">
      <c r="A80" s="14"/>
      <c r="B80" s="14"/>
      <c r="C80" s="14"/>
      <c r="D80" s="14"/>
      <c r="E80" s="14"/>
      <c r="F80" s="14"/>
      <c r="G80" s="14"/>
      <c r="H80" s="15"/>
      <c r="I80" s="15"/>
      <c r="J80" s="14"/>
      <c r="K80" s="14"/>
      <c r="L80" s="14"/>
      <c r="M80" s="14"/>
      <c r="N80" s="14"/>
      <c r="O80" s="14"/>
    </row>
    <row r="81" spans="1:15" ht="16.5">
      <c r="A81" s="14"/>
      <c r="B81" s="14"/>
      <c r="C81" s="14"/>
      <c r="D81" s="14"/>
      <c r="E81" s="14"/>
      <c r="F81" s="14"/>
      <c r="G81" s="14"/>
      <c r="H81" s="15"/>
      <c r="I81" s="15"/>
      <c r="J81" s="14"/>
      <c r="K81" s="14"/>
      <c r="L81" s="14"/>
      <c r="M81" s="14"/>
      <c r="N81" s="14"/>
      <c r="O81" s="14"/>
    </row>
    <row r="82" spans="1:15" ht="16.5">
      <c r="A82" s="14"/>
      <c r="B82" s="14"/>
      <c r="C82" s="14"/>
      <c r="D82" s="14"/>
      <c r="E82" s="14"/>
      <c r="F82" s="14"/>
      <c r="G82" s="14"/>
      <c r="H82" s="15"/>
      <c r="I82" s="15"/>
      <c r="J82" s="14"/>
      <c r="K82" s="14"/>
      <c r="L82" s="14"/>
      <c r="M82" s="14"/>
      <c r="N82" s="14"/>
      <c r="O82" s="14"/>
    </row>
    <row r="83" spans="1:15" ht="16.5">
      <c r="A83" s="14"/>
      <c r="B83" s="14"/>
      <c r="C83" s="14"/>
      <c r="D83" s="14"/>
      <c r="E83" s="14"/>
      <c r="F83" s="14"/>
      <c r="G83" s="14"/>
      <c r="H83" s="15"/>
      <c r="I83" s="15"/>
      <c r="J83" s="14"/>
      <c r="K83" s="14"/>
      <c r="L83" s="14"/>
      <c r="M83" s="14"/>
      <c r="N83" s="14"/>
      <c r="O83" s="14"/>
    </row>
    <row r="84" spans="1:15" ht="16.5">
      <c r="A84" s="14"/>
      <c r="B84" s="14"/>
      <c r="C84" s="14"/>
      <c r="D84" s="14"/>
      <c r="E84" s="14"/>
      <c r="F84" s="14"/>
      <c r="G84" s="14"/>
      <c r="H84" s="15"/>
      <c r="I84" s="15"/>
      <c r="J84" s="14"/>
      <c r="K84" s="14"/>
      <c r="L84" s="14"/>
      <c r="M84" s="14"/>
      <c r="N84" s="14"/>
      <c r="O84" s="14"/>
    </row>
    <row r="85" spans="1:15" ht="16.5">
      <c r="A85" s="14"/>
      <c r="B85" s="14"/>
      <c r="C85" s="14"/>
      <c r="D85" s="14"/>
      <c r="E85" s="14"/>
      <c r="F85" s="14"/>
      <c r="G85" s="14"/>
      <c r="H85" s="15"/>
      <c r="I85" s="15"/>
      <c r="J85" s="14"/>
      <c r="K85" s="14"/>
      <c r="L85" s="14"/>
      <c r="M85" s="14"/>
      <c r="N85" s="14"/>
      <c r="O85" s="14"/>
    </row>
    <row r="86" spans="1:15" ht="16.5">
      <c r="A86" s="14"/>
      <c r="B86" s="14"/>
      <c r="C86" s="14"/>
      <c r="D86" s="14"/>
      <c r="E86" s="14"/>
      <c r="F86" s="14"/>
      <c r="G86" s="14"/>
      <c r="H86" s="15"/>
      <c r="I86" s="15"/>
      <c r="J86" s="14"/>
      <c r="K86" s="14"/>
      <c r="L86" s="14"/>
      <c r="M86" s="14"/>
      <c r="N86" s="14"/>
      <c r="O86" s="14"/>
    </row>
    <row r="87" spans="1:15" ht="16.5">
      <c r="A87" s="14"/>
      <c r="B87" s="14"/>
      <c r="C87" s="14"/>
      <c r="D87" s="14"/>
      <c r="E87" s="14"/>
      <c r="F87" s="14"/>
      <c r="G87" s="14"/>
      <c r="H87" s="15"/>
      <c r="I87" s="15"/>
      <c r="J87" s="14"/>
      <c r="K87" s="14"/>
      <c r="L87" s="14"/>
      <c r="M87" s="14"/>
      <c r="N87" s="14"/>
      <c r="O87" s="14"/>
    </row>
    <row r="88" spans="1:15" ht="16.5">
      <c r="A88" s="14"/>
      <c r="B88" s="14"/>
      <c r="C88" s="14"/>
      <c r="D88" s="14"/>
      <c r="E88" s="14"/>
      <c r="F88" s="14"/>
      <c r="G88" s="14"/>
      <c r="H88" s="15"/>
      <c r="I88" s="15"/>
      <c r="J88" s="14"/>
      <c r="K88" s="14"/>
      <c r="L88" s="14"/>
      <c r="M88" s="14"/>
      <c r="N88" s="14"/>
      <c r="O88" s="14"/>
    </row>
    <row r="89" spans="1:15" ht="16.5">
      <c r="A89" s="14"/>
      <c r="B89" s="14"/>
      <c r="C89" s="14"/>
      <c r="D89" s="14"/>
      <c r="E89" s="14"/>
      <c r="F89" s="14"/>
      <c r="G89" s="14"/>
      <c r="H89" s="15"/>
      <c r="I89" s="15"/>
      <c r="J89" s="14"/>
      <c r="K89" s="14"/>
      <c r="L89" s="14"/>
      <c r="M89" s="14"/>
      <c r="N89" s="14"/>
      <c r="O89" s="14"/>
    </row>
    <row r="90" spans="1:15" ht="16.5">
      <c r="A90" s="14"/>
      <c r="B90" s="14"/>
      <c r="C90" s="14"/>
      <c r="D90" s="14"/>
      <c r="E90" s="14"/>
      <c r="F90" s="14"/>
      <c r="G90" s="14"/>
      <c r="H90" s="15"/>
      <c r="I90" s="15"/>
      <c r="J90" s="14"/>
      <c r="K90" s="14"/>
      <c r="L90" s="14"/>
      <c r="M90" s="14"/>
      <c r="N90" s="14"/>
      <c r="O90" s="14"/>
    </row>
    <row r="91" spans="1:15" ht="16.5">
      <c r="A91" s="14"/>
      <c r="B91" s="14"/>
      <c r="C91" s="14"/>
      <c r="D91" s="14"/>
      <c r="E91" s="14"/>
      <c r="F91" s="14"/>
      <c r="G91" s="14"/>
      <c r="H91" s="15"/>
      <c r="I91" s="15"/>
      <c r="J91" s="14"/>
      <c r="K91" s="14"/>
      <c r="L91" s="14"/>
      <c r="M91" s="14"/>
      <c r="N91" s="14"/>
      <c r="O91" s="14"/>
    </row>
    <row r="92" spans="1:15" ht="16.5">
      <c r="A92" s="14"/>
      <c r="B92" s="14"/>
      <c r="C92" s="14"/>
      <c r="D92" s="14"/>
      <c r="E92" s="14"/>
      <c r="F92" s="14"/>
      <c r="G92" s="14"/>
      <c r="H92" s="15"/>
      <c r="I92" s="15"/>
      <c r="J92" s="14"/>
      <c r="K92" s="14"/>
      <c r="L92" s="14"/>
      <c r="M92" s="14"/>
      <c r="N92" s="14"/>
      <c r="O92" s="14"/>
    </row>
    <row r="93" spans="1:15" ht="16.5">
      <c r="A93" s="14"/>
      <c r="B93" s="14"/>
      <c r="C93" s="14"/>
      <c r="D93" s="14"/>
      <c r="E93" s="14"/>
      <c r="F93" s="14"/>
      <c r="G93" s="14"/>
      <c r="H93" s="15"/>
      <c r="I93" s="15"/>
      <c r="J93" s="14"/>
      <c r="K93" s="14"/>
      <c r="L93" s="14"/>
      <c r="M93" s="14"/>
      <c r="N93" s="14"/>
      <c r="O93" s="14"/>
    </row>
    <row r="94" spans="1:15" ht="16.5">
      <c r="A94" s="14"/>
      <c r="B94" s="14"/>
      <c r="C94" s="14"/>
      <c r="D94" s="14"/>
      <c r="E94" s="14"/>
      <c r="F94" s="14"/>
      <c r="G94" s="14"/>
      <c r="H94" s="15"/>
      <c r="I94" s="15"/>
      <c r="J94" s="14"/>
      <c r="K94" s="14"/>
      <c r="L94" s="14"/>
      <c r="M94" s="14"/>
      <c r="N94" s="14"/>
      <c r="O94" s="14"/>
    </row>
    <row r="95" spans="1:15" ht="16.5">
      <c r="A95" s="14"/>
      <c r="B95" s="14"/>
      <c r="C95" s="14"/>
      <c r="D95" s="14"/>
      <c r="E95" s="14"/>
      <c r="F95" s="14"/>
      <c r="G95" s="14"/>
      <c r="H95" s="15"/>
      <c r="I95" s="15"/>
      <c r="J95" s="14"/>
      <c r="K95" s="14"/>
      <c r="L95" s="14"/>
      <c r="M95" s="14"/>
      <c r="N95" s="14"/>
      <c r="O95" s="14"/>
    </row>
    <row r="96" spans="1:15" ht="16.5">
      <c r="A96" s="14"/>
      <c r="B96" s="14"/>
      <c r="C96" s="14"/>
      <c r="D96" s="14"/>
      <c r="E96" s="14"/>
      <c r="F96" s="14"/>
      <c r="G96" s="14"/>
      <c r="H96" s="15"/>
      <c r="I96" s="15"/>
      <c r="J96" s="14"/>
      <c r="K96" s="14"/>
      <c r="L96" s="14"/>
      <c r="M96" s="14"/>
      <c r="N96" s="14"/>
      <c r="O96" s="14"/>
    </row>
    <row r="97" spans="1:15" ht="16.5">
      <c r="A97" s="14"/>
      <c r="B97" s="14"/>
      <c r="C97" s="14"/>
      <c r="D97" s="14"/>
      <c r="E97" s="14"/>
      <c r="F97" s="14"/>
      <c r="G97" s="14"/>
      <c r="H97" s="15"/>
      <c r="I97" s="15"/>
      <c r="J97" s="14"/>
      <c r="K97" s="14"/>
      <c r="L97" s="14"/>
      <c r="M97" s="14"/>
      <c r="N97" s="14"/>
      <c r="O97" s="14"/>
    </row>
    <row r="98" spans="1:15" ht="16.5">
      <c r="A98" s="14"/>
      <c r="B98" s="14"/>
      <c r="C98" s="14"/>
      <c r="D98" s="14"/>
      <c r="E98" s="14"/>
      <c r="F98" s="14"/>
      <c r="G98" s="14"/>
      <c r="H98" s="15"/>
      <c r="I98" s="15"/>
      <c r="J98" s="14"/>
      <c r="K98" s="14"/>
      <c r="L98" s="14"/>
      <c r="M98" s="14"/>
      <c r="N98" s="14"/>
      <c r="O98" s="14"/>
    </row>
    <row r="99" spans="1:15" ht="16.5">
      <c r="A99" s="14"/>
      <c r="B99" s="14"/>
      <c r="C99" s="14"/>
      <c r="D99" s="14"/>
      <c r="E99" s="14"/>
      <c r="F99" s="14"/>
      <c r="G99" s="14"/>
      <c r="H99" s="15"/>
      <c r="I99" s="15"/>
      <c r="J99" s="14"/>
      <c r="K99" s="14"/>
      <c r="L99" s="14"/>
      <c r="M99" s="14"/>
      <c r="N99" s="14"/>
      <c r="O99" s="14"/>
    </row>
    <row r="100" spans="1:15" ht="16.5">
      <c r="A100" s="14"/>
      <c r="B100" s="14"/>
      <c r="C100" s="14"/>
      <c r="D100" s="14"/>
      <c r="E100" s="14"/>
      <c r="F100" s="14"/>
      <c r="G100" s="14"/>
      <c r="H100" s="15"/>
      <c r="I100" s="15"/>
      <c r="J100" s="14"/>
      <c r="K100" s="14"/>
      <c r="L100" s="14"/>
      <c r="M100" s="14"/>
      <c r="N100" s="14"/>
      <c r="O100" s="14"/>
    </row>
    <row r="101" spans="1:15" ht="16.5">
      <c r="A101" s="14"/>
      <c r="B101" s="14"/>
      <c r="C101" s="14"/>
      <c r="D101" s="14"/>
      <c r="E101" s="14"/>
      <c r="F101" s="14"/>
      <c r="G101" s="14"/>
      <c r="H101" s="15"/>
      <c r="I101" s="15"/>
      <c r="J101" s="14"/>
      <c r="K101" s="14"/>
      <c r="L101" s="14"/>
      <c r="M101" s="14"/>
      <c r="N101" s="14"/>
      <c r="O101" s="14"/>
    </row>
    <row r="102" spans="1:15" ht="16.5">
      <c r="A102" s="14"/>
      <c r="B102" s="14"/>
      <c r="C102" s="14"/>
      <c r="D102" s="14"/>
      <c r="E102" s="14"/>
      <c r="F102" s="14"/>
      <c r="G102" s="14"/>
      <c r="H102" s="15"/>
      <c r="I102" s="15"/>
      <c r="J102" s="14"/>
      <c r="K102" s="14"/>
      <c r="L102" s="14"/>
      <c r="M102" s="14"/>
      <c r="N102" s="14"/>
      <c r="O102" s="14"/>
    </row>
    <row r="103" spans="1:15" ht="16.5">
      <c r="A103" s="14"/>
      <c r="B103" s="14"/>
      <c r="C103" s="14"/>
      <c r="D103" s="14"/>
      <c r="E103" s="14"/>
      <c r="F103" s="14"/>
      <c r="G103" s="14"/>
      <c r="H103" s="15"/>
      <c r="I103" s="15"/>
      <c r="J103" s="14"/>
      <c r="K103" s="14"/>
      <c r="L103" s="14"/>
      <c r="M103" s="14"/>
      <c r="N103" s="14"/>
      <c r="O103" s="14"/>
    </row>
    <row r="104" spans="1:15" ht="16.5">
      <c r="A104" s="14"/>
      <c r="B104" s="14"/>
      <c r="C104" s="14"/>
      <c r="D104" s="14"/>
      <c r="E104" s="14"/>
      <c r="F104" s="14"/>
      <c r="G104" s="14"/>
      <c r="H104" s="15"/>
      <c r="I104" s="15"/>
      <c r="J104" s="14"/>
      <c r="K104" s="14"/>
      <c r="L104" s="14"/>
      <c r="M104" s="14"/>
      <c r="N104" s="14"/>
      <c r="O104" s="14"/>
    </row>
    <row r="105" spans="1:15" ht="16.5">
      <c r="A105" s="14"/>
      <c r="B105" s="14"/>
      <c r="C105" s="14"/>
      <c r="D105" s="14"/>
      <c r="E105" s="14"/>
      <c r="F105" s="14"/>
      <c r="G105" s="14"/>
      <c r="H105" s="15"/>
      <c r="I105" s="15"/>
      <c r="J105" s="14"/>
      <c r="K105" s="14"/>
      <c r="L105" s="14"/>
      <c r="M105" s="14"/>
      <c r="N105" s="14"/>
      <c r="O105" s="14"/>
    </row>
    <row r="106" spans="1:15" ht="16.5">
      <c r="A106" s="14"/>
      <c r="B106" s="14"/>
      <c r="C106" s="14"/>
      <c r="D106" s="14"/>
      <c r="E106" s="14"/>
      <c r="F106" s="14"/>
      <c r="G106" s="14"/>
      <c r="H106" s="15"/>
      <c r="I106" s="15"/>
      <c r="J106" s="14"/>
      <c r="K106" s="14"/>
      <c r="L106" s="14"/>
      <c r="M106" s="14"/>
      <c r="N106" s="14"/>
      <c r="O106" s="14"/>
    </row>
    <row r="107" spans="1:15" ht="16.5">
      <c r="A107" s="14"/>
      <c r="B107" s="14"/>
      <c r="C107" s="14"/>
      <c r="D107" s="14"/>
      <c r="E107" s="14"/>
      <c r="F107" s="14"/>
      <c r="G107" s="14"/>
      <c r="H107" s="15"/>
      <c r="I107" s="15"/>
      <c r="J107" s="14"/>
      <c r="K107" s="14"/>
      <c r="L107" s="14"/>
      <c r="M107" s="14"/>
      <c r="N107" s="14"/>
      <c r="O107" s="14"/>
    </row>
    <row r="108" spans="1:15" ht="16.5">
      <c r="A108" s="14"/>
      <c r="B108" s="14"/>
      <c r="C108" s="14"/>
      <c r="D108" s="14"/>
      <c r="E108" s="14"/>
      <c r="F108" s="14"/>
      <c r="G108" s="14"/>
      <c r="H108" s="15"/>
      <c r="I108" s="15"/>
      <c r="J108" s="14"/>
      <c r="K108" s="14"/>
      <c r="L108" s="14"/>
      <c r="M108" s="14"/>
      <c r="N108" s="14"/>
      <c r="O108" s="14"/>
    </row>
    <row r="109" spans="1:15" ht="16.5">
      <c r="A109" s="14"/>
      <c r="B109" s="14"/>
      <c r="C109" s="14"/>
      <c r="D109" s="14"/>
      <c r="E109" s="14"/>
      <c r="F109" s="14"/>
      <c r="G109" s="14"/>
      <c r="H109" s="15"/>
      <c r="I109" s="15"/>
      <c r="J109" s="14"/>
      <c r="K109" s="14"/>
      <c r="L109" s="14"/>
      <c r="M109" s="14"/>
      <c r="N109" s="14"/>
      <c r="O109" s="14"/>
    </row>
    <row r="110" spans="1:15" ht="16.5">
      <c r="A110" s="14"/>
      <c r="B110" s="14"/>
      <c r="C110" s="14"/>
      <c r="D110" s="14"/>
      <c r="E110" s="14"/>
      <c r="F110" s="14"/>
      <c r="G110" s="14"/>
      <c r="H110" s="15"/>
      <c r="I110" s="15"/>
      <c r="J110" s="14"/>
      <c r="K110" s="14"/>
      <c r="L110" s="14"/>
      <c r="M110" s="14"/>
      <c r="N110" s="14"/>
      <c r="O110" s="14"/>
    </row>
    <row r="111" spans="1:15" ht="16.5">
      <c r="A111" s="14"/>
      <c r="B111" s="14"/>
      <c r="C111" s="14"/>
      <c r="D111" s="14"/>
      <c r="E111" s="14"/>
      <c r="F111" s="14"/>
      <c r="G111" s="14"/>
      <c r="H111" s="15"/>
      <c r="I111" s="15"/>
      <c r="J111" s="14"/>
      <c r="K111" s="14"/>
      <c r="L111" s="14"/>
      <c r="M111" s="14"/>
      <c r="N111" s="14"/>
      <c r="O111" s="14"/>
    </row>
    <row r="112" spans="1:15" ht="16.5">
      <c r="A112" s="14"/>
      <c r="B112" s="14"/>
      <c r="C112" s="14"/>
      <c r="D112" s="14"/>
      <c r="E112" s="14"/>
      <c r="F112" s="14"/>
      <c r="G112" s="14"/>
      <c r="H112" s="15"/>
      <c r="I112" s="15"/>
      <c r="J112" s="14"/>
      <c r="K112" s="14"/>
      <c r="L112" s="14"/>
      <c r="M112" s="14"/>
      <c r="N112" s="14"/>
      <c r="O112" s="14"/>
    </row>
    <row r="113" spans="1:15" ht="16.5">
      <c r="A113" s="14"/>
      <c r="B113" s="14"/>
      <c r="C113" s="14"/>
      <c r="D113" s="14"/>
      <c r="E113" s="14"/>
      <c r="F113" s="14"/>
      <c r="G113" s="14"/>
      <c r="H113" s="15"/>
      <c r="I113" s="15"/>
      <c r="J113" s="14"/>
      <c r="K113" s="14"/>
      <c r="L113" s="14"/>
      <c r="M113" s="14"/>
      <c r="N113" s="14"/>
      <c r="O113" s="14"/>
    </row>
    <row r="114" spans="1:15" ht="16.5">
      <c r="A114" s="14"/>
      <c r="B114" s="14"/>
      <c r="C114" s="14"/>
      <c r="D114" s="14"/>
      <c r="E114" s="14"/>
      <c r="F114" s="14"/>
      <c r="G114" s="14"/>
      <c r="H114" s="15"/>
      <c r="I114" s="15"/>
      <c r="J114" s="14"/>
      <c r="K114" s="14"/>
      <c r="L114" s="14"/>
      <c r="M114" s="14"/>
      <c r="N114" s="14"/>
      <c r="O114" s="14"/>
    </row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autoPict="0" r:id="rId5">
            <anchor moveWithCells="1">
              <from>
                <xdr:col>9</xdr:col>
                <xdr:colOff>57150</xdr:colOff>
                <xdr:row>2</xdr:row>
                <xdr:rowOff>38100</xdr:rowOff>
              </from>
              <to>
                <xdr:col>11</xdr:col>
                <xdr:colOff>57150</xdr:colOff>
                <xdr:row>3</xdr:row>
                <xdr:rowOff>171450</xdr:rowOff>
              </to>
            </anchor>
          </controlPr>
        </control>
      </mc:Choice>
      <mc:Fallback>
        <control shapeId="3073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1915C56-1DCD-4D82-B707-754685847D41}">
          <x14:formula1>
            <xm:f>REF!$H$4:$H$7</xm:f>
          </x14:formula1>
          <xm:sqref>H10</xm:sqref>
        </x14:dataValidation>
        <x14:dataValidation type="list" allowBlank="1" showInputMessage="1" showErrorMessage="1" xr:uid="{C36E3418-B9F7-4E73-A74A-E520DF873976}">
          <x14:formula1>
            <xm:f>REF!$G$4:$G$6</xm:f>
          </x14:formula1>
          <xm:sqref>F4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5DFD2-1790-45C1-878B-6249DE9BF605}">
  <sheetPr codeName="shYield">
    <tabColor rgb="FF00B0F0"/>
  </sheetPr>
  <dimension ref="A1:B15"/>
  <sheetViews>
    <sheetView workbookViewId="0">
      <selection activeCell="D15" sqref="D15"/>
    </sheetView>
  </sheetViews>
  <sheetFormatPr defaultColWidth="9" defaultRowHeight="16.5"/>
  <cols>
    <col min="1" max="1" width="20.75" style="40" bestFit="1" customWidth="1"/>
    <col min="2" max="2" width="8.375" style="99" bestFit="1" customWidth="1"/>
    <col min="3" max="16384" width="9" style="41"/>
  </cols>
  <sheetData>
    <row r="1" spans="1:2" ht="20.100000000000001" customHeight="1"/>
    <row r="2" spans="1:2" ht="20.100000000000001" customHeight="1">
      <c r="A2" s="40" t="s">
        <v>145</v>
      </c>
      <c r="B2" s="155">
        <f>StepTest!B12</f>
        <v>94</v>
      </c>
    </row>
    <row r="3" spans="1:2" ht="20.100000000000001" customHeight="1">
      <c r="A3" s="42" t="s">
        <v>146</v>
      </c>
      <c r="B3" s="156">
        <f>StepTest!G31</f>
        <v>6.64</v>
      </c>
    </row>
    <row r="4" spans="1:2" ht="20.100000000000001" customHeight="1">
      <c r="A4" s="42" t="s">
        <v>147</v>
      </c>
      <c r="B4" s="157">
        <f>StepTest!G46</f>
        <v>14.13</v>
      </c>
    </row>
    <row r="5" spans="1:2" ht="20.100000000000001" customHeight="1">
      <c r="A5" s="43" t="s">
        <v>148</v>
      </c>
      <c r="B5" s="157">
        <f>2/3</f>
        <v>0.66666666666666663</v>
      </c>
    </row>
    <row r="6" spans="1:2" ht="20.100000000000001" customHeight="1">
      <c r="A6" s="42"/>
      <c r="B6" s="157"/>
    </row>
    <row r="7" spans="1:2" ht="20.100000000000001" customHeight="1">
      <c r="A7" s="42" t="s">
        <v>149</v>
      </c>
      <c r="B7" s="157">
        <f>B2*(B4/B3)^(2/3)</f>
        <v>155.516775123532</v>
      </c>
    </row>
    <row r="8" spans="1:2" ht="20.100000000000001" customHeight="1">
      <c r="A8" s="42" t="s">
        <v>150</v>
      </c>
      <c r="B8" s="157">
        <f>INT(B7)</f>
        <v>155</v>
      </c>
    </row>
    <row r="9" spans="1:2" ht="24.75" customHeight="1">
      <c r="B9" s="157"/>
    </row>
    <row r="10" spans="1:2" ht="24.75" customHeight="1">
      <c r="B10" s="157"/>
    </row>
    <row r="11" spans="1:2">
      <c r="B11" s="158">
        <f>B8/Input!$D$23</f>
        <v>0.90116279069767447</v>
      </c>
    </row>
    <row r="12" spans="1:2" ht="17.25" thickBot="1"/>
    <row r="13" spans="1:2" ht="24.95" customHeight="1">
      <c r="A13" s="44" t="s">
        <v>151</v>
      </c>
      <c r="B13" s="159">
        <f>Input!$D$6</f>
        <v>172</v>
      </c>
    </row>
    <row r="14" spans="1:2" ht="24.95" customHeight="1">
      <c r="A14" s="45" t="s">
        <v>52</v>
      </c>
      <c r="B14" s="160">
        <f>B8</f>
        <v>155</v>
      </c>
    </row>
    <row r="15" spans="1:2" ht="24.95" customHeight="1" thickBot="1">
      <c r="A15" s="46" t="s">
        <v>152</v>
      </c>
      <c r="B15" s="161">
        <f>Input!$M$51</f>
        <v>150</v>
      </c>
    </row>
  </sheetData>
  <phoneticPr fontId="4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autoPict="0" r:id="rId5">
            <anchor moveWithCells="1">
              <from>
                <xdr:col>5</xdr:col>
                <xdr:colOff>47625</xdr:colOff>
                <xdr:row>1</xdr:row>
                <xdr:rowOff>57150</xdr:rowOff>
              </from>
              <to>
                <xdr:col>8</xdr:col>
                <xdr:colOff>0</xdr:colOff>
                <xdr:row>2</xdr:row>
                <xdr:rowOff>228600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FF708-2877-41B5-A474-3FFD156767AA}">
  <sheetPr codeName="shW_StepTEST">
    <tabColor rgb="FF00B050"/>
  </sheetPr>
  <dimension ref="A1:EF715"/>
  <sheetViews>
    <sheetView showGridLines="0" zoomScaleNormal="100" zoomScaleSheetLayoutView="100" workbookViewId="0">
      <selection activeCell="J12" sqref="J12"/>
    </sheetView>
  </sheetViews>
  <sheetFormatPr defaultColWidth="9" defaultRowHeight="13.5"/>
  <cols>
    <col min="1" max="1" width="5.25" style="47" customWidth="1"/>
    <col min="2" max="2" width="17" style="47" customWidth="1"/>
    <col min="3" max="3" width="12.375" style="47" customWidth="1"/>
    <col min="4" max="4" width="8.75" style="47" customWidth="1"/>
    <col min="5" max="5" width="5.75" style="47" customWidth="1"/>
    <col min="6" max="6" width="13.625" style="47" customWidth="1"/>
    <col min="7" max="7" width="7.875" style="47" customWidth="1"/>
    <col min="8" max="8" width="8.125" style="47" customWidth="1"/>
    <col min="9" max="9" width="10.375" style="48" customWidth="1"/>
    <col min="10" max="10" width="10.875" style="47" customWidth="1"/>
    <col min="11" max="15" width="9" style="47"/>
    <col min="16" max="16" width="9.875" style="47" bestFit="1" customWidth="1"/>
    <col min="17" max="17" width="11.125" style="47" customWidth="1"/>
    <col min="18" max="18" width="9" style="47"/>
    <col min="19" max="19" width="3.75" style="47" bestFit="1" customWidth="1"/>
    <col min="20" max="20" width="5.375" style="47" bestFit="1" customWidth="1"/>
    <col min="21" max="21" width="7.375" style="50" bestFit="1" customWidth="1"/>
    <col min="22" max="23" width="8.75" style="47" customWidth="1"/>
    <col min="24" max="24" width="9.125" style="47" customWidth="1"/>
    <col min="25" max="25" width="7.375" style="47" customWidth="1"/>
    <col min="26" max="26" width="9" style="6" bestFit="1" customWidth="1"/>
    <col min="27" max="27" width="6.375" style="6" bestFit="1" customWidth="1"/>
    <col min="28" max="28" width="7.25" style="6" customWidth="1"/>
    <col min="29" max="29" width="6.625" style="6" customWidth="1"/>
    <col min="30" max="30" width="6.75" style="6" bestFit="1" customWidth="1"/>
    <col min="31" max="31" width="7.125" style="6" customWidth="1"/>
    <col min="32" max="32" width="6.875" style="6" customWidth="1"/>
    <col min="33" max="33" width="6.25" style="6" customWidth="1"/>
    <col min="34" max="34" width="5.375" style="6" customWidth="1"/>
    <col min="35" max="16384" width="9" style="47"/>
  </cols>
  <sheetData>
    <row r="1" spans="1:136" ht="26.25">
      <c r="A1" s="149" t="s">
        <v>153</v>
      </c>
      <c r="B1" s="150"/>
      <c r="C1" s="150"/>
      <c r="D1" s="150"/>
      <c r="E1" s="150"/>
      <c r="F1" s="150"/>
      <c r="G1" s="150"/>
      <c r="H1" s="150"/>
      <c r="I1" s="151"/>
      <c r="J1" s="49"/>
    </row>
    <row r="2" spans="1:136" s="49" customFormat="1" ht="20.25">
      <c r="A2" s="152"/>
      <c r="B2" s="150"/>
      <c r="C2" s="150"/>
      <c r="D2" s="150"/>
      <c r="E2" s="150"/>
      <c r="F2" s="150"/>
      <c r="G2" s="150"/>
      <c r="H2" s="150"/>
      <c r="I2" s="151"/>
      <c r="J2" s="51"/>
      <c r="Q2" s="296" t="s">
        <v>154</v>
      </c>
      <c r="T2" s="297" t="s">
        <v>155</v>
      </c>
      <c r="U2" s="298"/>
      <c r="V2" s="297"/>
    </row>
    <row r="3" spans="1:136" s="51" customFormat="1" ht="26.25">
      <c r="A3" s="153" t="s">
        <v>156</v>
      </c>
      <c r="B3" s="153"/>
      <c r="C3" s="153"/>
      <c r="D3" s="153"/>
      <c r="E3" s="153"/>
      <c r="F3" s="153"/>
      <c r="G3" s="153"/>
      <c r="H3" s="154"/>
      <c r="I3" s="153"/>
      <c r="Q3" s="289" t="s">
        <v>157</v>
      </c>
      <c r="S3" s="53" t="s">
        <v>13</v>
      </c>
      <c r="T3" s="53" t="s">
        <v>28</v>
      </c>
      <c r="U3" s="54" t="s">
        <v>158</v>
      </c>
      <c r="V3" s="53" t="s">
        <v>32</v>
      </c>
      <c r="W3" s="53" t="s">
        <v>159</v>
      </c>
      <c r="X3" s="53" t="s">
        <v>39</v>
      </c>
      <c r="Y3" s="53" t="s">
        <v>12</v>
      </c>
      <c r="AC3" s="51">
        <v>0</v>
      </c>
      <c r="AI3" s="53"/>
    </row>
    <row r="4" spans="1:136" s="51" customFormat="1" ht="23.1" customHeight="1">
      <c r="A4" s="512" t="s">
        <v>160</v>
      </c>
      <c r="B4" s="512"/>
      <c r="C4" s="302" t="str">
        <f>Input!I44</f>
        <v>순성중명아파트 이용허가 유효기간의 연장을 위한 지하수영향조사보고서</v>
      </c>
      <c r="D4" s="303"/>
      <c r="E4" s="303"/>
      <c r="F4" s="303"/>
      <c r="G4" s="303"/>
      <c r="H4" s="304"/>
      <c r="I4" s="305"/>
      <c r="P4" s="51">
        <v>1</v>
      </c>
      <c r="Q4" s="372"/>
      <c r="R4" s="55">
        <f>B12</f>
        <v>94</v>
      </c>
      <c r="S4" s="51">
        <f>$R$4</f>
        <v>94</v>
      </c>
      <c r="T4" s="300">
        <v>6.3520341974657759</v>
      </c>
      <c r="U4" s="299">
        <f>Input!M44/2/1000</f>
        <v>0.1</v>
      </c>
      <c r="V4" s="289">
        <v>5.0000000000000001E-4</v>
      </c>
      <c r="W4" s="51">
        <f t="shared" ref="W4:W43" si="0">X4/1440</f>
        <v>6.9444444444444447E-4</v>
      </c>
      <c r="X4" s="56">
        <f>D12</f>
        <v>1</v>
      </c>
      <c r="Y4" s="57">
        <f t="shared" ref="Y4:Y43" si="1">2.3*S4/(4*PI()*T4)*LOG10((2.25*T4*W4)/(U4*U4*V4))</f>
        <v>8.9320761964825959</v>
      </c>
      <c r="Z4" s="58">
        <f>Z22</f>
        <v>7.9235925198589596</v>
      </c>
      <c r="AA4" s="57">
        <f>$Z$4</f>
        <v>7.9235925198589596</v>
      </c>
      <c r="AB4" s="57">
        <f>X4</f>
        <v>1</v>
      </c>
      <c r="AC4" s="57">
        <f>Y4-AA4</f>
        <v>1.0084836766236362</v>
      </c>
      <c r="AD4" s="59">
        <f>INT((AC4-AE4)*100)/100</f>
        <v>1</v>
      </c>
      <c r="AE4" s="60">
        <f>Q4</f>
        <v>0</v>
      </c>
      <c r="AF4" s="58">
        <f t="shared" ref="AF4:AF21" si="2">AF5-0.01</f>
        <v>0.80999999999999983</v>
      </c>
      <c r="AG4" s="57"/>
      <c r="AH4" s="57"/>
      <c r="AI4" s="57"/>
    </row>
    <row r="5" spans="1:136" s="51" customFormat="1" ht="23.1" customHeight="1">
      <c r="A5" s="512" t="s">
        <v>161</v>
      </c>
      <c r="B5" s="512"/>
      <c r="C5" s="306" t="str">
        <f>Input!I45</f>
        <v>순성중명아파트</v>
      </c>
      <c r="D5" s="303"/>
      <c r="E5" s="303"/>
      <c r="F5" s="307"/>
      <c r="G5" s="303"/>
      <c r="H5" s="308" t="str">
        <f>Input!J48</f>
        <v>공  번 : W - 1</v>
      </c>
      <c r="I5" s="309"/>
      <c r="P5" s="51">
        <v>2</v>
      </c>
      <c r="Q5" s="372"/>
      <c r="S5" s="51">
        <f t="shared" ref="S5:S23" si="3">$R$4</f>
        <v>94</v>
      </c>
      <c r="T5" s="51">
        <f>$T4</f>
        <v>6.3520341974657759</v>
      </c>
      <c r="U5" s="61">
        <f>$U4</f>
        <v>0.1</v>
      </c>
      <c r="V5" s="51">
        <f>$V4</f>
        <v>5.0000000000000001E-4</v>
      </c>
      <c r="W5" s="51">
        <f t="shared" si="0"/>
        <v>1.3888888888888889E-3</v>
      </c>
      <c r="X5" s="56">
        <f t="shared" ref="X5:X43" si="4">D13</f>
        <v>2</v>
      </c>
      <c r="Y5" s="57">
        <f t="shared" si="1"/>
        <v>9.7474237462116946</v>
      </c>
      <c r="AA5" s="57">
        <f t="shared" ref="AA5:AA23" si="5">$Z$4</f>
        <v>7.9235925198589596</v>
      </c>
      <c r="AB5" s="57">
        <f t="shared" ref="AB5:AB43" si="6">X5</f>
        <v>2</v>
      </c>
      <c r="AC5" s="57">
        <f t="shared" ref="AC5:AC43" si="7">Y5-AA5</f>
        <v>1.823831226352735</v>
      </c>
      <c r="AD5" s="59">
        <f t="shared" ref="AD5:AD16" si="8">INT((AC5-AE5)*100)/100</f>
        <v>1.82</v>
      </c>
      <c r="AE5" s="60">
        <f t="shared" ref="AE5:AE16" si="9">Q5</f>
        <v>0</v>
      </c>
      <c r="AF5" s="58">
        <f t="shared" si="2"/>
        <v>0.81999999999999984</v>
      </c>
      <c r="AG5" s="57"/>
      <c r="AH5" s="57"/>
      <c r="AI5" s="57"/>
    </row>
    <row r="6" spans="1:136" s="51" customFormat="1" ht="23.1" customHeight="1">
      <c r="A6" s="512" t="s">
        <v>162</v>
      </c>
      <c r="B6" s="512"/>
      <c r="C6" s="310" t="str">
        <f>Input!I46</f>
        <v>충청남도 당진시 순성면 순성로 453-30번지</v>
      </c>
      <c r="D6" s="303"/>
      <c r="E6" s="303"/>
      <c r="F6" s="303"/>
      <c r="G6" s="303"/>
      <c r="H6" s="304"/>
      <c r="I6" s="305"/>
      <c r="P6" s="51">
        <v>3</v>
      </c>
      <c r="Q6" s="372"/>
      <c r="S6" s="51">
        <f t="shared" si="3"/>
        <v>94</v>
      </c>
      <c r="T6" s="51">
        <f t="shared" ref="T6:T51" si="10">$T5</f>
        <v>6.3520341974657759</v>
      </c>
      <c r="U6" s="61">
        <f t="shared" ref="U6:U51" si="11">$U5</f>
        <v>0.1</v>
      </c>
      <c r="V6" s="51">
        <f t="shared" ref="V6:V51" si="12">$V5</f>
        <v>5.0000000000000001E-4</v>
      </c>
      <c r="W6" s="51">
        <f t="shared" si="0"/>
        <v>2.0833333333333333E-3</v>
      </c>
      <c r="X6" s="56">
        <f t="shared" si="4"/>
        <v>3</v>
      </c>
      <c r="Y6" s="57">
        <f t="shared" si="1"/>
        <v>10.224371487858095</v>
      </c>
      <c r="AA6" s="57">
        <f t="shared" si="5"/>
        <v>7.9235925198589596</v>
      </c>
      <c r="AB6" s="57">
        <f t="shared" si="6"/>
        <v>3</v>
      </c>
      <c r="AC6" s="57">
        <f t="shared" si="7"/>
        <v>2.3007789679991353</v>
      </c>
      <c r="AD6" s="59">
        <f t="shared" si="8"/>
        <v>2.2999999999999998</v>
      </c>
      <c r="AE6" s="60">
        <f t="shared" si="9"/>
        <v>0</v>
      </c>
      <c r="AF6" s="58">
        <f t="shared" si="2"/>
        <v>0.82999999999999985</v>
      </c>
      <c r="AG6" s="57"/>
      <c r="AH6" s="57"/>
      <c r="AI6" s="57"/>
    </row>
    <row r="7" spans="1:136" s="51" customFormat="1" ht="23.1" customHeight="1">
      <c r="A7" s="512" t="s">
        <v>163</v>
      </c>
      <c r="B7" s="512"/>
      <c r="C7" s="311" t="str">
        <f>Input!I47</f>
        <v>주식회사 한일지하수</v>
      </c>
      <c r="D7" s="312"/>
      <c r="E7" s="303"/>
      <c r="F7" s="313"/>
      <c r="G7" s="314" t="str">
        <f>Input!I49</f>
        <v>순성중명아파트</v>
      </c>
      <c r="H7" s="315"/>
      <c r="I7" s="316"/>
      <c r="P7" s="51">
        <v>4</v>
      </c>
      <c r="Q7" s="372"/>
      <c r="S7" s="51">
        <f t="shared" si="3"/>
        <v>94</v>
      </c>
      <c r="T7" s="51">
        <f t="shared" si="10"/>
        <v>6.3520341974657759</v>
      </c>
      <c r="U7" s="61">
        <f t="shared" si="11"/>
        <v>0.1</v>
      </c>
      <c r="V7" s="51">
        <f t="shared" si="12"/>
        <v>5.0000000000000001E-4</v>
      </c>
      <c r="W7" s="51">
        <f t="shared" si="0"/>
        <v>2.7777777777777779E-3</v>
      </c>
      <c r="X7" s="56">
        <f t="shared" si="4"/>
        <v>4</v>
      </c>
      <c r="Y7" s="57">
        <f t="shared" si="1"/>
        <v>10.562771295940793</v>
      </c>
      <c r="AA7" s="57">
        <f t="shared" si="5"/>
        <v>7.9235925198589596</v>
      </c>
      <c r="AB7" s="57">
        <f t="shared" si="6"/>
        <v>4</v>
      </c>
      <c r="AC7" s="57">
        <f t="shared" si="7"/>
        <v>2.6391787760818337</v>
      </c>
      <c r="AD7" s="59">
        <f t="shared" si="8"/>
        <v>2.63</v>
      </c>
      <c r="AE7" s="60">
        <f t="shared" si="9"/>
        <v>0</v>
      </c>
      <c r="AF7" s="58">
        <f t="shared" si="2"/>
        <v>0.83999999999999986</v>
      </c>
      <c r="AG7" s="57"/>
      <c r="AH7" s="57"/>
      <c r="AI7" s="57"/>
    </row>
    <row r="8" spans="1:136" s="51" customFormat="1" ht="23.1" customHeight="1">
      <c r="A8" s="317" t="s">
        <v>164</v>
      </c>
      <c r="B8" s="317"/>
      <c r="C8" s="513">
        <f>Input!I48</f>
        <v>5</v>
      </c>
      <c r="D8" s="514"/>
      <c r="E8" s="515"/>
      <c r="F8" s="318" t="s">
        <v>165</v>
      </c>
      <c r="G8" s="314" t="str">
        <f>G7</f>
        <v>순성중명아파트</v>
      </c>
      <c r="H8" s="315"/>
      <c r="I8" s="319"/>
      <c r="K8" s="62"/>
      <c r="P8" s="51">
        <v>5</v>
      </c>
      <c r="Q8" s="372"/>
      <c r="S8" s="51">
        <f t="shared" si="3"/>
        <v>94</v>
      </c>
      <c r="T8" s="51">
        <f t="shared" si="10"/>
        <v>6.3520341974657759</v>
      </c>
      <c r="U8" s="61">
        <f t="shared" si="11"/>
        <v>0.1</v>
      </c>
      <c r="V8" s="51">
        <f t="shared" si="12"/>
        <v>5.0000000000000001E-4</v>
      </c>
      <c r="W8" s="51">
        <f t="shared" si="0"/>
        <v>3.472222222222222E-3</v>
      </c>
      <c r="X8" s="56">
        <f t="shared" si="4"/>
        <v>5</v>
      </c>
      <c r="Y8" s="57">
        <f t="shared" si="1"/>
        <v>10.825254579296161</v>
      </c>
      <c r="AA8" s="57">
        <f t="shared" si="5"/>
        <v>7.9235925198589596</v>
      </c>
      <c r="AB8" s="57">
        <f t="shared" si="6"/>
        <v>5</v>
      </c>
      <c r="AC8" s="57">
        <f t="shared" si="7"/>
        <v>2.9016620594372009</v>
      </c>
      <c r="AD8" s="59">
        <f t="shared" si="8"/>
        <v>2.9</v>
      </c>
      <c r="AE8" s="60">
        <f t="shared" si="9"/>
        <v>0</v>
      </c>
      <c r="AF8" s="58">
        <f t="shared" si="2"/>
        <v>0.84999999999999987</v>
      </c>
      <c r="AG8" s="57"/>
      <c r="AH8" s="57"/>
      <c r="AI8" s="57"/>
    </row>
    <row r="9" spans="1:136" s="51" customFormat="1" ht="23.1" customHeight="1">
      <c r="A9" s="317" t="s">
        <v>166</v>
      </c>
      <c r="B9" s="317"/>
      <c r="C9" s="320" t="s">
        <v>167</v>
      </c>
      <c r="D9" s="516">
        <f>Input!M44</f>
        <v>200</v>
      </c>
      <c r="E9" s="516"/>
      <c r="F9" s="301" t="s">
        <v>168</v>
      </c>
      <c r="G9" s="517">
        <f>Input!M45</f>
        <v>100</v>
      </c>
      <c r="H9" s="517"/>
      <c r="I9" s="301"/>
      <c r="P9" s="51">
        <v>10</v>
      </c>
      <c r="Q9" s="372"/>
      <c r="S9" s="51">
        <f t="shared" si="3"/>
        <v>94</v>
      </c>
      <c r="T9" s="51">
        <f t="shared" si="10"/>
        <v>6.3520341974657759</v>
      </c>
      <c r="U9" s="61">
        <f t="shared" si="11"/>
        <v>0.1</v>
      </c>
      <c r="V9" s="51">
        <f t="shared" si="12"/>
        <v>5.0000000000000001E-4</v>
      </c>
      <c r="W9" s="51">
        <f t="shared" si="0"/>
        <v>6.9444444444444441E-3</v>
      </c>
      <c r="X9" s="56">
        <f t="shared" si="4"/>
        <v>10</v>
      </c>
      <c r="Y9" s="57">
        <f t="shared" si="1"/>
        <v>11.640602129025259</v>
      </c>
      <c r="AA9" s="57">
        <f t="shared" si="5"/>
        <v>7.9235925198589596</v>
      </c>
      <c r="AB9" s="57">
        <f t="shared" si="6"/>
        <v>10</v>
      </c>
      <c r="AC9" s="57">
        <f t="shared" si="7"/>
        <v>3.7170096091662996</v>
      </c>
      <c r="AD9" s="59">
        <f t="shared" si="8"/>
        <v>3.71</v>
      </c>
      <c r="AE9" s="60">
        <f t="shared" si="9"/>
        <v>0</v>
      </c>
      <c r="AF9" s="58">
        <f t="shared" si="2"/>
        <v>0.85999999999999988</v>
      </c>
      <c r="AG9" s="57"/>
      <c r="AH9" s="57"/>
      <c r="AI9" s="57"/>
    </row>
    <row r="10" spans="1:136" s="51" customFormat="1" ht="23.1" customHeight="1">
      <c r="A10" s="317" t="s">
        <v>169</v>
      </c>
      <c r="B10" s="317"/>
      <c r="C10" s="320" t="s">
        <v>217</v>
      </c>
      <c r="D10" s="518">
        <f>Input!M48</f>
        <v>9.4499999999999993</v>
      </c>
      <c r="E10" s="519"/>
      <c r="F10" s="321" t="s">
        <v>4</v>
      </c>
      <c r="G10" s="520" t="s">
        <v>4</v>
      </c>
      <c r="H10" s="520"/>
      <c r="I10" s="309"/>
      <c r="P10" s="51">
        <v>15</v>
      </c>
      <c r="Q10" s="372"/>
      <c r="S10" s="51">
        <f t="shared" si="3"/>
        <v>94</v>
      </c>
      <c r="T10" s="51">
        <f t="shared" si="10"/>
        <v>6.3520341974657759</v>
      </c>
      <c r="U10" s="61">
        <f t="shared" si="11"/>
        <v>0.1</v>
      </c>
      <c r="V10" s="51">
        <f t="shared" si="12"/>
        <v>5.0000000000000001E-4</v>
      </c>
      <c r="W10" s="51">
        <f t="shared" si="0"/>
        <v>1.0416666666666666E-2</v>
      </c>
      <c r="X10" s="56">
        <f t="shared" si="4"/>
        <v>15</v>
      </c>
      <c r="Y10" s="57">
        <f t="shared" si="1"/>
        <v>12.117549870671661</v>
      </c>
      <c r="AA10" s="57">
        <f t="shared" si="5"/>
        <v>7.9235925198589596</v>
      </c>
      <c r="AB10" s="57">
        <f t="shared" si="6"/>
        <v>15</v>
      </c>
      <c r="AC10" s="57">
        <f t="shared" si="7"/>
        <v>4.1939573508127017</v>
      </c>
      <c r="AD10" s="59">
        <f t="shared" si="8"/>
        <v>4.1900000000000004</v>
      </c>
      <c r="AE10" s="60">
        <f t="shared" si="9"/>
        <v>0</v>
      </c>
      <c r="AF10" s="58">
        <f t="shared" si="2"/>
        <v>0.86999999999999988</v>
      </c>
      <c r="AG10" s="57"/>
      <c r="AH10" s="57"/>
      <c r="AI10" s="57"/>
    </row>
    <row r="11" spans="1:136" s="51" customFormat="1" ht="23.1" customHeight="1">
      <c r="A11" s="301" t="s">
        <v>170</v>
      </c>
      <c r="B11" s="322" t="s">
        <v>171</v>
      </c>
      <c r="C11" s="320" t="s">
        <v>172</v>
      </c>
      <c r="D11" s="521" t="s">
        <v>173</v>
      </c>
      <c r="E11" s="521"/>
      <c r="F11" s="322" t="s">
        <v>174</v>
      </c>
      <c r="G11" s="522" t="s">
        <v>175</v>
      </c>
      <c r="H11" s="522"/>
      <c r="I11" s="301" t="s">
        <v>176</v>
      </c>
      <c r="J11" s="63">
        <f>G12-J13</f>
        <v>0.17999999999999994</v>
      </c>
      <c r="P11" s="51">
        <v>20</v>
      </c>
      <c r="Q11" s="372"/>
      <c r="S11" s="51">
        <f t="shared" si="3"/>
        <v>94</v>
      </c>
      <c r="T11" s="51">
        <f t="shared" si="10"/>
        <v>6.3520341974657759</v>
      </c>
      <c r="U11" s="61">
        <f t="shared" si="11"/>
        <v>0.1</v>
      </c>
      <c r="V11" s="51">
        <f t="shared" si="12"/>
        <v>5.0000000000000001E-4</v>
      </c>
      <c r="W11" s="51">
        <f t="shared" si="0"/>
        <v>1.3888888888888888E-2</v>
      </c>
      <c r="X11" s="56">
        <f t="shared" si="4"/>
        <v>20</v>
      </c>
      <c r="Y11" s="57">
        <f t="shared" si="1"/>
        <v>12.45594967875436</v>
      </c>
      <c r="AA11" s="57">
        <f t="shared" si="5"/>
        <v>7.9235925198589596</v>
      </c>
      <c r="AB11" s="57">
        <f t="shared" si="6"/>
        <v>20</v>
      </c>
      <c r="AC11" s="57">
        <f t="shared" si="7"/>
        <v>4.5323571588954001</v>
      </c>
      <c r="AD11" s="59">
        <f t="shared" si="8"/>
        <v>4.53</v>
      </c>
      <c r="AE11" s="60">
        <f t="shared" si="9"/>
        <v>0</v>
      </c>
      <c r="AF11" s="58">
        <f t="shared" si="2"/>
        <v>0.87999999999999989</v>
      </c>
      <c r="AG11" s="57"/>
      <c r="AH11" s="57"/>
      <c r="AI11" s="57"/>
    </row>
    <row r="12" spans="1:136" s="51" customFormat="1" ht="23.1" customHeight="1">
      <c r="A12" s="323">
        <v>1</v>
      </c>
      <c r="B12" s="324">
        <f>Input!D20</f>
        <v>94</v>
      </c>
      <c r="C12" s="325">
        <v>45489.458333333336</v>
      </c>
      <c r="D12" s="510">
        <v>1</v>
      </c>
      <c r="E12" s="510"/>
      <c r="F12" s="326">
        <f>G12+$D$10</f>
        <v>10.45</v>
      </c>
      <c r="G12" s="511">
        <f>AD4</f>
        <v>1</v>
      </c>
      <c r="H12" s="511"/>
      <c r="I12" s="301" t="s">
        <v>177</v>
      </c>
      <c r="J12" s="64"/>
      <c r="P12" s="51">
        <v>25</v>
      </c>
      <c r="Q12" s="372"/>
      <c r="S12" s="51">
        <f t="shared" si="3"/>
        <v>94</v>
      </c>
      <c r="T12" s="51">
        <f t="shared" si="10"/>
        <v>6.3520341974657759</v>
      </c>
      <c r="U12" s="61">
        <f t="shared" si="11"/>
        <v>0.1</v>
      </c>
      <c r="V12" s="51">
        <f t="shared" si="12"/>
        <v>5.0000000000000001E-4</v>
      </c>
      <c r="W12" s="51">
        <f t="shared" si="0"/>
        <v>1.7361111111111112E-2</v>
      </c>
      <c r="X12" s="56">
        <f t="shared" si="4"/>
        <v>25</v>
      </c>
      <c r="Y12" s="57">
        <f t="shared" si="1"/>
        <v>12.718432962109727</v>
      </c>
      <c r="AA12" s="57">
        <f t="shared" si="5"/>
        <v>7.9235925198589596</v>
      </c>
      <c r="AB12" s="57">
        <f t="shared" si="6"/>
        <v>25</v>
      </c>
      <c r="AC12" s="57">
        <f t="shared" si="7"/>
        <v>4.7948404422507673</v>
      </c>
      <c r="AD12" s="59">
        <f t="shared" si="8"/>
        <v>4.79</v>
      </c>
      <c r="AE12" s="60">
        <f t="shared" si="9"/>
        <v>0</v>
      </c>
      <c r="AF12" s="58">
        <f t="shared" si="2"/>
        <v>0.8899999999999999</v>
      </c>
      <c r="AG12" s="57"/>
      <c r="AH12" s="57"/>
      <c r="AI12" s="57"/>
      <c r="EF12" s="51">
        <v>2.46</v>
      </c>
    </row>
    <row r="13" spans="1:136" s="51" customFormat="1" ht="23.1" customHeight="1">
      <c r="A13" s="323"/>
      <c r="B13" s="323"/>
      <c r="C13" s="325"/>
      <c r="D13" s="510">
        <v>2</v>
      </c>
      <c r="E13" s="510"/>
      <c r="F13" s="326">
        <f t="shared" ref="F13:F51" si="13">G13+$D$10</f>
        <v>11.27</v>
      </c>
      <c r="G13" s="511">
        <f t="shared" ref="G13:G51" si="14">AD5</f>
        <v>1.82</v>
      </c>
      <c r="H13" s="511"/>
      <c r="I13" s="327"/>
      <c r="J13" s="328">
        <f>G13-G12</f>
        <v>0.82000000000000006</v>
      </c>
      <c r="P13" s="51">
        <v>30</v>
      </c>
      <c r="Q13" s="372"/>
      <c r="S13" s="51">
        <f t="shared" si="3"/>
        <v>94</v>
      </c>
      <c r="T13" s="51">
        <f t="shared" si="10"/>
        <v>6.3520341974657759</v>
      </c>
      <c r="U13" s="61">
        <f t="shared" si="11"/>
        <v>0.1</v>
      </c>
      <c r="V13" s="51">
        <f t="shared" si="12"/>
        <v>5.0000000000000001E-4</v>
      </c>
      <c r="W13" s="51">
        <f t="shared" si="0"/>
        <v>2.0833333333333332E-2</v>
      </c>
      <c r="X13" s="56">
        <f t="shared" si="4"/>
        <v>30</v>
      </c>
      <c r="Y13" s="57">
        <f t="shared" si="1"/>
        <v>12.93289742040076</v>
      </c>
      <c r="AA13" s="57">
        <f t="shared" si="5"/>
        <v>7.9235925198589596</v>
      </c>
      <c r="AB13" s="57">
        <f t="shared" si="6"/>
        <v>30</v>
      </c>
      <c r="AC13" s="57">
        <f t="shared" si="7"/>
        <v>5.0093049005418004</v>
      </c>
      <c r="AD13" s="59">
        <f t="shared" si="8"/>
        <v>5</v>
      </c>
      <c r="AE13" s="60">
        <f t="shared" si="9"/>
        <v>0</v>
      </c>
      <c r="AF13" s="58">
        <f t="shared" si="2"/>
        <v>0.89999999999999991</v>
      </c>
      <c r="AG13" s="57"/>
      <c r="AH13" s="57"/>
      <c r="AI13" s="57"/>
      <c r="EF13" s="51">
        <v>3.77</v>
      </c>
    </row>
    <row r="14" spans="1:136" s="51" customFormat="1" ht="23.1" customHeight="1">
      <c r="A14" s="323"/>
      <c r="B14" s="323"/>
      <c r="C14" s="325"/>
      <c r="D14" s="510">
        <v>3</v>
      </c>
      <c r="E14" s="510"/>
      <c r="F14" s="326">
        <f t="shared" si="13"/>
        <v>11.75</v>
      </c>
      <c r="G14" s="511">
        <f t="shared" si="14"/>
        <v>2.2999999999999998</v>
      </c>
      <c r="H14" s="511"/>
      <c r="I14" s="327"/>
      <c r="J14" s="328">
        <f t="shared" ref="J14:J51" si="15">G14-G13</f>
        <v>0.47999999999999976</v>
      </c>
      <c r="Q14" s="372"/>
      <c r="S14" s="51">
        <f t="shared" si="3"/>
        <v>94</v>
      </c>
      <c r="T14" s="51">
        <f t="shared" si="10"/>
        <v>6.3520341974657759</v>
      </c>
      <c r="U14" s="61">
        <f t="shared" si="11"/>
        <v>0.1</v>
      </c>
      <c r="V14" s="51">
        <f t="shared" si="12"/>
        <v>5.0000000000000001E-4</v>
      </c>
      <c r="W14" s="51">
        <f t="shared" si="0"/>
        <v>2.4305555555555556E-2</v>
      </c>
      <c r="X14" s="56">
        <f t="shared" si="4"/>
        <v>35</v>
      </c>
      <c r="Y14" s="57">
        <f t="shared" si="1"/>
        <v>13.114224536215755</v>
      </c>
      <c r="AA14" s="57">
        <f t="shared" si="5"/>
        <v>7.9235925198589596</v>
      </c>
      <c r="AB14" s="57">
        <f t="shared" si="6"/>
        <v>35</v>
      </c>
      <c r="AC14" s="57">
        <f t="shared" si="7"/>
        <v>5.1906320163567949</v>
      </c>
      <c r="AD14" s="59">
        <f t="shared" si="8"/>
        <v>5.19</v>
      </c>
      <c r="AE14" s="60">
        <f t="shared" si="9"/>
        <v>0</v>
      </c>
      <c r="AF14" s="58">
        <f t="shared" si="2"/>
        <v>0.90999999999999992</v>
      </c>
      <c r="AG14" s="57"/>
      <c r="AH14" s="57"/>
      <c r="AI14" s="57"/>
      <c r="EF14" s="51">
        <v>4.87</v>
      </c>
    </row>
    <row r="15" spans="1:136" s="51" customFormat="1" ht="23.1" customHeight="1">
      <c r="A15" s="323"/>
      <c r="B15" s="323"/>
      <c r="C15" s="325"/>
      <c r="D15" s="510">
        <v>4</v>
      </c>
      <c r="E15" s="510"/>
      <c r="F15" s="326">
        <f t="shared" si="13"/>
        <v>12.079999999999998</v>
      </c>
      <c r="G15" s="511">
        <f t="shared" si="14"/>
        <v>2.63</v>
      </c>
      <c r="H15" s="511"/>
      <c r="I15" s="327"/>
      <c r="J15" s="328">
        <f t="shared" si="15"/>
        <v>0.33000000000000007</v>
      </c>
      <c r="Q15" s="372"/>
      <c r="S15" s="51">
        <f t="shared" si="3"/>
        <v>94</v>
      </c>
      <c r="T15" s="51">
        <f t="shared" si="10"/>
        <v>6.3520341974657759</v>
      </c>
      <c r="U15" s="61">
        <f t="shared" si="11"/>
        <v>0.1</v>
      </c>
      <c r="V15" s="51">
        <f t="shared" si="12"/>
        <v>5.0000000000000001E-4</v>
      </c>
      <c r="W15" s="51">
        <f t="shared" si="0"/>
        <v>2.7777777777777776E-2</v>
      </c>
      <c r="X15" s="56">
        <f t="shared" si="4"/>
        <v>40</v>
      </c>
      <c r="Y15" s="57">
        <f t="shared" si="1"/>
        <v>13.271297228483458</v>
      </c>
      <c r="AA15" s="57">
        <f t="shared" si="5"/>
        <v>7.9235925198589596</v>
      </c>
      <c r="AB15" s="57">
        <f t="shared" si="6"/>
        <v>40</v>
      </c>
      <c r="AC15" s="57">
        <f t="shared" si="7"/>
        <v>5.3477047086244989</v>
      </c>
      <c r="AD15" s="59">
        <f t="shared" si="8"/>
        <v>5.34</v>
      </c>
      <c r="AE15" s="60">
        <f t="shared" si="9"/>
        <v>0</v>
      </c>
      <c r="AF15" s="58">
        <f t="shared" si="2"/>
        <v>0.91999999999999993</v>
      </c>
      <c r="AG15" s="57"/>
      <c r="AH15" s="57"/>
      <c r="AI15" s="57"/>
      <c r="EF15" s="51">
        <v>5.79</v>
      </c>
    </row>
    <row r="16" spans="1:136" s="51" customFormat="1" ht="23.1" customHeight="1">
      <c r="A16" s="323"/>
      <c r="B16" s="323"/>
      <c r="C16" s="325"/>
      <c r="D16" s="510">
        <v>5</v>
      </c>
      <c r="E16" s="510"/>
      <c r="F16" s="326">
        <f t="shared" si="13"/>
        <v>12.35</v>
      </c>
      <c r="G16" s="511">
        <f t="shared" si="14"/>
        <v>2.9</v>
      </c>
      <c r="H16" s="511"/>
      <c r="I16" s="327"/>
      <c r="J16" s="328">
        <f t="shared" si="15"/>
        <v>0.27</v>
      </c>
      <c r="K16" s="387" t="s">
        <v>247</v>
      </c>
      <c r="L16" s="388" t="s">
        <v>178</v>
      </c>
      <c r="M16" s="388" t="s">
        <v>179</v>
      </c>
      <c r="N16" s="388" t="s">
        <v>245</v>
      </c>
      <c r="O16" s="388" t="s">
        <v>246</v>
      </c>
      <c r="P16" s="388" t="s">
        <v>248</v>
      </c>
      <c r="S16" s="51">
        <f t="shared" si="3"/>
        <v>94</v>
      </c>
      <c r="T16" s="51">
        <f t="shared" si="10"/>
        <v>6.3520341974657759</v>
      </c>
      <c r="U16" s="61">
        <f t="shared" si="11"/>
        <v>0.1</v>
      </c>
      <c r="V16" s="51">
        <f t="shared" si="12"/>
        <v>5.0000000000000001E-4</v>
      </c>
      <c r="W16" s="51">
        <f t="shared" si="0"/>
        <v>3.125E-2</v>
      </c>
      <c r="X16" s="56">
        <f t="shared" si="4"/>
        <v>45</v>
      </c>
      <c r="Y16" s="57">
        <f t="shared" si="1"/>
        <v>13.409845162047162</v>
      </c>
      <c r="AA16" s="57">
        <f t="shared" si="5"/>
        <v>7.9235925198589596</v>
      </c>
      <c r="AB16" s="57">
        <f t="shared" si="6"/>
        <v>45</v>
      </c>
      <c r="AC16" s="57">
        <f t="shared" si="7"/>
        <v>5.4862526421882025</v>
      </c>
      <c r="AD16" s="59">
        <f t="shared" si="8"/>
        <v>5.48</v>
      </c>
      <c r="AE16" s="60">
        <f t="shared" si="9"/>
        <v>0</v>
      </c>
      <c r="AF16" s="58">
        <f t="shared" si="2"/>
        <v>0.92999999999999994</v>
      </c>
      <c r="AG16" s="57"/>
      <c r="AH16" s="57"/>
      <c r="AI16" s="57"/>
      <c r="EF16" s="51">
        <v>6.75</v>
      </c>
    </row>
    <row r="17" spans="1:136" s="51" customFormat="1" ht="23.1" customHeight="1">
      <c r="A17" s="323"/>
      <c r="B17" s="323"/>
      <c r="C17" s="325"/>
      <c r="D17" s="510">
        <v>10</v>
      </c>
      <c r="E17" s="510"/>
      <c r="F17" s="326">
        <f t="shared" si="13"/>
        <v>13.16</v>
      </c>
      <c r="G17" s="511">
        <f t="shared" si="14"/>
        <v>3.71</v>
      </c>
      <c r="H17" s="511"/>
      <c r="I17" s="327"/>
      <c r="J17" s="328">
        <f t="shared" si="15"/>
        <v>0.81</v>
      </c>
      <c r="K17" s="373">
        <f>D12</f>
        <v>1</v>
      </c>
      <c r="L17" s="374">
        <f>INT(B12/1440*10000)/10000</f>
        <v>6.5199999999999994E-2</v>
      </c>
      <c r="M17" s="374">
        <f>K17*L17</f>
        <v>6.5199999999999994E-2</v>
      </c>
      <c r="N17" s="374">
        <f>INT((D9/2000)^2*3.14159*100000)/100000</f>
        <v>3.141E-2</v>
      </c>
      <c r="O17" s="374">
        <f>INT(M17/N17*100)/100</f>
        <v>2.0699999999999998</v>
      </c>
      <c r="P17" s="375">
        <f>INT((G12-O17)*100)/100</f>
        <v>-1.07</v>
      </c>
      <c r="S17" s="51">
        <f t="shared" si="3"/>
        <v>94</v>
      </c>
      <c r="T17" s="51">
        <f t="shared" si="10"/>
        <v>6.3520341974657759</v>
      </c>
      <c r="U17" s="61">
        <f t="shared" si="11"/>
        <v>0.1</v>
      </c>
      <c r="V17" s="51">
        <f t="shared" si="12"/>
        <v>5.0000000000000001E-4</v>
      </c>
      <c r="W17" s="51">
        <f t="shared" si="0"/>
        <v>3.4722222222222224E-2</v>
      </c>
      <c r="X17" s="56">
        <f t="shared" si="4"/>
        <v>50</v>
      </c>
      <c r="Y17" s="57">
        <f t="shared" si="1"/>
        <v>13.533780511838826</v>
      </c>
      <c r="AA17" s="57">
        <f t="shared" si="5"/>
        <v>7.9235925198589596</v>
      </c>
      <c r="AB17" s="57">
        <f t="shared" si="6"/>
        <v>50</v>
      </c>
      <c r="AC17" s="57">
        <f t="shared" si="7"/>
        <v>5.6101879919798661</v>
      </c>
      <c r="AD17" s="59">
        <f t="shared" ref="AD17:AD22" si="16">INT(AC17*100)/100</f>
        <v>5.61</v>
      </c>
      <c r="AF17" s="58">
        <f t="shared" si="2"/>
        <v>0.94</v>
      </c>
      <c r="AG17" s="57"/>
      <c r="AH17" s="57"/>
      <c r="AI17" s="57"/>
      <c r="EF17" s="51">
        <v>7.73</v>
      </c>
    </row>
    <row r="18" spans="1:136" s="51" customFormat="1" ht="23.1" customHeight="1">
      <c r="A18" s="323"/>
      <c r="B18" s="323"/>
      <c r="C18" s="325"/>
      <c r="D18" s="510">
        <v>15</v>
      </c>
      <c r="E18" s="510"/>
      <c r="F18" s="326">
        <f t="shared" si="13"/>
        <v>13.64</v>
      </c>
      <c r="G18" s="511">
        <f t="shared" si="14"/>
        <v>4.1900000000000004</v>
      </c>
      <c r="H18" s="511"/>
      <c r="I18" s="327"/>
      <c r="J18" s="328">
        <f t="shared" si="15"/>
        <v>0.48000000000000043</v>
      </c>
      <c r="K18" s="373">
        <f>D13</f>
        <v>2</v>
      </c>
      <c r="L18" s="374">
        <f>L17</f>
        <v>6.5199999999999994E-2</v>
      </c>
      <c r="M18" s="374">
        <f t="shared" ref="M18:M32" si="17">K18*L18</f>
        <v>0.13039999999999999</v>
      </c>
      <c r="N18" s="374">
        <f>N17</f>
        <v>3.141E-2</v>
      </c>
      <c r="O18" s="374">
        <f>INT(M18/N18*100)/100</f>
        <v>4.1500000000000004</v>
      </c>
      <c r="P18" s="375">
        <f>INT((G13-O18)*100*0.98)/100</f>
        <v>-2.29</v>
      </c>
      <c r="S18" s="51">
        <f t="shared" si="3"/>
        <v>94</v>
      </c>
      <c r="T18" s="51">
        <f t="shared" si="10"/>
        <v>6.3520341974657759</v>
      </c>
      <c r="U18" s="61">
        <f t="shared" si="11"/>
        <v>0.1</v>
      </c>
      <c r="V18" s="51">
        <f t="shared" si="12"/>
        <v>5.0000000000000001E-4</v>
      </c>
      <c r="W18" s="51">
        <f t="shared" si="0"/>
        <v>3.8194444444444448E-2</v>
      </c>
      <c r="X18" s="56">
        <f t="shared" si="4"/>
        <v>55</v>
      </c>
      <c r="Y18" s="57">
        <f t="shared" si="1"/>
        <v>13.645893673007453</v>
      </c>
      <c r="AA18" s="57">
        <f t="shared" si="5"/>
        <v>7.9235925198589596</v>
      </c>
      <c r="AB18" s="57">
        <f t="shared" si="6"/>
        <v>55</v>
      </c>
      <c r="AC18" s="57">
        <f t="shared" si="7"/>
        <v>5.7223011531484937</v>
      </c>
      <c r="AD18" s="59">
        <f t="shared" si="16"/>
        <v>5.72</v>
      </c>
      <c r="AF18" s="58">
        <f t="shared" si="2"/>
        <v>0.95</v>
      </c>
      <c r="AG18" s="57"/>
      <c r="AH18" s="57"/>
      <c r="AI18" s="57"/>
      <c r="EF18" s="51">
        <v>8.74</v>
      </c>
    </row>
    <row r="19" spans="1:136" s="51" customFormat="1" ht="23.1" customHeight="1">
      <c r="A19" s="323"/>
      <c r="B19" s="323"/>
      <c r="C19" s="325"/>
      <c r="D19" s="510">
        <v>20</v>
      </c>
      <c r="E19" s="510"/>
      <c r="F19" s="326">
        <f t="shared" si="13"/>
        <v>13.98</v>
      </c>
      <c r="G19" s="511">
        <f t="shared" si="14"/>
        <v>4.53</v>
      </c>
      <c r="H19" s="511"/>
      <c r="I19" s="327"/>
      <c r="J19" s="328">
        <f t="shared" si="15"/>
        <v>0.33999999999999986</v>
      </c>
      <c r="K19" s="373">
        <f t="shared" ref="K19:K32" si="18">D14</f>
        <v>3</v>
      </c>
      <c r="L19" s="374">
        <f>L18</f>
        <v>6.5199999999999994E-2</v>
      </c>
      <c r="M19" s="374">
        <f t="shared" si="17"/>
        <v>0.1956</v>
      </c>
      <c r="N19" s="374">
        <f t="shared" ref="N19:N32" si="19">N18</f>
        <v>3.141E-2</v>
      </c>
      <c r="O19" s="374">
        <f>INT(M19/N19*100)/100</f>
        <v>6.22</v>
      </c>
      <c r="P19" s="375">
        <f>INT((G14-O19)*100*0.95)/100</f>
        <v>-3.73</v>
      </c>
      <c r="S19" s="51">
        <f t="shared" si="3"/>
        <v>94</v>
      </c>
      <c r="T19" s="51">
        <f t="shared" si="10"/>
        <v>6.3520341974657759</v>
      </c>
      <c r="U19" s="61">
        <f t="shared" si="11"/>
        <v>0.1</v>
      </c>
      <c r="V19" s="51">
        <f t="shared" si="12"/>
        <v>5.0000000000000001E-4</v>
      </c>
      <c r="W19" s="51">
        <f t="shared" si="0"/>
        <v>4.1666666666666664E-2</v>
      </c>
      <c r="X19" s="56">
        <f t="shared" si="4"/>
        <v>60</v>
      </c>
      <c r="Y19" s="57">
        <f t="shared" si="1"/>
        <v>13.748244970129859</v>
      </c>
      <c r="AA19" s="57">
        <f t="shared" si="5"/>
        <v>7.9235925198589596</v>
      </c>
      <c r="AB19" s="57">
        <f t="shared" si="6"/>
        <v>60</v>
      </c>
      <c r="AC19" s="57">
        <f t="shared" si="7"/>
        <v>5.8246524502708992</v>
      </c>
      <c r="AD19" s="59">
        <f t="shared" si="16"/>
        <v>5.82</v>
      </c>
      <c r="AF19" s="58">
        <f t="shared" si="2"/>
        <v>0.96</v>
      </c>
      <c r="AG19" s="57"/>
      <c r="AH19" s="57"/>
      <c r="AI19" s="57"/>
      <c r="EF19" s="51">
        <v>9.7799999999999994</v>
      </c>
    </row>
    <row r="20" spans="1:136" s="51" customFormat="1" ht="23.1" customHeight="1">
      <c r="A20" s="323"/>
      <c r="B20" s="323"/>
      <c r="C20" s="325"/>
      <c r="D20" s="510">
        <v>25</v>
      </c>
      <c r="E20" s="510"/>
      <c r="F20" s="326">
        <f t="shared" si="13"/>
        <v>14.239999999999998</v>
      </c>
      <c r="G20" s="511">
        <f t="shared" si="14"/>
        <v>4.79</v>
      </c>
      <c r="H20" s="511"/>
      <c r="I20" s="327"/>
      <c r="J20" s="328">
        <f t="shared" si="15"/>
        <v>0.25999999999999979</v>
      </c>
      <c r="K20" s="373">
        <f t="shared" si="18"/>
        <v>4</v>
      </c>
      <c r="L20" s="374">
        <f>L19</f>
        <v>6.5199999999999994E-2</v>
      </c>
      <c r="M20" s="374">
        <f t="shared" si="17"/>
        <v>0.26079999999999998</v>
      </c>
      <c r="N20" s="374">
        <f t="shared" si="19"/>
        <v>3.141E-2</v>
      </c>
      <c r="O20" s="374">
        <f>INT(M20/N20*100)/100</f>
        <v>8.3000000000000007</v>
      </c>
      <c r="P20" s="375">
        <f>INT((G15-O20)*100*0.91)/100</f>
        <v>-5.16</v>
      </c>
      <c r="S20" s="51">
        <f t="shared" si="3"/>
        <v>94</v>
      </c>
      <c r="T20" s="51">
        <f t="shared" si="10"/>
        <v>6.3520341974657759</v>
      </c>
      <c r="U20" s="61">
        <f t="shared" si="11"/>
        <v>0.1</v>
      </c>
      <c r="V20" s="51">
        <f t="shared" si="12"/>
        <v>5.0000000000000001E-4</v>
      </c>
      <c r="W20" s="51">
        <f t="shared" si="0"/>
        <v>5.2083333333333336E-2</v>
      </c>
      <c r="X20" s="56">
        <f t="shared" si="4"/>
        <v>75</v>
      </c>
      <c r="Y20" s="57">
        <f t="shared" si="1"/>
        <v>14.010728253485228</v>
      </c>
      <c r="AA20" s="57">
        <f t="shared" si="5"/>
        <v>7.9235925198589596</v>
      </c>
      <c r="AB20" s="57">
        <f t="shared" si="6"/>
        <v>75</v>
      </c>
      <c r="AC20" s="57">
        <f t="shared" si="7"/>
        <v>6.0871357336262681</v>
      </c>
      <c r="AD20" s="59">
        <f t="shared" si="16"/>
        <v>6.08</v>
      </c>
      <c r="AF20" s="58">
        <f t="shared" si="2"/>
        <v>0.97</v>
      </c>
      <c r="AG20" s="57"/>
      <c r="AH20" s="57"/>
      <c r="AI20" s="57"/>
      <c r="EF20" s="51">
        <v>10</v>
      </c>
    </row>
    <row r="21" spans="1:136" s="51" customFormat="1" ht="23.1" customHeight="1">
      <c r="A21" s="323"/>
      <c r="B21" s="323"/>
      <c r="C21" s="325"/>
      <c r="D21" s="510">
        <v>30</v>
      </c>
      <c r="E21" s="510"/>
      <c r="F21" s="326">
        <f t="shared" si="13"/>
        <v>14.45</v>
      </c>
      <c r="G21" s="511">
        <f t="shared" si="14"/>
        <v>5</v>
      </c>
      <c r="H21" s="511"/>
      <c r="I21" s="327"/>
      <c r="J21" s="328">
        <f t="shared" si="15"/>
        <v>0.20999999999999996</v>
      </c>
      <c r="K21" s="373">
        <f t="shared" si="18"/>
        <v>5</v>
      </c>
      <c r="L21" s="373">
        <f>L20</f>
        <v>6.5199999999999994E-2</v>
      </c>
      <c r="M21" s="374">
        <f t="shared" si="17"/>
        <v>0.32599999999999996</v>
      </c>
      <c r="N21" s="374">
        <f t="shared" si="19"/>
        <v>3.141E-2</v>
      </c>
      <c r="O21" s="373">
        <f>INT(M21/N21*100)/100</f>
        <v>10.37</v>
      </c>
      <c r="P21" s="375">
        <f>INT((G16-O21)*100*0.86)/100</f>
        <v>-6.43</v>
      </c>
      <c r="S21" s="51">
        <f t="shared" si="3"/>
        <v>94</v>
      </c>
      <c r="T21" s="51">
        <f t="shared" si="10"/>
        <v>6.3520341974657759</v>
      </c>
      <c r="U21" s="61">
        <f t="shared" si="11"/>
        <v>0.1</v>
      </c>
      <c r="V21" s="51">
        <f t="shared" si="12"/>
        <v>5.0000000000000001E-4</v>
      </c>
      <c r="W21" s="51">
        <f t="shared" si="0"/>
        <v>6.25E-2</v>
      </c>
      <c r="X21" s="56">
        <f t="shared" si="4"/>
        <v>90</v>
      </c>
      <c r="Y21" s="57">
        <f t="shared" si="1"/>
        <v>14.225192711776261</v>
      </c>
      <c r="AA21" s="57">
        <f t="shared" si="5"/>
        <v>7.9235925198589596</v>
      </c>
      <c r="AB21" s="57">
        <f t="shared" si="6"/>
        <v>90</v>
      </c>
      <c r="AC21" s="57">
        <f t="shared" si="7"/>
        <v>6.3016001919173013</v>
      </c>
      <c r="AD21" s="59">
        <f t="shared" si="16"/>
        <v>6.3</v>
      </c>
      <c r="AF21" s="58">
        <f t="shared" si="2"/>
        <v>0.98</v>
      </c>
      <c r="AG21" s="57"/>
      <c r="AH21" s="57"/>
      <c r="AI21" s="57"/>
      <c r="EF21" s="51">
        <v>10.16</v>
      </c>
    </row>
    <row r="22" spans="1:136" s="51" customFormat="1" ht="23.1" customHeight="1">
      <c r="A22" s="323"/>
      <c r="B22" s="323"/>
      <c r="C22" s="325"/>
      <c r="D22" s="510">
        <v>35</v>
      </c>
      <c r="E22" s="510"/>
      <c r="F22" s="326">
        <f t="shared" si="13"/>
        <v>14.64</v>
      </c>
      <c r="G22" s="511">
        <f t="shared" si="14"/>
        <v>5.19</v>
      </c>
      <c r="H22" s="511"/>
      <c r="I22" s="301"/>
      <c r="J22" s="328">
        <f t="shared" si="15"/>
        <v>0.19000000000000039</v>
      </c>
      <c r="K22" s="373">
        <f t="shared" si="18"/>
        <v>10</v>
      </c>
      <c r="L22" s="373">
        <f t="shared" ref="L22:L32" si="20">L21</f>
        <v>6.5199999999999994E-2</v>
      </c>
      <c r="M22" s="374">
        <f t="shared" si="17"/>
        <v>0.65199999999999991</v>
      </c>
      <c r="N22" s="374">
        <f t="shared" si="19"/>
        <v>3.141E-2</v>
      </c>
      <c r="O22" s="373">
        <f t="shared" ref="O22:O30" si="21">INT(M22/N22*100)/100</f>
        <v>20.75</v>
      </c>
      <c r="P22" s="375">
        <f>INT((G17-O22)*100*0.8)/100</f>
        <v>-13.64</v>
      </c>
      <c r="S22" s="51">
        <f t="shared" si="3"/>
        <v>94</v>
      </c>
      <c r="T22" s="51">
        <f t="shared" si="10"/>
        <v>6.3520341974657759</v>
      </c>
      <c r="U22" s="61">
        <f t="shared" si="11"/>
        <v>0.1</v>
      </c>
      <c r="V22" s="51">
        <f t="shared" si="12"/>
        <v>5.0000000000000001E-4</v>
      </c>
      <c r="W22" s="51">
        <f t="shared" si="0"/>
        <v>7.2916666666666671E-2</v>
      </c>
      <c r="X22" s="56">
        <f t="shared" si="4"/>
        <v>105</v>
      </c>
      <c r="Y22" s="57">
        <f t="shared" si="1"/>
        <v>14.406519827591255</v>
      </c>
      <c r="Z22" s="57">
        <f>Y23-Z23</f>
        <v>7.9235925198589596</v>
      </c>
      <c r="AA22" s="57">
        <f t="shared" si="5"/>
        <v>7.9235925198589596</v>
      </c>
      <c r="AB22" s="57">
        <f t="shared" si="6"/>
        <v>105</v>
      </c>
      <c r="AC22" s="57">
        <f t="shared" si="7"/>
        <v>6.4829273077322958</v>
      </c>
      <c r="AD22" s="59">
        <f t="shared" si="16"/>
        <v>6.48</v>
      </c>
      <c r="AF22" s="58">
        <f>AF23-0.01</f>
        <v>0.99</v>
      </c>
      <c r="AG22" s="57"/>
      <c r="AH22" s="57"/>
      <c r="AI22" s="57"/>
      <c r="EF22" s="51">
        <v>10.02</v>
      </c>
    </row>
    <row r="23" spans="1:136" s="51" customFormat="1" ht="23.1" customHeight="1">
      <c r="A23" s="323"/>
      <c r="B23" s="323"/>
      <c r="C23" s="325"/>
      <c r="D23" s="510">
        <v>40</v>
      </c>
      <c r="E23" s="510"/>
      <c r="F23" s="326">
        <f t="shared" si="13"/>
        <v>14.79</v>
      </c>
      <c r="G23" s="511">
        <f t="shared" si="14"/>
        <v>5.34</v>
      </c>
      <c r="H23" s="511"/>
      <c r="I23" s="301"/>
      <c r="J23" s="328">
        <f t="shared" si="15"/>
        <v>0.14999999999999947</v>
      </c>
      <c r="K23" s="373">
        <f t="shared" si="18"/>
        <v>15</v>
      </c>
      <c r="L23" s="373">
        <f t="shared" si="20"/>
        <v>6.5199999999999994E-2</v>
      </c>
      <c r="M23" s="374">
        <f t="shared" si="17"/>
        <v>0.97799999999999987</v>
      </c>
      <c r="N23" s="374">
        <f t="shared" si="19"/>
        <v>3.141E-2</v>
      </c>
      <c r="O23" s="373">
        <f t="shared" si="21"/>
        <v>31.13</v>
      </c>
      <c r="P23" s="375">
        <f t="shared" ref="P23:P32" si="22">INT((G18-O23)*100)/100</f>
        <v>-26.94</v>
      </c>
      <c r="S23" s="51">
        <f t="shared" si="3"/>
        <v>94</v>
      </c>
      <c r="T23" s="51">
        <f t="shared" si="10"/>
        <v>6.3520341974657759</v>
      </c>
      <c r="U23" s="61">
        <f t="shared" si="11"/>
        <v>0.1</v>
      </c>
      <c r="V23" s="51">
        <f t="shared" si="12"/>
        <v>5.0000000000000001E-4</v>
      </c>
      <c r="W23" s="51">
        <f t="shared" si="0"/>
        <v>8.3333333333333329E-2</v>
      </c>
      <c r="X23" s="56">
        <f t="shared" si="4"/>
        <v>120</v>
      </c>
      <c r="Y23" s="57">
        <f t="shared" si="1"/>
        <v>14.563592519858959</v>
      </c>
      <c r="Z23" s="57">
        <f>Input!B20</f>
        <v>6.64</v>
      </c>
      <c r="AA23" s="57">
        <f t="shared" si="5"/>
        <v>7.9235925198589596</v>
      </c>
      <c r="AB23" s="57">
        <f t="shared" si="6"/>
        <v>120</v>
      </c>
      <c r="AC23" s="57">
        <f t="shared" si="7"/>
        <v>6.64</v>
      </c>
      <c r="AD23" s="59">
        <f>INT((AC$3+AE23)*100)/100</f>
        <v>6.64</v>
      </c>
      <c r="AE23" s="57">
        <f>AG$23*AF23</f>
        <v>6.64</v>
      </c>
      <c r="AF23" s="57">
        <v>1</v>
      </c>
      <c r="AG23" s="57">
        <f>AC23-AC3</f>
        <v>6.64</v>
      </c>
      <c r="AH23" s="57"/>
      <c r="AI23" s="57"/>
      <c r="EF23" s="51">
        <v>10.02</v>
      </c>
    </row>
    <row r="24" spans="1:136" s="51" customFormat="1" ht="23.1" customHeight="1">
      <c r="A24" s="323"/>
      <c r="B24" s="323"/>
      <c r="C24" s="325"/>
      <c r="D24" s="510">
        <v>45</v>
      </c>
      <c r="E24" s="510"/>
      <c r="F24" s="326">
        <f t="shared" si="13"/>
        <v>14.93</v>
      </c>
      <c r="G24" s="511">
        <f t="shared" si="14"/>
        <v>5.48</v>
      </c>
      <c r="H24" s="511"/>
      <c r="I24" s="301"/>
      <c r="J24" s="328">
        <f t="shared" si="15"/>
        <v>0.14000000000000057</v>
      </c>
      <c r="K24" s="373">
        <f t="shared" si="18"/>
        <v>20</v>
      </c>
      <c r="L24" s="373">
        <f t="shared" si="20"/>
        <v>6.5199999999999994E-2</v>
      </c>
      <c r="M24" s="374">
        <f t="shared" si="17"/>
        <v>1.3039999999999998</v>
      </c>
      <c r="N24" s="374">
        <f t="shared" si="19"/>
        <v>3.141E-2</v>
      </c>
      <c r="O24" s="373">
        <f t="shared" si="21"/>
        <v>41.51</v>
      </c>
      <c r="P24" s="375">
        <f t="shared" si="22"/>
        <v>-36.979999999999997</v>
      </c>
      <c r="R24" s="55">
        <f>B32</f>
        <v>120</v>
      </c>
      <c r="S24" s="51">
        <f>$R$24</f>
        <v>120</v>
      </c>
      <c r="T24" s="51">
        <f t="shared" si="10"/>
        <v>6.3520341974657759</v>
      </c>
      <c r="U24" s="61">
        <f t="shared" si="11"/>
        <v>0.1</v>
      </c>
      <c r="V24" s="51">
        <f t="shared" si="12"/>
        <v>5.0000000000000001E-4</v>
      </c>
      <c r="W24" s="51">
        <f t="shared" si="0"/>
        <v>9.0277777777777776E-2</v>
      </c>
      <c r="X24" s="56">
        <f t="shared" si="4"/>
        <v>130</v>
      </c>
      <c r="Y24" s="57">
        <f t="shared" si="1"/>
        <v>18.712016918466176</v>
      </c>
      <c r="Z24" s="57">
        <f>Z27</f>
        <v>10.772689450537946</v>
      </c>
      <c r="AA24" s="57">
        <f>$Z$24</f>
        <v>10.772689450537946</v>
      </c>
      <c r="AB24" s="57">
        <f t="shared" si="6"/>
        <v>130</v>
      </c>
      <c r="AC24" s="57">
        <f t="shared" si="7"/>
        <v>7.93932746792823</v>
      </c>
      <c r="AD24" s="59">
        <f>INT((AC$23+AE24)*100)/100</f>
        <v>7.97</v>
      </c>
      <c r="AE24" s="57">
        <f>AF24*AG$28</f>
        <v>1.3319999999999999</v>
      </c>
      <c r="AF24" s="57">
        <v>0.6</v>
      </c>
      <c r="AG24" s="57"/>
      <c r="AH24" s="57"/>
      <c r="EF24" s="51">
        <v>10.02</v>
      </c>
    </row>
    <row r="25" spans="1:136" s="51" customFormat="1" ht="23.1" customHeight="1">
      <c r="A25" s="323"/>
      <c r="B25" s="323"/>
      <c r="C25" s="325"/>
      <c r="D25" s="510">
        <v>50</v>
      </c>
      <c r="E25" s="510"/>
      <c r="F25" s="326">
        <f t="shared" si="13"/>
        <v>15.059999999999999</v>
      </c>
      <c r="G25" s="511">
        <f t="shared" si="14"/>
        <v>5.61</v>
      </c>
      <c r="H25" s="511"/>
      <c r="I25" s="301"/>
      <c r="J25" s="328">
        <f t="shared" si="15"/>
        <v>0.12999999999999989</v>
      </c>
      <c r="K25" s="373">
        <f t="shared" si="18"/>
        <v>25</v>
      </c>
      <c r="L25" s="373">
        <f t="shared" si="20"/>
        <v>6.5199999999999994E-2</v>
      </c>
      <c r="M25" s="374">
        <f t="shared" si="17"/>
        <v>1.63</v>
      </c>
      <c r="N25" s="374">
        <f t="shared" si="19"/>
        <v>3.141E-2</v>
      </c>
      <c r="O25" s="373">
        <f t="shared" si="21"/>
        <v>51.89</v>
      </c>
      <c r="P25" s="375">
        <f t="shared" si="22"/>
        <v>-47.1</v>
      </c>
      <c r="S25" s="51">
        <f>$R$24</f>
        <v>120</v>
      </c>
      <c r="T25" s="51">
        <f t="shared" si="10"/>
        <v>6.3520341974657759</v>
      </c>
      <c r="U25" s="61">
        <f t="shared" si="11"/>
        <v>0.1</v>
      </c>
      <c r="V25" s="51">
        <f t="shared" si="12"/>
        <v>5.0000000000000001E-4</v>
      </c>
      <c r="W25" s="51">
        <f t="shared" si="0"/>
        <v>9.7222222222222224E-2</v>
      </c>
      <c r="X25" s="56">
        <f t="shared" si="4"/>
        <v>140</v>
      </c>
      <c r="Y25" s="57">
        <f t="shared" si="1"/>
        <v>18.823301662562493</v>
      </c>
      <c r="AA25" s="57">
        <f>$Z$24</f>
        <v>10.772689450537946</v>
      </c>
      <c r="AB25" s="57">
        <f t="shared" si="6"/>
        <v>140</v>
      </c>
      <c r="AC25" s="57">
        <f t="shared" si="7"/>
        <v>8.0506122120245465</v>
      </c>
      <c r="AD25" s="59">
        <f>INT((AC$23+AE25)*100)/100</f>
        <v>8.19</v>
      </c>
      <c r="AE25" s="57">
        <f>AF25*AG$28</f>
        <v>1.5539999999999998</v>
      </c>
      <c r="AF25" s="57">
        <v>0.7</v>
      </c>
      <c r="AG25" s="57"/>
      <c r="AH25" s="57"/>
      <c r="EF25" s="51">
        <v>10.02</v>
      </c>
    </row>
    <row r="26" spans="1:136" s="51" customFormat="1" ht="23.1" customHeight="1">
      <c r="A26" s="323"/>
      <c r="B26" s="323"/>
      <c r="C26" s="325"/>
      <c r="D26" s="510">
        <v>55</v>
      </c>
      <c r="E26" s="510"/>
      <c r="F26" s="326">
        <f t="shared" si="13"/>
        <v>15.169999999999998</v>
      </c>
      <c r="G26" s="511">
        <f t="shared" si="14"/>
        <v>5.72</v>
      </c>
      <c r="H26" s="511"/>
      <c r="I26" s="301"/>
      <c r="J26" s="328">
        <f t="shared" si="15"/>
        <v>0.10999999999999943</v>
      </c>
      <c r="K26" s="373">
        <f t="shared" si="18"/>
        <v>30</v>
      </c>
      <c r="L26" s="373">
        <f t="shared" si="20"/>
        <v>6.5199999999999994E-2</v>
      </c>
      <c r="M26" s="374">
        <f t="shared" si="17"/>
        <v>1.9559999999999997</v>
      </c>
      <c r="N26" s="374">
        <f t="shared" si="19"/>
        <v>3.141E-2</v>
      </c>
      <c r="O26" s="374">
        <f t="shared" si="21"/>
        <v>62.27</v>
      </c>
      <c r="P26" s="375">
        <f t="shared" si="22"/>
        <v>-57.27</v>
      </c>
      <c r="S26" s="51">
        <f>$R$24</f>
        <v>120</v>
      </c>
      <c r="T26" s="51">
        <f t="shared" si="10"/>
        <v>6.3520341974657759</v>
      </c>
      <c r="U26" s="61">
        <f t="shared" si="11"/>
        <v>0.1</v>
      </c>
      <c r="V26" s="51">
        <f t="shared" si="12"/>
        <v>5.0000000000000001E-4</v>
      </c>
      <c r="W26" s="51">
        <f t="shared" si="0"/>
        <v>0.10416666666666667</v>
      </c>
      <c r="X26" s="56">
        <f t="shared" si="4"/>
        <v>150</v>
      </c>
      <c r="Y26" s="57">
        <f t="shared" si="1"/>
        <v>18.926905280699138</v>
      </c>
      <c r="AA26" s="57">
        <f>$Z$24</f>
        <v>10.772689450537946</v>
      </c>
      <c r="AB26" s="57">
        <f t="shared" si="6"/>
        <v>150</v>
      </c>
      <c r="AC26" s="57">
        <f t="shared" si="7"/>
        <v>8.154215830161192</v>
      </c>
      <c r="AD26" s="59">
        <f>INT((AC$23+AE26)*100)/100</f>
        <v>8.41</v>
      </c>
      <c r="AE26" s="57">
        <f>AF26*AG$28</f>
        <v>1.7759999999999998</v>
      </c>
      <c r="AF26" s="57">
        <v>0.8</v>
      </c>
      <c r="AG26" s="57"/>
      <c r="AH26" s="57"/>
      <c r="EF26" s="51">
        <v>10.06</v>
      </c>
    </row>
    <row r="27" spans="1:136" s="51" customFormat="1" ht="23.1" customHeight="1">
      <c r="A27" s="323"/>
      <c r="B27" s="323"/>
      <c r="C27" s="325">
        <f>$C$12+D27/1440</f>
        <v>45489.5</v>
      </c>
      <c r="D27" s="510">
        <v>60</v>
      </c>
      <c r="E27" s="510"/>
      <c r="F27" s="326">
        <f t="shared" si="13"/>
        <v>15.27</v>
      </c>
      <c r="G27" s="511">
        <f t="shared" si="14"/>
        <v>5.82</v>
      </c>
      <c r="H27" s="511"/>
      <c r="I27" s="301"/>
      <c r="J27" s="328">
        <f t="shared" si="15"/>
        <v>0.10000000000000053</v>
      </c>
      <c r="K27" s="373">
        <f t="shared" si="18"/>
        <v>35</v>
      </c>
      <c r="L27" s="373">
        <f t="shared" si="20"/>
        <v>6.5199999999999994E-2</v>
      </c>
      <c r="M27" s="374">
        <f t="shared" si="17"/>
        <v>2.2819999999999996</v>
      </c>
      <c r="N27" s="374">
        <f t="shared" si="19"/>
        <v>3.141E-2</v>
      </c>
      <c r="O27" s="374">
        <f t="shared" si="21"/>
        <v>72.650000000000006</v>
      </c>
      <c r="P27" s="375">
        <f t="shared" si="22"/>
        <v>-67.459999999999994</v>
      </c>
      <c r="S27" s="51">
        <f>$R$24</f>
        <v>120</v>
      </c>
      <c r="T27" s="51">
        <f t="shared" si="10"/>
        <v>6.3520341974657759</v>
      </c>
      <c r="U27" s="61">
        <f t="shared" si="11"/>
        <v>0.1</v>
      </c>
      <c r="V27" s="51">
        <f t="shared" si="12"/>
        <v>5.0000000000000001E-4</v>
      </c>
      <c r="W27" s="51">
        <f t="shared" si="0"/>
        <v>0.125</v>
      </c>
      <c r="X27" s="56">
        <f t="shared" si="4"/>
        <v>180</v>
      </c>
      <c r="Y27" s="57">
        <f t="shared" si="1"/>
        <v>19.200689695538756</v>
      </c>
      <c r="Z27" s="57">
        <f>Y28-Z28</f>
        <v>10.772689450537946</v>
      </c>
      <c r="AA27" s="57">
        <f>$Z$24</f>
        <v>10.772689450537946</v>
      </c>
      <c r="AB27" s="57">
        <f t="shared" si="6"/>
        <v>180</v>
      </c>
      <c r="AC27" s="57">
        <f t="shared" si="7"/>
        <v>8.4280002450008098</v>
      </c>
      <c r="AD27" s="59">
        <f>INT((AC$23+AE27)*100)/100</f>
        <v>8.6300000000000008</v>
      </c>
      <c r="AE27" s="57">
        <f>AF27*AG$28</f>
        <v>1.9979999999999998</v>
      </c>
      <c r="AF27" s="57">
        <v>0.9</v>
      </c>
      <c r="AG27" s="57"/>
      <c r="AH27" s="57"/>
      <c r="EF27" s="51">
        <v>10.06</v>
      </c>
    </row>
    <row r="28" spans="1:136" s="51" customFormat="1" ht="23.1" customHeight="1">
      <c r="A28" s="323"/>
      <c r="B28" s="323"/>
      <c r="C28" s="325"/>
      <c r="D28" s="510">
        <v>75</v>
      </c>
      <c r="E28" s="510"/>
      <c r="F28" s="326">
        <f t="shared" si="13"/>
        <v>15.53</v>
      </c>
      <c r="G28" s="511">
        <f t="shared" si="14"/>
        <v>6.08</v>
      </c>
      <c r="H28" s="511"/>
      <c r="I28" s="301"/>
      <c r="J28" s="328">
        <f t="shared" si="15"/>
        <v>0.25999999999999979</v>
      </c>
      <c r="K28" s="373">
        <f t="shared" si="18"/>
        <v>40</v>
      </c>
      <c r="L28" s="373">
        <f t="shared" si="20"/>
        <v>6.5199999999999994E-2</v>
      </c>
      <c r="M28" s="374">
        <f t="shared" si="17"/>
        <v>2.6079999999999997</v>
      </c>
      <c r="N28" s="374">
        <f t="shared" si="19"/>
        <v>3.141E-2</v>
      </c>
      <c r="O28" s="374">
        <f t="shared" si="21"/>
        <v>83.03</v>
      </c>
      <c r="P28" s="375">
        <f t="shared" si="22"/>
        <v>-77.69</v>
      </c>
      <c r="S28" s="51">
        <f>$R$24</f>
        <v>120</v>
      </c>
      <c r="T28" s="51">
        <f t="shared" si="10"/>
        <v>6.3520341974657759</v>
      </c>
      <c r="U28" s="61">
        <f t="shared" si="11"/>
        <v>0.1</v>
      </c>
      <c r="V28" s="51">
        <f t="shared" si="12"/>
        <v>5.0000000000000001E-4</v>
      </c>
      <c r="W28" s="51">
        <f t="shared" si="0"/>
        <v>0.16666666666666666</v>
      </c>
      <c r="X28" s="56">
        <f t="shared" si="4"/>
        <v>240</v>
      </c>
      <c r="Y28" s="57">
        <f t="shared" si="1"/>
        <v>19.632689450537946</v>
      </c>
      <c r="Z28" s="57">
        <f>Input!B21</f>
        <v>8.86</v>
      </c>
      <c r="AA28" s="57">
        <f>$Z$24</f>
        <v>10.772689450537946</v>
      </c>
      <c r="AB28" s="57">
        <f t="shared" si="6"/>
        <v>240</v>
      </c>
      <c r="AC28" s="57">
        <f t="shared" si="7"/>
        <v>8.86</v>
      </c>
      <c r="AD28" s="59">
        <f>INT((AC$23+AE28)*100)/100</f>
        <v>8.86</v>
      </c>
      <c r="AE28" s="57">
        <f>AF28*AG$28</f>
        <v>2.2199999999999998</v>
      </c>
      <c r="AF28" s="57">
        <v>1</v>
      </c>
      <c r="AG28" s="57">
        <f>AC28-AC23</f>
        <v>2.2199999999999998</v>
      </c>
      <c r="AH28" s="57"/>
      <c r="EF28" s="51">
        <v>10.15</v>
      </c>
    </row>
    <row r="29" spans="1:136" s="51" customFormat="1" ht="23.1" customHeight="1">
      <c r="A29" s="323"/>
      <c r="B29" s="323"/>
      <c r="C29" s="325"/>
      <c r="D29" s="510">
        <v>90</v>
      </c>
      <c r="E29" s="510"/>
      <c r="F29" s="326">
        <f t="shared" si="13"/>
        <v>15.75</v>
      </c>
      <c r="G29" s="511">
        <f t="shared" si="14"/>
        <v>6.3</v>
      </c>
      <c r="H29" s="511"/>
      <c r="I29" s="301"/>
      <c r="J29" s="328">
        <f t="shared" si="15"/>
        <v>0.21999999999999975</v>
      </c>
      <c r="K29" s="373">
        <f t="shared" si="18"/>
        <v>45</v>
      </c>
      <c r="L29" s="373">
        <f t="shared" si="20"/>
        <v>6.5199999999999994E-2</v>
      </c>
      <c r="M29" s="374">
        <f t="shared" si="17"/>
        <v>2.9339999999999997</v>
      </c>
      <c r="N29" s="374">
        <f t="shared" si="19"/>
        <v>3.141E-2</v>
      </c>
      <c r="O29" s="374">
        <f t="shared" si="21"/>
        <v>93.4</v>
      </c>
      <c r="P29" s="375">
        <f t="shared" si="22"/>
        <v>-87.92</v>
      </c>
      <c r="R29" s="55">
        <f>B37</f>
        <v>146.19999999999999</v>
      </c>
      <c r="S29" s="51">
        <f>$R$29</f>
        <v>146.19999999999999</v>
      </c>
      <c r="T29" s="51">
        <f t="shared" si="10"/>
        <v>6.3520341974657759</v>
      </c>
      <c r="U29" s="61">
        <f t="shared" si="11"/>
        <v>0.1</v>
      </c>
      <c r="V29" s="51">
        <f t="shared" si="12"/>
        <v>5.0000000000000001E-4</v>
      </c>
      <c r="W29" s="51">
        <f t="shared" si="0"/>
        <v>0.1736111111111111</v>
      </c>
      <c r="X29" s="56">
        <f t="shared" si="4"/>
        <v>250</v>
      </c>
      <c r="Y29" s="57">
        <f t="shared" si="1"/>
        <v>23.993844578704032</v>
      </c>
      <c r="Z29" s="57">
        <f>Z32</f>
        <v>13.310965936196569</v>
      </c>
      <c r="AA29" s="57">
        <f>$Z$29</f>
        <v>13.310965936196569</v>
      </c>
      <c r="AB29" s="57">
        <f t="shared" si="6"/>
        <v>250</v>
      </c>
      <c r="AC29" s="57">
        <f t="shared" si="7"/>
        <v>10.682878642507463</v>
      </c>
      <c r="AD29" s="59">
        <f>INT((AC$28+AE29)*100)/100</f>
        <v>10.35</v>
      </c>
      <c r="AE29" s="57">
        <f>AF29*AG$33</f>
        <v>1.494</v>
      </c>
      <c r="AF29" s="57">
        <v>0.6</v>
      </c>
      <c r="AG29" s="57"/>
      <c r="AH29" s="57"/>
      <c r="EF29" s="51">
        <v>10.15</v>
      </c>
    </row>
    <row r="30" spans="1:136" s="51" customFormat="1" ht="23.1" customHeight="1">
      <c r="A30" s="323"/>
      <c r="B30" s="323"/>
      <c r="C30" s="325"/>
      <c r="D30" s="510">
        <v>105</v>
      </c>
      <c r="E30" s="510"/>
      <c r="F30" s="326">
        <f t="shared" si="13"/>
        <v>15.93</v>
      </c>
      <c r="G30" s="511">
        <f t="shared" si="14"/>
        <v>6.48</v>
      </c>
      <c r="H30" s="511"/>
      <c r="I30" s="301"/>
      <c r="J30" s="328">
        <f t="shared" si="15"/>
        <v>0.1800000000000006</v>
      </c>
      <c r="K30" s="373">
        <f t="shared" si="18"/>
        <v>50</v>
      </c>
      <c r="L30" s="373">
        <f t="shared" si="20"/>
        <v>6.5199999999999994E-2</v>
      </c>
      <c r="M30" s="374">
        <f t="shared" si="17"/>
        <v>3.26</v>
      </c>
      <c r="N30" s="374">
        <f t="shared" si="19"/>
        <v>3.141E-2</v>
      </c>
      <c r="O30" s="374">
        <f t="shared" si="21"/>
        <v>103.78</v>
      </c>
      <c r="P30" s="375">
        <f t="shared" si="22"/>
        <v>-98.17</v>
      </c>
      <c r="R30" s="51" t="s">
        <v>21</v>
      </c>
      <c r="S30" s="51">
        <f>$R$29</f>
        <v>146.19999999999999</v>
      </c>
      <c r="T30" s="51">
        <f t="shared" si="10"/>
        <v>6.3520341974657759</v>
      </c>
      <c r="U30" s="61">
        <f t="shared" si="11"/>
        <v>0.1</v>
      </c>
      <c r="V30" s="51">
        <f t="shared" si="12"/>
        <v>5.0000000000000001E-4</v>
      </c>
      <c r="W30" s="51">
        <f t="shared" si="0"/>
        <v>0.18055555555555555</v>
      </c>
      <c r="X30" s="56">
        <f t="shared" si="4"/>
        <v>260</v>
      </c>
      <c r="Y30" s="57">
        <f t="shared" si="1"/>
        <v>24.065599602796471</v>
      </c>
      <c r="AA30" s="57">
        <f>$Z$29</f>
        <v>13.310965936196569</v>
      </c>
      <c r="AB30" s="57">
        <f t="shared" si="6"/>
        <v>260</v>
      </c>
      <c r="AC30" s="57">
        <f t="shared" si="7"/>
        <v>10.754633666599902</v>
      </c>
      <c r="AD30" s="59">
        <f>INT((AC$28+AE30)*100)/100</f>
        <v>10.6</v>
      </c>
      <c r="AE30" s="57">
        <f>AF30*AG$33</f>
        <v>1.7430000000000001</v>
      </c>
      <c r="AF30" s="57">
        <v>0.7</v>
      </c>
      <c r="AG30" s="57"/>
      <c r="AH30" s="57"/>
      <c r="EF30" s="51">
        <v>10.15</v>
      </c>
    </row>
    <row r="31" spans="1:136" s="51" customFormat="1" ht="23.1" customHeight="1">
      <c r="A31" s="323"/>
      <c r="B31" s="323"/>
      <c r="C31" s="325"/>
      <c r="D31" s="510">
        <v>120</v>
      </c>
      <c r="E31" s="510"/>
      <c r="F31" s="326">
        <f t="shared" si="13"/>
        <v>16.09</v>
      </c>
      <c r="G31" s="511">
        <f t="shared" si="14"/>
        <v>6.64</v>
      </c>
      <c r="H31" s="511"/>
      <c r="I31" s="301"/>
      <c r="J31" s="328">
        <f t="shared" si="15"/>
        <v>0.15999999999999925</v>
      </c>
      <c r="K31" s="373">
        <f t="shared" si="18"/>
        <v>55</v>
      </c>
      <c r="L31" s="373">
        <f t="shared" si="20"/>
        <v>6.5199999999999994E-2</v>
      </c>
      <c r="M31" s="374">
        <f t="shared" si="17"/>
        <v>3.5859999999999999</v>
      </c>
      <c r="N31" s="374">
        <f t="shared" si="19"/>
        <v>3.141E-2</v>
      </c>
      <c r="O31" s="374">
        <f>INT(M31/N31*100)/100</f>
        <v>114.16</v>
      </c>
      <c r="P31" s="375">
        <f t="shared" si="22"/>
        <v>-108.44</v>
      </c>
      <c r="S31" s="51">
        <f>$R$29</f>
        <v>146.19999999999999</v>
      </c>
      <c r="T31" s="51">
        <f t="shared" si="10"/>
        <v>6.3520341974657759</v>
      </c>
      <c r="U31" s="61">
        <f t="shared" si="11"/>
        <v>0.1</v>
      </c>
      <c r="V31" s="51">
        <f t="shared" si="12"/>
        <v>5.0000000000000001E-4</v>
      </c>
      <c r="W31" s="51">
        <f t="shared" si="0"/>
        <v>0.1875</v>
      </c>
      <c r="X31" s="56">
        <f t="shared" si="4"/>
        <v>270</v>
      </c>
      <c r="Y31" s="57">
        <f t="shared" si="1"/>
        <v>24.134646234689217</v>
      </c>
      <c r="AA31" s="57">
        <f>$Z$29</f>
        <v>13.310965936196569</v>
      </c>
      <c r="AB31" s="57">
        <f t="shared" si="6"/>
        <v>270</v>
      </c>
      <c r="AC31" s="57">
        <f t="shared" si="7"/>
        <v>10.823680298492649</v>
      </c>
      <c r="AD31" s="59">
        <f>INT((AC$28+AE31)*100)/100</f>
        <v>10.85</v>
      </c>
      <c r="AE31" s="57">
        <f>AF31*AG$33</f>
        <v>1.9920000000000002</v>
      </c>
      <c r="AF31" s="57">
        <v>0.8</v>
      </c>
      <c r="AG31" s="57"/>
      <c r="AH31" s="57"/>
      <c r="EF31" s="51">
        <v>10.77</v>
      </c>
    </row>
    <row r="32" spans="1:136" s="51" customFormat="1" ht="23.1" customHeight="1">
      <c r="A32" s="323">
        <v>2</v>
      </c>
      <c r="B32" s="324">
        <f>Input!D21</f>
        <v>120</v>
      </c>
      <c r="C32" s="325">
        <f>$C$12+D32/1440</f>
        <v>45489.548611111117</v>
      </c>
      <c r="D32" s="510">
        <v>130</v>
      </c>
      <c r="E32" s="510"/>
      <c r="F32" s="326">
        <f t="shared" si="13"/>
        <v>17.419999999999998</v>
      </c>
      <c r="G32" s="511">
        <f t="shared" si="14"/>
        <v>7.97</v>
      </c>
      <c r="H32" s="511"/>
      <c r="I32" s="301"/>
      <c r="J32" s="328">
        <f t="shared" si="15"/>
        <v>1.33</v>
      </c>
      <c r="K32" s="373">
        <f t="shared" si="18"/>
        <v>60</v>
      </c>
      <c r="L32" s="373">
        <f t="shared" si="20"/>
        <v>6.5199999999999994E-2</v>
      </c>
      <c r="M32" s="374">
        <f t="shared" si="17"/>
        <v>3.9119999999999995</v>
      </c>
      <c r="N32" s="374">
        <f t="shared" si="19"/>
        <v>3.141E-2</v>
      </c>
      <c r="O32" s="374">
        <f>INT(M32/N32*100)/100</f>
        <v>124.54</v>
      </c>
      <c r="P32" s="375">
        <f t="shared" si="22"/>
        <v>-118.72</v>
      </c>
      <c r="S32" s="51">
        <f>$R$29</f>
        <v>146.19999999999999</v>
      </c>
      <c r="T32" s="51">
        <f t="shared" si="10"/>
        <v>6.3520341974657759</v>
      </c>
      <c r="U32" s="61">
        <f t="shared" si="11"/>
        <v>0.1</v>
      </c>
      <c r="V32" s="51">
        <f t="shared" si="12"/>
        <v>5.0000000000000001E-4</v>
      </c>
      <c r="W32" s="51">
        <f t="shared" si="0"/>
        <v>0.20833333333333334</v>
      </c>
      <c r="X32" s="56">
        <f t="shared" si="4"/>
        <v>300</v>
      </c>
      <c r="Y32" s="57">
        <f t="shared" si="1"/>
        <v>24.327405257450298</v>
      </c>
      <c r="Z32" s="57">
        <f>Y33-Z33</f>
        <v>13.310965936196569</v>
      </c>
      <c r="AA32" s="57">
        <f>$Z$29</f>
        <v>13.310965936196569</v>
      </c>
      <c r="AB32" s="57">
        <f t="shared" si="6"/>
        <v>300</v>
      </c>
      <c r="AC32" s="57">
        <f t="shared" si="7"/>
        <v>11.016439321253729</v>
      </c>
      <c r="AD32" s="59">
        <f>INT((AC$28+AE32)*100)/100</f>
        <v>11.1</v>
      </c>
      <c r="AE32" s="57">
        <f>AF32*AG$33</f>
        <v>2.2410000000000001</v>
      </c>
      <c r="AF32" s="57">
        <v>0.9</v>
      </c>
      <c r="AG32" s="57"/>
      <c r="AH32" s="57"/>
      <c r="EF32" s="51">
        <v>14.26</v>
      </c>
    </row>
    <row r="33" spans="1:136" s="51" customFormat="1" ht="23.1" customHeight="1">
      <c r="A33" s="323"/>
      <c r="B33" s="323"/>
      <c r="C33" s="325"/>
      <c r="D33" s="510">
        <v>140</v>
      </c>
      <c r="E33" s="510"/>
      <c r="F33" s="326">
        <f t="shared" si="13"/>
        <v>17.64</v>
      </c>
      <c r="G33" s="511">
        <f t="shared" si="14"/>
        <v>8.19</v>
      </c>
      <c r="H33" s="511"/>
      <c r="I33" s="301"/>
      <c r="J33" s="328">
        <f t="shared" si="15"/>
        <v>0.21999999999999975</v>
      </c>
      <c r="L33" s="66" t="s">
        <v>21</v>
      </c>
      <c r="P33" s="58"/>
      <c r="S33" s="51">
        <f>$R$29</f>
        <v>146.19999999999999</v>
      </c>
      <c r="T33" s="51">
        <f t="shared" si="10"/>
        <v>6.3520341974657759</v>
      </c>
      <c r="U33" s="61">
        <f t="shared" si="11"/>
        <v>0.1</v>
      </c>
      <c r="V33" s="51">
        <f t="shared" si="12"/>
        <v>5.0000000000000001E-4</v>
      </c>
      <c r="W33" s="51">
        <f t="shared" si="0"/>
        <v>0.25</v>
      </c>
      <c r="X33" s="56">
        <f t="shared" si="4"/>
        <v>360</v>
      </c>
      <c r="Y33" s="57">
        <f t="shared" si="1"/>
        <v>24.660965936196568</v>
      </c>
      <c r="Z33" s="57">
        <f>Input!B22</f>
        <v>11.35</v>
      </c>
      <c r="AA33" s="57">
        <f>$Z$29</f>
        <v>13.310965936196569</v>
      </c>
      <c r="AB33" s="57">
        <f t="shared" si="6"/>
        <v>360</v>
      </c>
      <c r="AC33" s="57">
        <f t="shared" si="7"/>
        <v>11.35</v>
      </c>
      <c r="AD33" s="59">
        <f>INT((AC$28+AE33)*100)/100</f>
        <v>11.35</v>
      </c>
      <c r="AE33" s="57">
        <f>AF33*AG$33</f>
        <v>2.4900000000000002</v>
      </c>
      <c r="AF33" s="57">
        <v>1</v>
      </c>
      <c r="AG33" s="57">
        <f>AC33-AC28</f>
        <v>2.4900000000000002</v>
      </c>
      <c r="AH33" s="57"/>
      <c r="EF33" s="51">
        <v>15.41</v>
      </c>
    </row>
    <row r="34" spans="1:136" s="51" customFormat="1" ht="23.1" customHeight="1">
      <c r="A34" s="323"/>
      <c r="B34" s="323"/>
      <c r="C34" s="325"/>
      <c r="D34" s="510">
        <v>150</v>
      </c>
      <c r="E34" s="510"/>
      <c r="F34" s="326">
        <f t="shared" si="13"/>
        <v>17.86</v>
      </c>
      <c r="G34" s="511">
        <f t="shared" si="14"/>
        <v>8.41</v>
      </c>
      <c r="H34" s="511"/>
      <c r="I34" s="301"/>
      <c r="J34" s="328">
        <f t="shared" si="15"/>
        <v>0.22000000000000064</v>
      </c>
      <c r="L34" s="66" t="s">
        <v>21</v>
      </c>
      <c r="R34" s="51">
        <f>B42</f>
        <v>172</v>
      </c>
      <c r="S34" s="51">
        <f>$R$34</f>
        <v>172</v>
      </c>
      <c r="T34" s="51">
        <f t="shared" si="10"/>
        <v>6.3520341974657759</v>
      </c>
      <c r="U34" s="61">
        <f t="shared" si="11"/>
        <v>0.1</v>
      </c>
      <c r="V34" s="51">
        <f t="shared" si="12"/>
        <v>5.0000000000000001E-4</v>
      </c>
      <c r="W34" s="51">
        <f t="shared" si="0"/>
        <v>0.25694444444444442</v>
      </c>
      <c r="X34" s="56">
        <f t="shared" si="4"/>
        <v>370</v>
      </c>
      <c r="Y34" s="57">
        <f t="shared" si="1"/>
        <v>29.071873963536582</v>
      </c>
      <c r="Z34" s="57">
        <f>Z37</f>
        <v>15.502100750239899</v>
      </c>
      <c r="AA34" s="57">
        <f>$Z$34</f>
        <v>15.502100750239899</v>
      </c>
      <c r="AB34" s="57">
        <f t="shared" si="6"/>
        <v>370</v>
      </c>
      <c r="AC34" s="57">
        <f t="shared" si="7"/>
        <v>13.569773213296683</v>
      </c>
      <c r="AD34" s="59">
        <f>INT((AC$33+AE34)*100)/100</f>
        <v>13.01</v>
      </c>
      <c r="AE34" s="57">
        <f>AG$38*AF34</f>
        <v>1.6680000000000006</v>
      </c>
      <c r="AF34" s="57">
        <v>0.6</v>
      </c>
      <c r="AG34" s="57"/>
      <c r="AH34" s="57"/>
      <c r="EF34" s="51">
        <v>15.6</v>
      </c>
    </row>
    <row r="35" spans="1:136" s="51" customFormat="1" ht="23.1" customHeight="1">
      <c r="A35" s="323"/>
      <c r="B35" s="323"/>
      <c r="C35" s="325"/>
      <c r="D35" s="510">
        <v>180</v>
      </c>
      <c r="E35" s="510"/>
      <c r="F35" s="326">
        <f t="shared" si="13"/>
        <v>18.079999999999998</v>
      </c>
      <c r="G35" s="511">
        <f t="shared" si="14"/>
        <v>8.6300000000000008</v>
      </c>
      <c r="H35" s="511"/>
      <c r="I35" s="301"/>
      <c r="J35" s="328">
        <f t="shared" si="15"/>
        <v>0.22000000000000064</v>
      </c>
      <c r="L35" s="66" t="s">
        <v>21</v>
      </c>
      <c r="S35" s="51">
        <f>$R$34</f>
        <v>172</v>
      </c>
      <c r="T35" s="51">
        <f t="shared" si="10"/>
        <v>6.3520341974657759</v>
      </c>
      <c r="U35" s="61">
        <f t="shared" si="11"/>
        <v>0.1</v>
      </c>
      <c r="V35" s="51">
        <f t="shared" si="12"/>
        <v>5.0000000000000001E-4</v>
      </c>
      <c r="W35" s="51">
        <f t="shared" si="0"/>
        <v>0.2638888888888889</v>
      </c>
      <c r="X35" s="56">
        <f t="shared" si="4"/>
        <v>380</v>
      </c>
      <c r="Y35" s="57">
        <f t="shared" si="1"/>
        <v>29.129274027042491</v>
      </c>
      <c r="AA35" s="57">
        <f>$Z$34</f>
        <v>15.502100750239899</v>
      </c>
      <c r="AB35" s="57">
        <f t="shared" si="6"/>
        <v>380</v>
      </c>
      <c r="AC35" s="57">
        <f t="shared" si="7"/>
        <v>13.627173276802592</v>
      </c>
      <c r="AD35" s="59">
        <f>INT((AC$33+AE35)*100)/100</f>
        <v>13.29</v>
      </c>
      <c r="AE35" s="57">
        <f>AG$38*AF35</f>
        <v>1.9460000000000006</v>
      </c>
      <c r="AF35" s="57">
        <v>0.7</v>
      </c>
      <c r="AG35" s="57"/>
      <c r="AH35" s="57"/>
      <c r="EF35" s="51">
        <v>15.64</v>
      </c>
    </row>
    <row r="36" spans="1:136" s="51" customFormat="1" ht="23.1" customHeight="1">
      <c r="A36" s="323"/>
      <c r="B36" s="323"/>
      <c r="C36" s="325"/>
      <c r="D36" s="510">
        <v>240</v>
      </c>
      <c r="E36" s="510"/>
      <c r="F36" s="326">
        <f t="shared" si="13"/>
        <v>18.309999999999999</v>
      </c>
      <c r="G36" s="511">
        <f t="shared" si="14"/>
        <v>8.86</v>
      </c>
      <c r="H36" s="511"/>
      <c r="I36" s="301"/>
      <c r="J36" s="328">
        <f t="shared" si="15"/>
        <v>0.22999999999999865</v>
      </c>
      <c r="L36" s="66" t="s">
        <v>21</v>
      </c>
      <c r="S36" s="51">
        <f>$R$34</f>
        <v>172</v>
      </c>
      <c r="T36" s="51">
        <f t="shared" si="10"/>
        <v>6.3520341974657759</v>
      </c>
      <c r="U36" s="61">
        <f t="shared" si="11"/>
        <v>0.1</v>
      </c>
      <c r="V36" s="51">
        <f t="shared" si="12"/>
        <v>5.0000000000000001E-4</v>
      </c>
      <c r="W36" s="51">
        <f t="shared" si="0"/>
        <v>0.27083333333333331</v>
      </c>
      <c r="X36" s="56">
        <f t="shared" si="4"/>
        <v>390</v>
      </c>
      <c r="Y36" s="57">
        <f t="shared" si="1"/>
        <v>29.185183009907039</v>
      </c>
      <c r="AA36" s="57">
        <f>$Z$34</f>
        <v>15.502100750239899</v>
      </c>
      <c r="AB36" s="57">
        <f t="shared" si="6"/>
        <v>390</v>
      </c>
      <c r="AC36" s="57">
        <f t="shared" si="7"/>
        <v>13.68308225966714</v>
      </c>
      <c r="AD36" s="59">
        <f>INT((AC$33+AE36)*100)/100</f>
        <v>13.57</v>
      </c>
      <c r="AE36" s="57">
        <f>AG$38*AF36</f>
        <v>2.2240000000000011</v>
      </c>
      <c r="AF36" s="57">
        <v>0.8</v>
      </c>
      <c r="AG36" s="57"/>
      <c r="AH36" s="57"/>
      <c r="EF36" s="51">
        <v>15.67</v>
      </c>
    </row>
    <row r="37" spans="1:136" s="51" customFormat="1" ht="23.1" customHeight="1">
      <c r="A37" s="323">
        <v>3</v>
      </c>
      <c r="B37" s="324">
        <f>Input!D22</f>
        <v>146.19999999999999</v>
      </c>
      <c r="C37" s="325">
        <f>$C$12+D37/1440</f>
        <v>45489.631944444445</v>
      </c>
      <c r="D37" s="510">
        <v>250</v>
      </c>
      <c r="E37" s="510"/>
      <c r="F37" s="326">
        <f t="shared" si="13"/>
        <v>19.799999999999997</v>
      </c>
      <c r="G37" s="511">
        <f t="shared" si="14"/>
        <v>10.35</v>
      </c>
      <c r="H37" s="511"/>
      <c r="I37" s="301"/>
      <c r="J37" s="328">
        <f t="shared" si="15"/>
        <v>1.4900000000000002</v>
      </c>
      <c r="L37" s="66" t="s">
        <v>21</v>
      </c>
      <c r="S37" s="51">
        <f>$R$34</f>
        <v>172</v>
      </c>
      <c r="T37" s="51">
        <f t="shared" si="10"/>
        <v>6.3520341974657759</v>
      </c>
      <c r="U37" s="61">
        <f t="shared" si="11"/>
        <v>0.1</v>
      </c>
      <c r="V37" s="51">
        <f t="shared" si="12"/>
        <v>5.0000000000000001E-4</v>
      </c>
      <c r="W37" s="51">
        <f t="shared" si="0"/>
        <v>0.29166666666666669</v>
      </c>
      <c r="X37" s="56">
        <f t="shared" si="4"/>
        <v>420</v>
      </c>
      <c r="Y37" s="57">
        <f t="shared" si="1"/>
        <v>29.344691143111763</v>
      </c>
      <c r="Z37" s="57">
        <f>Y38-Z38</f>
        <v>15.502100750239899</v>
      </c>
      <c r="AA37" s="57">
        <f>$Z$34</f>
        <v>15.502100750239899</v>
      </c>
      <c r="AB37" s="57">
        <f t="shared" si="6"/>
        <v>420</v>
      </c>
      <c r="AC37" s="57">
        <f t="shared" si="7"/>
        <v>13.842590392871864</v>
      </c>
      <c r="AD37" s="59">
        <f>INT((AC$33+AE37)*100)/100</f>
        <v>13.85</v>
      </c>
      <c r="AE37" s="57">
        <f>AG$38*AF37</f>
        <v>2.5020000000000011</v>
      </c>
      <c r="AF37" s="57">
        <v>0.9</v>
      </c>
      <c r="AG37" s="57"/>
      <c r="AH37" s="57"/>
      <c r="EF37" s="51">
        <v>19.260000000000002</v>
      </c>
    </row>
    <row r="38" spans="1:136" s="51" customFormat="1" ht="23.1" customHeight="1">
      <c r="A38" s="323"/>
      <c r="B38" s="323"/>
      <c r="C38" s="325"/>
      <c r="D38" s="510">
        <v>260</v>
      </c>
      <c r="E38" s="510"/>
      <c r="F38" s="326">
        <f t="shared" si="13"/>
        <v>20.049999999999997</v>
      </c>
      <c r="G38" s="511">
        <f t="shared" si="14"/>
        <v>10.6</v>
      </c>
      <c r="H38" s="511"/>
      <c r="I38" s="301"/>
      <c r="J38" s="328">
        <f t="shared" si="15"/>
        <v>0.25</v>
      </c>
      <c r="L38" s="66" t="s">
        <v>21</v>
      </c>
      <c r="S38" s="51">
        <f>$R$34</f>
        <v>172</v>
      </c>
      <c r="T38" s="51">
        <f t="shared" si="10"/>
        <v>6.3520341974657759</v>
      </c>
      <c r="U38" s="61">
        <f t="shared" si="11"/>
        <v>0.1</v>
      </c>
      <c r="V38" s="51">
        <f t="shared" si="12"/>
        <v>5.0000000000000001E-4</v>
      </c>
      <c r="W38" s="51">
        <f t="shared" si="0"/>
        <v>0.33333333333333331</v>
      </c>
      <c r="X38" s="56">
        <f t="shared" si="4"/>
        <v>480</v>
      </c>
      <c r="Y38" s="57">
        <f t="shared" si="1"/>
        <v>29.6321007502399</v>
      </c>
      <c r="Z38" s="57">
        <f>Input!B23</f>
        <v>14.13</v>
      </c>
      <c r="AA38" s="57">
        <f>$Z$34</f>
        <v>15.502100750239899</v>
      </c>
      <c r="AB38" s="57">
        <f t="shared" si="6"/>
        <v>480</v>
      </c>
      <c r="AC38" s="57">
        <f t="shared" si="7"/>
        <v>14.13</v>
      </c>
      <c r="AD38" s="59">
        <f>INT((AC$33+AE38)*100)/100</f>
        <v>14.13</v>
      </c>
      <c r="AE38" s="57">
        <f>AG$38*AF38</f>
        <v>2.7800000000000011</v>
      </c>
      <c r="AF38" s="57">
        <v>1</v>
      </c>
      <c r="AG38" s="57">
        <f>AC38-AC33</f>
        <v>2.7800000000000011</v>
      </c>
      <c r="AH38" s="57"/>
      <c r="EF38" s="51">
        <v>20.059999999999999</v>
      </c>
    </row>
    <row r="39" spans="1:136" s="51" customFormat="1" ht="23.1" customHeight="1">
      <c r="A39" s="323"/>
      <c r="B39" s="323"/>
      <c r="C39" s="325"/>
      <c r="D39" s="510">
        <v>270</v>
      </c>
      <c r="E39" s="510"/>
      <c r="F39" s="326">
        <f t="shared" si="13"/>
        <v>20.299999999999997</v>
      </c>
      <c r="G39" s="511">
        <f t="shared" si="14"/>
        <v>10.85</v>
      </c>
      <c r="H39" s="511"/>
      <c r="I39" s="301"/>
      <c r="J39" s="328">
        <f t="shared" si="15"/>
        <v>0.25</v>
      </c>
      <c r="K39" s="60" t="s">
        <v>21</v>
      </c>
      <c r="L39" s="66" t="s">
        <v>21</v>
      </c>
      <c r="R39" s="55">
        <f>B47</f>
        <v>197.79999999999998</v>
      </c>
      <c r="S39" s="51">
        <f>$R$39</f>
        <v>197.79999999999998</v>
      </c>
      <c r="T39" s="51">
        <f t="shared" si="10"/>
        <v>6.3520341974657759</v>
      </c>
      <c r="U39" s="61">
        <f t="shared" si="11"/>
        <v>0.1</v>
      </c>
      <c r="V39" s="51">
        <f t="shared" si="12"/>
        <v>5.0000000000000001E-4</v>
      </c>
      <c r="W39" s="51">
        <f t="shared" si="0"/>
        <v>0.34027777777777779</v>
      </c>
      <c r="X39" s="56">
        <f t="shared" si="4"/>
        <v>490</v>
      </c>
      <c r="Y39" s="57">
        <f t="shared" si="1"/>
        <v>34.127953362538157</v>
      </c>
      <c r="Z39" s="57">
        <f>Z42</f>
        <v>16.269247707964091</v>
      </c>
      <c r="AA39" s="57">
        <f>$Z$39</f>
        <v>16.269247707964091</v>
      </c>
      <c r="AB39" s="57">
        <f t="shared" si="6"/>
        <v>490</v>
      </c>
      <c r="AC39" s="57">
        <f t="shared" si="7"/>
        <v>17.858705654574067</v>
      </c>
      <c r="AD39" s="59">
        <f>INT((AC$38+AE39)*100)/100</f>
        <v>15.82</v>
      </c>
      <c r="AE39" s="57">
        <f>AG$43*AF39</f>
        <v>1.6919999999999995</v>
      </c>
      <c r="AF39" s="57">
        <v>0.4</v>
      </c>
      <c r="AG39" s="57"/>
      <c r="AH39" s="57"/>
      <c r="EF39" s="51">
        <v>20.46</v>
      </c>
    </row>
    <row r="40" spans="1:136" s="51" customFormat="1" ht="23.1" customHeight="1">
      <c r="A40" s="323"/>
      <c r="B40" s="323"/>
      <c r="C40" s="325"/>
      <c r="D40" s="510">
        <v>300</v>
      </c>
      <c r="E40" s="510"/>
      <c r="F40" s="326">
        <f t="shared" si="13"/>
        <v>20.549999999999997</v>
      </c>
      <c r="G40" s="511">
        <f t="shared" si="14"/>
        <v>11.1</v>
      </c>
      <c r="H40" s="511"/>
      <c r="I40" s="301"/>
      <c r="J40" s="328">
        <f t="shared" si="15"/>
        <v>0.25</v>
      </c>
      <c r="K40" s="60" t="s">
        <v>21</v>
      </c>
      <c r="L40" s="66" t="s">
        <v>21</v>
      </c>
      <c r="S40" s="51">
        <f>$R$39</f>
        <v>197.79999999999998</v>
      </c>
      <c r="T40" s="51">
        <f t="shared" si="10"/>
        <v>6.3520341974657759</v>
      </c>
      <c r="U40" s="61">
        <f t="shared" si="11"/>
        <v>0.1</v>
      </c>
      <c r="V40" s="51">
        <f t="shared" si="12"/>
        <v>5.0000000000000001E-4</v>
      </c>
      <c r="W40" s="51">
        <f t="shared" si="0"/>
        <v>0.34722222222222221</v>
      </c>
      <c r="X40" s="56">
        <f t="shared" si="4"/>
        <v>500</v>
      </c>
      <c r="Y40" s="57">
        <f t="shared" si="1"/>
        <v>34.17795973083679</v>
      </c>
      <c r="AA40" s="57">
        <f>$Z$39</f>
        <v>16.269247707964091</v>
      </c>
      <c r="AB40" s="57">
        <f t="shared" si="6"/>
        <v>500</v>
      </c>
      <c r="AC40" s="57">
        <f t="shared" si="7"/>
        <v>17.908712022872699</v>
      </c>
      <c r="AD40" s="59">
        <f>INT((AC$38+AE40)*100)/100</f>
        <v>16.45</v>
      </c>
      <c r="AE40" s="57">
        <f>AG$43*AF40</f>
        <v>2.3264999999999993</v>
      </c>
      <c r="AF40" s="57">
        <v>0.55000000000000004</v>
      </c>
      <c r="AG40" s="57"/>
      <c r="AH40" s="57"/>
      <c r="EF40" s="51">
        <v>20.66</v>
      </c>
    </row>
    <row r="41" spans="1:136" s="51" customFormat="1" ht="23.1" customHeight="1">
      <c r="A41" s="323"/>
      <c r="B41" s="323"/>
      <c r="C41" s="325"/>
      <c r="D41" s="510">
        <v>360</v>
      </c>
      <c r="E41" s="510"/>
      <c r="F41" s="326">
        <f t="shared" si="13"/>
        <v>20.799999999999997</v>
      </c>
      <c r="G41" s="511">
        <f t="shared" si="14"/>
        <v>11.35</v>
      </c>
      <c r="H41" s="511"/>
      <c r="I41" s="301"/>
      <c r="J41" s="328">
        <f t="shared" si="15"/>
        <v>0.25</v>
      </c>
      <c r="K41" s="60" t="s">
        <v>21</v>
      </c>
      <c r="L41" s="66" t="s">
        <v>21</v>
      </c>
      <c r="S41" s="51">
        <f>$R$39</f>
        <v>197.79999999999998</v>
      </c>
      <c r="T41" s="51">
        <f t="shared" si="10"/>
        <v>6.3520341974657759</v>
      </c>
      <c r="U41" s="61">
        <f t="shared" si="11"/>
        <v>0.1</v>
      </c>
      <c r="V41" s="51">
        <f t="shared" si="12"/>
        <v>5.0000000000000001E-4</v>
      </c>
      <c r="W41" s="51">
        <f t="shared" si="0"/>
        <v>0.35416666666666669</v>
      </c>
      <c r="X41" s="56">
        <f t="shared" si="4"/>
        <v>510</v>
      </c>
      <c r="Y41" s="57">
        <f t="shared" si="1"/>
        <v>34.226975808647047</v>
      </c>
      <c r="AA41" s="57">
        <f>$Z$39</f>
        <v>16.269247707964091</v>
      </c>
      <c r="AB41" s="57">
        <f t="shared" si="6"/>
        <v>510</v>
      </c>
      <c r="AC41" s="57">
        <f t="shared" si="7"/>
        <v>17.957728100682957</v>
      </c>
      <c r="AD41" s="59">
        <f>INT((AC$38+AE41)*100)/100</f>
        <v>17.09</v>
      </c>
      <c r="AE41" s="57">
        <f>AG$43*AF41</f>
        <v>2.960999999999999</v>
      </c>
      <c r="AF41" s="57">
        <v>0.7</v>
      </c>
      <c r="AG41" s="57"/>
      <c r="AH41" s="57"/>
      <c r="EF41" s="51">
        <v>20.75</v>
      </c>
    </row>
    <row r="42" spans="1:136" s="51" customFormat="1" ht="23.1" customHeight="1">
      <c r="A42" s="323">
        <v>4</v>
      </c>
      <c r="B42" s="324">
        <f>Input!D23</f>
        <v>172</v>
      </c>
      <c r="C42" s="325">
        <f>$C$12+D42/1440</f>
        <v>45489.715277777781</v>
      </c>
      <c r="D42" s="510">
        <v>370</v>
      </c>
      <c r="E42" s="510"/>
      <c r="F42" s="326">
        <f t="shared" si="13"/>
        <v>22.46</v>
      </c>
      <c r="G42" s="511">
        <f t="shared" si="14"/>
        <v>13.01</v>
      </c>
      <c r="H42" s="511"/>
      <c r="I42" s="301"/>
      <c r="J42" s="328">
        <f t="shared" si="15"/>
        <v>1.6600000000000001</v>
      </c>
      <c r="K42" s="60" t="s">
        <v>21</v>
      </c>
      <c r="L42" s="66" t="s">
        <v>21</v>
      </c>
      <c r="S42" s="51">
        <f>$R$39</f>
        <v>197.79999999999998</v>
      </c>
      <c r="T42" s="51">
        <f t="shared" si="10"/>
        <v>6.3520341974657759</v>
      </c>
      <c r="U42" s="61">
        <f t="shared" si="11"/>
        <v>0.1</v>
      </c>
      <c r="V42" s="51">
        <f t="shared" si="12"/>
        <v>5.0000000000000001E-4</v>
      </c>
      <c r="W42" s="51">
        <f t="shared" si="0"/>
        <v>0.375</v>
      </c>
      <c r="X42" s="56">
        <f t="shared" si="4"/>
        <v>540</v>
      </c>
      <c r="Y42" s="57">
        <f t="shared" si="1"/>
        <v>34.368456088934394</v>
      </c>
      <c r="Z42" s="57">
        <f>Y43-Z43</f>
        <v>16.269247707964091</v>
      </c>
      <c r="AA42" s="57">
        <f>$Z$39</f>
        <v>16.269247707964091</v>
      </c>
      <c r="AB42" s="57">
        <f t="shared" si="6"/>
        <v>540</v>
      </c>
      <c r="AC42" s="57">
        <f t="shared" si="7"/>
        <v>18.099208380970303</v>
      </c>
      <c r="AD42" s="59">
        <f>INT((AC$38+AE42)*100)/100</f>
        <v>17.72</v>
      </c>
      <c r="AE42" s="57">
        <f>AG$43*AF42</f>
        <v>3.5954999999999986</v>
      </c>
      <c r="AF42" s="57">
        <v>0.85</v>
      </c>
      <c r="AG42" s="57"/>
      <c r="AH42" s="57"/>
      <c r="EF42" s="51">
        <v>29.31</v>
      </c>
    </row>
    <row r="43" spans="1:136" s="51" customFormat="1" ht="23.1" customHeight="1">
      <c r="A43" s="323"/>
      <c r="B43" s="323"/>
      <c r="C43" s="325"/>
      <c r="D43" s="510">
        <v>380</v>
      </c>
      <c r="E43" s="510"/>
      <c r="F43" s="326">
        <f t="shared" si="13"/>
        <v>22.74</v>
      </c>
      <c r="G43" s="511">
        <f t="shared" si="14"/>
        <v>13.29</v>
      </c>
      <c r="H43" s="511"/>
      <c r="I43" s="301"/>
      <c r="J43" s="328">
        <f t="shared" si="15"/>
        <v>0.27999999999999936</v>
      </c>
      <c r="K43" s="60" t="s">
        <v>21</v>
      </c>
      <c r="L43" s="66" t="s">
        <v>21</v>
      </c>
      <c r="S43" s="51">
        <f>$R$39</f>
        <v>197.79999999999998</v>
      </c>
      <c r="T43" s="51">
        <f t="shared" si="10"/>
        <v>6.3520341974657759</v>
      </c>
      <c r="U43" s="61">
        <f t="shared" si="11"/>
        <v>0.1</v>
      </c>
      <c r="V43" s="51">
        <f t="shared" si="12"/>
        <v>5.0000000000000001E-4</v>
      </c>
      <c r="W43" s="51">
        <f t="shared" si="0"/>
        <v>0.41666666666666669</v>
      </c>
      <c r="X43" s="56">
        <f t="shared" si="4"/>
        <v>600</v>
      </c>
      <c r="Y43" s="57">
        <f t="shared" si="1"/>
        <v>34.62924770796409</v>
      </c>
      <c r="Z43" s="57">
        <f>Input!B24</f>
        <v>18.36</v>
      </c>
      <c r="AA43" s="57">
        <f>$Z$39</f>
        <v>16.269247707964091</v>
      </c>
      <c r="AB43" s="57">
        <f t="shared" si="6"/>
        <v>600</v>
      </c>
      <c r="AC43" s="57">
        <f t="shared" si="7"/>
        <v>18.36</v>
      </c>
      <c r="AD43" s="59">
        <f>INT((AC$38+AE43)*100)/100</f>
        <v>18.36</v>
      </c>
      <c r="AE43" s="57">
        <f>AG$43*AF43</f>
        <v>4.2299999999999986</v>
      </c>
      <c r="AF43" s="57">
        <v>1</v>
      </c>
      <c r="AG43" s="57">
        <f>AC43-AC38</f>
        <v>4.2299999999999986</v>
      </c>
      <c r="AH43" s="57"/>
      <c r="EF43" s="51">
        <v>31.81</v>
      </c>
    </row>
    <row r="44" spans="1:136" s="51" customFormat="1" ht="23.1" customHeight="1">
      <c r="A44" s="323"/>
      <c r="B44" s="323"/>
      <c r="C44" s="325"/>
      <c r="D44" s="510">
        <v>390</v>
      </c>
      <c r="E44" s="510"/>
      <c r="F44" s="326">
        <f t="shared" si="13"/>
        <v>23.02</v>
      </c>
      <c r="G44" s="511">
        <f t="shared" si="14"/>
        <v>13.57</v>
      </c>
      <c r="H44" s="511"/>
      <c r="I44" s="301"/>
      <c r="J44" s="328">
        <f t="shared" si="15"/>
        <v>0.28000000000000114</v>
      </c>
      <c r="K44" s="60" t="s">
        <v>21</v>
      </c>
      <c r="L44" s="66" t="s">
        <v>21</v>
      </c>
      <c r="S44" s="51" t="s">
        <v>21</v>
      </c>
      <c r="T44" s="51" t="s">
        <v>21</v>
      </c>
      <c r="U44" s="61" t="s">
        <v>21</v>
      </c>
      <c r="V44" s="51" t="s">
        <v>21</v>
      </c>
      <c r="W44" s="51" t="s">
        <v>21</v>
      </c>
      <c r="X44" s="56" t="s">
        <v>21</v>
      </c>
      <c r="Y44" s="57" t="s">
        <v>21</v>
      </c>
      <c r="AE44" s="57"/>
      <c r="AF44" s="57"/>
      <c r="EF44" s="51">
        <v>35.83</v>
      </c>
    </row>
    <row r="45" spans="1:136" s="51" customFormat="1" ht="23.1" customHeight="1">
      <c r="A45" s="323"/>
      <c r="B45" s="323"/>
      <c r="C45" s="325"/>
      <c r="D45" s="510">
        <v>420</v>
      </c>
      <c r="E45" s="510"/>
      <c r="F45" s="326">
        <f t="shared" si="13"/>
        <v>23.299999999999997</v>
      </c>
      <c r="G45" s="511">
        <f t="shared" si="14"/>
        <v>13.85</v>
      </c>
      <c r="H45" s="511"/>
      <c r="I45" s="301"/>
      <c r="J45" s="328">
        <f t="shared" si="15"/>
        <v>0.27999999999999936</v>
      </c>
      <c r="K45" s="60" t="s">
        <v>21</v>
      </c>
      <c r="L45" s="66" t="s">
        <v>21</v>
      </c>
      <c r="S45" s="51" t="str">
        <f t="shared" ref="S45:S51" si="23">$S44</f>
        <v xml:space="preserve"> </v>
      </c>
      <c r="T45" s="51" t="str">
        <f t="shared" si="10"/>
        <v xml:space="preserve"> </v>
      </c>
      <c r="U45" s="61" t="str">
        <f t="shared" si="11"/>
        <v xml:space="preserve"> </v>
      </c>
      <c r="V45" s="51" t="str">
        <f t="shared" si="12"/>
        <v xml:space="preserve"> </v>
      </c>
      <c r="W45" s="51" t="s">
        <v>21</v>
      </c>
      <c r="X45" s="56" t="s">
        <v>21</v>
      </c>
      <c r="Y45" s="57" t="s">
        <v>21</v>
      </c>
      <c r="AE45" s="57"/>
      <c r="AF45" s="57"/>
      <c r="EF45" s="51">
        <v>35.96</v>
      </c>
    </row>
    <row r="46" spans="1:136" s="51" customFormat="1" ht="23.1" customHeight="1">
      <c r="A46" s="323"/>
      <c r="B46" s="323"/>
      <c r="C46" s="325"/>
      <c r="D46" s="510">
        <v>480</v>
      </c>
      <c r="E46" s="510"/>
      <c r="F46" s="326">
        <f t="shared" si="13"/>
        <v>23.58</v>
      </c>
      <c r="G46" s="511">
        <f t="shared" si="14"/>
        <v>14.13</v>
      </c>
      <c r="H46" s="511"/>
      <c r="I46" s="301"/>
      <c r="J46" s="328">
        <f t="shared" si="15"/>
        <v>0.28000000000000114</v>
      </c>
      <c r="K46" s="60" t="s">
        <v>21</v>
      </c>
      <c r="L46" s="66" t="s">
        <v>21</v>
      </c>
      <c r="S46" s="51" t="str">
        <f t="shared" si="23"/>
        <v xml:space="preserve"> </v>
      </c>
      <c r="T46" s="51" t="str">
        <f t="shared" si="10"/>
        <v xml:space="preserve"> </v>
      </c>
      <c r="U46" s="61" t="str">
        <f t="shared" si="11"/>
        <v xml:space="preserve"> </v>
      </c>
      <c r="V46" s="51" t="str">
        <f t="shared" si="12"/>
        <v xml:space="preserve"> </v>
      </c>
      <c r="W46" s="51" t="s">
        <v>21</v>
      </c>
      <c r="X46" s="56" t="s">
        <v>21</v>
      </c>
      <c r="Y46" s="57" t="s">
        <v>21</v>
      </c>
      <c r="AE46" s="57"/>
      <c r="AF46" s="57"/>
      <c r="EF46" s="51">
        <v>36.01</v>
      </c>
    </row>
    <row r="47" spans="1:136" s="51" customFormat="1" ht="23.1" customHeight="1">
      <c r="A47" s="323">
        <v>5</v>
      </c>
      <c r="B47" s="324">
        <f>Input!D24</f>
        <v>197.79999999999998</v>
      </c>
      <c r="C47" s="325">
        <f>$C$12+D47/1440</f>
        <v>45489.798611111117</v>
      </c>
      <c r="D47" s="510">
        <v>490</v>
      </c>
      <c r="E47" s="510"/>
      <c r="F47" s="326">
        <f t="shared" si="13"/>
        <v>25.27</v>
      </c>
      <c r="G47" s="511">
        <f t="shared" si="14"/>
        <v>15.82</v>
      </c>
      <c r="H47" s="511"/>
      <c r="I47" s="301"/>
      <c r="J47" s="328">
        <f t="shared" si="15"/>
        <v>1.6899999999999995</v>
      </c>
      <c r="K47" s="60" t="s">
        <v>21</v>
      </c>
      <c r="S47" s="51" t="str">
        <f t="shared" si="23"/>
        <v xml:space="preserve"> </v>
      </c>
      <c r="T47" s="51" t="str">
        <f t="shared" si="10"/>
        <v xml:space="preserve"> </v>
      </c>
      <c r="U47" s="61" t="str">
        <f t="shared" si="11"/>
        <v xml:space="preserve"> </v>
      </c>
      <c r="V47" s="51" t="str">
        <f t="shared" si="12"/>
        <v xml:space="preserve"> </v>
      </c>
      <c r="W47" s="51" t="s">
        <v>21</v>
      </c>
      <c r="X47" s="56" t="s">
        <v>21</v>
      </c>
      <c r="Y47" s="57" t="s">
        <v>21</v>
      </c>
      <c r="AE47" s="57"/>
      <c r="AF47" s="57"/>
      <c r="EF47" s="51">
        <v>30.66</v>
      </c>
    </row>
    <row r="48" spans="1:136" s="51" customFormat="1" ht="23.1" customHeight="1">
      <c r="A48" s="323"/>
      <c r="B48" s="323"/>
      <c r="C48" s="325"/>
      <c r="D48" s="510">
        <v>500</v>
      </c>
      <c r="E48" s="510"/>
      <c r="F48" s="326">
        <f t="shared" si="13"/>
        <v>25.9</v>
      </c>
      <c r="G48" s="511">
        <f t="shared" si="14"/>
        <v>16.45</v>
      </c>
      <c r="H48" s="511"/>
      <c r="I48" s="301"/>
      <c r="J48" s="328">
        <f t="shared" si="15"/>
        <v>0.62999999999999901</v>
      </c>
      <c r="K48" s="60" t="s">
        <v>21</v>
      </c>
      <c r="S48" s="51" t="str">
        <f t="shared" si="23"/>
        <v xml:space="preserve"> </v>
      </c>
      <c r="T48" s="51" t="str">
        <f t="shared" si="10"/>
        <v xml:space="preserve"> </v>
      </c>
      <c r="U48" s="61" t="str">
        <f t="shared" si="11"/>
        <v xml:space="preserve"> </v>
      </c>
      <c r="V48" s="51" t="str">
        <f t="shared" si="12"/>
        <v xml:space="preserve"> </v>
      </c>
      <c r="W48" s="51" t="s">
        <v>21</v>
      </c>
      <c r="X48" s="56" t="s">
        <v>21</v>
      </c>
      <c r="Y48" s="57" t="s">
        <v>21</v>
      </c>
      <c r="AE48" s="57"/>
      <c r="AF48" s="57"/>
      <c r="EF48" s="51">
        <v>30.83</v>
      </c>
    </row>
    <row r="49" spans="1:136" s="51" customFormat="1" ht="23.1" customHeight="1">
      <c r="A49" s="323"/>
      <c r="B49" s="323"/>
      <c r="C49" s="325"/>
      <c r="D49" s="510">
        <v>510</v>
      </c>
      <c r="E49" s="510"/>
      <c r="F49" s="326">
        <f t="shared" si="13"/>
        <v>26.54</v>
      </c>
      <c r="G49" s="511">
        <f t="shared" si="14"/>
        <v>17.09</v>
      </c>
      <c r="H49" s="511"/>
      <c r="I49" s="301"/>
      <c r="J49" s="328">
        <f t="shared" si="15"/>
        <v>0.64000000000000057</v>
      </c>
      <c r="K49" s="60" t="s">
        <v>21</v>
      </c>
      <c r="S49" s="51" t="str">
        <f t="shared" si="23"/>
        <v xml:space="preserve"> </v>
      </c>
      <c r="T49" s="51" t="str">
        <f t="shared" si="10"/>
        <v xml:space="preserve"> </v>
      </c>
      <c r="U49" s="61" t="str">
        <f t="shared" si="11"/>
        <v xml:space="preserve"> </v>
      </c>
      <c r="V49" s="51" t="str">
        <f t="shared" si="12"/>
        <v xml:space="preserve"> </v>
      </c>
      <c r="W49" s="51" t="s">
        <v>21</v>
      </c>
      <c r="X49" s="56" t="s">
        <v>21</v>
      </c>
      <c r="Y49" s="57" t="s">
        <v>21</v>
      </c>
      <c r="AE49" s="57"/>
      <c r="AF49" s="57"/>
      <c r="EF49" s="51">
        <v>30.83</v>
      </c>
    </row>
    <row r="50" spans="1:136" s="51" customFormat="1" ht="23.1" customHeight="1">
      <c r="A50" s="323"/>
      <c r="B50" s="323"/>
      <c r="C50" s="325"/>
      <c r="D50" s="510">
        <v>540</v>
      </c>
      <c r="E50" s="510"/>
      <c r="F50" s="326">
        <f t="shared" si="13"/>
        <v>27.169999999999998</v>
      </c>
      <c r="G50" s="511">
        <f t="shared" si="14"/>
        <v>17.72</v>
      </c>
      <c r="H50" s="511"/>
      <c r="I50" s="301"/>
      <c r="J50" s="328">
        <f t="shared" si="15"/>
        <v>0.62999999999999901</v>
      </c>
      <c r="K50" s="60" t="s">
        <v>21</v>
      </c>
      <c r="S50" s="51" t="str">
        <f t="shared" si="23"/>
        <v xml:space="preserve"> </v>
      </c>
      <c r="T50" s="51" t="str">
        <f t="shared" si="10"/>
        <v xml:space="preserve"> </v>
      </c>
      <c r="U50" s="61" t="str">
        <f t="shared" si="11"/>
        <v xml:space="preserve"> </v>
      </c>
      <c r="V50" s="51" t="str">
        <f t="shared" si="12"/>
        <v xml:space="preserve"> </v>
      </c>
      <c r="W50" s="51" t="s">
        <v>21</v>
      </c>
      <c r="X50" s="56" t="s">
        <v>21</v>
      </c>
      <c r="Y50" s="57" t="s">
        <v>21</v>
      </c>
      <c r="AE50" s="57"/>
      <c r="AF50" s="57"/>
      <c r="EF50" s="51">
        <v>30.83</v>
      </c>
    </row>
    <row r="51" spans="1:136" s="51" customFormat="1" ht="23.1" customHeight="1">
      <c r="A51" s="323"/>
      <c r="B51" s="323"/>
      <c r="C51" s="325">
        <f>$C$12+D51/1440</f>
        <v>45489.875</v>
      </c>
      <c r="D51" s="510">
        <v>600</v>
      </c>
      <c r="E51" s="510"/>
      <c r="F51" s="326">
        <f t="shared" si="13"/>
        <v>27.81</v>
      </c>
      <c r="G51" s="511">
        <f t="shared" si="14"/>
        <v>18.36</v>
      </c>
      <c r="H51" s="511"/>
      <c r="I51" s="301" t="s">
        <v>180</v>
      </c>
      <c r="J51" s="328">
        <f t="shared" si="15"/>
        <v>0.64000000000000057</v>
      </c>
      <c r="K51" s="60" t="s">
        <v>21</v>
      </c>
      <c r="S51" s="51" t="str">
        <f t="shared" si="23"/>
        <v xml:space="preserve"> </v>
      </c>
      <c r="T51" s="51" t="str">
        <f t="shared" si="10"/>
        <v xml:space="preserve"> </v>
      </c>
      <c r="U51" s="61" t="str">
        <f t="shared" si="11"/>
        <v xml:space="preserve"> </v>
      </c>
      <c r="V51" s="51" t="str">
        <f t="shared" si="12"/>
        <v xml:space="preserve"> </v>
      </c>
      <c r="W51" s="51" t="s">
        <v>21</v>
      </c>
      <c r="X51" s="56" t="s">
        <v>21</v>
      </c>
      <c r="Y51" s="57" t="s">
        <v>21</v>
      </c>
      <c r="AE51" s="57"/>
      <c r="AF51" s="57"/>
      <c r="EF51" s="51">
        <v>31.590000000000117</v>
      </c>
    </row>
    <row r="52" spans="1:136" s="51" customFormat="1" ht="17.25" customHeight="1">
      <c r="J52" s="51" t="s">
        <v>21</v>
      </c>
      <c r="K52" s="60" t="s">
        <v>21</v>
      </c>
      <c r="U52" s="61"/>
      <c r="W52" s="51" t="s">
        <v>21</v>
      </c>
      <c r="X52" s="56" t="s">
        <v>21</v>
      </c>
      <c r="Y52" s="57" t="s">
        <v>21</v>
      </c>
      <c r="AE52" s="57"/>
      <c r="AF52" s="57"/>
      <c r="EF52" s="51">
        <v>13.38</v>
      </c>
    </row>
    <row r="53" spans="1:136" s="51" customFormat="1" ht="17.25" customHeight="1">
      <c r="J53" s="51" t="s">
        <v>21</v>
      </c>
      <c r="K53" s="60" t="s">
        <v>21</v>
      </c>
      <c r="U53" s="61"/>
      <c r="W53" s="51" t="s">
        <v>21</v>
      </c>
      <c r="X53" s="56" t="s">
        <v>21</v>
      </c>
      <c r="Y53" s="57" t="s">
        <v>21</v>
      </c>
      <c r="AE53" s="57"/>
      <c r="AF53" s="57"/>
      <c r="EF53" s="51">
        <v>9.48</v>
      </c>
    </row>
    <row r="54" spans="1:136" s="51" customFormat="1" ht="17.25" customHeight="1">
      <c r="J54" s="51" t="s">
        <v>21</v>
      </c>
      <c r="K54" s="60" t="s">
        <v>21</v>
      </c>
      <c r="U54" s="61"/>
      <c r="W54" s="51" t="s">
        <v>21</v>
      </c>
      <c r="X54" s="56" t="s">
        <v>21</v>
      </c>
      <c r="Y54" s="57" t="s">
        <v>21</v>
      </c>
      <c r="AE54" s="57"/>
      <c r="AF54" s="57"/>
      <c r="EF54" s="51">
        <v>6.56</v>
      </c>
    </row>
    <row r="55" spans="1:136" s="51" customFormat="1" ht="17.25" customHeight="1">
      <c r="J55" s="51" t="s">
        <v>21</v>
      </c>
      <c r="K55" s="60" t="s">
        <v>21</v>
      </c>
      <c r="U55" s="61"/>
      <c r="W55" s="51" t="s">
        <v>21</v>
      </c>
      <c r="X55" s="56" t="s">
        <v>21</v>
      </c>
      <c r="Y55" s="57" t="s">
        <v>21</v>
      </c>
      <c r="AE55" s="57"/>
      <c r="AF55" s="57"/>
      <c r="EF55" s="51">
        <v>4.22</v>
      </c>
    </row>
    <row r="56" spans="1:136" s="51" customFormat="1" ht="17.25" customHeight="1">
      <c r="J56" s="51" t="s">
        <v>21</v>
      </c>
      <c r="K56" s="60" t="s">
        <v>21</v>
      </c>
      <c r="U56" s="61"/>
      <c r="W56" s="51" t="s">
        <v>21</v>
      </c>
      <c r="X56" s="56" t="s">
        <v>21</v>
      </c>
      <c r="Y56" s="57" t="s">
        <v>21</v>
      </c>
      <c r="AE56" s="57"/>
      <c r="AF56" s="57"/>
      <c r="EF56" s="51">
        <v>3.05</v>
      </c>
    </row>
    <row r="57" spans="1:136" s="51" customFormat="1" ht="17.25" customHeight="1">
      <c r="J57" s="51" t="s">
        <v>21</v>
      </c>
      <c r="K57" s="60" t="s">
        <v>21</v>
      </c>
      <c r="U57" s="61"/>
      <c r="W57" s="51" t="s">
        <v>21</v>
      </c>
      <c r="X57" s="56" t="s">
        <v>21</v>
      </c>
      <c r="Y57" s="57" t="s">
        <v>21</v>
      </c>
      <c r="AE57" s="57"/>
      <c r="AF57" s="57"/>
      <c r="EF57" s="51">
        <v>2.27</v>
      </c>
    </row>
    <row r="58" spans="1:136" s="51" customFormat="1" ht="17.25" customHeight="1">
      <c r="J58" s="51" t="s">
        <v>21</v>
      </c>
      <c r="K58" s="60" t="s">
        <v>21</v>
      </c>
      <c r="U58" s="61"/>
      <c r="W58" s="51" t="s">
        <v>21</v>
      </c>
      <c r="X58" s="56" t="s">
        <v>21</v>
      </c>
      <c r="Y58" s="57" t="s">
        <v>21</v>
      </c>
      <c r="AE58" s="57"/>
      <c r="AF58" s="57"/>
      <c r="EF58" s="51">
        <v>1.69</v>
      </c>
    </row>
    <row r="59" spans="1:136" s="51" customFormat="1" ht="17.25" customHeight="1">
      <c r="J59" s="51" t="s">
        <v>21</v>
      </c>
      <c r="K59" s="60" t="s">
        <v>21</v>
      </c>
      <c r="U59" s="61"/>
      <c r="W59" s="51" t="s">
        <v>21</v>
      </c>
      <c r="X59" s="56" t="s">
        <v>21</v>
      </c>
      <c r="Y59" s="57" t="s">
        <v>21</v>
      </c>
      <c r="AE59" s="57"/>
      <c r="AF59" s="57"/>
      <c r="EF59" s="51">
        <v>1.22</v>
      </c>
    </row>
    <row r="60" spans="1:136" s="51" customFormat="1" ht="17.25" customHeight="1">
      <c r="J60" s="51" t="s">
        <v>21</v>
      </c>
      <c r="K60" s="60" t="s">
        <v>21</v>
      </c>
      <c r="U60" s="61"/>
      <c r="W60" s="51" t="s">
        <v>21</v>
      </c>
      <c r="X60" s="56" t="s">
        <v>21</v>
      </c>
      <c r="Y60" s="57" t="s">
        <v>21</v>
      </c>
      <c r="AE60" s="57"/>
      <c r="AF60" s="57"/>
      <c r="EF60" s="51">
        <v>0.83</v>
      </c>
    </row>
    <row r="61" spans="1:136" s="51" customFormat="1" ht="17.25" customHeight="1">
      <c r="J61" s="51" t="s">
        <v>21</v>
      </c>
      <c r="K61" s="60" t="s">
        <v>21</v>
      </c>
      <c r="U61" s="61"/>
      <c r="W61" s="51" t="s">
        <v>21</v>
      </c>
      <c r="X61" s="56" t="s">
        <v>21</v>
      </c>
      <c r="Y61" s="57" t="s">
        <v>21</v>
      </c>
      <c r="AE61" s="57"/>
      <c r="AF61" s="57"/>
      <c r="EF61" s="51">
        <v>0.5699999999999994</v>
      </c>
    </row>
    <row r="62" spans="1:136" s="51" customFormat="1" ht="17.25" customHeight="1">
      <c r="J62" s="51" t="s">
        <v>21</v>
      </c>
      <c r="K62" s="60" t="s">
        <v>21</v>
      </c>
      <c r="U62" s="61"/>
      <c r="W62" s="51" t="s">
        <v>21</v>
      </c>
      <c r="X62" s="56" t="s">
        <v>21</v>
      </c>
      <c r="Y62" s="57" t="s">
        <v>21</v>
      </c>
      <c r="AE62" s="57"/>
      <c r="AF62" s="57"/>
      <c r="EF62" s="51">
        <v>0.38</v>
      </c>
    </row>
    <row r="63" spans="1:136" s="51" customFormat="1" ht="17.25" customHeight="1">
      <c r="J63" s="51" t="s">
        <v>21</v>
      </c>
      <c r="K63" s="60" t="s">
        <v>21</v>
      </c>
      <c r="U63" s="61"/>
      <c r="W63" s="51" t="s">
        <v>21</v>
      </c>
      <c r="X63" s="56" t="s">
        <v>21</v>
      </c>
      <c r="Y63" s="57" t="s">
        <v>21</v>
      </c>
      <c r="AE63" s="57"/>
      <c r="AF63" s="57"/>
      <c r="EF63" s="51">
        <v>0.27999999999999936</v>
      </c>
    </row>
    <row r="64" spans="1:136" s="51" customFormat="1" ht="17.25" customHeight="1">
      <c r="J64" s="51" t="s">
        <v>21</v>
      </c>
      <c r="K64" s="60" t="s">
        <v>21</v>
      </c>
      <c r="U64" s="61"/>
      <c r="W64" s="51" t="s">
        <v>21</v>
      </c>
      <c r="X64" s="56" t="s">
        <v>21</v>
      </c>
      <c r="Y64" s="57" t="s">
        <v>21</v>
      </c>
      <c r="AE64" s="57"/>
      <c r="AF64" s="57"/>
      <c r="EF64" s="51">
        <v>0.22</v>
      </c>
    </row>
    <row r="65" spans="10:136" s="51" customFormat="1" ht="17.25" customHeight="1">
      <c r="J65" s="51" t="s">
        <v>21</v>
      </c>
      <c r="K65" s="60" t="s">
        <v>21</v>
      </c>
      <c r="U65" s="61"/>
      <c r="W65" s="51" t="s">
        <v>21</v>
      </c>
      <c r="X65" s="56" t="s">
        <v>21</v>
      </c>
      <c r="Y65" s="57" t="s">
        <v>21</v>
      </c>
      <c r="AE65" s="57"/>
      <c r="AF65" s="57"/>
      <c r="EF65" s="51">
        <v>0.17</v>
      </c>
    </row>
    <row r="66" spans="10:136" s="51" customFormat="1" ht="17.25" customHeight="1">
      <c r="J66" s="51" t="s">
        <v>21</v>
      </c>
      <c r="K66" s="60" t="s">
        <v>21</v>
      </c>
      <c r="U66" s="61"/>
      <c r="W66" s="51" t="s">
        <v>21</v>
      </c>
      <c r="X66" s="56" t="s">
        <v>21</v>
      </c>
      <c r="Y66" s="57" t="s">
        <v>21</v>
      </c>
      <c r="AE66" s="57"/>
      <c r="AF66" s="57"/>
      <c r="EF66" s="51">
        <v>0.13</v>
      </c>
    </row>
    <row r="67" spans="10:136" s="51" customFormat="1" ht="17.25" customHeight="1">
      <c r="J67" s="51" t="s">
        <v>21</v>
      </c>
      <c r="K67" s="60" t="s">
        <v>21</v>
      </c>
      <c r="U67" s="61"/>
      <c r="W67" s="56" t="s">
        <v>21</v>
      </c>
      <c r="X67" s="57" t="s">
        <v>21</v>
      </c>
      <c r="AD67" s="57"/>
      <c r="AE67" s="57"/>
      <c r="ED67" s="51">
        <v>9.9999999999999645E-2</v>
      </c>
    </row>
    <row r="68" spans="10:136" s="51" customFormat="1" ht="17.25" customHeight="1">
      <c r="J68" s="51" t="s">
        <v>21</v>
      </c>
      <c r="K68" s="60" t="s">
        <v>21</v>
      </c>
      <c r="U68" s="61"/>
      <c r="W68" s="51" t="s">
        <v>21</v>
      </c>
      <c r="X68" s="56" t="s">
        <v>21</v>
      </c>
      <c r="Y68" s="57" t="s">
        <v>21</v>
      </c>
      <c r="AE68" s="57"/>
      <c r="AF68" s="57"/>
    </row>
    <row r="69" spans="10:136" s="51" customFormat="1" ht="17.25" customHeight="1">
      <c r="J69" s="51" t="s">
        <v>21</v>
      </c>
      <c r="K69" s="60" t="s">
        <v>21</v>
      </c>
      <c r="U69" s="61"/>
      <c r="W69" s="51" t="s">
        <v>21</v>
      </c>
      <c r="X69" s="56" t="s">
        <v>21</v>
      </c>
      <c r="Y69" s="57" t="s">
        <v>21</v>
      </c>
      <c r="AE69" s="57"/>
      <c r="AF69" s="57"/>
    </row>
    <row r="70" spans="10:136" s="51" customFormat="1" ht="17.25" customHeight="1">
      <c r="J70" s="51" t="s">
        <v>21</v>
      </c>
      <c r="K70" s="60" t="s">
        <v>21</v>
      </c>
      <c r="U70" s="61"/>
      <c r="W70" s="51" t="s">
        <v>21</v>
      </c>
      <c r="X70" s="56" t="s">
        <v>21</v>
      </c>
      <c r="Y70" s="57" t="s">
        <v>21</v>
      </c>
      <c r="AE70" s="57"/>
      <c r="AF70" s="57"/>
    </row>
    <row r="71" spans="10:136" s="51" customFormat="1" ht="17.25" customHeight="1">
      <c r="J71" s="51" t="s">
        <v>21</v>
      </c>
      <c r="K71" s="60" t="s">
        <v>21</v>
      </c>
      <c r="U71" s="61"/>
      <c r="W71" s="51" t="s">
        <v>21</v>
      </c>
      <c r="X71" s="56" t="s">
        <v>21</v>
      </c>
      <c r="Y71" s="57" t="s">
        <v>21</v>
      </c>
      <c r="AE71" s="57"/>
      <c r="AF71" s="57"/>
    </row>
    <row r="72" spans="10:136" s="51" customFormat="1" ht="17.25" customHeight="1">
      <c r="J72" s="51" t="s">
        <v>21</v>
      </c>
      <c r="K72" s="60" t="s">
        <v>21</v>
      </c>
      <c r="U72" s="61"/>
      <c r="W72" s="51" t="s">
        <v>21</v>
      </c>
      <c r="X72" s="56" t="s">
        <v>21</v>
      </c>
      <c r="Y72" s="57" t="s">
        <v>21</v>
      </c>
      <c r="AE72" s="57"/>
      <c r="AF72" s="57"/>
    </row>
    <row r="73" spans="10:136" s="51" customFormat="1" ht="17.25" customHeight="1">
      <c r="J73" s="51" t="s">
        <v>21</v>
      </c>
      <c r="K73" s="60" t="s">
        <v>21</v>
      </c>
      <c r="U73" s="61"/>
      <c r="W73" s="51" t="s">
        <v>21</v>
      </c>
      <c r="X73" s="56" t="s">
        <v>21</v>
      </c>
      <c r="Y73" s="57" t="s">
        <v>21</v>
      </c>
      <c r="AE73" s="57"/>
      <c r="AF73" s="57"/>
    </row>
    <row r="74" spans="10:136" s="51" customFormat="1" ht="17.25" customHeight="1">
      <c r="J74" s="51" t="s">
        <v>21</v>
      </c>
      <c r="U74" s="61"/>
      <c r="W74" s="51" t="s">
        <v>21</v>
      </c>
      <c r="X74" s="56" t="s">
        <v>21</v>
      </c>
      <c r="Y74" s="57" t="s">
        <v>21</v>
      </c>
      <c r="AE74" s="57"/>
      <c r="AF74" s="57"/>
    </row>
    <row r="75" spans="10:136" s="51" customFormat="1" ht="17.25" customHeight="1">
      <c r="J75" s="51" t="s">
        <v>21</v>
      </c>
      <c r="U75" s="61"/>
      <c r="W75" s="51" t="s">
        <v>21</v>
      </c>
      <c r="X75" s="56" t="s">
        <v>21</v>
      </c>
      <c r="Y75" s="57" t="s">
        <v>21</v>
      </c>
      <c r="AE75" s="57"/>
      <c r="AF75" s="57"/>
    </row>
    <row r="76" spans="10:136" s="51" customFormat="1" ht="17.25" customHeight="1">
      <c r="J76" s="51" t="s">
        <v>21</v>
      </c>
      <c r="U76" s="61"/>
      <c r="W76" s="51" t="s">
        <v>21</v>
      </c>
      <c r="X76" s="56" t="s">
        <v>21</v>
      </c>
      <c r="Y76" s="57" t="s">
        <v>21</v>
      </c>
      <c r="AE76" s="57"/>
      <c r="AF76" s="57"/>
    </row>
    <row r="77" spans="10:136" s="51" customFormat="1" ht="17.25" customHeight="1">
      <c r="J77" s="51" t="s">
        <v>21</v>
      </c>
      <c r="U77" s="61"/>
      <c r="W77" s="51" t="s">
        <v>21</v>
      </c>
      <c r="X77" s="56" t="s">
        <v>21</v>
      </c>
      <c r="Y77" s="57" t="s">
        <v>21</v>
      </c>
      <c r="AE77" s="57"/>
      <c r="AF77" s="57"/>
    </row>
    <row r="78" spans="10:136" s="51" customFormat="1" ht="17.25" customHeight="1">
      <c r="J78" s="51" t="s">
        <v>21</v>
      </c>
      <c r="U78" s="61"/>
      <c r="W78" s="51" t="s">
        <v>21</v>
      </c>
      <c r="X78" s="56" t="s">
        <v>21</v>
      </c>
      <c r="Y78" s="57" t="s">
        <v>21</v>
      </c>
      <c r="AE78" s="57"/>
      <c r="AF78" s="57"/>
    </row>
    <row r="79" spans="10:136" s="51" customFormat="1" ht="17.25" customHeight="1">
      <c r="J79" s="51" t="s">
        <v>21</v>
      </c>
      <c r="U79" s="61"/>
      <c r="AE79" s="57"/>
      <c r="AF79" s="57"/>
    </row>
    <row r="80" spans="10:136" s="51" customFormat="1" ht="17.25" customHeight="1">
      <c r="J80" s="51" t="s">
        <v>21</v>
      </c>
      <c r="U80" s="61"/>
      <c r="AE80" s="57"/>
      <c r="AF80" s="57"/>
    </row>
    <row r="81" spans="10:32" s="51" customFormat="1" ht="17.25" customHeight="1">
      <c r="J81" s="51" t="s">
        <v>21</v>
      </c>
      <c r="U81" s="61"/>
      <c r="AE81" s="57"/>
      <c r="AF81" s="57"/>
    </row>
    <row r="82" spans="10:32" s="51" customFormat="1" ht="17.25" customHeight="1">
      <c r="J82" s="51" t="s">
        <v>21</v>
      </c>
      <c r="U82" s="61"/>
      <c r="AE82" s="57"/>
      <c r="AF82" s="57"/>
    </row>
    <row r="83" spans="10:32" s="51" customFormat="1" ht="17.25" customHeight="1">
      <c r="J83" s="51" t="s">
        <v>21</v>
      </c>
      <c r="U83" s="61"/>
      <c r="AE83" s="57"/>
      <c r="AF83" s="57"/>
    </row>
    <row r="84" spans="10:32" s="51" customFormat="1" ht="17.25" customHeight="1">
      <c r="J84" s="51" t="s">
        <v>21</v>
      </c>
      <c r="U84" s="61"/>
      <c r="AE84" s="57"/>
      <c r="AF84" s="57"/>
    </row>
    <row r="85" spans="10:32" s="51" customFormat="1" ht="17.25" customHeight="1">
      <c r="J85" s="51" t="s">
        <v>21</v>
      </c>
      <c r="U85" s="61"/>
      <c r="AE85" s="57"/>
      <c r="AF85" s="57"/>
    </row>
    <row r="86" spans="10:32" s="51" customFormat="1" ht="17.25" customHeight="1">
      <c r="J86" s="51" t="s">
        <v>21</v>
      </c>
      <c r="U86" s="61"/>
      <c r="AE86" s="57"/>
      <c r="AF86" s="57"/>
    </row>
    <row r="87" spans="10:32" s="51" customFormat="1" ht="17.25" customHeight="1">
      <c r="U87" s="61"/>
      <c r="AE87" s="57"/>
      <c r="AF87" s="57"/>
    </row>
    <row r="88" spans="10:32" s="51" customFormat="1" ht="17.25" customHeight="1">
      <c r="U88" s="61"/>
      <c r="AE88" s="57"/>
      <c r="AF88" s="57"/>
    </row>
    <row r="89" spans="10:32" s="51" customFormat="1" ht="17.25" customHeight="1">
      <c r="U89" s="61"/>
      <c r="AE89" s="57"/>
      <c r="AF89" s="57"/>
    </row>
    <row r="90" spans="10:32" s="51" customFormat="1" ht="17.25" customHeight="1">
      <c r="U90" s="61"/>
      <c r="AE90" s="57"/>
      <c r="AF90" s="57"/>
    </row>
    <row r="91" spans="10:32" s="51" customFormat="1" ht="17.25" customHeight="1">
      <c r="U91" s="61"/>
      <c r="AE91" s="57"/>
      <c r="AF91" s="57"/>
    </row>
    <row r="92" spans="10:32" s="51" customFormat="1" ht="17.25" customHeight="1">
      <c r="U92" s="61"/>
      <c r="AE92" s="57"/>
      <c r="AF92" s="57"/>
    </row>
    <row r="93" spans="10:32" s="51" customFormat="1" ht="17.25" customHeight="1">
      <c r="U93" s="61"/>
      <c r="AE93" s="57"/>
      <c r="AF93" s="57"/>
    </row>
    <row r="94" spans="10:32" s="51" customFormat="1" ht="17.25" customHeight="1">
      <c r="U94" s="61"/>
      <c r="AE94" s="57"/>
      <c r="AF94" s="57"/>
    </row>
    <row r="95" spans="10:32" s="51" customFormat="1" ht="17.25" customHeight="1">
      <c r="U95" s="61"/>
      <c r="AE95" s="57"/>
      <c r="AF95" s="57"/>
    </row>
    <row r="96" spans="10:32" s="51" customFormat="1" ht="17.25" customHeight="1">
      <c r="U96" s="61"/>
      <c r="AE96" s="57"/>
      <c r="AF96" s="57"/>
    </row>
    <row r="97" spans="21:32" s="51" customFormat="1" ht="17.25" customHeight="1">
      <c r="U97" s="61"/>
      <c r="AE97" s="57"/>
      <c r="AF97" s="57"/>
    </row>
    <row r="98" spans="21:32" s="51" customFormat="1" ht="17.25" customHeight="1">
      <c r="U98" s="61"/>
      <c r="AE98" s="57"/>
      <c r="AF98" s="57"/>
    </row>
    <row r="99" spans="21:32" s="51" customFormat="1" ht="17.25" customHeight="1">
      <c r="U99" s="61"/>
      <c r="AE99" s="57"/>
      <c r="AF99" s="57"/>
    </row>
    <row r="100" spans="21:32" s="51" customFormat="1" ht="17.25" customHeight="1">
      <c r="U100" s="61"/>
      <c r="AE100" s="57"/>
      <c r="AF100" s="57"/>
    </row>
    <row r="101" spans="21:32" s="51" customFormat="1" ht="17.25" customHeight="1">
      <c r="U101" s="61"/>
      <c r="AE101" s="57"/>
      <c r="AF101" s="57"/>
    </row>
    <row r="102" spans="21:32" s="51" customFormat="1" ht="17.25" customHeight="1">
      <c r="U102" s="61"/>
      <c r="AE102" s="57"/>
      <c r="AF102" s="57"/>
    </row>
    <row r="103" spans="21:32" s="51" customFormat="1" ht="17.25" customHeight="1">
      <c r="U103" s="61"/>
      <c r="AE103" s="57"/>
      <c r="AF103" s="57"/>
    </row>
    <row r="104" spans="21:32" s="51" customFormat="1" ht="17.25" customHeight="1">
      <c r="U104" s="61"/>
      <c r="AE104" s="57"/>
      <c r="AF104" s="57"/>
    </row>
    <row r="105" spans="21:32" s="51" customFormat="1" ht="17.25" customHeight="1">
      <c r="U105" s="61"/>
      <c r="AE105" s="57"/>
      <c r="AF105" s="57"/>
    </row>
    <row r="106" spans="21:32" s="51" customFormat="1" ht="17.25" customHeight="1">
      <c r="U106" s="61"/>
      <c r="AE106" s="57"/>
      <c r="AF106" s="57"/>
    </row>
    <row r="107" spans="21:32" s="51" customFormat="1" ht="17.25" customHeight="1">
      <c r="U107" s="61"/>
      <c r="AE107" s="57"/>
      <c r="AF107" s="57"/>
    </row>
    <row r="108" spans="21:32" s="51" customFormat="1" ht="17.25" customHeight="1">
      <c r="U108" s="61"/>
      <c r="AE108" s="57"/>
      <c r="AF108" s="57"/>
    </row>
    <row r="109" spans="21:32" s="51" customFormat="1" ht="17.25" customHeight="1">
      <c r="U109" s="61"/>
      <c r="AE109" s="57"/>
      <c r="AF109" s="57"/>
    </row>
    <row r="110" spans="21:32" s="51" customFormat="1" ht="17.25" customHeight="1">
      <c r="U110" s="61"/>
      <c r="AE110" s="57"/>
      <c r="AF110" s="57"/>
    </row>
    <row r="111" spans="21:32" s="51" customFormat="1" ht="17.25" customHeight="1">
      <c r="U111" s="61"/>
      <c r="AE111" s="57"/>
      <c r="AF111" s="57"/>
    </row>
    <row r="112" spans="21:32" s="51" customFormat="1" ht="17.25" customHeight="1">
      <c r="U112" s="61"/>
      <c r="AE112" s="57"/>
      <c r="AF112" s="57"/>
    </row>
    <row r="113" spans="21:32" s="51" customFormat="1" ht="17.25" customHeight="1">
      <c r="U113" s="61"/>
      <c r="AE113" s="57"/>
      <c r="AF113" s="57"/>
    </row>
    <row r="114" spans="21:32" s="51" customFormat="1" ht="17.25" customHeight="1">
      <c r="U114" s="61"/>
      <c r="AE114" s="57"/>
      <c r="AF114" s="57"/>
    </row>
    <row r="115" spans="21:32" s="51" customFormat="1" ht="17.25" customHeight="1">
      <c r="U115" s="61"/>
      <c r="AE115" s="57"/>
      <c r="AF115" s="57"/>
    </row>
    <row r="116" spans="21:32" s="51" customFormat="1" ht="17.25" customHeight="1">
      <c r="U116" s="61"/>
      <c r="AE116" s="57"/>
      <c r="AF116" s="57"/>
    </row>
    <row r="117" spans="21:32" s="51" customFormat="1" ht="17.25" customHeight="1">
      <c r="U117" s="61"/>
      <c r="AE117" s="57"/>
      <c r="AF117" s="57"/>
    </row>
    <row r="118" spans="21:32" s="51" customFormat="1" ht="17.25" customHeight="1">
      <c r="U118" s="61"/>
      <c r="AE118" s="57"/>
      <c r="AF118" s="57"/>
    </row>
    <row r="119" spans="21:32" s="51" customFormat="1" ht="17.25" customHeight="1">
      <c r="U119" s="61"/>
      <c r="AE119" s="57"/>
      <c r="AF119" s="57"/>
    </row>
    <row r="120" spans="21:32" s="51" customFormat="1" ht="17.25" customHeight="1">
      <c r="U120" s="61"/>
      <c r="AE120" s="57"/>
      <c r="AF120" s="57"/>
    </row>
    <row r="121" spans="21:32" s="51" customFormat="1" ht="17.25" customHeight="1">
      <c r="U121" s="61"/>
      <c r="AE121" s="57"/>
      <c r="AF121" s="57"/>
    </row>
    <row r="122" spans="21:32" s="51" customFormat="1" ht="17.25" customHeight="1">
      <c r="U122" s="61"/>
      <c r="AE122" s="57"/>
      <c r="AF122" s="57"/>
    </row>
    <row r="123" spans="21:32" s="51" customFormat="1" ht="17.25" customHeight="1">
      <c r="U123" s="61"/>
      <c r="AE123" s="57"/>
      <c r="AF123" s="57"/>
    </row>
    <row r="124" spans="21:32" s="51" customFormat="1" ht="17.25" customHeight="1">
      <c r="U124" s="61"/>
      <c r="AE124" s="57"/>
      <c r="AF124" s="57"/>
    </row>
    <row r="125" spans="21:32" s="51" customFormat="1" ht="17.25" customHeight="1">
      <c r="U125" s="61"/>
      <c r="AE125" s="57"/>
      <c r="AF125" s="57"/>
    </row>
    <row r="126" spans="21:32" s="51" customFormat="1" ht="17.25" customHeight="1">
      <c r="U126" s="61"/>
      <c r="AE126" s="57"/>
      <c r="AF126" s="57"/>
    </row>
    <row r="127" spans="21:32" s="51" customFormat="1" ht="17.25" customHeight="1">
      <c r="U127" s="61"/>
      <c r="AE127" s="57"/>
      <c r="AF127" s="57"/>
    </row>
    <row r="128" spans="21:32" s="51" customFormat="1" ht="17.25" customHeight="1">
      <c r="U128" s="61"/>
      <c r="AE128" s="57"/>
      <c r="AF128" s="57"/>
    </row>
    <row r="129" spans="21:32" s="51" customFormat="1" ht="17.25" customHeight="1">
      <c r="U129" s="61"/>
      <c r="AE129" s="57"/>
      <c r="AF129" s="57"/>
    </row>
    <row r="130" spans="21:32" s="51" customFormat="1" ht="17.25" customHeight="1">
      <c r="U130" s="61"/>
      <c r="AE130" s="57"/>
      <c r="AF130" s="57"/>
    </row>
    <row r="131" spans="21:32" s="51" customFormat="1" ht="17.25" customHeight="1">
      <c r="U131" s="61"/>
      <c r="AE131" s="57"/>
      <c r="AF131" s="57"/>
    </row>
    <row r="132" spans="21:32" s="51" customFormat="1" ht="17.25" customHeight="1">
      <c r="U132" s="61"/>
      <c r="AE132" s="57"/>
      <c r="AF132" s="57"/>
    </row>
    <row r="133" spans="21:32" s="51" customFormat="1" ht="17.25" customHeight="1">
      <c r="U133" s="61"/>
      <c r="AE133" s="57"/>
      <c r="AF133" s="57"/>
    </row>
    <row r="134" spans="21:32" s="51" customFormat="1" ht="17.25" customHeight="1">
      <c r="U134" s="61"/>
      <c r="AE134" s="57"/>
      <c r="AF134" s="57"/>
    </row>
    <row r="135" spans="21:32" s="51" customFormat="1" ht="17.25" customHeight="1">
      <c r="U135" s="61"/>
      <c r="AE135" s="57"/>
      <c r="AF135" s="57"/>
    </row>
    <row r="136" spans="21:32" s="51" customFormat="1" ht="17.25" customHeight="1">
      <c r="U136" s="61"/>
      <c r="AE136" s="57"/>
      <c r="AF136" s="57"/>
    </row>
    <row r="137" spans="21:32" s="51" customFormat="1" ht="17.25" customHeight="1">
      <c r="U137" s="61"/>
      <c r="AE137" s="57"/>
      <c r="AF137" s="57"/>
    </row>
    <row r="138" spans="21:32" s="51" customFormat="1" ht="17.25" customHeight="1">
      <c r="U138" s="61"/>
      <c r="AE138" s="57"/>
      <c r="AF138" s="57"/>
    </row>
    <row r="139" spans="21:32" s="51" customFormat="1" ht="17.25" customHeight="1">
      <c r="U139" s="61"/>
      <c r="AE139" s="57"/>
      <c r="AF139" s="57"/>
    </row>
    <row r="140" spans="21:32" s="51" customFormat="1" ht="17.25" customHeight="1">
      <c r="U140" s="61"/>
      <c r="AE140" s="57"/>
      <c r="AF140" s="57"/>
    </row>
    <row r="141" spans="21:32" s="51" customFormat="1" ht="17.25" customHeight="1">
      <c r="U141" s="61"/>
      <c r="AE141" s="57"/>
      <c r="AF141" s="57"/>
    </row>
    <row r="142" spans="21:32" s="51" customFormat="1" ht="17.25" customHeight="1">
      <c r="U142" s="61"/>
      <c r="AE142" s="57"/>
      <c r="AF142" s="57"/>
    </row>
    <row r="143" spans="21:32" s="51" customFormat="1" ht="17.25" customHeight="1">
      <c r="U143" s="61"/>
      <c r="AE143" s="57"/>
      <c r="AF143" s="57"/>
    </row>
    <row r="144" spans="21:32" s="51" customFormat="1" ht="17.25" customHeight="1">
      <c r="U144" s="61"/>
      <c r="AE144" s="57"/>
      <c r="AF144" s="57"/>
    </row>
    <row r="145" spans="21:32" s="51" customFormat="1" ht="17.25" customHeight="1">
      <c r="U145" s="61"/>
      <c r="AE145" s="57"/>
      <c r="AF145" s="57"/>
    </row>
    <row r="146" spans="21:32" s="51" customFormat="1" ht="17.25" customHeight="1">
      <c r="U146" s="61"/>
      <c r="AE146" s="57"/>
      <c r="AF146" s="57"/>
    </row>
    <row r="147" spans="21:32" s="51" customFormat="1" ht="17.25" customHeight="1">
      <c r="U147" s="61"/>
      <c r="AE147" s="57"/>
      <c r="AF147" s="57"/>
    </row>
    <row r="148" spans="21:32" s="51" customFormat="1" ht="17.25" customHeight="1">
      <c r="U148" s="61"/>
      <c r="AE148" s="57"/>
      <c r="AF148" s="57"/>
    </row>
    <row r="149" spans="21:32" s="51" customFormat="1" ht="17.25" customHeight="1">
      <c r="U149" s="61"/>
      <c r="AE149" s="57"/>
      <c r="AF149" s="57"/>
    </row>
    <row r="150" spans="21:32" s="51" customFormat="1" ht="17.25" customHeight="1">
      <c r="U150" s="61"/>
      <c r="AE150" s="57"/>
      <c r="AF150" s="57"/>
    </row>
    <row r="151" spans="21:32" s="51" customFormat="1" ht="17.25" customHeight="1">
      <c r="U151" s="61"/>
      <c r="AE151" s="57"/>
      <c r="AF151" s="57"/>
    </row>
    <row r="152" spans="21:32" s="51" customFormat="1" ht="17.25" customHeight="1">
      <c r="U152" s="61"/>
      <c r="AE152" s="57"/>
      <c r="AF152" s="57"/>
    </row>
    <row r="153" spans="21:32" s="51" customFormat="1" ht="17.25" customHeight="1">
      <c r="U153" s="61"/>
      <c r="AE153" s="57"/>
      <c r="AF153" s="57"/>
    </row>
    <row r="154" spans="21:32" s="51" customFormat="1" ht="17.25" customHeight="1">
      <c r="U154" s="61"/>
      <c r="AE154" s="57"/>
      <c r="AF154" s="57"/>
    </row>
    <row r="155" spans="21:32" s="51" customFormat="1" ht="17.25" customHeight="1">
      <c r="U155" s="61"/>
      <c r="AE155" s="57"/>
      <c r="AF155" s="57"/>
    </row>
    <row r="156" spans="21:32" s="51" customFormat="1" ht="17.25" customHeight="1">
      <c r="U156" s="61"/>
      <c r="AE156" s="57"/>
      <c r="AF156" s="57"/>
    </row>
    <row r="157" spans="21:32" s="51" customFormat="1" ht="17.25" customHeight="1">
      <c r="U157" s="61"/>
      <c r="AE157" s="57"/>
      <c r="AF157" s="57"/>
    </row>
    <row r="158" spans="21:32" s="51" customFormat="1" ht="17.25" customHeight="1">
      <c r="U158" s="61"/>
      <c r="AE158" s="57"/>
      <c r="AF158" s="57"/>
    </row>
    <row r="159" spans="21:32" s="51" customFormat="1" ht="17.25" customHeight="1">
      <c r="U159" s="61"/>
      <c r="AE159" s="57"/>
      <c r="AF159" s="57"/>
    </row>
    <row r="160" spans="21:32" s="51" customFormat="1" ht="17.25" customHeight="1">
      <c r="U160" s="61"/>
      <c r="AE160" s="57"/>
      <c r="AF160" s="57"/>
    </row>
    <row r="161" spans="21:32" s="51" customFormat="1" ht="17.25" customHeight="1">
      <c r="U161" s="61"/>
      <c r="AE161" s="57"/>
      <c r="AF161" s="57"/>
    </row>
    <row r="162" spans="21:32" s="51" customFormat="1" ht="17.25" customHeight="1">
      <c r="U162" s="61"/>
      <c r="AE162" s="57"/>
      <c r="AF162" s="57"/>
    </row>
    <row r="163" spans="21:32" s="51" customFormat="1" ht="17.25" customHeight="1">
      <c r="U163" s="61"/>
      <c r="AE163" s="57"/>
      <c r="AF163" s="57"/>
    </row>
    <row r="164" spans="21:32" s="51" customFormat="1" ht="17.25" customHeight="1">
      <c r="U164" s="61"/>
      <c r="AE164" s="57"/>
      <c r="AF164" s="57"/>
    </row>
    <row r="165" spans="21:32" s="51" customFormat="1" ht="17.25" customHeight="1">
      <c r="U165" s="61"/>
      <c r="AE165" s="57"/>
      <c r="AF165" s="57"/>
    </row>
    <row r="166" spans="21:32" s="51" customFormat="1" ht="17.25" customHeight="1">
      <c r="U166" s="61"/>
      <c r="AE166" s="57"/>
      <c r="AF166" s="57"/>
    </row>
    <row r="167" spans="21:32" s="51" customFormat="1" ht="17.25" customHeight="1">
      <c r="U167" s="61"/>
      <c r="AE167" s="57"/>
      <c r="AF167" s="57"/>
    </row>
    <row r="168" spans="21:32" s="51" customFormat="1" ht="17.25" customHeight="1">
      <c r="U168" s="61"/>
      <c r="AE168" s="57"/>
      <c r="AF168" s="57"/>
    </row>
    <row r="169" spans="21:32" s="51" customFormat="1" ht="17.25" customHeight="1">
      <c r="U169" s="61"/>
      <c r="AE169" s="57"/>
      <c r="AF169" s="57"/>
    </row>
    <row r="170" spans="21:32" s="51" customFormat="1" ht="17.25" customHeight="1">
      <c r="U170" s="61"/>
      <c r="AE170" s="57"/>
      <c r="AF170" s="57"/>
    </row>
    <row r="171" spans="21:32" s="51" customFormat="1" ht="17.25" customHeight="1">
      <c r="U171" s="61"/>
      <c r="AE171" s="57"/>
      <c r="AF171" s="57"/>
    </row>
    <row r="172" spans="21:32" s="51" customFormat="1" ht="17.25" customHeight="1">
      <c r="U172" s="61"/>
      <c r="AE172" s="57"/>
      <c r="AF172" s="57"/>
    </row>
    <row r="173" spans="21:32" s="51" customFormat="1" ht="17.25" customHeight="1">
      <c r="U173" s="61"/>
      <c r="AE173" s="57"/>
      <c r="AF173" s="57"/>
    </row>
    <row r="174" spans="21:32" s="51" customFormat="1" ht="17.25" customHeight="1">
      <c r="U174" s="61"/>
      <c r="AE174" s="57"/>
      <c r="AF174" s="57"/>
    </row>
    <row r="175" spans="21:32" s="51" customFormat="1" ht="17.25" customHeight="1">
      <c r="U175" s="61"/>
      <c r="AE175" s="57"/>
      <c r="AF175" s="57"/>
    </row>
    <row r="176" spans="21:32" s="51" customFormat="1" ht="17.25" customHeight="1">
      <c r="U176" s="61"/>
      <c r="AE176" s="57"/>
      <c r="AF176" s="57"/>
    </row>
    <row r="177" spans="21:32" s="51" customFormat="1" ht="17.25" customHeight="1">
      <c r="U177" s="61"/>
      <c r="AE177" s="57"/>
      <c r="AF177" s="57"/>
    </row>
    <row r="178" spans="21:32" s="51" customFormat="1" ht="17.25" customHeight="1">
      <c r="U178" s="61"/>
      <c r="AE178" s="57"/>
      <c r="AF178" s="57"/>
    </row>
    <row r="179" spans="21:32" s="51" customFormat="1" ht="17.25" customHeight="1">
      <c r="U179" s="61"/>
      <c r="AE179" s="57"/>
      <c r="AF179" s="57"/>
    </row>
    <row r="180" spans="21:32" s="51" customFormat="1" ht="17.25" customHeight="1">
      <c r="U180" s="61"/>
      <c r="AE180" s="57"/>
      <c r="AF180" s="57"/>
    </row>
    <row r="181" spans="21:32" s="51" customFormat="1" ht="17.25" customHeight="1">
      <c r="U181" s="61"/>
      <c r="AE181" s="57"/>
      <c r="AF181" s="57"/>
    </row>
    <row r="182" spans="21:32" s="51" customFormat="1" ht="17.25" customHeight="1">
      <c r="U182" s="61"/>
      <c r="AE182" s="57"/>
      <c r="AF182" s="57"/>
    </row>
    <row r="183" spans="21:32" s="51" customFormat="1" ht="17.25" customHeight="1">
      <c r="U183" s="61"/>
      <c r="AE183" s="57"/>
      <c r="AF183" s="57"/>
    </row>
    <row r="184" spans="21:32" s="51" customFormat="1" ht="17.25" customHeight="1">
      <c r="U184" s="61"/>
      <c r="AE184" s="57"/>
      <c r="AF184" s="57"/>
    </row>
    <row r="185" spans="21:32" s="51" customFormat="1" ht="17.25" customHeight="1">
      <c r="U185" s="61"/>
      <c r="AE185" s="57"/>
      <c r="AF185" s="57"/>
    </row>
    <row r="186" spans="21:32" s="51" customFormat="1" ht="17.25" customHeight="1">
      <c r="U186" s="61"/>
      <c r="AE186" s="57"/>
      <c r="AF186" s="57"/>
    </row>
    <row r="187" spans="21:32" s="51" customFormat="1" ht="17.25" customHeight="1">
      <c r="U187" s="61"/>
      <c r="AE187" s="57"/>
      <c r="AF187" s="57"/>
    </row>
    <row r="188" spans="21:32" s="51" customFormat="1" ht="17.25" customHeight="1">
      <c r="U188" s="61"/>
      <c r="AE188" s="57"/>
      <c r="AF188" s="57"/>
    </row>
    <row r="189" spans="21:32" s="51" customFormat="1" ht="17.25" customHeight="1">
      <c r="U189" s="61"/>
      <c r="AE189" s="57"/>
      <c r="AF189" s="57"/>
    </row>
    <row r="190" spans="21:32" s="51" customFormat="1" ht="17.25" customHeight="1">
      <c r="U190" s="61"/>
      <c r="AE190" s="57"/>
      <c r="AF190" s="57"/>
    </row>
    <row r="191" spans="21:32" s="51" customFormat="1" ht="17.25" customHeight="1">
      <c r="U191" s="61"/>
      <c r="AE191" s="57"/>
      <c r="AF191" s="57"/>
    </row>
    <row r="192" spans="21:32" s="51" customFormat="1" ht="17.25" customHeight="1">
      <c r="U192" s="61"/>
      <c r="AE192" s="57"/>
      <c r="AF192" s="57"/>
    </row>
    <row r="193" spans="21:32" s="51" customFormat="1" ht="17.25" customHeight="1">
      <c r="U193" s="61"/>
      <c r="AE193" s="57"/>
      <c r="AF193" s="57"/>
    </row>
    <row r="194" spans="21:32" s="51" customFormat="1" ht="17.25" customHeight="1">
      <c r="U194" s="61"/>
      <c r="AE194" s="57"/>
      <c r="AF194" s="57"/>
    </row>
    <row r="195" spans="21:32" s="51" customFormat="1" ht="17.25" customHeight="1">
      <c r="U195" s="61"/>
      <c r="AE195" s="57"/>
      <c r="AF195" s="57"/>
    </row>
    <row r="196" spans="21:32" s="51" customFormat="1" ht="17.25" customHeight="1">
      <c r="U196" s="61"/>
      <c r="AE196" s="57"/>
      <c r="AF196" s="57"/>
    </row>
    <row r="197" spans="21:32" s="51" customFormat="1" ht="17.25" customHeight="1">
      <c r="U197" s="61"/>
      <c r="AE197" s="57"/>
      <c r="AF197" s="57"/>
    </row>
    <row r="198" spans="21:32" s="51" customFormat="1" ht="17.25" customHeight="1">
      <c r="U198" s="61"/>
      <c r="AE198" s="57"/>
      <c r="AF198" s="57"/>
    </row>
    <row r="199" spans="21:32" s="51" customFormat="1" ht="17.25" customHeight="1">
      <c r="U199" s="61"/>
      <c r="AE199" s="57"/>
      <c r="AF199" s="57"/>
    </row>
    <row r="200" spans="21:32" s="51" customFormat="1" ht="17.25" customHeight="1">
      <c r="U200" s="61"/>
      <c r="AE200" s="57"/>
      <c r="AF200" s="57"/>
    </row>
    <row r="201" spans="21:32" s="51" customFormat="1" ht="17.25" customHeight="1">
      <c r="U201" s="61"/>
      <c r="AE201" s="57"/>
      <c r="AF201" s="57"/>
    </row>
    <row r="202" spans="21:32" s="51" customFormat="1" ht="17.25" customHeight="1">
      <c r="U202" s="61"/>
      <c r="AE202" s="57"/>
      <c r="AF202" s="57"/>
    </row>
    <row r="203" spans="21:32" s="51" customFormat="1" ht="17.25" customHeight="1">
      <c r="U203" s="61"/>
      <c r="AE203" s="57"/>
      <c r="AF203" s="57"/>
    </row>
    <row r="204" spans="21:32" s="51" customFormat="1" ht="17.25" customHeight="1">
      <c r="U204" s="61"/>
      <c r="AE204" s="57"/>
      <c r="AF204" s="57"/>
    </row>
    <row r="205" spans="21:32" s="51" customFormat="1" ht="17.25" customHeight="1">
      <c r="U205" s="61"/>
      <c r="AE205" s="57"/>
      <c r="AF205" s="57"/>
    </row>
    <row r="206" spans="21:32" s="51" customFormat="1" ht="17.25" customHeight="1">
      <c r="U206" s="61"/>
      <c r="AE206" s="57"/>
      <c r="AF206" s="57"/>
    </row>
    <row r="207" spans="21:32" s="51" customFormat="1" ht="17.25" customHeight="1">
      <c r="U207" s="61"/>
      <c r="AE207" s="57"/>
      <c r="AF207" s="57"/>
    </row>
    <row r="208" spans="21:32" s="51" customFormat="1" ht="17.25" customHeight="1">
      <c r="U208" s="61"/>
      <c r="AE208" s="57"/>
      <c r="AF208" s="57"/>
    </row>
    <row r="209" spans="21:32" s="51" customFormat="1" ht="17.25" customHeight="1">
      <c r="U209" s="61"/>
      <c r="AE209" s="57"/>
      <c r="AF209" s="57"/>
    </row>
    <row r="210" spans="21:32" s="51" customFormat="1" ht="17.25" customHeight="1">
      <c r="U210" s="61"/>
      <c r="AE210" s="57"/>
      <c r="AF210" s="57"/>
    </row>
    <row r="211" spans="21:32" s="51" customFormat="1" ht="17.25" customHeight="1">
      <c r="U211" s="61"/>
      <c r="AE211" s="57"/>
      <c r="AF211" s="57"/>
    </row>
    <row r="212" spans="21:32" s="51" customFormat="1" ht="17.25" customHeight="1">
      <c r="U212" s="61"/>
      <c r="AE212" s="57"/>
      <c r="AF212" s="57"/>
    </row>
    <row r="213" spans="21:32" s="51" customFormat="1" ht="17.25" customHeight="1">
      <c r="U213" s="61"/>
      <c r="AE213" s="57"/>
      <c r="AF213" s="57"/>
    </row>
    <row r="214" spans="21:32" s="51" customFormat="1" ht="17.25" customHeight="1">
      <c r="U214" s="61"/>
      <c r="AE214" s="57"/>
      <c r="AF214" s="57"/>
    </row>
    <row r="215" spans="21:32" s="51" customFormat="1" ht="17.25" customHeight="1">
      <c r="U215" s="61"/>
      <c r="AE215" s="57"/>
      <c r="AF215" s="57"/>
    </row>
    <row r="216" spans="21:32" s="51" customFormat="1" ht="17.25" customHeight="1">
      <c r="U216" s="61"/>
      <c r="AE216" s="57"/>
      <c r="AF216" s="57"/>
    </row>
    <row r="217" spans="21:32" s="51" customFormat="1" ht="17.25" customHeight="1">
      <c r="U217" s="61"/>
      <c r="AE217" s="57"/>
      <c r="AF217" s="57"/>
    </row>
    <row r="218" spans="21:32" s="51" customFormat="1" ht="17.25" customHeight="1">
      <c r="U218" s="61"/>
      <c r="AE218" s="57"/>
      <c r="AF218" s="57"/>
    </row>
    <row r="219" spans="21:32" s="51" customFormat="1" ht="17.25" customHeight="1">
      <c r="U219" s="61"/>
      <c r="AE219" s="57"/>
      <c r="AF219" s="57"/>
    </row>
    <row r="220" spans="21:32" s="51" customFormat="1" ht="17.25" customHeight="1">
      <c r="U220" s="61"/>
      <c r="AE220" s="57"/>
      <c r="AF220" s="57"/>
    </row>
    <row r="221" spans="21:32" s="51" customFormat="1" ht="17.25" customHeight="1">
      <c r="U221" s="61"/>
      <c r="AE221" s="57"/>
      <c r="AF221" s="57"/>
    </row>
    <row r="222" spans="21:32" s="51" customFormat="1" ht="17.25" customHeight="1">
      <c r="U222" s="61"/>
      <c r="AE222" s="57"/>
      <c r="AF222" s="57"/>
    </row>
    <row r="223" spans="21:32" s="51" customFormat="1" ht="17.25" customHeight="1">
      <c r="U223" s="61"/>
      <c r="AE223" s="57"/>
      <c r="AF223" s="57"/>
    </row>
    <row r="224" spans="21:32" s="51" customFormat="1" ht="17.25" customHeight="1">
      <c r="U224" s="61"/>
      <c r="AE224" s="57"/>
      <c r="AF224" s="57"/>
    </row>
    <row r="225" spans="21:32" s="51" customFormat="1" ht="17.25" customHeight="1">
      <c r="U225" s="61"/>
      <c r="AE225" s="57"/>
      <c r="AF225" s="57"/>
    </row>
    <row r="226" spans="21:32" s="51" customFormat="1" ht="17.25" customHeight="1">
      <c r="U226" s="61"/>
      <c r="AE226" s="57"/>
      <c r="AF226" s="57"/>
    </row>
    <row r="227" spans="21:32" s="51" customFormat="1" ht="17.25" customHeight="1">
      <c r="U227" s="61"/>
      <c r="AE227" s="57"/>
      <c r="AF227" s="57"/>
    </row>
    <row r="228" spans="21:32" s="51" customFormat="1" ht="17.25" customHeight="1">
      <c r="U228" s="61"/>
      <c r="AE228" s="57"/>
      <c r="AF228" s="57"/>
    </row>
    <row r="229" spans="21:32" s="51" customFormat="1" ht="17.25" customHeight="1">
      <c r="U229" s="61"/>
      <c r="AE229" s="57"/>
      <c r="AF229" s="57"/>
    </row>
    <row r="230" spans="21:32" s="51" customFormat="1" ht="17.25" customHeight="1">
      <c r="U230" s="61"/>
      <c r="AE230" s="57"/>
      <c r="AF230" s="57"/>
    </row>
    <row r="231" spans="21:32" s="51" customFormat="1" ht="17.25" customHeight="1">
      <c r="U231" s="61"/>
      <c r="AE231" s="57"/>
      <c r="AF231" s="57"/>
    </row>
    <row r="232" spans="21:32" s="51" customFormat="1" ht="17.25" customHeight="1">
      <c r="U232" s="61"/>
      <c r="AE232" s="57"/>
      <c r="AF232" s="57"/>
    </row>
    <row r="233" spans="21:32" s="51" customFormat="1" ht="17.25" customHeight="1">
      <c r="U233" s="61"/>
      <c r="AE233" s="57"/>
      <c r="AF233" s="57"/>
    </row>
    <row r="234" spans="21:32" s="51" customFormat="1" ht="17.25" customHeight="1">
      <c r="U234" s="61"/>
      <c r="AE234" s="57"/>
      <c r="AF234" s="57"/>
    </row>
    <row r="235" spans="21:32" s="51" customFormat="1" ht="17.25" customHeight="1">
      <c r="U235" s="61"/>
      <c r="AE235" s="57"/>
      <c r="AF235" s="57"/>
    </row>
    <row r="236" spans="21:32" s="51" customFormat="1" ht="17.25" customHeight="1">
      <c r="U236" s="61"/>
      <c r="AE236" s="57"/>
      <c r="AF236" s="57"/>
    </row>
    <row r="237" spans="21:32" s="51" customFormat="1" ht="17.25" customHeight="1">
      <c r="U237" s="61"/>
      <c r="AE237" s="57"/>
      <c r="AF237" s="57"/>
    </row>
    <row r="238" spans="21:32" s="51" customFormat="1" ht="17.25" customHeight="1">
      <c r="U238" s="61"/>
      <c r="AE238" s="57"/>
      <c r="AF238" s="57"/>
    </row>
    <row r="239" spans="21:32" s="51" customFormat="1" ht="17.25" customHeight="1">
      <c r="U239" s="61"/>
      <c r="AE239" s="57"/>
      <c r="AF239" s="57"/>
    </row>
    <row r="240" spans="21:32" s="51" customFormat="1" ht="17.25" customHeight="1">
      <c r="U240" s="61"/>
      <c r="AE240" s="57"/>
      <c r="AF240" s="57"/>
    </row>
    <row r="241" spans="21:32" s="51" customFormat="1" ht="17.25" customHeight="1">
      <c r="U241" s="61"/>
      <c r="AE241" s="57"/>
      <c r="AF241" s="57"/>
    </row>
    <row r="242" spans="21:32" s="51" customFormat="1" ht="17.25" customHeight="1">
      <c r="U242" s="61"/>
      <c r="AE242" s="57"/>
      <c r="AF242" s="57"/>
    </row>
    <row r="243" spans="21:32" s="51" customFormat="1" ht="17.25" customHeight="1">
      <c r="U243" s="61"/>
      <c r="AE243" s="57"/>
      <c r="AF243" s="57"/>
    </row>
    <row r="244" spans="21:32" s="51" customFormat="1" ht="17.25" customHeight="1">
      <c r="U244" s="61"/>
      <c r="AE244" s="57"/>
      <c r="AF244" s="57"/>
    </row>
    <row r="245" spans="21:32" s="51" customFormat="1" ht="17.25" customHeight="1">
      <c r="U245" s="61"/>
      <c r="AE245" s="57"/>
      <c r="AF245" s="57"/>
    </row>
    <row r="246" spans="21:32" s="51" customFormat="1" ht="17.25" customHeight="1">
      <c r="U246" s="61"/>
      <c r="AE246" s="57"/>
      <c r="AF246" s="57"/>
    </row>
    <row r="247" spans="21:32" s="51" customFormat="1" ht="17.25" customHeight="1">
      <c r="U247" s="61"/>
      <c r="AE247" s="57"/>
      <c r="AF247" s="57"/>
    </row>
    <row r="248" spans="21:32" s="51" customFormat="1" ht="17.25" customHeight="1">
      <c r="U248" s="61"/>
      <c r="AE248" s="57"/>
      <c r="AF248" s="57"/>
    </row>
    <row r="249" spans="21:32" s="51" customFormat="1" ht="17.25" customHeight="1">
      <c r="U249" s="61"/>
      <c r="AE249" s="57"/>
      <c r="AF249" s="57"/>
    </row>
    <row r="250" spans="21:32" s="51" customFormat="1" ht="17.25" customHeight="1">
      <c r="U250" s="61"/>
      <c r="AE250" s="57"/>
      <c r="AF250" s="57"/>
    </row>
    <row r="251" spans="21:32" s="51" customFormat="1" ht="17.25" customHeight="1">
      <c r="U251" s="61"/>
      <c r="AE251" s="57"/>
      <c r="AF251" s="57"/>
    </row>
    <row r="252" spans="21:32" s="51" customFormat="1" ht="17.25" customHeight="1">
      <c r="U252" s="61"/>
      <c r="AE252" s="57"/>
      <c r="AF252" s="57"/>
    </row>
    <row r="253" spans="21:32" s="51" customFormat="1" ht="17.25" customHeight="1">
      <c r="U253" s="61"/>
      <c r="AE253" s="57"/>
      <c r="AF253" s="57"/>
    </row>
    <row r="254" spans="21:32" s="51" customFormat="1" ht="17.25" customHeight="1">
      <c r="U254" s="61"/>
      <c r="AE254" s="57"/>
      <c r="AF254" s="57"/>
    </row>
    <row r="255" spans="21:32" s="51" customFormat="1" ht="17.25" customHeight="1">
      <c r="U255" s="61"/>
      <c r="AE255" s="57"/>
      <c r="AF255" s="57"/>
    </row>
    <row r="256" spans="21:32" s="51" customFormat="1" ht="17.25" customHeight="1">
      <c r="U256" s="61"/>
      <c r="AE256" s="57"/>
      <c r="AF256" s="57"/>
    </row>
    <row r="257" spans="21:32" s="51" customFormat="1" ht="17.25" customHeight="1">
      <c r="U257" s="61"/>
      <c r="AE257" s="57"/>
      <c r="AF257" s="57"/>
    </row>
    <row r="258" spans="21:32" s="51" customFormat="1" ht="17.25" customHeight="1">
      <c r="U258" s="61"/>
      <c r="AE258" s="57"/>
      <c r="AF258" s="57"/>
    </row>
    <row r="259" spans="21:32" s="51" customFormat="1" ht="17.25" customHeight="1">
      <c r="U259" s="61"/>
      <c r="AE259" s="57"/>
      <c r="AF259" s="57"/>
    </row>
    <row r="260" spans="21:32" s="51" customFormat="1" ht="17.25" customHeight="1">
      <c r="U260" s="61"/>
      <c r="AE260" s="57"/>
      <c r="AF260" s="57"/>
    </row>
    <row r="261" spans="21:32" s="51" customFormat="1" ht="17.25" customHeight="1">
      <c r="U261" s="61"/>
      <c r="AE261" s="57"/>
      <c r="AF261" s="57"/>
    </row>
    <row r="262" spans="21:32" s="51" customFormat="1" ht="17.25" customHeight="1">
      <c r="U262" s="61"/>
      <c r="AE262" s="57"/>
      <c r="AF262" s="57"/>
    </row>
    <row r="263" spans="21:32" s="51" customFormat="1" ht="17.25" customHeight="1">
      <c r="U263" s="61"/>
      <c r="AE263" s="57"/>
      <c r="AF263" s="57"/>
    </row>
    <row r="264" spans="21:32" s="51" customFormat="1" ht="17.25" customHeight="1">
      <c r="U264" s="61"/>
      <c r="AE264" s="57"/>
      <c r="AF264" s="57"/>
    </row>
    <row r="265" spans="21:32" s="51" customFormat="1" ht="17.25" customHeight="1">
      <c r="U265" s="61"/>
      <c r="AE265" s="57"/>
      <c r="AF265" s="57"/>
    </row>
    <row r="266" spans="21:32" s="51" customFormat="1" ht="17.25" customHeight="1">
      <c r="U266" s="61"/>
      <c r="AE266" s="57"/>
      <c r="AF266" s="57"/>
    </row>
    <row r="267" spans="21:32" s="51" customFormat="1" ht="17.25" customHeight="1">
      <c r="U267" s="61"/>
      <c r="AE267" s="57"/>
      <c r="AF267" s="57"/>
    </row>
    <row r="268" spans="21:32" s="51" customFormat="1" ht="17.25" customHeight="1">
      <c r="U268" s="61"/>
      <c r="AE268" s="57"/>
      <c r="AF268" s="57"/>
    </row>
    <row r="269" spans="21:32" s="51" customFormat="1" ht="17.25" customHeight="1">
      <c r="U269" s="61"/>
      <c r="AE269" s="57"/>
      <c r="AF269" s="57"/>
    </row>
    <row r="270" spans="21:32" s="51" customFormat="1" ht="17.25" customHeight="1">
      <c r="U270" s="61"/>
      <c r="AE270" s="57"/>
      <c r="AF270" s="57"/>
    </row>
    <row r="271" spans="21:32" s="51" customFormat="1" ht="17.25" customHeight="1">
      <c r="U271" s="61"/>
      <c r="AE271" s="57"/>
      <c r="AF271" s="57"/>
    </row>
    <row r="272" spans="21:32" s="51" customFormat="1" ht="17.25" customHeight="1">
      <c r="U272" s="61"/>
      <c r="AE272" s="57"/>
      <c r="AF272" s="57"/>
    </row>
    <row r="273" spans="21:32" s="51" customFormat="1" ht="17.25" customHeight="1">
      <c r="U273" s="61"/>
      <c r="AE273" s="57"/>
      <c r="AF273" s="57"/>
    </row>
    <row r="274" spans="21:32" s="51" customFormat="1" ht="17.25" customHeight="1">
      <c r="U274" s="61"/>
      <c r="AE274" s="57"/>
      <c r="AF274" s="57"/>
    </row>
    <row r="275" spans="21:32" s="51" customFormat="1" ht="17.25" customHeight="1">
      <c r="U275" s="61"/>
      <c r="AE275" s="57"/>
      <c r="AF275" s="57"/>
    </row>
    <row r="276" spans="21:32" s="51" customFormat="1" ht="17.25" customHeight="1">
      <c r="U276" s="61"/>
      <c r="AE276" s="57"/>
      <c r="AF276" s="57"/>
    </row>
    <row r="277" spans="21:32" s="51" customFormat="1" ht="17.25" customHeight="1">
      <c r="U277" s="61"/>
      <c r="AE277" s="57"/>
      <c r="AF277" s="57"/>
    </row>
    <row r="278" spans="21:32" s="51" customFormat="1" ht="17.25" customHeight="1">
      <c r="U278" s="61"/>
      <c r="AE278" s="57"/>
      <c r="AF278" s="57"/>
    </row>
    <row r="279" spans="21:32" s="51" customFormat="1" ht="17.25" customHeight="1">
      <c r="U279" s="61"/>
      <c r="AE279" s="57"/>
      <c r="AF279" s="57"/>
    </row>
    <row r="280" spans="21:32" s="51" customFormat="1" ht="17.25" customHeight="1">
      <c r="U280" s="61"/>
      <c r="AE280" s="57"/>
      <c r="AF280" s="57"/>
    </row>
    <row r="281" spans="21:32" s="51" customFormat="1" ht="17.25" customHeight="1">
      <c r="U281" s="61"/>
      <c r="AE281" s="57"/>
      <c r="AF281" s="57"/>
    </row>
    <row r="282" spans="21:32" s="51" customFormat="1" ht="17.25" customHeight="1">
      <c r="U282" s="61"/>
      <c r="AE282" s="57"/>
      <c r="AF282" s="57"/>
    </row>
    <row r="283" spans="21:32" s="51" customFormat="1" ht="17.25" customHeight="1">
      <c r="U283" s="61"/>
      <c r="AE283" s="57"/>
      <c r="AF283" s="57"/>
    </row>
    <row r="284" spans="21:32" s="51" customFormat="1" ht="17.25" customHeight="1">
      <c r="U284" s="61"/>
      <c r="AE284" s="57"/>
      <c r="AF284" s="57"/>
    </row>
    <row r="285" spans="21:32" s="51" customFormat="1" ht="17.25" customHeight="1">
      <c r="U285" s="61"/>
      <c r="AE285" s="57"/>
      <c r="AF285" s="57"/>
    </row>
    <row r="286" spans="21:32" s="51" customFormat="1" ht="17.25" customHeight="1">
      <c r="U286" s="61"/>
      <c r="AE286" s="57"/>
      <c r="AF286" s="57"/>
    </row>
    <row r="287" spans="21:32" s="51" customFormat="1" ht="17.25" customHeight="1">
      <c r="U287" s="61"/>
      <c r="AE287" s="57"/>
      <c r="AF287" s="57"/>
    </row>
    <row r="288" spans="21:32" s="51" customFormat="1" ht="17.25" customHeight="1">
      <c r="U288" s="61"/>
      <c r="AE288" s="57"/>
      <c r="AF288" s="57"/>
    </row>
    <row r="289" spans="21:32" s="51" customFormat="1" ht="17.25" customHeight="1">
      <c r="U289" s="61"/>
      <c r="AE289" s="57"/>
      <c r="AF289" s="57"/>
    </row>
    <row r="290" spans="21:32" s="51" customFormat="1" ht="17.25" customHeight="1">
      <c r="U290" s="61"/>
      <c r="AE290" s="57"/>
      <c r="AF290" s="57"/>
    </row>
    <row r="291" spans="21:32" s="51" customFormat="1" ht="17.25" customHeight="1">
      <c r="U291" s="61"/>
      <c r="AE291" s="57"/>
      <c r="AF291" s="57"/>
    </row>
    <row r="292" spans="21:32" s="51" customFormat="1" ht="17.25" customHeight="1">
      <c r="U292" s="61"/>
      <c r="AE292" s="57"/>
      <c r="AF292" s="57"/>
    </row>
    <row r="293" spans="21:32" s="51" customFormat="1" ht="17.25" customHeight="1">
      <c r="U293" s="61"/>
      <c r="AE293" s="57"/>
      <c r="AF293" s="57"/>
    </row>
    <row r="294" spans="21:32" s="51" customFormat="1" ht="17.25" customHeight="1">
      <c r="U294" s="61"/>
      <c r="AE294" s="57"/>
      <c r="AF294" s="57"/>
    </row>
    <row r="295" spans="21:32" s="51" customFormat="1" ht="17.25" customHeight="1">
      <c r="U295" s="61"/>
      <c r="AE295" s="57"/>
      <c r="AF295" s="57"/>
    </row>
    <row r="296" spans="21:32" s="51" customFormat="1" ht="17.25" customHeight="1">
      <c r="U296" s="61"/>
      <c r="AE296" s="57"/>
      <c r="AF296" s="57"/>
    </row>
    <row r="297" spans="21:32" s="51" customFormat="1" ht="17.25" customHeight="1">
      <c r="U297" s="61"/>
      <c r="AE297" s="57"/>
      <c r="AF297" s="57"/>
    </row>
    <row r="298" spans="21:32" s="51" customFormat="1" ht="17.25" customHeight="1">
      <c r="U298" s="61"/>
      <c r="AE298" s="57"/>
      <c r="AF298" s="57"/>
    </row>
    <row r="299" spans="21:32" s="51" customFormat="1" ht="17.25" customHeight="1">
      <c r="U299" s="61"/>
      <c r="AE299" s="57"/>
      <c r="AF299" s="57"/>
    </row>
    <row r="300" spans="21:32" s="51" customFormat="1" ht="17.25" customHeight="1">
      <c r="U300" s="61"/>
      <c r="AE300" s="57"/>
      <c r="AF300" s="57"/>
    </row>
    <row r="301" spans="21:32" s="51" customFormat="1" ht="17.25" customHeight="1">
      <c r="U301" s="61"/>
      <c r="AE301" s="57"/>
      <c r="AF301" s="57"/>
    </row>
    <row r="302" spans="21:32" s="51" customFormat="1" ht="17.25" customHeight="1">
      <c r="U302" s="61"/>
      <c r="AE302" s="57"/>
      <c r="AF302" s="57"/>
    </row>
    <row r="303" spans="21:32" s="51" customFormat="1" ht="17.25" customHeight="1">
      <c r="U303" s="61"/>
      <c r="AE303" s="57"/>
      <c r="AF303" s="57"/>
    </row>
    <row r="304" spans="21:32" s="51" customFormat="1" ht="17.25" customHeight="1">
      <c r="U304" s="61"/>
      <c r="AE304" s="57"/>
      <c r="AF304" s="57"/>
    </row>
    <row r="305" spans="21:32" s="51" customFormat="1" ht="17.25" customHeight="1">
      <c r="U305" s="61"/>
      <c r="AE305" s="57"/>
      <c r="AF305" s="57"/>
    </row>
    <row r="306" spans="21:32" s="51" customFormat="1" ht="17.25" customHeight="1">
      <c r="U306" s="61"/>
      <c r="AE306" s="57"/>
      <c r="AF306" s="57"/>
    </row>
    <row r="307" spans="21:32" s="51" customFormat="1" ht="17.25" customHeight="1">
      <c r="U307" s="61"/>
      <c r="AE307" s="57"/>
      <c r="AF307" s="57"/>
    </row>
    <row r="308" spans="21:32" s="51" customFormat="1" ht="17.25" customHeight="1">
      <c r="U308" s="61"/>
      <c r="AE308" s="57"/>
      <c r="AF308" s="57"/>
    </row>
    <row r="309" spans="21:32" s="51" customFormat="1" ht="17.25" customHeight="1">
      <c r="U309" s="61"/>
      <c r="AE309" s="57"/>
      <c r="AF309" s="57"/>
    </row>
    <row r="310" spans="21:32" s="51" customFormat="1" ht="17.25" customHeight="1">
      <c r="U310" s="61"/>
      <c r="AE310" s="57"/>
      <c r="AF310" s="57"/>
    </row>
    <row r="311" spans="21:32" s="51" customFormat="1" ht="17.25" customHeight="1">
      <c r="U311" s="61"/>
      <c r="AE311" s="57"/>
      <c r="AF311" s="57"/>
    </row>
    <row r="312" spans="21:32" s="51" customFormat="1" ht="17.25" customHeight="1">
      <c r="U312" s="61"/>
      <c r="AE312" s="57"/>
      <c r="AF312" s="57"/>
    </row>
    <row r="313" spans="21:32" s="51" customFormat="1" ht="17.25" customHeight="1">
      <c r="U313" s="61"/>
      <c r="AE313" s="57"/>
      <c r="AF313" s="57"/>
    </row>
    <row r="314" spans="21:32" s="51" customFormat="1" ht="17.25" customHeight="1">
      <c r="U314" s="61"/>
      <c r="AE314" s="57"/>
      <c r="AF314" s="57"/>
    </row>
    <row r="315" spans="21:32" s="51" customFormat="1" ht="17.25" customHeight="1">
      <c r="U315" s="61"/>
      <c r="AE315" s="57"/>
      <c r="AF315" s="57"/>
    </row>
    <row r="316" spans="21:32" s="51" customFormat="1" ht="17.25" customHeight="1">
      <c r="U316" s="61"/>
      <c r="AE316" s="57"/>
      <c r="AF316" s="57"/>
    </row>
    <row r="317" spans="21:32" s="51" customFormat="1" ht="17.25" customHeight="1">
      <c r="U317" s="61"/>
      <c r="AE317" s="57"/>
      <c r="AF317" s="57"/>
    </row>
    <row r="318" spans="21:32" s="51" customFormat="1" ht="17.25" customHeight="1">
      <c r="U318" s="61"/>
      <c r="AE318" s="57"/>
      <c r="AF318" s="57"/>
    </row>
    <row r="319" spans="21:32" s="51" customFormat="1" ht="17.25" customHeight="1">
      <c r="U319" s="61"/>
      <c r="AE319" s="57"/>
      <c r="AF319" s="57"/>
    </row>
    <row r="320" spans="21:32" s="51" customFormat="1" ht="17.25" customHeight="1">
      <c r="U320" s="61"/>
      <c r="AE320" s="57"/>
      <c r="AF320" s="57"/>
    </row>
    <row r="321" spans="21:32" s="51" customFormat="1" ht="17.25" customHeight="1">
      <c r="U321" s="61"/>
      <c r="AE321" s="57"/>
      <c r="AF321" s="57"/>
    </row>
    <row r="322" spans="21:32" s="51" customFormat="1" ht="17.25" customHeight="1">
      <c r="U322" s="61"/>
      <c r="AE322" s="57"/>
      <c r="AF322" s="57"/>
    </row>
    <row r="323" spans="21:32" s="51" customFormat="1" ht="17.25" customHeight="1">
      <c r="U323" s="61"/>
      <c r="AE323" s="57"/>
      <c r="AF323" s="57"/>
    </row>
    <row r="324" spans="21:32" s="51" customFormat="1" ht="17.25" customHeight="1">
      <c r="U324" s="61"/>
      <c r="AE324" s="57"/>
      <c r="AF324" s="57"/>
    </row>
    <row r="325" spans="21:32" s="51" customFormat="1" ht="17.25" customHeight="1">
      <c r="U325" s="61"/>
      <c r="AE325" s="57"/>
      <c r="AF325" s="57"/>
    </row>
    <row r="326" spans="21:32" s="51" customFormat="1" ht="17.25" customHeight="1">
      <c r="U326" s="61"/>
      <c r="AE326" s="57"/>
      <c r="AF326" s="57"/>
    </row>
    <row r="327" spans="21:32" s="51" customFormat="1" ht="17.25" customHeight="1">
      <c r="U327" s="61"/>
      <c r="AE327" s="57"/>
      <c r="AF327" s="57"/>
    </row>
    <row r="328" spans="21:32" s="51" customFormat="1" ht="17.25" customHeight="1">
      <c r="U328" s="61"/>
      <c r="AE328" s="57"/>
      <c r="AF328" s="57"/>
    </row>
    <row r="329" spans="21:32" s="51" customFormat="1" ht="17.25" customHeight="1">
      <c r="U329" s="61"/>
      <c r="AE329" s="57"/>
      <c r="AF329" s="57"/>
    </row>
    <row r="330" spans="21:32" s="51" customFormat="1" ht="17.25" customHeight="1">
      <c r="U330" s="61"/>
      <c r="AE330" s="57"/>
      <c r="AF330" s="57"/>
    </row>
    <row r="331" spans="21:32" s="51" customFormat="1" ht="17.25" customHeight="1">
      <c r="U331" s="61"/>
      <c r="AE331" s="57"/>
      <c r="AF331" s="57"/>
    </row>
    <row r="332" spans="21:32" s="51" customFormat="1" ht="17.25" customHeight="1">
      <c r="U332" s="61"/>
      <c r="AE332" s="57"/>
      <c r="AF332" s="57"/>
    </row>
    <row r="333" spans="21:32" s="51" customFormat="1" ht="17.25" customHeight="1">
      <c r="U333" s="61"/>
      <c r="AE333" s="57"/>
      <c r="AF333" s="57"/>
    </row>
    <row r="334" spans="21:32" s="51" customFormat="1" ht="17.25" customHeight="1">
      <c r="U334" s="61"/>
      <c r="AE334" s="57"/>
      <c r="AF334" s="57"/>
    </row>
    <row r="335" spans="21:32" s="51" customFormat="1" ht="17.25" customHeight="1">
      <c r="U335" s="61"/>
      <c r="AE335" s="57"/>
      <c r="AF335" s="57"/>
    </row>
    <row r="336" spans="21:32" s="51" customFormat="1" ht="17.25" customHeight="1">
      <c r="U336" s="61"/>
      <c r="AE336" s="57"/>
      <c r="AF336" s="57"/>
    </row>
    <row r="337" spans="21:32" s="51" customFormat="1" ht="17.25" customHeight="1">
      <c r="U337" s="61"/>
      <c r="AE337" s="57"/>
      <c r="AF337" s="57"/>
    </row>
    <row r="338" spans="21:32" s="51" customFormat="1" ht="17.25" customHeight="1">
      <c r="U338" s="61"/>
      <c r="AE338" s="57"/>
      <c r="AF338" s="57"/>
    </row>
    <row r="339" spans="21:32" s="51" customFormat="1" ht="17.25" customHeight="1">
      <c r="U339" s="61"/>
      <c r="AE339" s="57"/>
      <c r="AF339" s="57"/>
    </row>
    <row r="340" spans="21:32" s="51" customFormat="1" ht="17.25" customHeight="1">
      <c r="U340" s="61"/>
      <c r="AE340" s="57"/>
      <c r="AF340" s="57"/>
    </row>
    <row r="341" spans="21:32" s="51" customFormat="1" ht="17.25" customHeight="1">
      <c r="U341" s="61"/>
      <c r="AE341" s="57"/>
      <c r="AF341" s="57"/>
    </row>
    <row r="342" spans="21:32" s="51" customFormat="1" ht="17.25" customHeight="1">
      <c r="U342" s="61"/>
      <c r="AE342" s="57"/>
      <c r="AF342" s="57"/>
    </row>
    <row r="343" spans="21:32" s="51" customFormat="1" ht="17.25" customHeight="1">
      <c r="U343" s="61"/>
      <c r="AE343" s="57"/>
      <c r="AF343" s="57"/>
    </row>
    <row r="344" spans="21:32" s="51" customFormat="1" ht="17.25" customHeight="1">
      <c r="U344" s="61"/>
      <c r="AE344" s="57"/>
      <c r="AF344" s="57"/>
    </row>
    <row r="345" spans="21:32" s="51" customFormat="1" ht="17.25" customHeight="1">
      <c r="U345" s="61"/>
      <c r="AE345" s="57"/>
      <c r="AF345" s="57"/>
    </row>
    <row r="346" spans="21:32" s="51" customFormat="1" ht="17.25" customHeight="1">
      <c r="U346" s="61"/>
      <c r="AE346" s="57"/>
      <c r="AF346" s="57"/>
    </row>
    <row r="347" spans="21:32" s="51" customFormat="1" ht="17.25" customHeight="1">
      <c r="U347" s="61"/>
      <c r="AE347" s="57"/>
      <c r="AF347" s="57"/>
    </row>
    <row r="348" spans="21:32" s="51" customFormat="1" ht="17.25" customHeight="1">
      <c r="U348" s="61"/>
      <c r="AE348" s="57"/>
      <c r="AF348" s="57"/>
    </row>
    <row r="349" spans="21:32" s="51" customFormat="1" ht="17.25" customHeight="1">
      <c r="U349" s="61"/>
      <c r="AE349" s="57"/>
      <c r="AF349" s="57"/>
    </row>
    <row r="350" spans="21:32" s="51" customFormat="1" ht="17.25" customHeight="1">
      <c r="U350" s="61"/>
      <c r="AE350" s="57"/>
      <c r="AF350" s="57"/>
    </row>
    <row r="351" spans="21:32" s="51" customFormat="1" ht="17.25" customHeight="1">
      <c r="U351" s="61"/>
      <c r="AE351" s="57"/>
      <c r="AF351" s="57"/>
    </row>
    <row r="352" spans="21:32" s="51" customFormat="1" ht="17.25" customHeight="1">
      <c r="U352" s="61"/>
      <c r="AE352" s="57"/>
      <c r="AF352" s="57"/>
    </row>
    <row r="353" spans="21:32" s="51" customFormat="1" ht="17.25" customHeight="1">
      <c r="U353" s="61"/>
      <c r="AE353" s="57"/>
      <c r="AF353" s="57"/>
    </row>
    <row r="354" spans="21:32" s="51" customFormat="1" ht="17.25" customHeight="1">
      <c r="U354" s="61"/>
      <c r="AE354" s="57"/>
      <c r="AF354" s="57"/>
    </row>
    <row r="355" spans="21:32" s="51" customFormat="1" ht="17.25" customHeight="1">
      <c r="U355" s="61"/>
      <c r="AE355" s="57"/>
      <c r="AF355" s="57"/>
    </row>
    <row r="356" spans="21:32" s="51" customFormat="1" ht="17.25" customHeight="1">
      <c r="U356" s="61"/>
      <c r="AE356" s="57"/>
      <c r="AF356" s="57"/>
    </row>
    <row r="357" spans="21:32" s="51" customFormat="1" ht="17.25" customHeight="1">
      <c r="U357" s="61"/>
      <c r="AE357" s="57"/>
      <c r="AF357" s="57"/>
    </row>
    <row r="358" spans="21:32" s="51" customFormat="1" ht="17.25" customHeight="1">
      <c r="U358" s="61"/>
      <c r="AE358" s="57"/>
      <c r="AF358" s="57"/>
    </row>
    <row r="359" spans="21:32" s="51" customFormat="1" ht="17.25" customHeight="1">
      <c r="U359" s="61"/>
      <c r="AE359" s="57"/>
      <c r="AF359" s="57"/>
    </row>
    <row r="360" spans="21:32" s="51" customFormat="1" ht="17.25" customHeight="1">
      <c r="U360" s="61"/>
      <c r="AE360" s="57"/>
      <c r="AF360" s="57"/>
    </row>
    <row r="361" spans="21:32" s="51" customFormat="1" ht="17.25" customHeight="1">
      <c r="U361" s="61"/>
      <c r="AE361" s="57"/>
      <c r="AF361" s="57"/>
    </row>
    <row r="362" spans="21:32" s="51" customFormat="1" ht="17.25" customHeight="1">
      <c r="U362" s="61"/>
      <c r="AE362" s="57"/>
      <c r="AF362" s="57"/>
    </row>
    <row r="363" spans="21:32" s="51" customFormat="1" ht="17.25" customHeight="1">
      <c r="U363" s="61"/>
      <c r="AE363" s="57"/>
      <c r="AF363" s="57"/>
    </row>
    <row r="364" spans="21:32" s="51" customFormat="1" ht="17.25" customHeight="1">
      <c r="U364" s="61"/>
      <c r="AE364" s="57"/>
      <c r="AF364" s="57"/>
    </row>
    <row r="365" spans="21:32" s="51" customFormat="1" ht="17.25" customHeight="1">
      <c r="U365" s="61"/>
      <c r="AE365" s="57"/>
      <c r="AF365" s="57"/>
    </row>
    <row r="366" spans="21:32" s="51" customFormat="1" ht="17.25" customHeight="1">
      <c r="U366" s="61"/>
      <c r="AE366" s="57"/>
      <c r="AF366" s="57"/>
    </row>
    <row r="367" spans="21:32" s="51" customFormat="1" ht="17.25" customHeight="1">
      <c r="U367" s="61"/>
      <c r="AE367" s="57"/>
      <c r="AF367" s="57"/>
    </row>
    <row r="368" spans="21:32" s="51" customFormat="1" ht="17.25" customHeight="1">
      <c r="U368" s="61"/>
      <c r="AE368" s="57"/>
      <c r="AF368" s="57"/>
    </row>
    <row r="369" spans="21:32" s="51" customFormat="1" ht="17.25" customHeight="1">
      <c r="U369" s="61"/>
      <c r="AE369" s="57"/>
      <c r="AF369" s="57"/>
    </row>
    <row r="370" spans="21:32" s="51" customFormat="1" ht="17.25" customHeight="1">
      <c r="U370" s="61"/>
      <c r="AE370" s="57"/>
      <c r="AF370" s="57"/>
    </row>
    <row r="371" spans="21:32" s="51" customFormat="1" ht="17.25" customHeight="1">
      <c r="U371" s="61"/>
      <c r="AE371" s="57"/>
      <c r="AF371" s="57"/>
    </row>
    <row r="372" spans="21:32" s="51" customFormat="1" ht="17.25" customHeight="1">
      <c r="U372" s="61"/>
      <c r="AE372" s="57"/>
      <c r="AF372" s="57"/>
    </row>
    <row r="373" spans="21:32" s="51" customFormat="1" ht="17.25" customHeight="1">
      <c r="U373" s="61"/>
      <c r="AE373" s="57"/>
      <c r="AF373" s="57"/>
    </row>
    <row r="374" spans="21:32" s="51" customFormat="1" ht="17.25" customHeight="1">
      <c r="U374" s="61"/>
      <c r="AE374" s="57"/>
      <c r="AF374" s="57"/>
    </row>
    <row r="375" spans="21:32" s="51" customFormat="1" ht="17.25" customHeight="1">
      <c r="U375" s="61"/>
      <c r="AE375" s="57"/>
      <c r="AF375" s="57"/>
    </row>
    <row r="376" spans="21:32" s="51" customFormat="1" ht="17.25" customHeight="1">
      <c r="U376" s="61"/>
      <c r="AE376" s="57"/>
      <c r="AF376" s="57"/>
    </row>
    <row r="377" spans="21:32" s="51" customFormat="1" ht="17.25" customHeight="1">
      <c r="U377" s="61"/>
      <c r="AE377" s="57"/>
      <c r="AF377" s="57"/>
    </row>
    <row r="378" spans="21:32" s="51" customFormat="1" ht="17.25" customHeight="1">
      <c r="U378" s="61"/>
      <c r="AE378" s="57"/>
      <c r="AF378" s="57"/>
    </row>
    <row r="379" spans="21:32" s="51" customFormat="1" ht="17.25" customHeight="1">
      <c r="U379" s="61"/>
      <c r="AE379" s="57"/>
      <c r="AF379" s="57"/>
    </row>
    <row r="380" spans="21:32" s="51" customFormat="1" ht="17.25" customHeight="1">
      <c r="U380" s="61"/>
      <c r="AE380" s="57"/>
      <c r="AF380" s="57"/>
    </row>
    <row r="381" spans="21:32" s="51" customFormat="1" ht="17.25" customHeight="1">
      <c r="U381" s="61"/>
      <c r="AE381" s="57"/>
      <c r="AF381" s="57"/>
    </row>
    <row r="382" spans="21:32" s="51" customFormat="1" ht="17.25" customHeight="1">
      <c r="U382" s="61"/>
      <c r="AE382" s="57"/>
      <c r="AF382" s="57"/>
    </row>
    <row r="383" spans="21:32" s="51" customFormat="1" ht="17.25" customHeight="1">
      <c r="U383" s="61"/>
      <c r="AE383" s="57"/>
      <c r="AF383" s="57"/>
    </row>
    <row r="384" spans="21:32" s="51" customFormat="1" ht="17.25" customHeight="1">
      <c r="U384" s="61"/>
      <c r="AE384" s="57"/>
      <c r="AF384" s="57"/>
    </row>
    <row r="385" spans="21:32" s="51" customFormat="1" ht="17.25" customHeight="1">
      <c r="U385" s="61"/>
      <c r="AE385" s="57"/>
      <c r="AF385" s="57"/>
    </row>
    <row r="386" spans="21:32" s="51" customFormat="1" ht="17.25" customHeight="1">
      <c r="U386" s="61"/>
      <c r="AE386" s="57"/>
      <c r="AF386" s="57"/>
    </row>
    <row r="387" spans="21:32" s="51" customFormat="1" ht="17.25" customHeight="1">
      <c r="U387" s="61"/>
      <c r="AE387" s="57"/>
      <c r="AF387" s="57"/>
    </row>
    <row r="388" spans="21:32" s="51" customFormat="1" ht="17.25" customHeight="1">
      <c r="U388" s="61"/>
      <c r="AE388" s="57"/>
      <c r="AF388" s="57"/>
    </row>
    <row r="389" spans="21:32" s="51" customFormat="1" ht="17.25" customHeight="1">
      <c r="U389" s="61"/>
      <c r="AE389" s="57"/>
      <c r="AF389" s="57"/>
    </row>
    <row r="390" spans="21:32" s="51" customFormat="1" ht="17.25" customHeight="1">
      <c r="U390" s="61"/>
      <c r="AE390" s="57"/>
      <c r="AF390" s="57"/>
    </row>
    <row r="391" spans="21:32" s="51" customFormat="1" ht="17.25" customHeight="1">
      <c r="U391" s="61"/>
      <c r="AE391" s="57"/>
      <c r="AF391" s="57"/>
    </row>
    <row r="392" spans="21:32" s="51" customFormat="1" ht="17.25" customHeight="1">
      <c r="U392" s="61"/>
      <c r="AE392" s="57"/>
      <c r="AF392" s="57"/>
    </row>
    <row r="393" spans="21:32" s="51" customFormat="1" ht="17.25" customHeight="1">
      <c r="U393" s="61"/>
      <c r="AE393" s="57"/>
      <c r="AF393" s="57"/>
    </row>
    <row r="394" spans="21:32" s="51" customFormat="1" ht="17.25" customHeight="1">
      <c r="U394" s="61"/>
      <c r="AE394" s="57"/>
      <c r="AF394" s="57"/>
    </row>
    <row r="395" spans="21:32" s="51" customFormat="1" ht="17.25" customHeight="1">
      <c r="U395" s="61"/>
      <c r="AE395" s="57"/>
      <c r="AF395" s="57"/>
    </row>
    <row r="396" spans="21:32" s="51" customFormat="1" ht="17.25" customHeight="1">
      <c r="U396" s="61"/>
      <c r="AE396" s="57"/>
      <c r="AF396" s="57"/>
    </row>
    <row r="397" spans="21:32" s="51" customFormat="1" ht="17.25" customHeight="1">
      <c r="U397" s="61"/>
      <c r="AE397" s="57"/>
      <c r="AF397" s="57"/>
    </row>
    <row r="398" spans="21:32" s="51" customFormat="1" ht="17.25" customHeight="1">
      <c r="U398" s="61"/>
      <c r="AE398" s="57"/>
      <c r="AF398" s="57"/>
    </row>
    <row r="399" spans="21:32" s="51" customFormat="1" ht="17.25" customHeight="1">
      <c r="U399" s="61"/>
      <c r="AE399" s="57"/>
      <c r="AF399" s="57"/>
    </row>
    <row r="400" spans="21:32" s="51" customFormat="1" ht="17.25" customHeight="1">
      <c r="U400" s="61"/>
      <c r="AE400" s="57"/>
      <c r="AF400" s="57"/>
    </row>
    <row r="401" spans="21:32" s="51" customFormat="1" ht="17.25" customHeight="1">
      <c r="U401" s="61"/>
      <c r="AE401" s="57"/>
      <c r="AF401" s="57"/>
    </row>
    <row r="402" spans="21:32" s="51" customFormat="1" ht="17.25" customHeight="1">
      <c r="U402" s="61"/>
      <c r="AE402" s="57"/>
      <c r="AF402" s="57"/>
    </row>
    <row r="403" spans="21:32" s="51" customFormat="1" ht="17.25" customHeight="1">
      <c r="U403" s="61"/>
      <c r="AE403" s="57"/>
      <c r="AF403" s="57"/>
    </row>
    <row r="404" spans="21:32" s="51" customFormat="1" ht="17.25" customHeight="1">
      <c r="U404" s="61"/>
      <c r="AE404" s="57"/>
      <c r="AF404" s="57"/>
    </row>
    <row r="405" spans="21:32" s="51" customFormat="1" ht="17.25" customHeight="1">
      <c r="U405" s="61"/>
      <c r="AE405" s="57"/>
      <c r="AF405" s="57"/>
    </row>
    <row r="406" spans="21:32" s="51" customFormat="1" ht="17.25" customHeight="1">
      <c r="U406" s="61"/>
      <c r="AE406" s="57"/>
      <c r="AF406" s="57"/>
    </row>
    <row r="407" spans="21:32" s="51" customFormat="1" ht="17.25" customHeight="1">
      <c r="U407" s="61"/>
      <c r="AE407" s="57"/>
      <c r="AF407" s="57"/>
    </row>
    <row r="408" spans="21:32" s="51" customFormat="1" ht="17.25" customHeight="1">
      <c r="U408" s="61"/>
      <c r="AE408" s="57"/>
      <c r="AF408" s="57"/>
    </row>
    <row r="409" spans="21:32" s="51" customFormat="1" ht="17.25" customHeight="1">
      <c r="U409" s="61"/>
      <c r="AE409" s="57"/>
      <c r="AF409" s="57"/>
    </row>
    <row r="410" spans="21:32" s="51" customFormat="1" ht="17.25" customHeight="1">
      <c r="U410" s="61"/>
      <c r="AE410" s="57"/>
      <c r="AF410" s="57"/>
    </row>
    <row r="411" spans="21:32" s="51" customFormat="1" ht="17.25" customHeight="1">
      <c r="U411" s="61"/>
      <c r="AE411" s="57"/>
      <c r="AF411" s="57"/>
    </row>
    <row r="412" spans="21:32" s="51" customFormat="1" ht="17.25" customHeight="1">
      <c r="U412" s="61"/>
      <c r="AE412" s="57"/>
      <c r="AF412" s="57"/>
    </row>
    <row r="413" spans="21:32" s="51" customFormat="1" ht="17.25" customHeight="1">
      <c r="U413" s="61"/>
      <c r="AE413" s="57"/>
      <c r="AF413" s="57"/>
    </row>
    <row r="414" spans="21:32" s="51" customFormat="1" ht="17.25" customHeight="1">
      <c r="U414" s="61"/>
      <c r="AE414" s="57"/>
      <c r="AF414" s="57"/>
    </row>
    <row r="415" spans="21:32" s="51" customFormat="1" ht="12">
      <c r="U415" s="61"/>
      <c r="AE415" s="57"/>
      <c r="AF415" s="57"/>
    </row>
    <row r="416" spans="21:32" s="51" customFormat="1" ht="12">
      <c r="U416" s="61"/>
      <c r="AE416" s="57"/>
      <c r="AF416" s="57"/>
    </row>
    <row r="417" spans="21:32" s="51" customFormat="1" ht="12">
      <c r="U417" s="61"/>
      <c r="AE417" s="57"/>
      <c r="AF417" s="57"/>
    </row>
    <row r="418" spans="21:32" s="51" customFormat="1" ht="12">
      <c r="U418" s="61"/>
      <c r="AE418" s="57"/>
      <c r="AF418" s="57"/>
    </row>
    <row r="419" spans="21:32" s="51" customFormat="1" ht="12">
      <c r="U419" s="61"/>
      <c r="AE419" s="57"/>
      <c r="AF419" s="57"/>
    </row>
    <row r="420" spans="21:32" s="51" customFormat="1" ht="12">
      <c r="U420" s="61"/>
      <c r="AE420" s="57"/>
      <c r="AF420" s="57"/>
    </row>
    <row r="421" spans="21:32" s="51" customFormat="1" ht="12">
      <c r="U421" s="61"/>
      <c r="AE421" s="57"/>
      <c r="AF421" s="57"/>
    </row>
    <row r="422" spans="21:32" s="51" customFormat="1" ht="12">
      <c r="U422" s="61"/>
      <c r="AE422" s="57"/>
      <c r="AF422" s="57"/>
    </row>
    <row r="423" spans="21:32" s="51" customFormat="1" ht="12">
      <c r="U423" s="61"/>
      <c r="AE423" s="57"/>
      <c r="AF423" s="57"/>
    </row>
    <row r="424" spans="21:32" s="51" customFormat="1" ht="12">
      <c r="U424" s="61"/>
      <c r="AE424" s="57"/>
      <c r="AF424" s="57"/>
    </row>
    <row r="425" spans="21:32" s="51" customFormat="1" ht="12">
      <c r="U425" s="61"/>
      <c r="AE425" s="57"/>
      <c r="AF425" s="57"/>
    </row>
    <row r="426" spans="21:32" s="51" customFormat="1" ht="12">
      <c r="U426" s="61"/>
      <c r="AE426" s="57"/>
      <c r="AF426" s="57"/>
    </row>
    <row r="427" spans="21:32" s="51" customFormat="1" ht="12">
      <c r="U427" s="61"/>
      <c r="AE427" s="57"/>
      <c r="AF427" s="57"/>
    </row>
    <row r="428" spans="21:32" s="51" customFormat="1" ht="12">
      <c r="U428" s="61"/>
      <c r="AE428" s="57"/>
      <c r="AF428" s="57"/>
    </row>
    <row r="429" spans="21:32" s="51" customFormat="1" ht="12">
      <c r="U429" s="61"/>
      <c r="AE429" s="57"/>
      <c r="AF429" s="57"/>
    </row>
    <row r="430" spans="21:32" s="51" customFormat="1" ht="12">
      <c r="U430" s="61"/>
      <c r="AE430" s="57"/>
      <c r="AF430" s="57"/>
    </row>
    <row r="431" spans="21:32" s="51" customFormat="1" ht="12">
      <c r="U431" s="61"/>
      <c r="AE431" s="57"/>
      <c r="AF431" s="57"/>
    </row>
    <row r="432" spans="21:32" s="51" customFormat="1" ht="12">
      <c r="U432" s="61"/>
      <c r="AE432" s="57"/>
      <c r="AF432" s="57"/>
    </row>
    <row r="433" spans="21:32" s="51" customFormat="1" ht="12">
      <c r="U433" s="61"/>
      <c r="AE433" s="57"/>
      <c r="AF433" s="57"/>
    </row>
    <row r="434" spans="21:32" s="51" customFormat="1" ht="12">
      <c r="U434" s="61"/>
      <c r="AE434" s="57"/>
      <c r="AF434" s="57"/>
    </row>
    <row r="435" spans="21:32" s="51" customFormat="1" ht="12">
      <c r="U435" s="61"/>
      <c r="AE435" s="57"/>
      <c r="AF435" s="57"/>
    </row>
    <row r="436" spans="21:32" s="51" customFormat="1" ht="12">
      <c r="U436" s="61"/>
      <c r="AE436" s="57"/>
      <c r="AF436" s="57"/>
    </row>
    <row r="437" spans="21:32" s="51" customFormat="1" ht="12">
      <c r="U437" s="61"/>
      <c r="AE437" s="57"/>
      <c r="AF437" s="57"/>
    </row>
    <row r="438" spans="21:32" s="51" customFormat="1" ht="12">
      <c r="U438" s="61"/>
      <c r="AE438" s="57"/>
      <c r="AF438" s="57"/>
    </row>
    <row r="439" spans="21:32" s="51" customFormat="1" ht="12">
      <c r="U439" s="61"/>
      <c r="AE439" s="57"/>
      <c r="AF439" s="57"/>
    </row>
    <row r="440" spans="21:32" s="51" customFormat="1" ht="12">
      <c r="U440" s="61"/>
      <c r="AE440" s="57"/>
      <c r="AF440" s="57"/>
    </row>
    <row r="441" spans="21:32" s="51" customFormat="1" ht="12">
      <c r="U441" s="61"/>
      <c r="AE441" s="57"/>
      <c r="AF441" s="57"/>
    </row>
    <row r="442" spans="21:32" s="51" customFormat="1" ht="12">
      <c r="U442" s="61"/>
      <c r="AE442" s="57"/>
      <c r="AF442" s="57"/>
    </row>
    <row r="443" spans="21:32" s="51" customFormat="1" ht="12">
      <c r="U443" s="61"/>
      <c r="AE443" s="57"/>
      <c r="AF443" s="57"/>
    </row>
    <row r="444" spans="21:32" s="51" customFormat="1" ht="12">
      <c r="U444" s="61"/>
      <c r="AE444" s="57"/>
      <c r="AF444" s="57"/>
    </row>
    <row r="445" spans="21:32" s="51" customFormat="1" ht="12">
      <c r="U445" s="61"/>
      <c r="AE445" s="57"/>
      <c r="AF445" s="57"/>
    </row>
    <row r="446" spans="21:32" s="51" customFormat="1" ht="12">
      <c r="U446" s="61"/>
      <c r="AE446" s="57"/>
      <c r="AF446" s="57"/>
    </row>
    <row r="447" spans="21:32" s="51" customFormat="1" ht="12">
      <c r="U447" s="61"/>
      <c r="AE447" s="57"/>
      <c r="AF447" s="57"/>
    </row>
    <row r="448" spans="21:32" s="51" customFormat="1" ht="12">
      <c r="U448" s="61"/>
      <c r="AE448" s="57"/>
      <c r="AF448" s="57"/>
    </row>
    <row r="449" spans="21:32" s="51" customFormat="1" ht="12">
      <c r="U449" s="61"/>
      <c r="AE449" s="57"/>
      <c r="AF449" s="57"/>
    </row>
    <row r="450" spans="21:32" s="51" customFormat="1" ht="12">
      <c r="U450" s="61"/>
      <c r="AE450" s="57"/>
      <c r="AF450" s="57"/>
    </row>
    <row r="451" spans="21:32" s="51" customFormat="1" ht="12">
      <c r="U451" s="61"/>
      <c r="AE451" s="57"/>
      <c r="AF451" s="57"/>
    </row>
    <row r="452" spans="21:32" s="51" customFormat="1" ht="12">
      <c r="U452" s="61"/>
      <c r="AE452" s="57"/>
      <c r="AF452" s="57"/>
    </row>
    <row r="453" spans="21:32" s="51" customFormat="1" ht="12">
      <c r="U453" s="61"/>
      <c r="AE453" s="57"/>
      <c r="AF453" s="57"/>
    </row>
    <row r="454" spans="21:32" s="51" customFormat="1" ht="12">
      <c r="U454" s="61"/>
      <c r="AE454" s="57"/>
      <c r="AF454" s="57"/>
    </row>
    <row r="455" spans="21:32" s="51" customFormat="1" ht="12">
      <c r="U455" s="61"/>
      <c r="AE455" s="57"/>
      <c r="AF455" s="57"/>
    </row>
    <row r="456" spans="21:32" s="51" customFormat="1" ht="12">
      <c r="U456" s="61"/>
      <c r="AE456" s="57"/>
      <c r="AF456" s="57"/>
    </row>
    <row r="457" spans="21:32" s="51" customFormat="1" ht="12">
      <c r="U457" s="61"/>
      <c r="AE457" s="57"/>
      <c r="AF457" s="57"/>
    </row>
    <row r="458" spans="21:32" s="51" customFormat="1" ht="12">
      <c r="U458" s="61"/>
      <c r="AE458" s="57"/>
      <c r="AF458" s="57"/>
    </row>
    <row r="459" spans="21:32" s="51" customFormat="1" ht="12">
      <c r="U459" s="61"/>
      <c r="AE459" s="57"/>
      <c r="AF459" s="57"/>
    </row>
    <row r="460" spans="21:32" s="51" customFormat="1" ht="12">
      <c r="U460" s="61"/>
      <c r="AE460" s="57"/>
      <c r="AF460" s="57"/>
    </row>
    <row r="461" spans="21:32" s="51" customFormat="1" ht="12">
      <c r="U461" s="61"/>
      <c r="AE461" s="57"/>
      <c r="AF461" s="57"/>
    </row>
    <row r="462" spans="21:32" s="51" customFormat="1" ht="12">
      <c r="U462" s="61"/>
      <c r="AE462" s="57"/>
      <c r="AF462" s="57"/>
    </row>
    <row r="463" spans="21:32" s="51" customFormat="1" ht="12">
      <c r="U463" s="61"/>
    </row>
    <row r="464" spans="21:32" s="51" customFormat="1" ht="12">
      <c r="U464" s="61"/>
    </row>
    <row r="465" spans="21:21" s="51" customFormat="1" ht="12">
      <c r="U465" s="61"/>
    </row>
    <row r="466" spans="21:21" s="51" customFormat="1" ht="12">
      <c r="U466" s="61"/>
    </row>
    <row r="467" spans="21:21" s="51" customFormat="1" ht="12">
      <c r="U467" s="61"/>
    </row>
    <row r="468" spans="21:21" s="51" customFormat="1" ht="12">
      <c r="U468" s="61"/>
    </row>
    <row r="469" spans="21:21" s="51" customFormat="1" ht="12">
      <c r="U469" s="61"/>
    </row>
    <row r="470" spans="21:21" s="51" customFormat="1" ht="12">
      <c r="U470" s="61"/>
    </row>
    <row r="471" spans="21:21" s="51" customFormat="1" ht="12">
      <c r="U471" s="61"/>
    </row>
    <row r="472" spans="21:21" s="51" customFormat="1" ht="12">
      <c r="U472" s="61"/>
    </row>
    <row r="473" spans="21:21" s="51" customFormat="1" ht="12">
      <c r="U473" s="61"/>
    </row>
    <row r="474" spans="21:21" s="51" customFormat="1" ht="12">
      <c r="U474" s="61"/>
    </row>
    <row r="475" spans="21:21" s="51" customFormat="1" ht="12">
      <c r="U475" s="61"/>
    </row>
    <row r="476" spans="21:21" s="51" customFormat="1" ht="12">
      <c r="U476" s="61"/>
    </row>
    <row r="477" spans="21:21" s="51" customFormat="1" ht="12">
      <c r="U477" s="61"/>
    </row>
    <row r="478" spans="21:21" s="51" customFormat="1" ht="12">
      <c r="U478" s="61"/>
    </row>
    <row r="479" spans="21:21" s="51" customFormat="1" ht="12">
      <c r="U479" s="61"/>
    </row>
    <row r="480" spans="21:21" s="51" customFormat="1" ht="12">
      <c r="U480" s="61"/>
    </row>
    <row r="481" spans="21:21" s="51" customFormat="1" ht="12">
      <c r="U481" s="61"/>
    </row>
    <row r="482" spans="21:21" s="51" customFormat="1" ht="12">
      <c r="U482" s="61"/>
    </row>
    <row r="483" spans="21:21" s="51" customFormat="1" ht="12">
      <c r="U483" s="61"/>
    </row>
    <row r="484" spans="21:21" s="51" customFormat="1" ht="12">
      <c r="U484" s="61"/>
    </row>
    <row r="485" spans="21:21" s="51" customFormat="1" ht="12">
      <c r="U485" s="61"/>
    </row>
    <row r="486" spans="21:21" s="51" customFormat="1" ht="12">
      <c r="U486" s="61"/>
    </row>
    <row r="487" spans="21:21" s="51" customFormat="1" ht="12">
      <c r="U487" s="61"/>
    </row>
    <row r="488" spans="21:21" s="51" customFormat="1" ht="12">
      <c r="U488" s="61"/>
    </row>
    <row r="489" spans="21:21" s="51" customFormat="1" ht="12">
      <c r="U489" s="61"/>
    </row>
    <row r="490" spans="21:21" s="51" customFormat="1" ht="12">
      <c r="U490" s="61"/>
    </row>
    <row r="491" spans="21:21" s="51" customFormat="1" ht="12">
      <c r="U491" s="61"/>
    </row>
    <row r="492" spans="21:21" s="51" customFormat="1" ht="12">
      <c r="U492" s="61"/>
    </row>
    <row r="493" spans="21:21" s="51" customFormat="1" ht="12">
      <c r="U493" s="61"/>
    </row>
    <row r="494" spans="21:21" s="51" customFormat="1" ht="12">
      <c r="U494" s="61"/>
    </row>
    <row r="495" spans="21:21" s="51" customFormat="1" ht="12">
      <c r="U495" s="61"/>
    </row>
    <row r="496" spans="21:21" s="51" customFormat="1" ht="12">
      <c r="U496" s="61"/>
    </row>
    <row r="497" spans="21:21" s="51" customFormat="1" ht="12">
      <c r="U497" s="61"/>
    </row>
    <row r="498" spans="21:21" s="51" customFormat="1" ht="12">
      <c r="U498" s="61"/>
    </row>
    <row r="499" spans="21:21" s="51" customFormat="1" ht="12">
      <c r="U499" s="61"/>
    </row>
    <row r="500" spans="21:21" s="51" customFormat="1" ht="12">
      <c r="U500" s="61"/>
    </row>
    <row r="501" spans="21:21" s="51" customFormat="1" ht="12">
      <c r="U501" s="61"/>
    </row>
    <row r="502" spans="21:21" s="51" customFormat="1" ht="12">
      <c r="U502" s="61"/>
    </row>
    <row r="503" spans="21:21" s="51" customFormat="1" ht="12">
      <c r="U503" s="61"/>
    </row>
    <row r="504" spans="21:21" s="51" customFormat="1" ht="12">
      <c r="U504" s="61"/>
    </row>
    <row r="505" spans="21:21" s="51" customFormat="1" ht="12">
      <c r="U505" s="61"/>
    </row>
    <row r="506" spans="21:21" s="51" customFormat="1" ht="12">
      <c r="U506" s="61"/>
    </row>
    <row r="507" spans="21:21" s="51" customFormat="1" ht="12">
      <c r="U507" s="61"/>
    </row>
    <row r="508" spans="21:21" s="51" customFormat="1" ht="12">
      <c r="U508" s="61"/>
    </row>
    <row r="509" spans="21:21" s="51" customFormat="1" ht="12">
      <c r="U509" s="61"/>
    </row>
    <row r="510" spans="21:21" s="51" customFormat="1" ht="12">
      <c r="U510" s="61"/>
    </row>
    <row r="511" spans="21:21" s="51" customFormat="1" ht="12">
      <c r="U511" s="61"/>
    </row>
    <row r="512" spans="21:21" s="51" customFormat="1" ht="12">
      <c r="U512" s="61"/>
    </row>
    <row r="513" spans="21:21" s="51" customFormat="1" ht="12">
      <c r="U513" s="61"/>
    </row>
    <row r="514" spans="21:21" s="51" customFormat="1" ht="12">
      <c r="U514" s="61"/>
    </row>
    <row r="515" spans="21:21" s="51" customFormat="1" ht="12">
      <c r="U515" s="61"/>
    </row>
    <row r="516" spans="21:21" s="51" customFormat="1" ht="12">
      <c r="U516" s="61"/>
    </row>
    <row r="517" spans="21:21" s="51" customFormat="1" ht="12">
      <c r="U517" s="61"/>
    </row>
    <row r="518" spans="21:21" s="51" customFormat="1" ht="12">
      <c r="U518" s="61"/>
    </row>
    <row r="519" spans="21:21" s="51" customFormat="1" ht="12">
      <c r="U519" s="61"/>
    </row>
    <row r="520" spans="21:21" s="51" customFormat="1" ht="12">
      <c r="U520" s="61"/>
    </row>
    <row r="521" spans="21:21" s="51" customFormat="1" ht="12">
      <c r="U521" s="61"/>
    </row>
    <row r="522" spans="21:21" s="51" customFormat="1" ht="12">
      <c r="U522" s="61"/>
    </row>
    <row r="523" spans="21:21" s="51" customFormat="1" ht="12">
      <c r="U523" s="61"/>
    </row>
    <row r="524" spans="21:21" s="51" customFormat="1" ht="12">
      <c r="U524" s="61"/>
    </row>
    <row r="525" spans="21:21" s="51" customFormat="1" ht="12">
      <c r="U525" s="61"/>
    </row>
    <row r="526" spans="21:21" s="51" customFormat="1" ht="12">
      <c r="U526" s="61"/>
    </row>
    <row r="527" spans="21:21" s="51" customFormat="1" ht="12">
      <c r="U527" s="61"/>
    </row>
    <row r="528" spans="21:21" s="51" customFormat="1" ht="12">
      <c r="U528" s="61"/>
    </row>
    <row r="529" spans="21:21" s="51" customFormat="1" ht="12">
      <c r="U529" s="61"/>
    </row>
    <row r="530" spans="21:21" s="51" customFormat="1" ht="12">
      <c r="U530" s="61"/>
    </row>
    <row r="531" spans="21:21" s="51" customFormat="1" ht="12">
      <c r="U531" s="61"/>
    </row>
    <row r="532" spans="21:21" s="51" customFormat="1" ht="12">
      <c r="U532" s="61"/>
    </row>
    <row r="533" spans="21:21" s="51" customFormat="1" ht="12">
      <c r="U533" s="61"/>
    </row>
    <row r="534" spans="21:21" s="51" customFormat="1" ht="12">
      <c r="U534" s="61"/>
    </row>
    <row r="535" spans="21:21" s="51" customFormat="1" ht="12">
      <c r="U535" s="61"/>
    </row>
    <row r="536" spans="21:21" s="51" customFormat="1" ht="12">
      <c r="U536" s="61"/>
    </row>
    <row r="537" spans="21:21" s="51" customFormat="1" ht="12">
      <c r="U537" s="61"/>
    </row>
    <row r="538" spans="21:21" s="51" customFormat="1" ht="12">
      <c r="U538" s="61"/>
    </row>
    <row r="539" spans="21:21" s="51" customFormat="1" ht="12">
      <c r="U539" s="61"/>
    </row>
    <row r="540" spans="21:21" s="51" customFormat="1" ht="12">
      <c r="U540" s="61"/>
    </row>
    <row r="541" spans="21:21" s="51" customFormat="1" ht="12">
      <c r="U541" s="61"/>
    </row>
    <row r="542" spans="21:21" s="51" customFormat="1" ht="12">
      <c r="U542" s="61"/>
    </row>
    <row r="543" spans="21:21" s="51" customFormat="1" ht="12">
      <c r="U543" s="61"/>
    </row>
    <row r="544" spans="21:21" s="51" customFormat="1" ht="12">
      <c r="U544" s="61"/>
    </row>
    <row r="545" spans="21:21" s="51" customFormat="1" ht="12">
      <c r="U545" s="61"/>
    </row>
    <row r="546" spans="21:21" s="51" customFormat="1" ht="12">
      <c r="U546" s="61"/>
    </row>
    <row r="547" spans="21:21" s="51" customFormat="1" ht="12">
      <c r="U547" s="61"/>
    </row>
    <row r="548" spans="21:21" s="51" customFormat="1" ht="12">
      <c r="U548" s="61"/>
    </row>
    <row r="549" spans="21:21" s="51" customFormat="1" ht="12">
      <c r="U549" s="61"/>
    </row>
    <row r="550" spans="21:21" s="51" customFormat="1" ht="12">
      <c r="U550" s="61"/>
    </row>
    <row r="551" spans="21:21" s="51" customFormat="1" ht="12">
      <c r="U551" s="61"/>
    </row>
    <row r="552" spans="21:21" s="51" customFormat="1" ht="12">
      <c r="U552" s="61"/>
    </row>
    <row r="553" spans="21:21" s="51" customFormat="1" ht="12">
      <c r="U553" s="61"/>
    </row>
    <row r="554" spans="21:21" s="51" customFormat="1" ht="12">
      <c r="U554" s="61"/>
    </row>
    <row r="555" spans="21:21" s="51" customFormat="1" ht="12">
      <c r="U555" s="61"/>
    </row>
    <row r="556" spans="21:21" s="51" customFormat="1" ht="12">
      <c r="U556" s="61"/>
    </row>
    <row r="557" spans="21:21" s="51" customFormat="1" ht="12">
      <c r="U557" s="61"/>
    </row>
    <row r="558" spans="21:21" s="51" customFormat="1" ht="12">
      <c r="U558" s="61"/>
    </row>
    <row r="559" spans="21:21" s="51" customFormat="1" ht="12">
      <c r="U559" s="61"/>
    </row>
    <row r="560" spans="21:21" s="51" customFormat="1" ht="12">
      <c r="U560" s="61"/>
    </row>
    <row r="561" spans="21:21" s="51" customFormat="1" ht="12">
      <c r="U561" s="61"/>
    </row>
    <row r="562" spans="21:21" s="51" customFormat="1" ht="12">
      <c r="U562" s="61"/>
    </row>
    <row r="563" spans="21:21" s="51" customFormat="1" ht="12">
      <c r="U563" s="61"/>
    </row>
    <row r="564" spans="21:21" s="51" customFormat="1" ht="12">
      <c r="U564" s="61"/>
    </row>
    <row r="565" spans="21:21" s="51" customFormat="1" ht="12">
      <c r="U565" s="61"/>
    </row>
    <row r="566" spans="21:21" s="51" customFormat="1" ht="12">
      <c r="U566" s="61"/>
    </row>
    <row r="567" spans="21:21" s="51" customFormat="1" ht="12">
      <c r="U567" s="61"/>
    </row>
    <row r="568" spans="21:21" s="51" customFormat="1" ht="12">
      <c r="U568" s="61"/>
    </row>
    <row r="569" spans="21:21" s="51" customFormat="1" ht="12">
      <c r="U569" s="61"/>
    </row>
    <row r="570" spans="21:21" s="51" customFormat="1" ht="12">
      <c r="U570" s="61"/>
    </row>
    <row r="571" spans="21:21" s="51" customFormat="1" ht="12">
      <c r="U571" s="61"/>
    </row>
    <row r="572" spans="21:21" s="51" customFormat="1" ht="12">
      <c r="U572" s="61"/>
    </row>
    <row r="573" spans="21:21" s="51" customFormat="1" ht="12">
      <c r="U573" s="61"/>
    </row>
    <row r="574" spans="21:21" s="51" customFormat="1" ht="12">
      <c r="U574" s="61"/>
    </row>
    <row r="575" spans="21:21" s="51" customFormat="1" ht="12">
      <c r="U575" s="61"/>
    </row>
    <row r="576" spans="21:21" s="51" customFormat="1" ht="12">
      <c r="U576" s="61"/>
    </row>
    <row r="577" spans="21:21" s="51" customFormat="1" ht="12">
      <c r="U577" s="61"/>
    </row>
    <row r="578" spans="21:21" s="51" customFormat="1" ht="12">
      <c r="U578" s="61"/>
    </row>
    <row r="579" spans="21:21" s="51" customFormat="1" ht="12">
      <c r="U579" s="61"/>
    </row>
    <row r="580" spans="21:21" s="51" customFormat="1" ht="12">
      <c r="U580" s="61"/>
    </row>
    <row r="581" spans="21:21" s="51" customFormat="1" ht="12">
      <c r="U581" s="61"/>
    </row>
    <row r="582" spans="21:21" s="51" customFormat="1" ht="12">
      <c r="U582" s="61"/>
    </row>
    <row r="583" spans="21:21" s="51" customFormat="1" ht="12">
      <c r="U583" s="61"/>
    </row>
    <row r="584" spans="21:21" s="51" customFormat="1" ht="12">
      <c r="U584" s="61"/>
    </row>
    <row r="585" spans="21:21" s="51" customFormat="1" ht="12">
      <c r="U585" s="61"/>
    </row>
    <row r="586" spans="21:21" s="51" customFormat="1" ht="12">
      <c r="U586" s="61"/>
    </row>
    <row r="587" spans="21:21" s="51" customFormat="1" ht="12">
      <c r="U587" s="61"/>
    </row>
    <row r="588" spans="21:21" s="51" customFormat="1" ht="12">
      <c r="U588" s="61"/>
    </row>
    <row r="589" spans="21:21" s="51" customFormat="1" ht="12">
      <c r="U589" s="61"/>
    </row>
    <row r="590" spans="21:21" s="51" customFormat="1" ht="12">
      <c r="U590" s="61"/>
    </row>
    <row r="591" spans="21:21" s="51" customFormat="1" ht="12">
      <c r="U591" s="61"/>
    </row>
    <row r="592" spans="21:21" s="51" customFormat="1" ht="12">
      <c r="U592" s="61"/>
    </row>
    <row r="593" spans="21:21" s="51" customFormat="1" ht="12">
      <c r="U593" s="61"/>
    </row>
    <row r="594" spans="21:21" s="51" customFormat="1" ht="12">
      <c r="U594" s="61"/>
    </row>
    <row r="595" spans="21:21" s="51" customFormat="1" ht="12">
      <c r="U595" s="61"/>
    </row>
    <row r="596" spans="21:21" s="51" customFormat="1" ht="12">
      <c r="U596" s="61"/>
    </row>
    <row r="597" spans="21:21" s="51" customFormat="1" ht="12">
      <c r="U597" s="61"/>
    </row>
    <row r="598" spans="21:21" s="51" customFormat="1" ht="12">
      <c r="U598" s="61"/>
    </row>
    <row r="599" spans="21:21" s="51" customFormat="1" ht="12">
      <c r="U599" s="61"/>
    </row>
    <row r="600" spans="21:21" s="51" customFormat="1" ht="12">
      <c r="U600" s="61"/>
    </row>
    <row r="601" spans="21:21" s="51" customFormat="1" ht="12">
      <c r="U601" s="61"/>
    </row>
    <row r="602" spans="21:21" s="51" customFormat="1" ht="12">
      <c r="U602" s="61"/>
    </row>
    <row r="603" spans="21:21" s="51" customFormat="1" ht="12">
      <c r="U603" s="61"/>
    </row>
    <row r="604" spans="21:21" s="51" customFormat="1" ht="12">
      <c r="U604" s="61"/>
    </row>
    <row r="605" spans="21:21" s="51" customFormat="1" ht="12">
      <c r="U605" s="61"/>
    </row>
    <row r="606" spans="21:21" s="51" customFormat="1" ht="12">
      <c r="U606" s="61"/>
    </row>
    <row r="607" spans="21:21" s="51" customFormat="1" ht="12">
      <c r="U607" s="61"/>
    </row>
    <row r="608" spans="21:21" s="51" customFormat="1" ht="12">
      <c r="U608" s="61"/>
    </row>
    <row r="609" spans="12:21" s="51" customFormat="1" ht="12">
      <c r="U609" s="61"/>
    </row>
    <row r="610" spans="12:21" s="51" customFormat="1" ht="12">
      <c r="L610" s="47"/>
      <c r="M610" s="47"/>
      <c r="N610" s="47"/>
      <c r="O610" s="47"/>
      <c r="P610" s="47"/>
      <c r="U610" s="61"/>
    </row>
    <row r="611" spans="12:21" s="51" customFormat="1" ht="12">
      <c r="L611" s="47"/>
      <c r="M611" s="47"/>
      <c r="N611" s="47"/>
      <c r="O611" s="47"/>
      <c r="P611" s="47"/>
      <c r="U611" s="61"/>
    </row>
    <row r="612" spans="12:21" s="51" customFormat="1" ht="12">
      <c r="L612" s="47"/>
      <c r="M612" s="47"/>
      <c r="N612" s="47"/>
      <c r="O612" s="47"/>
      <c r="P612" s="47"/>
      <c r="U612" s="61"/>
    </row>
    <row r="613" spans="12:21" s="51" customFormat="1" ht="12">
      <c r="L613" s="47"/>
      <c r="M613" s="47"/>
      <c r="N613" s="47"/>
      <c r="O613" s="47"/>
      <c r="P613" s="47"/>
      <c r="U613" s="61"/>
    </row>
    <row r="614" spans="12:21" s="51" customFormat="1" ht="12">
      <c r="L614" s="47"/>
      <c r="M614" s="47"/>
      <c r="N614" s="47"/>
      <c r="O614" s="47"/>
      <c r="P614" s="47"/>
      <c r="U614" s="61"/>
    </row>
    <row r="615" spans="12:21" s="51" customFormat="1" ht="12">
      <c r="L615" s="47"/>
      <c r="M615" s="47"/>
      <c r="N615" s="47"/>
      <c r="O615" s="47"/>
      <c r="P615" s="47"/>
      <c r="U615" s="61"/>
    </row>
    <row r="616" spans="12:21" s="51" customFormat="1" ht="12">
      <c r="L616" s="47"/>
      <c r="M616" s="47"/>
      <c r="N616" s="47"/>
      <c r="O616" s="47"/>
      <c r="P616" s="47"/>
      <c r="U616" s="61"/>
    </row>
    <row r="617" spans="12:21" s="51" customFormat="1" ht="12">
      <c r="L617" s="47"/>
      <c r="M617" s="47"/>
      <c r="N617" s="47"/>
      <c r="O617" s="47"/>
      <c r="P617" s="47"/>
      <c r="U617" s="61"/>
    </row>
    <row r="618" spans="12:21" s="51" customFormat="1" ht="12">
      <c r="L618" s="47"/>
      <c r="M618" s="47"/>
      <c r="N618" s="47"/>
      <c r="O618" s="47"/>
      <c r="P618" s="47"/>
      <c r="U618" s="61"/>
    </row>
    <row r="619" spans="12:21" s="51" customFormat="1" ht="12">
      <c r="L619" s="47"/>
      <c r="M619" s="47"/>
      <c r="N619" s="47"/>
      <c r="O619" s="47"/>
      <c r="P619" s="47"/>
      <c r="U619" s="61"/>
    </row>
    <row r="620" spans="12:21" s="51" customFormat="1" ht="12">
      <c r="L620" s="47"/>
      <c r="M620" s="47"/>
      <c r="N620" s="47"/>
      <c r="O620" s="47"/>
      <c r="P620" s="47"/>
      <c r="U620" s="61"/>
    </row>
    <row r="621" spans="12:21" s="51" customFormat="1" ht="12">
      <c r="L621" s="47"/>
      <c r="M621" s="47"/>
      <c r="N621" s="47"/>
      <c r="O621" s="47"/>
      <c r="P621" s="47"/>
      <c r="U621" s="61"/>
    </row>
    <row r="622" spans="12:21" s="51" customFormat="1" ht="12">
      <c r="L622" s="47"/>
      <c r="M622" s="47"/>
      <c r="N622" s="47"/>
      <c r="O622" s="47"/>
      <c r="P622" s="47"/>
      <c r="Q622" s="47"/>
      <c r="U622" s="61"/>
    </row>
    <row r="623" spans="12:21" s="51" customFormat="1" ht="12">
      <c r="L623" s="47"/>
      <c r="M623" s="47"/>
      <c r="N623" s="47"/>
      <c r="O623" s="47"/>
      <c r="P623" s="47"/>
      <c r="Q623" s="47"/>
      <c r="U623" s="61"/>
    </row>
    <row r="624" spans="12:21" s="51" customFormat="1" ht="12">
      <c r="L624" s="47"/>
      <c r="M624" s="47"/>
      <c r="N624" s="47"/>
      <c r="O624" s="47"/>
      <c r="P624" s="47"/>
      <c r="Q624" s="47"/>
      <c r="U624" s="61"/>
    </row>
    <row r="625" spans="11:21" s="51" customFormat="1" ht="12">
      <c r="L625" s="47"/>
      <c r="M625" s="47"/>
      <c r="N625" s="47"/>
      <c r="O625" s="47"/>
      <c r="P625" s="47"/>
      <c r="Q625" s="47"/>
      <c r="U625" s="61"/>
    </row>
    <row r="626" spans="11:21" s="51" customFormat="1" ht="12">
      <c r="L626" s="47"/>
      <c r="M626" s="47"/>
      <c r="N626" s="47"/>
      <c r="O626" s="47"/>
      <c r="P626" s="47"/>
      <c r="Q626" s="47"/>
      <c r="U626" s="61"/>
    </row>
    <row r="627" spans="11:21" s="51" customFormat="1" ht="12">
      <c r="L627" s="47"/>
      <c r="M627" s="47"/>
      <c r="N627" s="47"/>
      <c r="O627" s="47"/>
      <c r="P627" s="47"/>
      <c r="Q627" s="47"/>
      <c r="U627" s="61"/>
    </row>
    <row r="628" spans="11:21" s="51" customFormat="1" ht="12">
      <c r="L628" s="47"/>
      <c r="M628" s="47"/>
      <c r="N628" s="47"/>
      <c r="O628" s="47"/>
      <c r="P628" s="47"/>
      <c r="Q628" s="47"/>
      <c r="U628" s="61"/>
    </row>
    <row r="629" spans="11:21" s="51" customFormat="1" ht="12">
      <c r="L629" s="47"/>
      <c r="M629" s="47"/>
      <c r="N629" s="47"/>
      <c r="O629" s="47"/>
      <c r="P629" s="47"/>
      <c r="Q629" s="47"/>
      <c r="U629" s="61"/>
    </row>
    <row r="630" spans="11:21" s="51" customFormat="1" ht="12">
      <c r="L630" s="47"/>
      <c r="M630" s="47"/>
      <c r="N630" s="47"/>
      <c r="O630" s="47"/>
      <c r="P630" s="47"/>
      <c r="Q630" s="47"/>
      <c r="U630" s="61"/>
    </row>
    <row r="631" spans="11:21" s="51" customFormat="1" ht="12">
      <c r="L631" s="47"/>
      <c r="M631" s="47"/>
      <c r="N631" s="47"/>
      <c r="O631" s="47"/>
      <c r="P631" s="47"/>
      <c r="Q631" s="47"/>
      <c r="U631" s="61"/>
    </row>
    <row r="632" spans="11:21" s="51" customFormat="1" ht="12">
      <c r="L632" s="47"/>
      <c r="M632" s="47"/>
      <c r="N632" s="47"/>
      <c r="O632" s="47"/>
      <c r="P632" s="47"/>
      <c r="Q632" s="47"/>
      <c r="U632" s="61"/>
    </row>
    <row r="633" spans="11:21" s="51" customFormat="1" ht="12">
      <c r="L633" s="47"/>
      <c r="M633" s="47"/>
      <c r="N633" s="47"/>
      <c r="O633" s="47"/>
      <c r="P633" s="47"/>
      <c r="Q633" s="47"/>
      <c r="U633" s="61"/>
    </row>
    <row r="634" spans="11:21" s="51" customFormat="1" ht="12">
      <c r="L634" s="47"/>
      <c r="M634" s="47"/>
      <c r="N634" s="47"/>
      <c r="O634" s="47"/>
      <c r="P634" s="47"/>
      <c r="Q634" s="47"/>
      <c r="U634" s="61"/>
    </row>
    <row r="635" spans="11:21" s="51" customFormat="1" ht="12">
      <c r="L635" s="47"/>
      <c r="M635" s="47"/>
      <c r="N635" s="47"/>
      <c r="O635" s="47"/>
      <c r="P635" s="47"/>
      <c r="Q635" s="47"/>
      <c r="U635" s="61"/>
    </row>
    <row r="636" spans="11:21" s="51" customFormat="1" ht="12">
      <c r="L636" s="47"/>
      <c r="M636" s="47"/>
      <c r="N636" s="47"/>
      <c r="O636" s="47"/>
      <c r="P636" s="47"/>
      <c r="Q636" s="47"/>
      <c r="U636" s="61"/>
    </row>
    <row r="637" spans="11:21" s="51" customFormat="1" ht="12">
      <c r="L637" s="47"/>
      <c r="M637" s="47"/>
      <c r="N637" s="47"/>
      <c r="O637" s="47"/>
      <c r="P637" s="47"/>
      <c r="Q637" s="47"/>
      <c r="U637" s="61"/>
    </row>
    <row r="638" spans="11:21" s="51" customFormat="1" ht="12">
      <c r="K638" s="47"/>
      <c r="L638" s="47"/>
      <c r="M638" s="47"/>
      <c r="N638" s="47"/>
      <c r="O638" s="47"/>
      <c r="P638" s="47"/>
      <c r="Q638" s="47"/>
      <c r="U638" s="61"/>
    </row>
    <row r="639" spans="11:21" s="51" customFormat="1" ht="12">
      <c r="K639" s="47"/>
      <c r="L639" s="47"/>
      <c r="M639" s="47"/>
      <c r="N639" s="47"/>
      <c r="O639" s="47"/>
      <c r="P639" s="47"/>
      <c r="Q639" s="47"/>
      <c r="U639" s="61"/>
    </row>
    <row r="640" spans="11:21" s="51" customFormat="1" ht="12">
      <c r="K640" s="47"/>
      <c r="L640" s="47"/>
      <c r="M640" s="47"/>
      <c r="N640" s="47"/>
      <c r="O640" s="47"/>
      <c r="P640" s="47"/>
      <c r="Q640" s="47"/>
      <c r="U640" s="61"/>
    </row>
    <row r="641" spans="9:21" s="51" customFormat="1" ht="12">
      <c r="K641" s="47"/>
      <c r="L641" s="47"/>
      <c r="M641" s="47"/>
      <c r="N641" s="47"/>
      <c r="O641" s="47"/>
      <c r="P641" s="47"/>
      <c r="Q641" s="47"/>
      <c r="U641" s="61"/>
    </row>
    <row r="642" spans="9:21" s="51" customFormat="1" ht="12">
      <c r="K642" s="47"/>
      <c r="L642" s="47"/>
      <c r="M642" s="47"/>
      <c r="N642" s="47"/>
      <c r="O642" s="47"/>
      <c r="P642" s="47"/>
      <c r="Q642" s="47"/>
      <c r="U642" s="61"/>
    </row>
    <row r="643" spans="9:21" s="51" customFormat="1" ht="12">
      <c r="K643" s="47"/>
      <c r="L643" s="47"/>
      <c r="M643" s="47"/>
      <c r="N643" s="47"/>
      <c r="O643" s="47"/>
      <c r="P643" s="47"/>
      <c r="Q643" s="47"/>
      <c r="U643" s="61"/>
    </row>
    <row r="644" spans="9:21" s="51" customFormat="1" ht="12">
      <c r="K644" s="47"/>
      <c r="L644" s="47"/>
      <c r="M644" s="47"/>
      <c r="N644" s="47"/>
      <c r="O644" s="47"/>
      <c r="P644" s="47"/>
      <c r="Q644" s="47"/>
      <c r="U644" s="61"/>
    </row>
    <row r="645" spans="9:21" s="51" customFormat="1" ht="12">
      <c r="K645" s="47"/>
      <c r="L645" s="47"/>
      <c r="M645" s="47"/>
      <c r="N645" s="47"/>
      <c r="O645" s="47"/>
      <c r="P645" s="47"/>
      <c r="Q645" s="47"/>
      <c r="U645" s="61"/>
    </row>
    <row r="646" spans="9:21" s="51" customFormat="1" ht="12">
      <c r="K646" s="47"/>
      <c r="L646" s="47"/>
      <c r="M646" s="47"/>
      <c r="N646" s="47"/>
      <c r="O646" s="47"/>
      <c r="P646" s="47"/>
      <c r="Q646" s="47"/>
      <c r="U646" s="61"/>
    </row>
    <row r="647" spans="9:21" s="51" customFormat="1" ht="12">
      <c r="K647" s="47"/>
      <c r="L647" s="47"/>
      <c r="M647" s="47"/>
      <c r="N647" s="47"/>
      <c r="O647" s="47"/>
      <c r="P647" s="47"/>
      <c r="Q647" s="47"/>
      <c r="U647" s="61"/>
    </row>
    <row r="648" spans="9:21" s="51" customFormat="1" ht="12">
      <c r="K648" s="47"/>
      <c r="L648" s="47"/>
      <c r="M648" s="47"/>
      <c r="N648" s="47"/>
      <c r="O648" s="47"/>
      <c r="P648" s="47"/>
      <c r="Q648" s="47"/>
      <c r="U648" s="61"/>
    </row>
    <row r="649" spans="9:21" s="51" customFormat="1" ht="12">
      <c r="K649" s="47"/>
      <c r="L649" s="47"/>
      <c r="M649" s="47"/>
      <c r="N649" s="47"/>
      <c r="O649" s="47"/>
      <c r="P649" s="47"/>
      <c r="Q649" s="47"/>
      <c r="U649" s="61"/>
    </row>
    <row r="650" spans="9:21">
      <c r="I650" s="47"/>
      <c r="J650" s="51"/>
    </row>
    <row r="651" spans="9:21">
      <c r="I651" s="47"/>
    </row>
    <row r="652" spans="9:21">
      <c r="I652" s="47"/>
    </row>
    <row r="653" spans="9:21">
      <c r="I653" s="47"/>
    </row>
    <row r="654" spans="9:21">
      <c r="I654" s="47"/>
    </row>
    <row r="655" spans="9:21">
      <c r="I655" s="47"/>
    </row>
    <row r="656" spans="9:21">
      <c r="I656" s="47"/>
    </row>
    <row r="657" spans="9:9">
      <c r="I657" s="47"/>
    </row>
    <row r="658" spans="9:9">
      <c r="I658" s="47"/>
    </row>
    <row r="659" spans="9:9">
      <c r="I659" s="47"/>
    </row>
    <row r="660" spans="9:9">
      <c r="I660" s="47"/>
    </row>
    <row r="661" spans="9:9">
      <c r="I661" s="47"/>
    </row>
    <row r="662" spans="9:9">
      <c r="I662" s="47"/>
    </row>
    <row r="663" spans="9:9">
      <c r="I663" s="47"/>
    </row>
    <row r="664" spans="9:9">
      <c r="I664" s="47"/>
    </row>
    <row r="665" spans="9:9">
      <c r="I665" s="47"/>
    </row>
    <row r="666" spans="9:9">
      <c r="I666" s="47"/>
    </row>
    <row r="667" spans="9:9">
      <c r="I667" s="47"/>
    </row>
    <row r="668" spans="9:9">
      <c r="I668" s="47"/>
    </row>
    <row r="669" spans="9:9">
      <c r="I669" s="47"/>
    </row>
    <row r="670" spans="9:9">
      <c r="I670" s="47"/>
    </row>
    <row r="671" spans="9:9">
      <c r="I671" s="47"/>
    </row>
    <row r="672" spans="9:9">
      <c r="I672" s="47"/>
    </row>
    <row r="673" spans="9:9">
      <c r="I673" s="47"/>
    </row>
    <row r="674" spans="9:9">
      <c r="I674" s="47"/>
    </row>
    <row r="675" spans="9:9">
      <c r="I675" s="47"/>
    </row>
    <row r="676" spans="9:9">
      <c r="I676" s="47"/>
    </row>
    <row r="677" spans="9:9">
      <c r="I677" s="47"/>
    </row>
    <row r="678" spans="9:9">
      <c r="I678" s="47"/>
    </row>
    <row r="679" spans="9:9">
      <c r="I679" s="47"/>
    </row>
    <row r="680" spans="9:9">
      <c r="I680" s="47"/>
    </row>
    <row r="681" spans="9:9">
      <c r="I681" s="47"/>
    </row>
    <row r="682" spans="9:9">
      <c r="I682" s="47"/>
    </row>
    <row r="683" spans="9:9">
      <c r="I683" s="47"/>
    </row>
    <row r="684" spans="9:9">
      <c r="I684" s="47"/>
    </row>
    <row r="685" spans="9:9">
      <c r="I685" s="47"/>
    </row>
    <row r="686" spans="9:9">
      <c r="I686" s="47"/>
    </row>
    <row r="687" spans="9:9">
      <c r="I687" s="47"/>
    </row>
    <row r="688" spans="9:9">
      <c r="I688" s="47"/>
    </row>
    <row r="689" spans="9:9">
      <c r="I689" s="47"/>
    </row>
    <row r="690" spans="9:9">
      <c r="I690" s="47"/>
    </row>
    <row r="691" spans="9:9">
      <c r="I691" s="47"/>
    </row>
    <row r="692" spans="9:9">
      <c r="I692" s="47"/>
    </row>
    <row r="693" spans="9:9">
      <c r="I693" s="47"/>
    </row>
    <row r="694" spans="9:9">
      <c r="I694" s="47"/>
    </row>
    <row r="695" spans="9:9">
      <c r="I695" s="47"/>
    </row>
    <row r="696" spans="9:9">
      <c r="I696" s="47"/>
    </row>
    <row r="697" spans="9:9">
      <c r="I697" s="47"/>
    </row>
    <row r="698" spans="9:9">
      <c r="I698" s="47"/>
    </row>
    <row r="699" spans="9:9">
      <c r="I699" s="47"/>
    </row>
    <row r="700" spans="9:9">
      <c r="I700" s="47"/>
    </row>
    <row r="701" spans="9:9">
      <c r="I701" s="47"/>
    </row>
    <row r="702" spans="9:9">
      <c r="I702" s="47"/>
    </row>
    <row r="703" spans="9:9">
      <c r="I703" s="47"/>
    </row>
    <row r="704" spans="9:9">
      <c r="I704" s="47"/>
    </row>
    <row r="705" spans="9:9">
      <c r="I705" s="47"/>
    </row>
    <row r="706" spans="9:9">
      <c r="I706" s="47"/>
    </row>
    <row r="707" spans="9:9">
      <c r="I707" s="47"/>
    </row>
    <row r="708" spans="9:9">
      <c r="I708" s="47"/>
    </row>
    <row r="709" spans="9:9">
      <c r="I709" s="47"/>
    </row>
    <row r="710" spans="9:9">
      <c r="I710" s="47"/>
    </row>
    <row r="711" spans="9:9">
      <c r="I711" s="47"/>
    </row>
    <row r="712" spans="9:9">
      <c r="I712" s="47"/>
    </row>
    <row r="713" spans="9:9">
      <c r="I713" s="47"/>
    </row>
    <row r="714" spans="9:9">
      <c r="I714" s="47"/>
    </row>
    <row r="715" spans="9:9">
      <c r="I715" s="47"/>
    </row>
  </sheetData>
  <mergeCells count="91">
    <mergeCell ref="D49:E49"/>
    <mergeCell ref="G49:H49"/>
    <mergeCell ref="D50:E50"/>
    <mergeCell ref="G50:H50"/>
    <mergeCell ref="D51:E51"/>
    <mergeCell ref="G51:H51"/>
    <mergeCell ref="D46:E46"/>
    <mergeCell ref="G46:H46"/>
    <mergeCell ref="D47:E47"/>
    <mergeCell ref="G47:H47"/>
    <mergeCell ref="D48:E48"/>
    <mergeCell ref="G48:H48"/>
    <mergeCell ref="D43:E43"/>
    <mergeCell ref="G43:H43"/>
    <mergeCell ref="D44:E44"/>
    <mergeCell ref="G44:H44"/>
    <mergeCell ref="D45:E45"/>
    <mergeCell ref="G45:H45"/>
    <mergeCell ref="D40:E40"/>
    <mergeCell ref="G40:H40"/>
    <mergeCell ref="D41:E41"/>
    <mergeCell ref="G41:H41"/>
    <mergeCell ref="D42:E42"/>
    <mergeCell ref="G42:H42"/>
    <mergeCell ref="D37:E37"/>
    <mergeCell ref="G37:H37"/>
    <mergeCell ref="D38:E38"/>
    <mergeCell ref="G38:H38"/>
    <mergeCell ref="D39:E39"/>
    <mergeCell ref="G39:H39"/>
    <mergeCell ref="D34:E34"/>
    <mergeCell ref="G34:H34"/>
    <mergeCell ref="D35:E35"/>
    <mergeCell ref="G35:H35"/>
    <mergeCell ref="D36:E36"/>
    <mergeCell ref="G36:H36"/>
    <mergeCell ref="D31:E31"/>
    <mergeCell ref="G31:H31"/>
    <mergeCell ref="D32:E32"/>
    <mergeCell ref="G32:H32"/>
    <mergeCell ref="D33:E33"/>
    <mergeCell ref="G33:H33"/>
    <mergeCell ref="D28:E28"/>
    <mergeCell ref="G28:H28"/>
    <mergeCell ref="D29:E29"/>
    <mergeCell ref="G29:H29"/>
    <mergeCell ref="D30:E30"/>
    <mergeCell ref="G30:H30"/>
    <mergeCell ref="D25:E25"/>
    <mergeCell ref="G25:H25"/>
    <mergeCell ref="D26:E26"/>
    <mergeCell ref="G26:H26"/>
    <mergeCell ref="D27:E27"/>
    <mergeCell ref="G27:H27"/>
    <mergeCell ref="D22:E22"/>
    <mergeCell ref="G22:H22"/>
    <mergeCell ref="D23:E23"/>
    <mergeCell ref="G23:H23"/>
    <mergeCell ref="D24:E24"/>
    <mergeCell ref="G24:H24"/>
    <mergeCell ref="D19:E19"/>
    <mergeCell ref="G19:H19"/>
    <mergeCell ref="D20:E20"/>
    <mergeCell ref="G20:H20"/>
    <mergeCell ref="D21:E21"/>
    <mergeCell ref="G21:H21"/>
    <mergeCell ref="D16:E16"/>
    <mergeCell ref="G16:H16"/>
    <mergeCell ref="D17:E17"/>
    <mergeCell ref="G17:H17"/>
    <mergeCell ref="D18:E18"/>
    <mergeCell ref="G18:H18"/>
    <mergeCell ref="D13:E13"/>
    <mergeCell ref="G13:H13"/>
    <mergeCell ref="D14:E14"/>
    <mergeCell ref="G14:H14"/>
    <mergeCell ref="D15:E15"/>
    <mergeCell ref="G15:H15"/>
    <mergeCell ref="D12:E12"/>
    <mergeCell ref="G12:H12"/>
    <mergeCell ref="A4:B4"/>
    <mergeCell ref="A5:B5"/>
    <mergeCell ref="A6:B6"/>
    <mergeCell ref="A7:B7"/>
    <mergeCell ref="C8:E8"/>
    <mergeCell ref="D9:E9"/>
    <mergeCell ref="G9:H9"/>
    <mergeCell ref="D10:E10"/>
    <mergeCell ref="G10:H10"/>
    <mergeCell ref="D11:E11"/>
    <mergeCell ref="G11:H11"/>
  </mergeCells>
  <phoneticPr fontId="4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ignoredErrors>
    <ignoredError sqref="M18:M32" formula="1"/>
  </ignoredErrors>
  <drawing r:id="rId2"/>
  <legacyDrawing r:id="rId3"/>
  <controls>
    <mc:AlternateContent xmlns:mc="http://schemas.openxmlformats.org/markup-compatibility/2006">
      <mc:Choice Requires="x14">
        <control shapeId="5122" r:id="rId4" name="CommandButton2">
          <controlPr defaultSize="0" autoLine="0" autoPict="0" r:id="rId5">
            <anchor moveWithCells="1">
              <from>
                <xdr:col>16</xdr:col>
                <xdr:colOff>95250</xdr:colOff>
                <xdr:row>17</xdr:row>
                <xdr:rowOff>190500</xdr:rowOff>
              </from>
              <to>
                <xdr:col>17</xdr:col>
                <xdr:colOff>542925</xdr:colOff>
                <xdr:row>19</xdr:row>
                <xdr:rowOff>28575</xdr:rowOff>
              </to>
            </anchor>
          </controlPr>
        </control>
      </mc:Choice>
      <mc:Fallback>
        <control shapeId="5122" r:id="rId4" name="CommandButton2"/>
      </mc:Fallback>
    </mc:AlternateContent>
    <mc:AlternateContent xmlns:mc="http://schemas.openxmlformats.org/markup-compatibility/2006">
      <mc:Choice Requires="x14">
        <control shapeId="5121" r:id="rId6" name="CommandButton1">
          <controlPr defaultSize="0" autoLine="0" autoPict="0" r:id="rId7">
            <anchor moveWithCells="1">
              <from>
                <xdr:col>16</xdr:col>
                <xdr:colOff>85725</xdr:colOff>
                <xdr:row>16</xdr:row>
                <xdr:rowOff>0</xdr:rowOff>
              </from>
              <to>
                <xdr:col>17</xdr:col>
                <xdr:colOff>533400</xdr:colOff>
                <xdr:row>17</xdr:row>
                <xdr:rowOff>123825</xdr:rowOff>
              </to>
            </anchor>
          </controlPr>
        </control>
      </mc:Choice>
      <mc:Fallback>
        <control shapeId="5121" r:id="rId6" name="CommandButton1"/>
      </mc:Fallback>
    </mc:AlternateContent>
    <mc:AlternateContent xmlns:mc="http://schemas.openxmlformats.org/markup-compatibility/2006">
      <mc:Choice Requires="x14">
        <control shapeId="5128" r:id="rId8" name="CommandButton3">
          <controlPr defaultSize="0" autoLine="0" autoPict="0" r:id="rId9">
            <anchor moveWithCells="1">
              <from>
                <xdr:col>9</xdr:col>
                <xdr:colOff>85725</xdr:colOff>
                <xdr:row>4</xdr:row>
                <xdr:rowOff>47625</xdr:rowOff>
              </from>
              <to>
                <xdr:col>10</xdr:col>
                <xdr:colOff>552450</xdr:colOff>
                <xdr:row>5</xdr:row>
                <xdr:rowOff>161925</xdr:rowOff>
              </to>
            </anchor>
          </controlPr>
        </control>
      </mc:Choice>
      <mc:Fallback>
        <control shapeId="5128" r:id="rId8" name="CommandButton3"/>
      </mc:Fallback>
    </mc:AlternateContent>
    <mc:AlternateContent xmlns:mc="http://schemas.openxmlformats.org/markup-compatibility/2006">
      <mc:Choice Requires="x14">
        <control shapeId="5129" r:id="rId10" name="ComboBox1">
          <controlPr defaultSize="0" autoLine="0" autoPict="0" r:id="rId11">
            <anchor moveWithCells="1">
              <from>
                <xdr:col>9</xdr:col>
                <xdr:colOff>85725</xdr:colOff>
                <xdr:row>3</xdr:row>
                <xdr:rowOff>0</xdr:rowOff>
              </from>
              <to>
                <xdr:col>10</xdr:col>
                <xdr:colOff>552450</xdr:colOff>
                <xdr:row>4</xdr:row>
                <xdr:rowOff>9525</xdr:rowOff>
              </to>
            </anchor>
          </controlPr>
        </control>
      </mc:Choice>
      <mc:Fallback>
        <control shapeId="5129" r:id="rId10" name="ComboBox1"/>
      </mc:Fallback>
    </mc:AlternateContent>
    <mc:AlternateContent xmlns:mc="http://schemas.openxmlformats.org/markup-compatibility/2006">
      <mc:Choice Requires="x14">
        <control shapeId="5130" r:id="rId12" name="CommandButton4">
          <controlPr defaultSize="0" autoLine="0" autoPict="0" r:id="rId13">
            <anchor moveWithCells="1">
              <from>
                <xdr:col>9</xdr:col>
                <xdr:colOff>85725</xdr:colOff>
                <xdr:row>5</xdr:row>
                <xdr:rowOff>228600</xdr:rowOff>
              </from>
              <to>
                <xdr:col>10</xdr:col>
                <xdr:colOff>552450</xdr:colOff>
                <xdr:row>7</xdr:row>
                <xdr:rowOff>57150</xdr:rowOff>
              </to>
            </anchor>
          </controlPr>
        </control>
      </mc:Choice>
      <mc:Fallback>
        <control shapeId="5130" r:id="rId12" name="CommandButton4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FE3B2F-C201-4CFC-B763-EABE3279C786}">
  <sheetPr codeName="Sheet9">
    <tabColor rgb="FF00B050"/>
  </sheetPr>
  <dimension ref="A1:C31"/>
  <sheetViews>
    <sheetView workbookViewId="0">
      <selection activeCell="I33" sqref="I33"/>
    </sheetView>
  </sheetViews>
  <sheetFormatPr defaultRowHeight="16.5"/>
  <cols>
    <col min="1" max="1" width="14" customWidth="1"/>
    <col min="2" max="2" width="10.875" customWidth="1"/>
  </cols>
  <sheetData>
    <row r="1" spans="1:3">
      <c r="A1" s="467" t="s">
        <v>335</v>
      </c>
      <c r="B1" s="467" t="s">
        <v>336</v>
      </c>
      <c r="C1" s="467" t="s">
        <v>337</v>
      </c>
    </row>
    <row r="2" spans="1:3">
      <c r="A2" s="468">
        <v>60</v>
      </c>
      <c r="B2" s="468">
        <v>17</v>
      </c>
      <c r="C2" s="469">
        <v>4.1666666666666664E-2</v>
      </c>
    </row>
    <row r="3" spans="1:3">
      <c r="A3" s="470">
        <v>75</v>
      </c>
      <c r="B3" s="470">
        <v>18</v>
      </c>
      <c r="C3" s="471">
        <v>5.2083333333333336E-2</v>
      </c>
    </row>
    <row r="4" spans="1:3">
      <c r="A4" s="468">
        <v>90</v>
      </c>
      <c r="B4" s="468">
        <v>19</v>
      </c>
      <c r="C4" s="469">
        <v>6.25E-2</v>
      </c>
    </row>
    <row r="5" spans="1:3">
      <c r="A5" s="470">
        <v>105</v>
      </c>
      <c r="B5" s="470">
        <v>20</v>
      </c>
      <c r="C5" s="471">
        <v>7.2916666666666671E-2</v>
      </c>
    </row>
    <row r="6" spans="1:3">
      <c r="A6" s="468">
        <v>120</v>
      </c>
      <c r="B6" s="468">
        <v>21</v>
      </c>
      <c r="C6" s="469">
        <v>8.3333333333333329E-2</v>
      </c>
    </row>
    <row r="7" spans="1:3">
      <c r="A7" s="470">
        <v>140</v>
      </c>
      <c r="B7" s="470">
        <v>22</v>
      </c>
      <c r="C7" s="471">
        <v>9.7222222222222224E-2</v>
      </c>
    </row>
    <row r="8" spans="1:3">
      <c r="A8" s="468">
        <v>160</v>
      </c>
      <c r="B8" s="468">
        <v>23</v>
      </c>
      <c r="C8" s="469">
        <v>0.1111111111111111</v>
      </c>
    </row>
    <row r="9" spans="1:3">
      <c r="A9" s="470">
        <v>180</v>
      </c>
      <c r="B9" s="470">
        <v>24</v>
      </c>
      <c r="C9" s="471">
        <v>0.125</v>
      </c>
    </row>
    <row r="10" spans="1:3">
      <c r="A10" s="468">
        <v>240</v>
      </c>
      <c r="B10" s="468">
        <v>25</v>
      </c>
      <c r="C10" s="469">
        <v>0.16666666666666666</v>
      </c>
    </row>
    <row r="11" spans="1:3">
      <c r="A11" s="470">
        <v>300</v>
      </c>
      <c r="B11" s="470">
        <v>26</v>
      </c>
      <c r="C11" s="471">
        <v>0.20833333333333334</v>
      </c>
    </row>
    <row r="12" spans="1:3">
      <c r="A12" s="468">
        <v>360</v>
      </c>
      <c r="B12" s="468">
        <v>27</v>
      </c>
      <c r="C12" s="469">
        <v>0.25</v>
      </c>
    </row>
    <row r="13" spans="1:3">
      <c r="A13" s="470">
        <v>420</v>
      </c>
      <c r="B13" s="470">
        <v>28</v>
      </c>
      <c r="C13" s="471">
        <v>0.29166666666666669</v>
      </c>
    </row>
    <row r="14" spans="1:3">
      <c r="A14" s="468">
        <v>480</v>
      </c>
      <c r="B14" s="468">
        <v>29</v>
      </c>
      <c r="C14" s="469">
        <v>0.33333333333333331</v>
      </c>
    </row>
    <row r="15" spans="1:3">
      <c r="A15" s="470">
        <v>540</v>
      </c>
      <c r="B15" s="470">
        <v>30</v>
      </c>
      <c r="C15" s="471">
        <v>0.375</v>
      </c>
    </row>
    <row r="16" spans="1:3">
      <c r="A16" s="468">
        <v>600</v>
      </c>
      <c r="B16" s="468">
        <v>31</v>
      </c>
      <c r="C16" s="469">
        <v>0.41666666666666669</v>
      </c>
    </row>
    <row r="17" spans="1:3">
      <c r="A17" s="470">
        <v>660</v>
      </c>
      <c r="B17" s="470">
        <v>32</v>
      </c>
      <c r="C17" s="471">
        <v>0.45833333333333331</v>
      </c>
    </row>
    <row r="18" spans="1:3">
      <c r="A18" s="468">
        <v>720</v>
      </c>
      <c r="B18" s="468">
        <v>33</v>
      </c>
      <c r="C18" s="469">
        <v>0.5</v>
      </c>
    </row>
    <row r="19" spans="1:3">
      <c r="A19" s="470">
        <v>780</v>
      </c>
      <c r="B19" s="470">
        <v>34</v>
      </c>
      <c r="C19" s="471">
        <v>0.54166666666666663</v>
      </c>
    </row>
    <row r="20" spans="1:3">
      <c r="A20" s="468">
        <v>840</v>
      </c>
      <c r="B20" s="468">
        <v>35</v>
      </c>
      <c r="C20" s="469">
        <v>0.58333333333333337</v>
      </c>
    </row>
    <row r="21" spans="1:3">
      <c r="A21" s="470">
        <v>900</v>
      </c>
      <c r="B21" s="470">
        <v>36</v>
      </c>
      <c r="C21" s="471">
        <v>0.625</v>
      </c>
    </row>
    <row r="22" spans="1:3">
      <c r="A22" s="468">
        <v>960</v>
      </c>
      <c r="B22" s="468">
        <v>37</v>
      </c>
      <c r="C22" s="469">
        <v>0.66666666666666663</v>
      </c>
    </row>
    <row r="23" spans="1:3">
      <c r="A23" s="470">
        <v>1020</v>
      </c>
      <c r="B23" s="470">
        <v>38</v>
      </c>
      <c r="C23" s="471">
        <v>0.70833333333333337</v>
      </c>
    </row>
    <row r="24" spans="1:3">
      <c r="A24" s="468">
        <v>1080</v>
      </c>
      <c r="B24" s="468">
        <v>39</v>
      </c>
      <c r="C24" s="469">
        <v>0.75</v>
      </c>
    </row>
    <row r="25" spans="1:3">
      <c r="A25" s="470">
        <v>1140</v>
      </c>
      <c r="B25" s="470">
        <v>40</v>
      </c>
      <c r="C25" s="471">
        <v>0.79166666666666663</v>
      </c>
    </row>
    <row r="26" spans="1:3">
      <c r="A26" s="468">
        <v>1200</v>
      </c>
      <c r="B26" s="468">
        <v>41</v>
      </c>
      <c r="C26" s="469">
        <v>0.83333333333333337</v>
      </c>
    </row>
    <row r="27" spans="1:3">
      <c r="A27" s="470">
        <v>1260</v>
      </c>
      <c r="B27" s="470">
        <v>42</v>
      </c>
      <c r="C27" s="471">
        <v>0.875</v>
      </c>
    </row>
    <row r="28" spans="1:3">
      <c r="A28" s="468">
        <v>1320</v>
      </c>
      <c r="B28" s="468">
        <v>43</v>
      </c>
      <c r="C28" s="469">
        <v>0.91666666666666663</v>
      </c>
    </row>
    <row r="29" spans="1:3">
      <c r="A29" s="470">
        <v>1380</v>
      </c>
      <c r="B29" s="470">
        <v>44</v>
      </c>
      <c r="C29" s="471">
        <v>0.95833333333333337</v>
      </c>
    </row>
    <row r="30" spans="1:3">
      <c r="A30" s="468">
        <v>1440</v>
      </c>
      <c r="B30" s="468">
        <v>45</v>
      </c>
      <c r="C30" s="469">
        <v>1</v>
      </c>
    </row>
    <row r="31" spans="1:3">
      <c r="A31" s="470">
        <v>1500</v>
      </c>
      <c r="B31" s="470">
        <v>46</v>
      </c>
      <c r="C31" s="471">
        <v>1.0416666666666667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D5EB1-60DD-43B4-819D-F5CF2B2E8AD6}">
  <sheetPr codeName="shW_LongTEST">
    <tabColor rgb="FF00B050"/>
  </sheetPr>
  <dimension ref="A1:AL822"/>
  <sheetViews>
    <sheetView showGridLines="0" zoomScale="115" zoomScaleNormal="115" zoomScaleSheetLayoutView="85" workbookViewId="0">
      <selection activeCell="L10" sqref="L10"/>
    </sheetView>
  </sheetViews>
  <sheetFormatPr defaultColWidth="9" defaultRowHeight="12"/>
  <cols>
    <col min="1" max="1" width="5.25" style="47" customWidth="1"/>
    <col min="2" max="2" width="13.875" style="47" customWidth="1"/>
    <col min="3" max="3" width="10.875" style="47" customWidth="1"/>
    <col min="4" max="4" width="11.25" style="47" customWidth="1"/>
    <col min="5" max="5" width="0.125" style="47" customWidth="1"/>
    <col min="6" max="6" width="11.125" style="47" customWidth="1"/>
    <col min="7" max="7" width="13.125" style="47" customWidth="1"/>
    <col min="8" max="8" width="8.25" style="47" customWidth="1"/>
    <col min="9" max="9" width="8.625" style="47" customWidth="1"/>
    <col min="10" max="10" width="7.625" style="48" customWidth="1"/>
    <col min="11" max="11" width="9" style="47" customWidth="1"/>
    <col min="12" max="12" width="13.625" style="47" customWidth="1"/>
    <col min="13" max="14" width="10.125" style="47" bestFit="1" customWidth="1"/>
    <col min="15" max="15" width="8.625" style="47" customWidth="1"/>
    <col min="16" max="16" width="8" style="47" customWidth="1"/>
    <col min="17" max="17" width="9.75" style="47" customWidth="1"/>
    <col min="18" max="20" width="9" style="47"/>
    <col min="21" max="21" width="10.125" style="47" customWidth="1"/>
    <col min="22" max="22" width="10" style="47" customWidth="1"/>
    <col min="23" max="23" width="12.375" style="47" customWidth="1"/>
    <col min="24" max="24" width="5.375" style="47" customWidth="1"/>
    <col min="25" max="25" width="8.375" style="47" customWidth="1"/>
    <col min="26" max="26" width="9.875" style="47" customWidth="1"/>
    <col min="27" max="27" width="12.625" style="47" customWidth="1"/>
    <col min="28" max="28" width="6.375" style="96" customWidth="1"/>
    <col min="29" max="29" width="9" style="47" customWidth="1"/>
    <col min="30" max="30" width="8" style="47" customWidth="1"/>
    <col min="31" max="31" width="10.25" style="47" customWidth="1"/>
    <col min="32" max="33" width="10.125" style="47" bestFit="1" customWidth="1"/>
    <col min="34" max="16384" width="9" style="47"/>
  </cols>
  <sheetData>
    <row r="1" spans="1:38" s="51" customFormat="1" ht="31.5" customHeight="1">
      <c r="A1" s="118" t="s">
        <v>181</v>
      </c>
      <c r="B1" s="119"/>
      <c r="C1" s="119"/>
      <c r="D1" s="119"/>
      <c r="E1" s="119"/>
      <c r="F1" s="119"/>
      <c r="G1" s="119"/>
      <c r="H1" s="119"/>
      <c r="I1" s="119"/>
      <c r="J1" s="119"/>
      <c r="L1" s="67" t="s">
        <v>182</v>
      </c>
      <c r="M1" s="68">
        <f>P1-R1</f>
        <v>-3.7202809927632163</v>
      </c>
      <c r="N1" s="524" t="s">
        <v>183</v>
      </c>
      <c r="O1" s="524"/>
      <c r="P1" s="69">
        <f>StepTest!G41</f>
        <v>11.35</v>
      </c>
      <c r="Q1" s="70" t="s">
        <v>184</v>
      </c>
      <c r="R1" s="71">
        <f>G35</f>
        <v>15.070280992763216</v>
      </c>
      <c r="S1" s="72">
        <f>D7/2000</f>
        <v>0.1</v>
      </c>
      <c r="T1" s="73">
        <v>4.1534103653503527</v>
      </c>
      <c r="V1" s="294" t="s">
        <v>13</v>
      </c>
      <c r="W1" s="294" t="s">
        <v>28</v>
      </c>
      <c r="X1" s="294" t="s">
        <v>158</v>
      </c>
      <c r="Y1" s="294" t="s">
        <v>32</v>
      </c>
      <c r="Z1" s="294" t="s">
        <v>159</v>
      </c>
      <c r="AA1" s="294" t="s">
        <v>39</v>
      </c>
      <c r="AB1" s="295" t="s">
        <v>12</v>
      </c>
      <c r="AC1" s="294" t="s">
        <v>12</v>
      </c>
    </row>
    <row r="2" spans="1:38" s="51" customFormat="1" ht="21.6" customHeight="1">
      <c r="A2" s="120" t="str">
        <f>StepTest!A4</f>
        <v>조 사 명</v>
      </c>
      <c r="B2" s="120"/>
      <c r="C2" s="121" t="str">
        <f>StepTest!C4</f>
        <v>순성중명아파트 이용허가 유효기간의 연장을 위한 지하수영향조사보고서</v>
      </c>
      <c r="D2" s="122"/>
      <c r="E2" s="122"/>
      <c r="F2" s="122"/>
      <c r="G2" s="122"/>
      <c r="H2" s="122"/>
      <c r="I2" s="122"/>
      <c r="J2" s="123"/>
      <c r="O2" s="51" t="s">
        <v>185</v>
      </c>
      <c r="P2" s="75">
        <f>G8</f>
        <v>25.330000000000002</v>
      </c>
      <c r="T2" s="51">
        <v>44</v>
      </c>
      <c r="U2" s="55">
        <f>B10</f>
        <v>150</v>
      </c>
      <c r="V2" s="55">
        <f>U2</f>
        <v>150</v>
      </c>
      <c r="W2" s="51">
        <f>T1</f>
        <v>4.1534103653503527</v>
      </c>
      <c r="X2" s="51">
        <f>StepTest!U4</f>
        <v>0.1</v>
      </c>
      <c r="Y2" s="51">
        <f>Input!A45</f>
        <v>5.0000000000000001E-4</v>
      </c>
      <c r="Z2" s="51">
        <f>E10</f>
        <v>6.9444444444444447E-4</v>
      </c>
      <c r="AA2" s="56">
        <f>D10</f>
        <v>1</v>
      </c>
      <c r="AB2" s="76">
        <f t="shared" ref="AB2:AB65" si="0">AC2+AD$2</f>
        <v>14.31565457217728</v>
      </c>
      <c r="AC2" s="57">
        <f>1.6*V2/(4*PI()*W2)*LOG10((2.25*W2*Z2)/(X2*X2*Y2))</f>
        <v>14.31565457217728</v>
      </c>
      <c r="AD2" s="74">
        <v>0</v>
      </c>
      <c r="AE2" s="56">
        <f>AA2</f>
        <v>1</v>
      </c>
      <c r="AF2" s="57">
        <f t="shared" ref="AF2:AF14" si="1">AC2-$P$3-O3</f>
        <v>3.3156559522114577</v>
      </c>
      <c r="AG2" s="57">
        <f>AC2</f>
        <v>14.31565457217728</v>
      </c>
    </row>
    <row r="3" spans="1:38" s="51" customFormat="1" ht="21.6" customHeight="1">
      <c r="A3" s="120" t="str">
        <f>StepTest!A5</f>
        <v>지 구 명</v>
      </c>
      <c r="B3" s="120"/>
      <c r="C3" s="121" t="str">
        <f>StepTest!C5</f>
        <v>순성중명아파트</v>
      </c>
      <c r="D3" s="122"/>
      <c r="E3" s="122"/>
      <c r="F3" s="124"/>
      <c r="G3" s="122"/>
      <c r="H3" s="125" t="str">
        <f>StepTest!H5</f>
        <v>공  번 : W - 1</v>
      </c>
      <c r="I3" s="125"/>
      <c r="J3" s="126"/>
      <c r="L3" s="77" t="s">
        <v>48</v>
      </c>
      <c r="M3" s="58">
        <f t="shared" ref="M3:M10" si="2">Q17</f>
        <v>0</v>
      </c>
      <c r="N3" s="78"/>
      <c r="O3" s="290"/>
      <c r="P3" s="292">
        <v>10.999998619965822</v>
      </c>
      <c r="V3" s="55">
        <f>V2</f>
        <v>150</v>
      </c>
      <c r="W3" s="51">
        <f>W$2</f>
        <v>4.1534103653503527</v>
      </c>
      <c r="X3" s="51">
        <f>X2</f>
        <v>0.1</v>
      </c>
      <c r="Y3" s="51">
        <f>Y$2</f>
        <v>5.0000000000000001E-4</v>
      </c>
      <c r="Z3" s="51">
        <f t="shared" ref="Z3:Z66" si="3">E11</f>
        <v>1.3888888888888889E-3</v>
      </c>
      <c r="AA3" s="56">
        <f t="shared" ref="AA3:AA66" si="4">D11</f>
        <v>2</v>
      </c>
      <c r="AB3" s="76">
        <f t="shared" si="0"/>
        <v>15.699878357870451</v>
      </c>
      <c r="AC3" s="57">
        <f t="shared" ref="AC3:AC30" si="5">1.6*V3/(4*PI()*W3)*LOG10((2.25*W3*Z3)/(X3*X3*Y3))</f>
        <v>15.699878357870451</v>
      </c>
      <c r="AD3" s="57">
        <f>AB69</f>
        <v>26.879998619965825</v>
      </c>
      <c r="AE3" s="56">
        <f t="shared" ref="AE3:AE66" si="6">AA3</f>
        <v>2</v>
      </c>
      <c r="AF3" s="57">
        <f t="shared" si="1"/>
        <v>4.6998797379046291</v>
      </c>
      <c r="AG3" s="57">
        <f t="shared" ref="AG3:AG16" si="7">AC3</f>
        <v>15.699878357870451</v>
      </c>
    </row>
    <row r="4" spans="1:38" s="51" customFormat="1" ht="21.6" customHeight="1">
      <c r="A4" s="120" t="str">
        <f>StepTest!A6</f>
        <v>위    치</v>
      </c>
      <c r="B4" s="120"/>
      <c r="C4" s="121" t="str">
        <f>StepTest!C6</f>
        <v>충청남도 당진시 순성면 순성로 453-30번지</v>
      </c>
      <c r="D4" s="125"/>
      <c r="E4" s="125"/>
      <c r="F4" s="122"/>
      <c r="G4" s="122"/>
      <c r="H4" s="122"/>
      <c r="I4" s="122"/>
      <c r="J4" s="123"/>
      <c r="L4" s="77" t="s">
        <v>186</v>
      </c>
      <c r="M4" s="58">
        <f t="shared" si="2"/>
        <v>-1.93</v>
      </c>
      <c r="N4" s="78"/>
      <c r="O4" s="291"/>
      <c r="P4" s="291"/>
      <c r="V4" s="55">
        <f t="shared" ref="V4:V67" si="8">V3</f>
        <v>150</v>
      </c>
      <c r="W4" s="51">
        <f t="shared" ref="W4:W67" si="9">W$2</f>
        <v>4.1534103653503527</v>
      </c>
      <c r="X4" s="51">
        <f t="shared" ref="X4:X67" si="10">X3</f>
        <v>0.1</v>
      </c>
      <c r="Y4" s="51">
        <f t="shared" ref="Y4:Y67" si="11">Y$2</f>
        <v>5.0000000000000001E-4</v>
      </c>
      <c r="Z4" s="51">
        <f t="shared" si="3"/>
        <v>2.0833333333333333E-3</v>
      </c>
      <c r="AA4" s="56">
        <f t="shared" si="4"/>
        <v>3</v>
      </c>
      <c r="AB4" s="76">
        <f t="shared" si="0"/>
        <v>16.509597365107236</v>
      </c>
      <c r="AC4" s="57">
        <f>1.6*V4/(4*PI()*W4)*LOG10((2.25*W4*Z4)/(X4*X4*Y4))</f>
        <v>16.509597365107236</v>
      </c>
      <c r="AD4" s="57">
        <f>AC69</f>
        <v>26.879998619965825</v>
      </c>
      <c r="AE4" s="56">
        <f t="shared" si="6"/>
        <v>3</v>
      </c>
      <c r="AF4" s="57">
        <f t="shared" si="1"/>
        <v>5.5095987451414139</v>
      </c>
      <c r="AG4" s="57">
        <f t="shared" si="7"/>
        <v>16.509597365107236</v>
      </c>
    </row>
    <row r="5" spans="1:38" s="51" customFormat="1" ht="21.6" customHeight="1">
      <c r="A5" s="120" t="str">
        <f>StepTest!A7</f>
        <v>조 사 자</v>
      </c>
      <c r="B5" s="120"/>
      <c r="C5" s="127" t="str">
        <f>StepTest!C7</f>
        <v>주식회사 한일지하수</v>
      </c>
      <c r="D5" s="329"/>
      <c r="E5" s="122"/>
      <c r="F5" s="128" t="s">
        <v>169</v>
      </c>
      <c r="G5" s="129">
        <f>Input!I50</f>
        <v>50</v>
      </c>
      <c r="H5" s="130"/>
      <c r="I5" s="130"/>
      <c r="J5" s="130"/>
      <c r="L5" s="77" t="s">
        <v>187</v>
      </c>
      <c r="M5" s="58">
        <f t="shared" si="2"/>
        <v>-4.4400000000000004</v>
      </c>
      <c r="N5" s="78"/>
      <c r="O5" s="291"/>
      <c r="P5" s="291"/>
      <c r="V5" s="55">
        <f t="shared" si="8"/>
        <v>150</v>
      </c>
      <c r="W5" s="51">
        <f t="shared" si="9"/>
        <v>4.1534103653503527</v>
      </c>
      <c r="X5" s="51">
        <f t="shared" si="10"/>
        <v>0.1</v>
      </c>
      <c r="Y5" s="51">
        <f t="shared" si="11"/>
        <v>5.0000000000000001E-4</v>
      </c>
      <c r="Z5" s="51">
        <f t="shared" si="3"/>
        <v>2.7777777777777779E-3</v>
      </c>
      <c r="AA5" s="56">
        <f t="shared" si="4"/>
        <v>4</v>
      </c>
      <c r="AB5" s="76">
        <f t="shared" si="0"/>
        <v>17.084102143563626</v>
      </c>
      <c r="AC5" s="57">
        <f t="shared" si="5"/>
        <v>17.084102143563626</v>
      </c>
      <c r="AD5" s="57">
        <f>AF69</f>
        <v>15.880000000000003</v>
      </c>
      <c r="AE5" s="56">
        <f t="shared" si="6"/>
        <v>4</v>
      </c>
      <c r="AF5" s="57">
        <f t="shared" si="1"/>
        <v>6.084103523597804</v>
      </c>
      <c r="AG5" s="57">
        <f t="shared" si="7"/>
        <v>17.084102143563626</v>
      </c>
    </row>
    <row r="6" spans="1:38" s="51" customFormat="1" ht="21.6" customHeight="1">
      <c r="A6" s="120" t="str">
        <f>StepTest!A8</f>
        <v>수중모타</v>
      </c>
      <c r="B6" s="120"/>
      <c r="C6" s="525">
        <f>StepTest!C8</f>
        <v>5</v>
      </c>
      <c r="D6" s="525"/>
      <c r="E6" s="526"/>
      <c r="F6" s="128" t="s">
        <v>165</v>
      </c>
      <c r="G6" s="129">
        <f>Input!I51</f>
        <v>0</v>
      </c>
      <c r="H6" s="130"/>
      <c r="I6" s="130"/>
      <c r="J6" s="130"/>
      <c r="K6" s="51">
        <v>0.2</v>
      </c>
      <c r="L6" s="293">
        <v>0.2</v>
      </c>
      <c r="M6" s="58">
        <f t="shared" si="2"/>
        <v>-7.17</v>
      </c>
      <c r="N6" s="78"/>
      <c r="O6" s="291"/>
      <c r="P6" s="291"/>
      <c r="V6" s="55">
        <f t="shared" si="8"/>
        <v>150</v>
      </c>
      <c r="W6" s="51">
        <f t="shared" si="9"/>
        <v>4.1534103653503527</v>
      </c>
      <c r="X6" s="51">
        <f t="shared" si="10"/>
        <v>0.1</v>
      </c>
      <c r="Y6" s="51">
        <f t="shared" si="11"/>
        <v>5.0000000000000001E-4</v>
      </c>
      <c r="Z6" s="51">
        <f t="shared" si="3"/>
        <v>3.472222222222222E-3</v>
      </c>
      <c r="AA6" s="56">
        <f t="shared" si="4"/>
        <v>5</v>
      </c>
      <c r="AB6" s="76">
        <f t="shared" si="0"/>
        <v>17.529722669789603</v>
      </c>
      <c r="AC6" s="57">
        <f t="shared" si="5"/>
        <v>17.529722669789603</v>
      </c>
      <c r="AE6" s="56">
        <f t="shared" si="6"/>
        <v>5</v>
      </c>
      <c r="AF6" s="57">
        <f t="shared" si="1"/>
        <v>6.5297240498237805</v>
      </c>
      <c r="AG6" s="57">
        <f t="shared" si="7"/>
        <v>17.529722669789603</v>
      </c>
      <c r="AL6" s="51">
        <f>10*(2.54/2/100)</f>
        <v>0.127</v>
      </c>
    </row>
    <row r="7" spans="1:38" s="51" customFormat="1" ht="21.6" customHeight="1">
      <c r="A7" s="120" t="str">
        <f>StepTest!A9</f>
        <v>우물현황</v>
      </c>
      <c r="B7" s="120"/>
      <c r="C7" s="131" t="str">
        <f>StepTest!C9</f>
        <v>직     경</v>
      </c>
      <c r="D7" s="132">
        <f>StepTest!D9</f>
        <v>200</v>
      </c>
      <c r="E7" s="133"/>
      <c r="F7" s="134" t="s">
        <v>168</v>
      </c>
      <c r="G7" s="135">
        <f>StepTest!G9</f>
        <v>100</v>
      </c>
      <c r="H7" s="122"/>
      <c r="I7" s="122"/>
      <c r="J7" s="123"/>
      <c r="M7" s="58">
        <f t="shared" si="2"/>
        <v>-10.050000000000001</v>
      </c>
      <c r="N7" s="78"/>
      <c r="O7" s="291"/>
      <c r="P7" s="291"/>
      <c r="V7" s="55">
        <f t="shared" si="8"/>
        <v>150</v>
      </c>
      <c r="W7" s="51">
        <f t="shared" si="9"/>
        <v>4.1534103653503527</v>
      </c>
      <c r="X7" s="51">
        <f t="shared" si="10"/>
        <v>0.1</v>
      </c>
      <c r="Y7" s="51">
        <f t="shared" si="11"/>
        <v>5.0000000000000001E-4</v>
      </c>
      <c r="Z7" s="51">
        <f t="shared" si="3"/>
        <v>6.9444444444444441E-3</v>
      </c>
      <c r="AA7" s="56">
        <f t="shared" si="4"/>
        <v>10</v>
      </c>
      <c r="AB7" s="76">
        <f t="shared" si="0"/>
        <v>18.913946455482773</v>
      </c>
      <c r="AC7" s="57">
        <f t="shared" si="5"/>
        <v>18.913946455482773</v>
      </c>
      <c r="AE7" s="56">
        <f t="shared" si="6"/>
        <v>10</v>
      </c>
      <c r="AF7" s="57">
        <f t="shared" si="1"/>
        <v>7.9139478355169501</v>
      </c>
      <c r="AG7" s="57">
        <f t="shared" si="7"/>
        <v>18.913946455482773</v>
      </c>
      <c r="AL7" s="51">
        <f>AL6*2</f>
        <v>0.254</v>
      </c>
    </row>
    <row r="8" spans="1:38" s="51" customFormat="1" ht="21.6" customHeight="1">
      <c r="A8" s="120" t="str">
        <f>StepTest!A10</f>
        <v>양수시험</v>
      </c>
      <c r="B8" s="120"/>
      <c r="C8" s="136" t="s">
        <v>188</v>
      </c>
      <c r="D8" s="137">
        <f>StepTest!D10</f>
        <v>9.4499999999999993</v>
      </c>
      <c r="E8" s="133"/>
      <c r="F8" s="134" t="s">
        <v>189</v>
      </c>
      <c r="G8" s="138">
        <f>F77</f>
        <v>25.330000000000002</v>
      </c>
      <c r="H8" s="130">
        <f>Input!C40</f>
        <v>150</v>
      </c>
      <c r="I8" s="130"/>
      <c r="J8" s="120"/>
      <c r="K8" s="330">
        <f>Input!M50</f>
        <v>15.879999999999999</v>
      </c>
      <c r="L8" s="371">
        <f>G10-K11</f>
        <v>1.9314321665182863</v>
      </c>
      <c r="M8" s="58">
        <f t="shared" si="2"/>
        <v>-25.23</v>
      </c>
      <c r="N8" s="78"/>
      <c r="O8" s="291"/>
      <c r="P8" s="291"/>
      <c r="V8" s="55">
        <f t="shared" si="8"/>
        <v>150</v>
      </c>
      <c r="W8" s="51">
        <f t="shared" si="9"/>
        <v>4.1534103653503527</v>
      </c>
      <c r="X8" s="51">
        <f t="shared" si="10"/>
        <v>0.1</v>
      </c>
      <c r="Y8" s="51">
        <f t="shared" si="11"/>
        <v>5.0000000000000001E-4</v>
      </c>
      <c r="Z8" s="51">
        <f t="shared" si="3"/>
        <v>1.0416666666666666E-2</v>
      </c>
      <c r="AA8" s="56">
        <f t="shared" si="4"/>
        <v>15</v>
      </c>
      <c r="AB8" s="76">
        <f t="shared" si="0"/>
        <v>19.723665462719559</v>
      </c>
      <c r="AC8" s="57">
        <f t="shared" si="5"/>
        <v>19.723665462719559</v>
      </c>
      <c r="AE8" s="56">
        <f t="shared" si="6"/>
        <v>15</v>
      </c>
      <c r="AF8" s="57">
        <f t="shared" si="1"/>
        <v>8.7236668427537367</v>
      </c>
      <c r="AG8" s="57">
        <f t="shared" si="7"/>
        <v>19.723665462719559</v>
      </c>
    </row>
    <row r="9" spans="1:38" s="51" customFormat="1" ht="21.6" customHeight="1">
      <c r="A9" s="134" t="s">
        <v>170</v>
      </c>
      <c r="B9" s="139" t="s">
        <v>171</v>
      </c>
      <c r="C9" s="136" t="s">
        <v>190</v>
      </c>
      <c r="D9" s="527" t="s">
        <v>173</v>
      </c>
      <c r="E9" s="527"/>
      <c r="F9" s="139" t="s">
        <v>174</v>
      </c>
      <c r="G9" s="139" t="s">
        <v>175</v>
      </c>
      <c r="H9" s="140"/>
      <c r="I9" s="140"/>
      <c r="J9" s="140"/>
      <c r="K9" s="75">
        <f>G8-D8</f>
        <v>15.880000000000003</v>
      </c>
      <c r="M9" s="58">
        <f t="shared" si="2"/>
        <v>-40.99</v>
      </c>
      <c r="N9" s="78"/>
      <c r="O9" s="291"/>
      <c r="P9" s="291"/>
      <c r="V9" s="55">
        <f t="shared" si="8"/>
        <v>150</v>
      </c>
      <c r="W9" s="51">
        <f t="shared" si="9"/>
        <v>4.1534103653503527</v>
      </c>
      <c r="X9" s="51">
        <f t="shared" si="10"/>
        <v>0.1</v>
      </c>
      <c r="Y9" s="51">
        <f t="shared" si="11"/>
        <v>5.0000000000000001E-4</v>
      </c>
      <c r="Z9" s="51">
        <f t="shared" si="3"/>
        <v>1.3888888888888888E-2</v>
      </c>
      <c r="AA9" s="56">
        <f t="shared" si="4"/>
        <v>20</v>
      </c>
      <c r="AB9" s="76">
        <f t="shared" si="0"/>
        <v>20.298170241175949</v>
      </c>
      <c r="AC9" s="57">
        <f t="shared" si="5"/>
        <v>20.298170241175949</v>
      </c>
      <c r="AE9" s="56">
        <f t="shared" si="6"/>
        <v>20</v>
      </c>
      <c r="AF9" s="57">
        <f t="shared" si="1"/>
        <v>9.2981716212101269</v>
      </c>
      <c r="AG9" s="57">
        <f t="shared" si="7"/>
        <v>20.298170241175949</v>
      </c>
    </row>
    <row r="10" spans="1:38" s="51" customFormat="1" ht="21" customHeight="1">
      <c r="A10" s="140">
        <v>1</v>
      </c>
      <c r="B10" s="141">
        <f>Input!C26</f>
        <v>150</v>
      </c>
      <c r="C10" s="142">
        <v>45454.472222222219</v>
      </c>
      <c r="D10" s="143">
        <v>1</v>
      </c>
      <c r="E10" s="133">
        <f>D10/1440</f>
        <v>6.9444444444444447E-4</v>
      </c>
      <c r="F10" s="144">
        <f>G10+D$8</f>
        <v>12.765655952211457</v>
      </c>
      <c r="G10" s="145">
        <f>AF2</f>
        <v>3.3156559522114577</v>
      </c>
      <c r="H10" s="146"/>
      <c r="I10" s="146"/>
      <c r="J10" s="146"/>
      <c r="K10" s="79">
        <f>K8-K9</f>
        <v>0</v>
      </c>
      <c r="L10" s="75">
        <f>K10+Q17</f>
        <v>0</v>
      </c>
      <c r="M10" s="58">
        <f t="shared" si="2"/>
        <v>-56.99</v>
      </c>
      <c r="N10" s="78"/>
      <c r="O10" s="291"/>
      <c r="P10" s="291"/>
      <c r="V10" s="55">
        <f t="shared" si="8"/>
        <v>150</v>
      </c>
      <c r="W10" s="51">
        <f t="shared" si="9"/>
        <v>4.1534103653503527</v>
      </c>
      <c r="X10" s="51">
        <f t="shared" si="10"/>
        <v>0.1</v>
      </c>
      <c r="Y10" s="51">
        <f t="shared" si="11"/>
        <v>5.0000000000000001E-4</v>
      </c>
      <c r="Z10" s="51">
        <f t="shared" si="3"/>
        <v>1.7361111111111112E-2</v>
      </c>
      <c r="AA10" s="56">
        <f t="shared" si="4"/>
        <v>25</v>
      </c>
      <c r="AB10" s="76">
        <f t="shared" si="0"/>
        <v>20.743790767401922</v>
      </c>
      <c r="AC10" s="57">
        <f t="shared" si="5"/>
        <v>20.743790767401922</v>
      </c>
      <c r="AE10" s="56">
        <f t="shared" si="6"/>
        <v>25</v>
      </c>
      <c r="AF10" s="57">
        <f t="shared" si="1"/>
        <v>9.7437921474360998</v>
      </c>
      <c r="AG10" s="57">
        <f t="shared" si="7"/>
        <v>20.743790767401922</v>
      </c>
    </row>
    <row r="11" spans="1:38" s="51" customFormat="1" ht="21" customHeight="1">
      <c r="A11" s="140"/>
      <c r="B11" s="140"/>
      <c r="C11" s="142"/>
      <c r="D11" s="143">
        <v>2</v>
      </c>
      <c r="E11" s="133">
        <f t="shared" ref="E11:E74" si="12">D11/1440</f>
        <v>1.3888888888888889E-3</v>
      </c>
      <c r="F11" s="144">
        <f t="shared" ref="F11:F62" si="13">G11+D$8</f>
        <v>14.149879737904628</v>
      </c>
      <c r="G11" s="144">
        <f>AF3</f>
        <v>4.6998797379046291</v>
      </c>
      <c r="H11" s="146"/>
      <c r="I11" s="146"/>
      <c r="J11" s="146"/>
      <c r="K11" s="80">
        <f>G11-G10</f>
        <v>1.3842237856931714</v>
      </c>
      <c r="L11" s="75" t="s">
        <v>21</v>
      </c>
      <c r="N11" s="78"/>
      <c r="O11" s="291"/>
      <c r="V11" s="55">
        <f t="shared" si="8"/>
        <v>150</v>
      </c>
      <c r="W11" s="51">
        <f t="shared" si="9"/>
        <v>4.1534103653503527</v>
      </c>
      <c r="X11" s="51">
        <f t="shared" si="10"/>
        <v>0.1</v>
      </c>
      <c r="Y11" s="51">
        <f t="shared" si="11"/>
        <v>5.0000000000000001E-4</v>
      </c>
      <c r="Z11" s="51">
        <f t="shared" si="3"/>
        <v>2.0833333333333332E-2</v>
      </c>
      <c r="AA11" s="56">
        <f t="shared" si="4"/>
        <v>30</v>
      </c>
      <c r="AB11" s="76">
        <f t="shared" si="0"/>
        <v>21.107889248412732</v>
      </c>
      <c r="AC11" s="57">
        <f t="shared" si="5"/>
        <v>21.107889248412732</v>
      </c>
      <c r="AE11" s="56">
        <f t="shared" si="6"/>
        <v>30</v>
      </c>
      <c r="AF11" s="57">
        <f t="shared" si="1"/>
        <v>10.10789062844691</v>
      </c>
      <c r="AG11" s="57">
        <f t="shared" si="7"/>
        <v>21.107889248412732</v>
      </c>
    </row>
    <row r="12" spans="1:38" s="51" customFormat="1" ht="21" customHeight="1">
      <c r="A12" s="140"/>
      <c r="B12" s="140"/>
      <c r="C12" s="142"/>
      <c r="D12" s="143">
        <v>3</v>
      </c>
      <c r="E12" s="133">
        <f t="shared" si="12"/>
        <v>2.0833333333333333E-3</v>
      </c>
      <c r="F12" s="144">
        <f t="shared" si="13"/>
        <v>14.959598745141413</v>
      </c>
      <c r="G12" s="144">
        <f t="shared" ref="G12:G74" si="14">AF4</f>
        <v>5.5095987451414139</v>
      </c>
      <c r="H12" s="146"/>
      <c r="I12" s="146"/>
      <c r="J12" s="146"/>
      <c r="K12" s="80">
        <f t="shared" ref="K12:K47" si="15">G12-G11</f>
        <v>0.8097190072367848</v>
      </c>
      <c r="L12" s="75" t="s">
        <v>21</v>
      </c>
      <c r="N12" s="78"/>
      <c r="O12" s="291"/>
      <c r="V12" s="55">
        <f t="shared" si="8"/>
        <v>150</v>
      </c>
      <c r="W12" s="51">
        <f t="shared" si="9"/>
        <v>4.1534103653503527</v>
      </c>
      <c r="X12" s="51">
        <f t="shared" si="10"/>
        <v>0.1</v>
      </c>
      <c r="Y12" s="51">
        <f t="shared" si="11"/>
        <v>5.0000000000000001E-4</v>
      </c>
      <c r="Z12" s="51">
        <f t="shared" si="3"/>
        <v>2.4305555555555556E-2</v>
      </c>
      <c r="AA12" s="56">
        <f t="shared" si="4"/>
        <v>35</v>
      </c>
      <c r="AB12" s="76">
        <f t="shared" si="0"/>
        <v>21.415730127784542</v>
      </c>
      <c r="AC12" s="57">
        <f t="shared" si="5"/>
        <v>21.415730127784542</v>
      </c>
      <c r="AE12" s="56">
        <f t="shared" si="6"/>
        <v>35</v>
      </c>
      <c r="AF12" s="57">
        <f t="shared" si="1"/>
        <v>10.41573150781872</v>
      </c>
      <c r="AG12" s="57">
        <f t="shared" si="7"/>
        <v>21.415730127784542</v>
      </c>
    </row>
    <row r="13" spans="1:38" s="51" customFormat="1" ht="21" customHeight="1">
      <c r="A13" s="140"/>
      <c r="B13" s="140"/>
      <c r="C13" s="142"/>
      <c r="D13" s="143">
        <v>4</v>
      </c>
      <c r="E13" s="133">
        <f t="shared" si="12"/>
        <v>2.7777777777777779E-3</v>
      </c>
      <c r="F13" s="144">
        <f t="shared" si="13"/>
        <v>15.534103523597803</v>
      </c>
      <c r="G13" s="144">
        <f t="shared" si="14"/>
        <v>6.084103523597804</v>
      </c>
      <c r="H13" s="146"/>
      <c r="I13" s="146"/>
      <c r="J13" s="146"/>
      <c r="K13" s="80">
        <f t="shared" si="15"/>
        <v>0.57450477845639014</v>
      </c>
      <c r="L13" s="75" t="s">
        <v>21</v>
      </c>
      <c r="M13" s="293">
        <v>0</v>
      </c>
      <c r="N13" s="78"/>
      <c r="O13" s="291"/>
      <c r="V13" s="55">
        <f t="shared" si="8"/>
        <v>150</v>
      </c>
      <c r="W13" s="51">
        <f t="shared" si="9"/>
        <v>4.1534103653503527</v>
      </c>
      <c r="X13" s="51">
        <f t="shared" si="10"/>
        <v>0.1</v>
      </c>
      <c r="Y13" s="51">
        <f t="shared" si="11"/>
        <v>5.0000000000000001E-4</v>
      </c>
      <c r="Z13" s="51">
        <f t="shared" si="3"/>
        <v>2.7777777777777776E-2</v>
      </c>
      <c r="AA13" s="56">
        <f t="shared" si="4"/>
        <v>40</v>
      </c>
      <c r="AB13" s="76">
        <f t="shared" si="0"/>
        <v>21.682394026869122</v>
      </c>
      <c r="AC13" s="57">
        <f t="shared" si="5"/>
        <v>21.682394026869122</v>
      </c>
      <c r="AE13" s="56">
        <f t="shared" si="6"/>
        <v>40</v>
      </c>
      <c r="AF13" s="57">
        <f t="shared" si="1"/>
        <v>10.6823954069033</v>
      </c>
      <c r="AG13" s="57">
        <f t="shared" si="7"/>
        <v>21.682394026869122</v>
      </c>
    </row>
    <row r="14" spans="1:38" s="51" customFormat="1" ht="21" customHeight="1">
      <c r="A14" s="140"/>
      <c r="B14" s="140"/>
      <c r="C14" s="142"/>
      <c r="D14" s="143">
        <v>5</v>
      </c>
      <c r="E14" s="133">
        <f t="shared" si="12"/>
        <v>3.472222222222222E-3</v>
      </c>
      <c r="F14" s="144">
        <f t="shared" si="13"/>
        <v>15.97972404982378</v>
      </c>
      <c r="G14" s="144">
        <f t="shared" si="14"/>
        <v>6.5297240498237805</v>
      </c>
      <c r="H14" s="146"/>
      <c r="I14" s="146"/>
      <c r="J14" s="146"/>
      <c r="K14" s="80">
        <f t="shared" si="15"/>
        <v>0.44562052622597648</v>
      </c>
      <c r="L14" s="75" t="s">
        <v>21</v>
      </c>
      <c r="N14" s="78"/>
      <c r="O14" s="291"/>
      <c r="V14" s="55">
        <f t="shared" si="8"/>
        <v>150</v>
      </c>
      <c r="W14" s="51">
        <f t="shared" si="9"/>
        <v>4.1534103653503527</v>
      </c>
      <c r="X14" s="51">
        <f t="shared" si="10"/>
        <v>0.1</v>
      </c>
      <c r="Y14" s="51">
        <f t="shared" si="11"/>
        <v>5.0000000000000001E-4</v>
      </c>
      <c r="Z14" s="51">
        <f t="shared" si="3"/>
        <v>3.125E-2</v>
      </c>
      <c r="AA14" s="56">
        <f t="shared" si="4"/>
        <v>45</v>
      </c>
      <c r="AB14" s="76">
        <f t="shared" si="0"/>
        <v>21.917608255649519</v>
      </c>
      <c r="AC14" s="57">
        <f t="shared" si="5"/>
        <v>21.917608255649519</v>
      </c>
      <c r="AE14" s="56">
        <f t="shared" si="6"/>
        <v>45</v>
      </c>
      <c r="AF14" s="57">
        <f t="shared" si="1"/>
        <v>10.917609635683696</v>
      </c>
      <c r="AG14" s="57">
        <f t="shared" si="7"/>
        <v>21.917608255649519</v>
      </c>
    </row>
    <row r="15" spans="1:38" s="51" customFormat="1" ht="21" customHeight="1">
      <c r="A15" s="140"/>
      <c r="B15" s="329"/>
      <c r="C15" s="142"/>
      <c r="D15" s="143">
        <v>10</v>
      </c>
      <c r="E15" s="133">
        <f t="shared" si="12"/>
        <v>6.9444444444444441E-3</v>
      </c>
      <c r="F15" s="144">
        <f t="shared" si="13"/>
        <v>17.363947835516949</v>
      </c>
      <c r="G15" s="144">
        <f t="shared" si="14"/>
        <v>7.9139478355169501</v>
      </c>
      <c r="H15" s="146"/>
      <c r="I15" s="146"/>
      <c r="J15" s="146"/>
      <c r="K15" s="80">
        <f t="shared" si="15"/>
        <v>1.3842237856931696</v>
      </c>
      <c r="L15" s="75" t="s">
        <v>21</v>
      </c>
      <c r="N15" s="81"/>
      <c r="O15" s="53"/>
      <c r="V15" s="55">
        <f t="shared" si="8"/>
        <v>150</v>
      </c>
      <c r="W15" s="51">
        <f t="shared" si="9"/>
        <v>4.1534103653503527</v>
      </c>
      <c r="X15" s="51">
        <f t="shared" si="10"/>
        <v>0.1</v>
      </c>
      <c r="Y15" s="51">
        <f t="shared" si="11"/>
        <v>5.0000000000000001E-4</v>
      </c>
      <c r="Z15" s="51">
        <f t="shared" si="3"/>
        <v>3.4722222222222224E-2</v>
      </c>
      <c r="AA15" s="56">
        <f t="shared" si="4"/>
        <v>50</v>
      </c>
      <c r="AB15" s="76">
        <f t="shared" si="0"/>
        <v>22.128014553095095</v>
      </c>
      <c r="AC15" s="57">
        <f t="shared" si="5"/>
        <v>22.128014553095095</v>
      </c>
      <c r="AE15" s="56">
        <f t="shared" si="6"/>
        <v>50</v>
      </c>
      <c r="AF15" s="57">
        <f>AC15-$P$3</f>
        <v>11.128015933129273</v>
      </c>
      <c r="AG15" s="57">
        <f t="shared" si="7"/>
        <v>22.128014553095095</v>
      </c>
    </row>
    <row r="16" spans="1:38" s="51" customFormat="1" ht="21" customHeight="1">
      <c r="A16" s="140"/>
      <c r="B16" s="140"/>
      <c r="C16" s="142"/>
      <c r="D16" s="143">
        <v>15</v>
      </c>
      <c r="E16" s="133">
        <f t="shared" si="12"/>
        <v>1.0416666666666666E-2</v>
      </c>
      <c r="F16" s="144">
        <f t="shared" si="13"/>
        <v>18.173666842753736</v>
      </c>
      <c r="G16" s="144">
        <f t="shared" si="14"/>
        <v>8.7236668427537367</v>
      </c>
      <c r="H16" s="146"/>
      <c r="I16" s="146"/>
      <c r="J16" s="146"/>
      <c r="K16" s="80">
        <f t="shared" si="15"/>
        <v>0.80971900723678658</v>
      </c>
      <c r="L16" s="387" t="s">
        <v>247</v>
      </c>
      <c r="M16" s="388" t="s">
        <v>178</v>
      </c>
      <c r="N16" s="388" t="s">
        <v>179</v>
      </c>
      <c r="O16" s="388" t="s">
        <v>245</v>
      </c>
      <c r="P16" s="388" t="s">
        <v>246</v>
      </c>
      <c r="Q16" s="388" t="s">
        <v>248</v>
      </c>
      <c r="V16" s="55">
        <f t="shared" si="8"/>
        <v>150</v>
      </c>
      <c r="W16" s="51">
        <f t="shared" si="9"/>
        <v>4.1534103653503527</v>
      </c>
      <c r="X16" s="51">
        <f t="shared" si="10"/>
        <v>0.1</v>
      </c>
      <c r="Y16" s="51">
        <f t="shared" si="11"/>
        <v>5.0000000000000001E-4</v>
      </c>
      <c r="Z16" s="51">
        <f t="shared" si="3"/>
        <v>3.8194444444444448E-2</v>
      </c>
      <c r="AA16" s="56">
        <f t="shared" si="4"/>
        <v>55</v>
      </c>
      <c r="AB16" s="76">
        <f t="shared" si="0"/>
        <v>22.318350201286385</v>
      </c>
      <c r="AC16" s="57">
        <f t="shared" si="5"/>
        <v>22.318350201286385</v>
      </c>
      <c r="AE16" s="56">
        <f t="shared" si="6"/>
        <v>55</v>
      </c>
      <c r="AF16" s="57">
        <f>AC16-$P$3</f>
        <v>11.318351581320563</v>
      </c>
      <c r="AG16" s="57">
        <f t="shared" si="7"/>
        <v>22.318350201286385</v>
      </c>
    </row>
    <row r="17" spans="1:32" s="51" customFormat="1" ht="21" customHeight="1">
      <c r="A17" s="140"/>
      <c r="B17" s="140"/>
      <c r="C17" s="142"/>
      <c r="D17" s="143">
        <v>20</v>
      </c>
      <c r="E17" s="133">
        <f t="shared" si="12"/>
        <v>1.3888888888888888E-2</v>
      </c>
      <c r="F17" s="144">
        <f t="shared" si="13"/>
        <v>18.748171621210126</v>
      </c>
      <c r="G17" s="144">
        <f t="shared" si="14"/>
        <v>9.2981716212101269</v>
      </c>
      <c r="H17" s="146"/>
      <c r="I17" s="146"/>
      <c r="J17" s="146"/>
      <c r="K17" s="80">
        <f t="shared" si="15"/>
        <v>0.57450477845639014</v>
      </c>
      <c r="L17" s="373">
        <f>D10</f>
        <v>1</v>
      </c>
      <c r="M17" s="374">
        <f>INT(B10/1440*10000)/10000</f>
        <v>0.1041</v>
      </c>
      <c r="N17" s="374">
        <f>L17*M17</f>
        <v>0.1041</v>
      </c>
      <c r="O17" s="374">
        <f>INT((D7/2/1000)^2*PI()*100000)/100000</f>
        <v>3.141E-2</v>
      </c>
      <c r="P17" s="374">
        <f>INT(N17/O17*100)/100</f>
        <v>3.31</v>
      </c>
      <c r="Q17" s="375">
        <f>INT((G10-P17)*100)/100</f>
        <v>0</v>
      </c>
      <c r="V17" s="55">
        <f t="shared" si="8"/>
        <v>150</v>
      </c>
      <c r="W17" s="51">
        <f t="shared" si="9"/>
        <v>4.1534103653503527</v>
      </c>
      <c r="X17" s="51">
        <f t="shared" si="10"/>
        <v>0.1</v>
      </c>
      <c r="Y17" s="51">
        <f t="shared" si="11"/>
        <v>5.0000000000000001E-4</v>
      </c>
      <c r="Z17" s="51">
        <f t="shared" si="3"/>
        <v>4.1666666666666664E-2</v>
      </c>
      <c r="AA17" s="56">
        <f t="shared" si="4"/>
        <v>60</v>
      </c>
      <c r="AB17" s="76">
        <f t="shared" si="0"/>
        <v>22.492113034105905</v>
      </c>
      <c r="AC17" s="57">
        <f t="shared" si="5"/>
        <v>22.492113034105905</v>
      </c>
      <c r="AE17" s="56">
        <f t="shared" si="6"/>
        <v>60</v>
      </c>
      <c r="AF17" s="57">
        <f>AC17-$P$3</f>
        <v>11.492114414140083</v>
      </c>
    </row>
    <row r="18" spans="1:32" s="51" customFormat="1" ht="21" customHeight="1">
      <c r="A18" s="140"/>
      <c r="B18" s="140"/>
      <c r="C18" s="142"/>
      <c r="D18" s="143">
        <v>25</v>
      </c>
      <c r="E18" s="133">
        <f t="shared" si="12"/>
        <v>1.7361111111111112E-2</v>
      </c>
      <c r="F18" s="144">
        <f t="shared" si="13"/>
        <v>19.193792147436099</v>
      </c>
      <c r="G18" s="144">
        <f t="shared" si="14"/>
        <v>9.7437921474360998</v>
      </c>
      <c r="H18" s="146"/>
      <c r="I18" s="146"/>
      <c r="J18" s="146"/>
      <c r="K18" s="80">
        <f t="shared" si="15"/>
        <v>0.44562052622597292</v>
      </c>
      <c r="L18" s="373">
        <f t="shared" ref="L18:L31" si="16">D11</f>
        <v>2</v>
      </c>
      <c r="M18" s="374">
        <f>M17</f>
        <v>0.1041</v>
      </c>
      <c r="N18" s="374">
        <f>L18*M18</f>
        <v>0.2082</v>
      </c>
      <c r="O18" s="374">
        <f>O17</f>
        <v>3.141E-2</v>
      </c>
      <c r="P18" s="374">
        <f>INT(N18/O18*100)/100</f>
        <v>6.62</v>
      </c>
      <c r="Q18" s="375">
        <f t="shared" ref="Q18:Q27" si="17">INT((G11-P18)*100)/100</f>
        <v>-1.93</v>
      </c>
      <c r="V18" s="55">
        <f t="shared" si="8"/>
        <v>150</v>
      </c>
      <c r="W18" s="51">
        <f t="shared" si="9"/>
        <v>4.1534103653503527</v>
      </c>
      <c r="X18" s="51">
        <f t="shared" si="10"/>
        <v>0.1</v>
      </c>
      <c r="Y18" s="51">
        <f t="shared" si="11"/>
        <v>5.0000000000000001E-4</v>
      </c>
      <c r="Z18" s="51">
        <f t="shared" si="3"/>
        <v>5.2083333333333336E-2</v>
      </c>
      <c r="AA18" s="56">
        <f t="shared" si="4"/>
        <v>75</v>
      </c>
      <c r="AB18" s="76">
        <f t="shared" si="0"/>
        <v>22.937733560331882</v>
      </c>
      <c r="AC18" s="57">
        <f t="shared" si="5"/>
        <v>22.937733560331882</v>
      </c>
      <c r="AE18" s="56">
        <f t="shared" si="6"/>
        <v>75</v>
      </c>
      <c r="AF18" s="57">
        <f>AC18-$P$3</f>
        <v>11.93773494036606</v>
      </c>
    </row>
    <row r="19" spans="1:32" s="51" customFormat="1" ht="21" customHeight="1">
      <c r="A19" s="140"/>
      <c r="B19" s="140"/>
      <c r="C19" s="142"/>
      <c r="D19" s="143">
        <v>30</v>
      </c>
      <c r="E19" s="133">
        <f t="shared" si="12"/>
        <v>2.0833333333333332E-2</v>
      </c>
      <c r="F19" s="144">
        <f t="shared" si="13"/>
        <v>19.557890628446909</v>
      </c>
      <c r="G19" s="144">
        <f t="shared" si="14"/>
        <v>10.10789062844691</v>
      </c>
      <c r="H19" s="146"/>
      <c r="I19" s="146"/>
      <c r="J19" s="146"/>
      <c r="K19" s="80">
        <f t="shared" si="15"/>
        <v>0.3640984810108101</v>
      </c>
      <c r="L19" s="373">
        <f t="shared" si="16"/>
        <v>3</v>
      </c>
      <c r="M19" s="374">
        <f>M18</f>
        <v>0.1041</v>
      </c>
      <c r="N19" s="374">
        <f t="shared" ref="N19:N27" si="18">L19*M19</f>
        <v>0.31230000000000002</v>
      </c>
      <c r="O19" s="374">
        <f t="shared" ref="O19:O31" si="19">O18</f>
        <v>3.141E-2</v>
      </c>
      <c r="P19" s="374">
        <f>INT(N19/O19*100)/100</f>
        <v>9.94</v>
      </c>
      <c r="Q19" s="375">
        <f t="shared" si="17"/>
        <v>-4.4400000000000004</v>
      </c>
      <c r="V19" s="55">
        <f t="shared" si="8"/>
        <v>150</v>
      </c>
      <c r="W19" s="51">
        <f t="shared" si="9"/>
        <v>4.1534103653503527</v>
      </c>
      <c r="X19" s="51">
        <f t="shared" si="10"/>
        <v>0.1</v>
      </c>
      <c r="Y19" s="51">
        <f t="shared" si="11"/>
        <v>5.0000000000000001E-4</v>
      </c>
      <c r="Z19" s="51">
        <f t="shared" si="3"/>
        <v>6.25E-2</v>
      </c>
      <c r="AA19" s="56">
        <f t="shared" si="4"/>
        <v>90</v>
      </c>
      <c r="AB19" s="76">
        <f t="shared" si="0"/>
        <v>23.301832041342692</v>
      </c>
      <c r="AC19" s="57">
        <f t="shared" si="5"/>
        <v>23.301832041342692</v>
      </c>
      <c r="AE19" s="56">
        <f t="shared" si="6"/>
        <v>90</v>
      </c>
      <c r="AF19" s="57">
        <f>AC19-$P$3</f>
        <v>12.30183342137687</v>
      </c>
    </row>
    <row r="20" spans="1:32" s="51" customFormat="1" ht="21" customHeight="1">
      <c r="A20" s="140"/>
      <c r="B20" s="140"/>
      <c r="C20" s="142"/>
      <c r="D20" s="143">
        <v>35</v>
      </c>
      <c r="E20" s="133">
        <f t="shared" si="12"/>
        <v>2.4305555555555556E-2</v>
      </c>
      <c r="F20" s="144">
        <f>G20+D$8</f>
        <v>19.865731507818719</v>
      </c>
      <c r="G20" s="144">
        <f t="shared" si="14"/>
        <v>10.41573150781872</v>
      </c>
      <c r="H20" s="146"/>
      <c r="I20" s="146"/>
      <c r="J20" s="146"/>
      <c r="K20" s="80">
        <f t="shared" si="15"/>
        <v>0.30784087937180971</v>
      </c>
      <c r="L20" s="373">
        <f t="shared" si="16"/>
        <v>4</v>
      </c>
      <c r="M20" s="374">
        <f>M19</f>
        <v>0.1041</v>
      </c>
      <c r="N20" s="374">
        <f>L20*M20</f>
        <v>0.41639999999999999</v>
      </c>
      <c r="O20" s="374">
        <f>O19</f>
        <v>3.141E-2</v>
      </c>
      <c r="P20" s="374">
        <f>INT(N20/O20*100)/100</f>
        <v>13.25</v>
      </c>
      <c r="Q20" s="375">
        <f t="shared" si="17"/>
        <v>-7.17</v>
      </c>
      <c r="V20" s="55">
        <f t="shared" si="8"/>
        <v>150</v>
      </c>
      <c r="W20" s="51">
        <f t="shared" si="9"/>
        <v>4.1534103653503527</v>
      </c>
      <c r="X20" s="51">
        <f t="shared" si="10"/>
        <v>0.1</v>
      </c>
      <c r="Y20" s="51">
        <f t="shared" si="11"/>
        <v>5.0000000000000001E-4</v>
      </c>
      <c r="Z20" s="51">
        <f t="shared" si="3"/>
        <v>7.2916666666666671E-2</v>
      </c>
      <c r="AA20" s="56">
        <f t="shared" si="4"/>
        <v>105</v>
      </c>
      <c r="AB20" s="76">
        <f t="shared" si="0"/>
        <v>23.609672920714498</v>
      </c>
      <c r="AC20" s="57">
        <f t="shared" si="5"/>
        <v>23.609672920714498</v>
      </c>
      <c r="AE20" s="56">
        <f t="shared" si="6"/>
        <v>105</v>
      </c>
      <c r="AF20" s="57">
        <f t="shared" ref="AF20:AF69" si="20">AC20-$P$3</f>
        <v>12.609674300748676</v>
      </c>
    </row>
    <row r="21" spans="1:32" s="51" customFormat="1" ht="21" customHeight="1">
      <c r="A21" s="140"/>
      <c r="B21" s="140"/>
      <c r="C21" s="142"/>
      <c r="D21" s="143">
        <v>40</v>
      </c>
      <c r="E21" s="133">
        <f t="shared" si="12"/>
        <v>2.7777777777777776E-2</v>
      </c>
      <c r="F21" s="144">
        <f t="shared" si="13"/>
        <v>20.132395406903299</v>
      </c>
      <c r="G21" s="144">
        <f t="shared" si="14"/>
        <v>10.6823954069033</v>
      </c>
      <c r="H21" s="146"/>
      <c r="I21" s="146"/>
      <c r="J21" s="146"/>
      <c r="K21" s="80">
        <f t="shared" si="15"/>
        <v>0.26666389908458044</v>
      </c>
      <c r="L21" s="373">
        <f t="shared" si="16"/>
        <v>5</v>
      </c>
      <c r="M21" s="374">
        <f>M20</f>
        <v>0.1041</v>
      </c>
      <c r="N21" s="374">
        <f t="shared" si="18"/>
        <v>0.52049999999999996</v>
      </c>
      <c r="O21" s="374">
        <f t="shared" si="19"/>
        <v>3.141E-2</v>
      </c>
      <c r="P21" s="374">
        <f>INT(N21/O21*100)/100</f>
        <v>16.57</v>
      </c>
      <c r="Q21" s="375">
        <f t="shared" si="17"/>
        <v>-10.050000000000001</v>
      </c>
      <c r="V21" s="55">
        <f t="shared" si="8"/>
        <v>150</v>
      </c>
      <c r="W21" s="51">
        <f t="shared" si="9"/>
        <v>4.1534103653503527</v>
      </c>
      <c r="X21" s="51">
        <f t="shared" si="10"/>
        <v>0.1</v>
      </c>
      <c r="Y21" s="51">
        <f t="shared" si="11"/>
        <v>5.0000000000000001E-4</v>
      </c>
      <c r="Z21" s="51">
        <f t="shared" si="3"/>
        <v>8.3333333333333329E-2</v>
      </c>
      <c r="AA21" s="56">
        <f t="shared" si="4"/>
        <v>120</v>
      </c>
      <c r="AB21" s="76">
        <f t="shared" si="0"/>
        <v>23.876336819799079</v>
      </c>
      <c r="AC21" s="57">
        <f t="shared" si="5"/>
        <v>23.876336819799079</v>
      </c>
      <c r="AE21" s="56">
        <f t="shared" si="6"/>
        <v>120</v>
      </c>
      <c r="AF21" s="57">
        <f t="shared" si="20"/>
        <v>12.876338199833256</v>
      </c>
    </row>
    <row r="22" spans="1:32" s="51" customFormat="1" ht="21" customHeight="1">
      <c r="A22" s="140"/>
      <c r="B22" s="140"/>
      <c r="C22" s="142"/>
      <c r="D22" s="143">
        <v>45</v>
      </c>
      <c r="E22" s="133">
        <f t="shared" si="12"/>
        <v>3.125E-2</v>
      </c>
      <c r="F22" s="144">
        <f t="shared" si="13"/>
        <v>20.367609635683696</v>
      </c>
      <c r="G22" s="144">
        <f t="shared" si="14"/>
        <v>10.917609635683696</v>
      </c>
      <c r="H22" s="146"/>
      <c r="I22" s="146"/>
      <c r="J22" s="146"/>
      <c r="K22" s="80">
        <f t="shared" si="15"/>
        <v>0.23521422878039644</v>
      </c>
      <c r="L22" s="373">
        <f t="shared" si="16"/>
        <v>10</v>
      </c>
      <c r="M22" s="374">
        <f t="shared" ref="M22:M31" si="21">M21</f>
        <v>0.1041</v>
      </c>
      <c r="N22" s="374">
        <f>L22*M22</f>
        <v>1.0409999999999999</v>
      </c>
      <c r="O22" s="374">
        <f>O21</f>
        <v>3.141E-2</v>
      </c>
      <c r="P22" s="374">
        <f t="shared" ref="P22:P27" si="22">INT(N22/O22*100)/100</f>
        <v>33.14</v>
      </c>
      <c r="Q22" s="375">
        <f t="shared" si="17"/>
        <v>-25.23</v>
      </c>
      <c r="V22" s="55">
        <f t="shared" si="8"/>
        <v>150</v>
      </c>
      <c r="W22" s="51">
        <f t="shared" si="9"/>
        <v>4.1534103653503527</v>
      </c>
      <c r="X22" s="51">
        <f t="shared" si="10"/>
        <v>0.1</v>
      </c>
      <c r="Y22" s="51">
        <f t="shared" si="11"/>
        <v>5.0000000000000001E-4</v>
      </c>
      <c r="Z22" s="51">
        <f t="shared" si="3"/>
        <v>9.7222222222222224E-2</v>
      </c>
      <c r="AA22" s="56">
        <f t="shared" si="4"/>
        <v>140</v>
      </c>
      <c r="AB22" s="76">
        <f t="shared" si="0"/>
        <v>24.184177699170888</v>
      </c>
      <c r="AC22" s="57">
        <f t="shared" si="5"/>
        <v>24.184177699170888</v>
      </c>
      <c r="AE22" s="56">
        <f t="shared" si="6"/>
        <v>140</v>
      </c>
      <c r="AF22" s="57">
        <f t="shared" si="20"/>
        <v>13.184179079205066</v>
      </c>
    </row>
    <row r="23" spans="1:32" s="51" customFormat="1" ht="21" customHeight="1">
      <c r="A23" s="140"/>
      <c r="B23" s="140"/>
      <c r="C23" s="142"/>
      <c r="D23" s="143">
        <v>50</v>
      </c>
      <c r="E23" s="133">
        <f t="shared" si="12"/>
        <v>3.4722222222222224E-2</v>
      </c>
      <c r="F23" s="144">
        <f t="shared" si="13"/>
        <v>20.578015933129272</v>
      </c>
      <c r="G23" s="144">
        <f t="shared" si="14"/>
        <v>11.128015933129273</v>
      </c>
      <c r="H23" s="146"/>
      <c r="I23" s="146"/>
      <c r="J23" s="146"/>
      <c r="K23" s="80">
        <f t="shared" si="15"/>
        <v>0.21040629744557648</v>
      </c>
      <c r="L23" s="373">
        <f t="shared" si="16"/>
        <v>15</v>
      </c>
      <c r="M23" s="374">
        <f t="shared" si="21"/>
        <v>0.1041</v>
      </c>
      <c r="N23" s="374">
        <f t="shared" si="18"/>
        <v>1.5614999999999999</v>
      </c>
      <c r="O23" s="374">
        <f t="shared" si="19"/>
        <v>3.141E-2</v>
      </c>
      <c r="P23" s="374">
        <f t="shared" si="22"/>
        <v>49.71</v>
      </c>
      <c r="Q23" s="375">
        <f t="shared" si="17"/>
        <v>-40.99</v>
      </c>
      <c r="V23" s="55">
        <f t="shared" si="8"/>
        <v>150</v>
      </c>
      <c r="W23" s="51">
        <f t="shared" si="9"/>
        <v>4.1534103653503527</v>
      </c>
      <c r="X23" s="51">
        <f t="shared" si="10"/>
        <v>0.1</v>
      </c>
      <c r="Y23" s="51">
        <f t="shared" si="11"/>
        <v>5.0000000000000001E-4</v>
      </c>
      <c r="Z23" s="51">
        <f t="shared" si="3"/>
        <v>0.1111111111111111</v>
      </c>
      <c r="AA23" s="56">
        <f t="shared" si="4"/>
        <v>160</v>
      </c>
      <c r="AB23" s="76">
        <f t="shared" si="0"/>
        <v>24.450841598255469</v>
      </c>
      <c r="AC23" s="57">
        <f t="shared" si="5"/>
        <v>24.450841598255469</v>
      </c>
      <c r="AE23" s="56">
        <f t="shared" si="6"/>
        <v>160</v>
      </c>
      <c r="AF23" s="57">
        <f t="shared" si="20"/>
        <v>13.450842978289646</v>
      </c>
    </row>
    <row r="24" spans="1:32" s="51" customFormat="1" ht="21" customHeight="1">
      <c r="A24" s="140"/>
      <c r="B24" s="140"/>
      <c r="C24" s="142"/>
      <c r="D24" s="143">
        <v>55</v>
      </c>
      <c r="E24" s="133">
        <f t="shared" si="12"/>
        <v>3.8194444444444448E-2</v>
      </c>
      <c r="F24" s="144">
        <f t="shared" si="13"/>
        <v>20.768351581320562</v>
      </c>
      <c r="G24" s="144">
        <f t="shared" si="14"/>
        <v>11.318351581320563</v>
      </c>
      <c r="H24" s="146"/>
      <c r="I24" s="146"/>
      <c r="J24" s="146"/>
      <c r="K24" s="80">
        <f t="shared" si="15"/>
        <v>0.19033564819129012</v>
      </c>
      <c r="L24" s="373">
        <f t="shared" si="16"/>
        <v>20</v>
      </c>
      <c r="M24" s="374">
        <f t="shared" si="21"/>
        <v>0.1041</v>
      </c>
      <c r="N24" s="374">
        <f t="shared" si="18"/>
        <v>2.0819999999999999</v>
      </c>
      <c r="O24" s="374">
        <f t="shared" si="19"/>
        <v>3.141E-2</v>
      </c>
      <c r="P24" s="374">
        <f t="shared" si="22"/>
        <v>66.28</v>
      </c>
      <c r="Q24" s="375">
        <f t="shared" si="17"/>
        <v>-56.99</v>
      </c>
      <c r="V24" s="55">
        <f t="shared" si="8"/>
        <v>150</v>
      </c>
      <c r="W24" s="51">
        <f t="shared" si="9"/>
        <v>4.1534103653503527</v>
      </c>
      <c r="X24" s="51">
        <f t="shared" si="10"/>
        <v>0.1</v>
      </c>
      <c r="Y24" s="51">
        <f t="shared" si="11"/>
        <v>5.0000000000000001E-4</v>
      </c>
      <c r="Z24" s="51">
        <f t="shared" si="3"/>
        <v>0.125</v>
      </c>
      <c r="AA24" s="56">
        <f t="shared" si="4"/>
        <v>180</v>
      </c>
      <c r="AB24" s="76">
        <f t="shared" si="0"/>
        <v>24.686055827035865</v>
      </c>
      <c r="AC24" s="57">
        <f t="shared" si="5"/>
        <v>24.686055827035865</v>
      </c>
      <c r="AE24" s="56">
        <f t="shared" si="6"/>
        <v>180</v>
      </c>
      <c r="AF24" s="57">
        <f t="shared" si="20"/>
        <v>13.686057207070043</v>
      </c>
    </row>
    <row r="25" spans="1:32" s="51" customFormat="1" ht="21" customHeight="1">
      <c r="A25" s="140"/>
      <c r="B25" s="140"/>
      <c r="C25" s="142">
        <f>$C$10+D25/1440</f>
        <v>45454.513888888883</v>
      </c>
      <c r="D25" s="143">
        <v>60</v>
      </c>
      <c r="E25" s="133">
        <f t="shared" si="12"/>
        <v>4.1666666666666664E-2</v>
      </c>
      <c r="F25" s="144">
        <f t="shared" si="13"/>
        <v>20.942114414140082</v>
      </c>
      <c r="G25" s="144">
        <f t="shared" si="14"/>
        <v>11.492114414140083</v>
      </c>
      <c r="H25" s="146"/>
      <c r="I25" s="146"/>
      <c r="J25" s="146"/>
      <c r="K25" s="80">
        <f t="shared" si="15"/>
        <v>0.17376283281951999</v>
      </c>
      <c r="L25" s="373">
        <f t="shared" si="16"/>
        <v>25</v>
      </c>
      <c r="M25" s="374">
        <f t="shared" si="21"/>
        <v>0.1041</v>
      </c>
      <c r="N25" s="374">
        <f t="shared" si="18"/>
        <v>2.6025</v>
      </c>
      <c r="O25" s="374">
        <f t="shared" si="19"/>
        <v>3.141E-2</v>
      </c>
      <c r="P25" s="374">
        <f t="shared" si="22"/>
        <v>82.85</v>
      </c>
      <c r="Q25" s="375">
        <f t="shared" si="17"/>
        <v>-73.11</v>
      </c>
      <c r="V25" s="55">
        <f t="shared" si="8"/>
        <v>150</v>
      </c>
      <c r="W25" s="51">
        <f t="shared" si="9"/>
        <v>4.1534103653503527</v>
      </c>
      <c r="X25" s="51">
        <f t="shared" si="10"/>
        <v>0.1</v>
      </c>
      <c r="Y25" s="51">
        <f t="shared" si="11"/>
        <v>5.0000000000000001E-4</v>
      </c>
      <c r="Z25" s="51">
        <f t="shared" si="3"/>
        <v>0.16666666666666666</v>
      </c>
      <c r="AA25" s="56">
        <f t="shared" si="4"/>
        <v>240</v>
      </c>
      <c r="AB25" s="76">
        <f t="shared" si="0"/>
        <v>25.260560605492255</v>
      </c>
      <c r="AC25" s="57">
        <f t="shared" si="5"/>
        <v>25.260560605492255</v>
      </c>
      <c r="AE25" s="56">
        <f t="shared" si="6"/>
        <v>240</v>
      </c>
      <c r="AF25" s="57">
        <f t="shared" si="20"/>
        <v>14.260561985526433</v>
      </c>
    </row>
    <row r="26" spans="1:32" s="51" customFormat="1" ht="21" customHeight="1">
      <c r="A26" s="140"/>
      <c r="B26" s="140"/>
      <c r="C26" s="142"/>
      <c r="D26" s="143">
        <v>75</v>
      </c>
      <c r="E26" s="133">
        <f t="shared" si="12"/>
        <v>5.2083333333333336E-2</v>
      </c>
      <c r="F26" s="144">
        <f t="shared" si="13"/>
        <v>21.387734940366059</v>
      </c>
      <c r="G26" s="144">
        <f t="shared" si="14"/>
        <v>11.93773494036606</v>
      </c>
      <c r="H26" s="146"/>
      <c r="I26" s="146"/>
      <c r="J26" s="146"/>
      <c r="K26" s="80">
        <f t="shared" si="15"/>
        <v>0.44562052622597648</v>
      </c>
      <c r="L26" s="373">
        <f t="shared" si="16"/>
        <v>30</v>
      </c>
      <c r="M26" s="374">
        <f t="shared" si="21"/>
        <v>0.1041</v>
      </c>
      <c r="N26" s="374">
        <f t="shared" si="18"/>
        <v>3.1229999999999998</v>
      </c>
      <c r="O26" s="374">
        <f t="shared" si="19"/>
        <v>3.141E-2</v>
      </c>
      <c r="P26" s="374">
        <f t="shared" si="22"/>
        <v>99.42</v>
      </c>
      <c r="Q26" s="375">
        <f t="shared" si="17"/>
        <v>-89.32</v>
      </c>
      <c r="V26" s="55">
        <f t="shared" si="8"/>
        <v>150</v>
      </c>
      <c r="W26" s="51">
        <f t="shared" si="9"/>
        <v>4.1534103653503527</v>
      </c>
      <c r="X26" s="51">
        <f t="shared" si="10"/>
        <v>0.1</v>
      </c>
      <c r="Y26" s="51">
        <f t="shared" si="11"/>
        <v>5.0000000000000001E-4</v>
      </c>
      <c r="Z26" s="51">
        <f t="shared" si="3"/>
        <v>0.20833333333333334</v>
      </c>
      <c r="AA26" s="56">
        <f t="shared" si="4"/>
        <v>300</v>
      </c>
      <c r="AB26" s="76">
        <f t="shared" si="0"/>
        <v>25.706181131718228</v>
      </c>
      <c r="AC26" s="57">
        <f t="shared" si="5"/>
        <v>25.706181131718228</v>
      </c>
      <c r="AE26" s="56">
        <f t="shared" si="6"/>
        <v>300</v>
      </c>
      <c r="AF26" s="57">
        <f t="shared" si="20"/>
        <v>14.706182511752406</v>
      </c>
    </row>
    <row r="27" spans="1:32" s="51" customFormat="1" ht="21" customHeight="1">
      <c r="A27" s="140"/>
      <c r="B27" s="140"/>
      <c r="C27" s="142"/>
      <c r="D27" s="143">
        <v>90</v>
      </c>
      <c r="E27" s="133">
        <f t="shared" si="12"/>
        <v>6.25E-2</v>
      </c>
      <c r="F27" s="144">
        <f t="shared" si="13"/>
        <v>21.751833421376869</v>
      </c>
      <c r="G27" s="144">
        <f t="shared" si="14"/>
        <v>12.30183342137687</v>
      </c>
      <c r="H27" s="146"/>
      <c r="I27" s="146"/>
      <c r="J27" s="146"/>
      <c r="K27" s="80">
        <f t="shared" si="15"/>
        <v>0.3640984810108101</v>
      </c>
      <c r="L27" s="373">
        <f t="shared" si="16"/>
        <v>35</v>
      </c>
      <c r="M27" s="374">
        <f t="shared" si="21"/>
        <v>0.1041</v>
      </c>
      <c r="N27" s="374">
        <f t="shared" si="18"/>
        <v>3.6435</v>
      </c>
      <c r="O27" s="374">
        <f t="shared" si="19"/>
        <v>3.141E-2</v>
      </c>
      <c r="P27" s="374">
        <f t="shared" si="22"/>
        <v>115.99</v>
      </c>
      <c r="Q27" s="375">
        <f t="shared" si="17"/>
        <v>-105.58</v>
      </c>
      <c r="V27" s="55">
        <f t="shared" si="8"/>
        <v>150</v>
      </c>
      <c r="W27" s="51">
        <f t="shared" si="9"/>
        <v>4.1534103653503527</v>
      </c>
      <c r="X27" s="51">
        <f t="shared" si="10"/>
        <v>0.1</v>
      </c>
      <c r="Y27" s="51">
        <f t="shared" si="11"/>
        <v>5.0000000000000001E-4</v>
      </c>
      <c r="Z27" s="51">
        <f t="shared" si="3"/>
        <v>0.25</v>
      </c>
      <c r="AA27" s="56">
        <f t="shared" si="4"/>
        <v>360</v>
      </c>
      <c r="AB27" s="76">
        <f t="shared" si="0"/>
        <v>26.070279612729038</v>
      </c>
      <c r="AC27" s="57">
        <f t="shared" si="5"/>
        <v>26.070279612729038</v>
      </c>
      <c r="AE27" s="56">
        <f t="shared" si="6"/>
        <v>360</v>
      </c>
      <c r="AF27" s="57">
        <f t="shared" si="20"/>
        <v>15.070280992763216</v>
      </c>
    </row>
    <row r="28" spans="1:32" s="51" customFormat="1" ht="21" customHeight="1">
      <c r="A28" s="140"/>
      <c r="B28" s="140"/>
      <c r="C28" s="142"/>
      <c r="D28" s="143">
        <v>105</v>
      </c>
      <c r="E28" s="133">
        <f t="shared" si="12"/>
        <v>7.2916666666666671E-2</v>
      </c>
      <c r="F28" s="144">
        <f t="shared" si="13"/>
        <v>22.059674300748675</v>
      </c>
      <c r="G28" s="144">
        <f t="shared" si="14"/>
        <v>12.609674300748676</v>
      </c>
      <c r="H28" s="146"/>
      <c r="I28" s="146"/>
      <c r="J28" s="146"/>
      <c r="K28" s="80">
        <f t="shared" si="15"/>
        <v>0.30784087937180615</v>
      </c>
      <c r="L28" s="373">
        <f t="shared" si="16"/>
        <v>40</v>
      </c>
      <c r="M28" s="374">
        <f t="shared" si="21"/>
        <v>0.1041</v>
      </c>
      <c r="N28" s="374">
        <f>L28*M28</f>
        <v>4.1639999999999997</v>
      </c>
      <c r="O28" s="374">
        <f t="shared" si="19"/>
        <v>3.141E-2</v>
      </c>
      <c r="P28" s="374">
        <f>INT(N28/O28*100)/100</f>
        <v>132.56</v>
      </c>
      <c r="Q28" s="375">
        <f>INT((G21-P28)*100)/100</f>
        <v>-121.88</v>
      </c>
      <c r="S28"/>
      <c r="V28" s="55">
        <f t="shared" si="8"/>
        <v>150</v>
      </c>
      <c r="W28" s="51">
        <f t="shared" si="9"/>
        <v>4.1534103653503527</v>
      </c>
      <c r="X28" s="51">
        <f t="shared" si="10"/>
        <v>0.1</v>
      </c>
      <c r="Y28" s="51">
        <f t="shared" si="11"/>
        <v>5.0000000000000001E-4</v>
      </c>
      <c r="Z28" s="51">
        <f t="shared" si="3"/>
        <v>0.29166666666666669</v>
      </c>
      <c r="AA28" s="83">
        <f t="shared" si="4"/>
        <v>420</v>
      </c>
      <c r="AB28" s="76">
        <f t="shared" si="0"/>
        <v>26.378120492100848</v>
      </c>
      <c r="AC28" s="57">
        <f t="shared" si="5"/>
        <v>26.378120492100848</v>
      </c>
      <c r="AE28" s="56">
        <f t="shared" si="6"/>
        <v>420</v>
      </c>
      <c r="AF28" s="57">
        <f t="shared" si="20"/>
        <v>15.378121872135026</v>
      </c>
    </row>
    <row r="29" spans="1:32" s="51" customFormat="1" ht="21" customHeight="1">
      <c r="A29" s="140"/>
      <c r="B29" s="140"/>
      <c r="C29" s="142"/>
      <c r="D29" s="143">
        <v>120</v>
      </c>
      <c r="E29" s="133">
        <f t="shared" si="12"/>
        <v>8.3333333333333329E-2</v>
      </c>
      <c r="F29" s="144">
        <f t="shared" si="13"/>
        <v>22.326338199833256</v>
      </c>
      <c r="G29" s="144">
        <f t="shared" si="14"/>
        <v>12.876338199833256</v>
      </c>
      <c r="H29" s="146"/>
      <c r="I29" s="146"/>
      <c r="J29" s="146"/>
      <c r="K29" s="80">
        <f t="shared" si="15"/>
        <v>0.26666389908458044</v>
      </c>
      <c r="L29" s="373">
        <f t="shared" si="16"/>
        <v>45</v>
      </c>
      <c r="M29" s="374">
        <f t="shared" si="21"/>
        <v>0.1041</v>
      </c>
      <c r="N29" s="374">
        <f>L29*M29</f>
        <v>4.6844999999999999</v>
      </c>
      <c r="O29" s="374">
        <f t="shared" si="19"/>
        <v>3.141E-2</v>
      </c>
      <c r="P29" s="374">
        <f>INT(N29/O29*100)/100</f>
        <v>149.13999999999999</v>
      </c>
      <c r="Q29" s="375">
        <f>INT((G22-P29)*100)/100</f>
        <v>-138.22999999999999</v>
      </c>
      <c r="V29" s="55">
        <f t="shared" si="8"/>
        <v>150</v>
      </c>
      <c r="W29" s="51">
        <f t="shared" si="9"/>
        <v>4.1534103653503527</v>
      </c>
      <c r="X29" s="51">
        <f t="shared" si="10"/>
        <v>0.1</v>
      </c>
      <c r="Y29" s="51">
        <f t="shared" si="11"/>
        <v>5.0000000000000001E-4</v>
      </c>
      <c r="Z29" s="51">
        <f t="shared" si="3"/>
        <v>0.33333333333333331</v>
      </c>
      <c r="AA29" s="56">
        <f t="shared" si="4"/>
        <v>480</v>
      </c>
      <c r="AB29" s="76">
        <f t="shared" si="0"/>
        <v>26.644784391185429</v>
      </c>
      <c r="AC29" s="57">
        <f t="shared" si="5"/>
        <v>26.644784391185429</v>
      </c>
      <c r="AE29" s="56">
        <f t="shared" si="6"/>
        <v>480</v>
      </c>
      <c r="AF29" s="57">
        <f t="shared" si="20"/>
        <v>15.644785771219606</v>
      </c>
    </row>
    <row r="30" spans="1:32" s="51" customFormat="1" ht="21" customHeight="1">
      <c r="A30" s="140" t="s">
        <v>4</v>
      </c>
      <c r="B30" s="140" t="s">
        <v>4</v>
      </c>
      <c r="C30" s="142" t="s">
        <v>4</v>
      </c>
      <c r="D30" s="143">
        <v>140</v>
      </c>
      <c r="E30" s="133">
        <f t="shared" si="12"/>
        <v>9.7222222222222224E-2</v>
      </c>
      <c r="F30" s="144">
        <f t="shared" si="13"/>
        <v>22.634179079205065</v>
      </c>
      <c r="G30" s="144">
        <f t="shared" si="14"/>
        <v>13.184179079205066</v>
      </c>
      <c r="H30" s="146"/>
      <c r="I30" s="146"/>
      <c r="J30" s="146"/>
      <c r="K30" s="80">
        <f t="shared" si="15"/>
        <v>0.30784087937180971</v>
      </c>
      <c r="L30" s="373">
        <f t="shared" si="16"/>
        <v>50</v>
      </c>
      <c r="M30" s="374">
        <f t="shared" si="21"/>
        <v>0.1041</v>
      </c>
      <c r="N30" s="374">
        <f>L30*M30</f>
        <v>5.2050000000000001</v>
      </c>
      <c r="O30" s="374">
        <f t="shared" si="19"/>
        <v>3.141E-2</v>
      </c>
      <c r="P30" s="374">
        <f>INT(N30/O30*100)/100</f>
        <v>165.71</v>
      </c>
      <c r="Q30" s="375">
        <f>INT((G23-P30)*100)/100</f>
        <v>-154.59</v>
      </c>
      <c r="V30" s="55">
        <f t="shared" si="8"/>
        <v>150</v>
      </c>
      <c r="W30" s="51">
        <f t="shared" si="9"/>
        <v>4.1534103653503527</v>
      </c>
      <c r="X30" s="51">
        <f t="shared" si="10"/>
        <v>0.1</v>
      </c>
      <c r="Y30" s="51">
        <f t="shared" si="11"/>
        <v>5.0000000000000001E-4</v>
      </c>
      <c r="Z30" s="51">
        <f t="shared" si="3"/>
        <v>0.375</v>
      </c>
      <c r="AA30" s="83">
        <f t="shared" si="4"/>
        <v>540</v>
      </c>
      <c r="AB30" s="76">
        <f t="shared" si="0"/>
        <v>26.879998619965825</v>
      </c>
      <c r="AC30" s="57">
        <f t="shared" si="5"/>
        <v>26.879998619965825</v>
      </c>
      <c r="AE30" s="56">
        <f t="shared" si="6"/>
        <v>540</v>
      </c>
      <c r="AF30" s="57">
        <f t="shared" si="20"/>
        <v>15.880000000000003</v>
      </c>
    </row>
    <row r="31" spans="1:32" s="51" customFormat="1" ht="21" customHeight="1">
      <c r="A31" s="140"/>
      <c r="B31" s="140"/>
      <c r="C31" s="142"/>
      <c r="D31" s="143">
        <v>160</v>
      </c>
      <c r="E31" s="133">
        <f t="shared" si="12"/>
        <v>0.1111111111111111</v>
      </c>
      <c r="F31" s="144">
        <f t="shared" si="13"/>
        <v>22.900842978289646</v>
      </c>
      <c r="G31" s="144">
        <f t="shared" si="14"/>
        <v>13.450842978289646</v>
      </c>
      <c r="H31" s="146"/>
      <c r="I31" s="146"/>
      <c r="J31" s="146"/>
      <c r="K31" s="80">
        <f t="shared" si="15"/>
        <v>0.26666389908458044</v>
      </c>
      <c r="L31" s="373">
        <f t="shared" si="16"/>
        <v>55</v>
      </c>
      <c r="M31" s="374">
        <f t="shared" si="21"/>
        <v>0.1041</v>
      </c>
      <c r="N31" s="374">
        <f>L31*M31</f>
        <v>5.7255000000000003</v>
      </c>
      <c r="O31" s="374">
        <f t="shared" si="19"/>
        <v>3.141E-2</v>
      </c>
      <c r="P31" s="374">
        <f>INT(N31/O31*100)/100</f>
        <v>182.28</v>
      </c>
      <c r="Q31" s="375">
        <f>INT((G24-P31)*100)/100</f>
        <v>-170.97</v>
      </c>
      <c r="V31" s="55">
        <f t="shared" si="8"/>
        <v>150</v>
      </c>
      <c r="W31" s="51">
        <f t="shared" si="9"/>
        <v>4.1534103653503527</v>
      </c>
      <c r="X31" s="51">
        <f t="shared" si="10"/>
        <v>0.1</v>
      </c>
      <c r="Y31" s="51">
        <f t="shared" si="11"/>
        <v>5.0000000000000001E-4</v>
      </c>
      <c r="Z31" s="51">
        <f t="shared" si="3"/>
        <v>0.41666666666666669</v>
      </c>
      <c r="AA31" s="56">
        <f t="shared" si="4"/>
        <v>600</v>
      </c>
      <c r="AB31" s="76">
        <f t="shared" si="0"/>
        <v>26.879998619965825</v>
      </c>
      <c r="AC31" s="57">
        <f t="shared" ref="AC31:AC34" si="23">AC30</f>
        <v>26.879998619965825</v>
      </c>
      <c r="AE31" s="56">
        <f t="shared" si="6"/>
        <v>600</v>
      </c>
      <c r="AF31" s="57">
        <f t="shared" si="20"/>
        <v>15.880000000000003</v>
      </c>
    </row>
    <row r="32" spans="1:32" s="51" customFormat="1" ht="21" customHeight="1">
      <c r="A32" s="140"/>
      <c r="B32" s="140"/>
      <c r="C32" s="142"/>
      <c r="D32" s="143">
        <v>180</v>
      </c>
      <c r="E32" s="133">
        <f t="shared" si="12"/>
        <v>0.125</v>
      </c>
      <c r="F32" s="144">
        <f t="shared" si="13"/>
        <v>23.136057207070042</v>
      </c>
      <c r="G32" s="144">
        <f t="shared" si="14"/>
        <v>13.686057207070043</v>
      </c>
      <c r="H32" s="146"/>
      <c r="I32" s="146"/>
      <c r="J32" s="146"/>
      <c r="K32" s="80">
        <f t="shared" si="15"/>
        <v>0.23521422878039644</v>
      </c>
      <c r="L32" s="82" t="s">
        <v>21</v>
      </c>
      <c r="O32" s="84"/>
      <c r="V32" s="55">
        <f t="shared" si="8"/>
        <v>150</v>
      </c>
      <c r="W32" s="51">
        <f t="shared" si="9"/>
        <v>4.1534103653503527</v>
      </c>
      <c r="X32" s="51">
        <f t="shared" si="10"/>
        <v>0.1</v>
      </c>
      <c r="Y32" s="51">
        <f t="shared" si="11"/>
        <v>5.0000000000000001E-4</v>
      </c>
      <c r="Z32" s="51">
        <f t="shared" si="3"/>
        <v>0.45833333333333331</v>
      </c>
      <c r="AA32" s="83">
        <f t="shared" si="4"/>
        <v>660</v>
      </c>
      <c r="AB32" s="76">
        <f t="shared" si="0"/>
        <v>26.879998619965825</v>
      </c>
      <c r="AC32" s="57">
        <f t="shared" si="23"/>
        <v>26.879998619965825</v>
      </c>
      <c r="AE32" s="56">
        <f t="shared" si="6"/>
        <v>660</v>
      </c>
      <c r="AF32" s="57">
        <f t="shared" si="20"/>
        <v>15.880000000000003</v>
      </c>
    </row>
    <row r="33" spans="1:32" s="51" customFormat="1" ht="21" customHeight="1">
      <c r="A33" s="140"/>
      <c r="B33" s="140"/>
      <c r="C33" s="142">
        <f>$C$10+D33/1440</f>
        <v>45454.638888888883</v>
      </c>
      <c r="D33" s="143">
        <f t="shared" ref="D33:D76" si="24">D32+60</f>
        <v>240</v>
      </c>
      <c r="E33" s="133">
        <f t="shared" si="12"/>
        <v>0.16666666666666666</v>
      </c>
      <c r="F33" s="144">
        <f t="shared" si="13"/>
        <v>23.710561985526432</v>
      </c>
      <c r="G33" s="144">
        <f t="shared" si="14"/>
        <v>14.260561985526433</v>
      </c>
      <c r="H33" s="146"/>
      <c r="I33" s="146"/>
      <c r="J33" s="146"/>
      <c r="K33" s="80">
        <f t="shared" si="15"/>
        <v>0.57450477845639014</v>
      </c>
      <c r="L33" s="75" t="s">
        <v>21</v>
      </c>
      <c r="O33" s="84"/>
      <c r="V33" s="55">
        <f t="shared" si="8"/>
        <v>150</v>
      </c>
      <c r="W33" s="51">
        <f t="shared" si="9"/>
        <v>4.1534103653503527</v>
      </c>
      <c r="X33" s="51">
        <f t="shared" si="10"/>
        <v>0.1</v>
      </c>
      <c r="Y33" s="51">
        <f t="shared" si="11"/>
        <v>5.0000000000000001E-4</v>
      </c>
      <c r="Z33" s="51">
        <f t="shared" si="3"/>
        <v>0.5</v>
      </c>
      <c r="AA33" s="56">
        <f t="shared" si="4"/>
        <v>720</v>
      </c>
      <c r="AB33" s="76">
        <f t="shared" si="0"/>
        <v>26.879998619965825</v>
      </c>
      <c r="AC33" s="57">
        <f t="shared" si="23"/>
        <v>26.879998619965825</v>
      </c>
      <c r="AE33" s="56">
        <f t="shared" si="6"/>
        <v>720</v>
      </c>
      <c r="AF33" s="57">
        <f t="shared" si="20"/>
        <v>15.880000000000003</v>
      </c>
    </row>
    <row r="34" spans="1:32" s="51" customFormat="1" ht="21" customHeight="1">
      <c r="A34" s="140"/>
      <c r="B34" s="140"/>
      <c r="C34" s="142"/>
      <c r="D34" s="143">
        <f t="shared" si="24"/>
        <v>300</v>
      </c>
      <c r="E34" s="133">
        <f t="shared" si="12"/>
        <v>0.20833333333333334</v>
      </c>
      <c r="F34" s="144">
        <f t="shared" si="13"/>
        <v>24.156182511752405</v>
      </c>
      <c r="G34" s="144">
        <f t="shared" si="14"/>
        <v>14.706182511752406</v>
      </c>
      <c r="H34" s="146"/>
      <c r="I34" s="146"/>
      <c r="J34" s="146"/>
      <c r="K34" s="80">
        <f t="shared" si="15"/>
        <v>0.44562052622597292</v>
      </c>
      <c r="L34" s="75" t="s">
        <v>21</v>
      </c>
      <c r="P34" s="84"/>
      <c r="V34" s="55">
        <f t="shared" si="8"/>
        <v>150</v>
      </c>
      <c r="W34" s="51">
        <f t="shared" si="9"/>
        <v>4.1534103653503527</v>
      </c>
      <c r="X34" s="51">
        <f t="shared" si="10"/>
        <v>0.1</v>
      </c>
      <c r="Y34" s="51">
        <f t="shared" si="11"/>
        <v>5.0000000000000001E-4</v>
      </c>
      <c r="Z34" s="51">
        <f t="shared" si="3"/>
        <v>0.54166666666666663</v>
      </c>
      <c r="AA34" s="83">
        <f t="shared" si="4"/>
        <v>780</v>
      </c>
      <c r="AB34" s="76">
        <f t="shared" si="0"/>
        <v>26.879998619965825</v>
      </c>
      <c r="AC34" s="57">
        <f t="shared" si="23"/>
        <v>26.879998619965825</v>
      </c>
      <c r="AE34" s="56">
        <f t="shared" si="6"/>
        <v>780</v>
      </c>
      <c r="AF34" s="57">
        <f t="shared" si="20"/>
        <v>15.880000000000003</v>
      </c>
    </row>
    <row r="35" spans="1:32" s="51" customFormat="1" ht="21" customHeight="1">
      <c r="A35" s="140" t="s">
        <v>4</v>
      </c>
      <c r="B35" s="140" t="s">
        <v>4</v>
      </c>
      <c r="C35" s="142" t="s">
        <v>4</v>
      </c>
      <c r="D35" s="143">
        <f t="shared" si="24"/>
        <v>360</v>
      </c>
      <c r="E35" s="133">
        <f t="shared" si="12"/>
        <v>0.25</v>
      </c>
      <c r="F35" s="144">
        <f t="shared" si="13"/>
        <v>24.520280992763215</v>
      </c>
      <c r="G35" s="144">
        <f t="shared" si="14"/>
        <v>15.070280992763216</v>
      </c>
      <c r="H35" s="146"/>
      <c r="I35" s="146"/>
      <c r="J35" s="146"/>
      <c r="K35" s="80">
        <f t="shared" si="15"/>
        <v>0.3640984810108101</v>
      </c>
      <c r="L35" s="75" t="s">
        <v>21</v>
      </c>
      <c r="O35" s="84"/>
      <c r="V35" s="55">
        <f t="shared" si="8"/>
        <v>150</v>
      </c>
      <c r="W35" s="51">
        <f t="shared" si="9"/>
        <v>4.1534103653503527</v>
      </c>
      <c r="X35" s="51">
        <f t="shared" si="10"/>
        <v>0.1</v>
      </c>
      <c r="Y35" s="51">
        <f t="shared" si="11"/>
        <v>5.0000000000000001E-4</v>
      </c>
      <c r="Z35" s="51">
        <f t="shared" si="3"/>
        <v>0.58333333333333337</v>
      </c>
      <c r="AA35" s="56">
        <f t="shared" si="4"/>
        <v>840</v>
      </c>
      <c r="AB35" s="76">
        <f t="shared" si="0"/>
        <v>26.879998619965825</v>
      </c>
      <c r="AC35" s="57">
        <f t="shared" ref="AC35:AC38" si="25">AC34</f>
        <v>26.879998619965825</v>
      </c>
      <c r="AE35" s="56">
        <f t="shared" si="6"/>
        <v>840</v>
      </c>
      <c r="AF35" s="57">
        <f t="shared" si="20"/>
        <v>15.880000000000003</v>
      </c>
    </row>
    <row r="36" spans="1:32" s="51" customFormat="1" ht="21" customHeight="1">
      <c r="A36" s="140"/>
      <c r="B36" s="140"/>
      <c r="C36" s="142"/>
      <c r="D36" s="143">
        <f t="shared" si="24"/>
        <v>420</v>
      </c>
      <c r="E36" s="133">
        <f t="shared" si="12"/>
        <v>0.29166666666666669</v>
      </c>
      <c r="F36" s="144">
        <f t="shared" si="13"/>
        <v>24.828121872135025</v>
      </c>
      <c r="G36" s="144">
        <f t="shared" si="14"/>
        <v>15.378121872135026</v>
      </c>
      <c r="H36" s="146"/>
      <c r="I36" s="146"/>
      <c r="J36" s="146"/>
      <c r="K36" s="80">
        <f t="shared" si="15"/>
        <v>0.30784087937180971</v>
      </c>
      <c r="L36" s="75" t="s">
        <v>21</v>
      </c>
      <c r="V36" s="55">
        <f t="shared" si="8"/>
        <v>150</v>
      </c>
      <c r="W36" s="51">
        <f t="shared" si="9"/>
        <v>4.1534103653503527</v>
      </c>
      <c r="X36" s="51">
        <f t="shared" si="10"/>
        <v>0.1</v>
      </c>
      <c r="Y36" s="51">
        <f t="shared" si="11"/>
        <v>5.0000000000000001E-4</v>
      </c>
      <c r="Z36" s="51">
        <f t="shared" si="3"/>
        <v>0.625</v>
      </c>
      <c r="AA36" s="83">
        <f t="shared" si="4"/>
        <v>900</v>
      </c>
      <c r="AB36" s="76">
        <f t="shared" si="0"/>
        <v>26.879998619965825</v>
      </c>
      <c r="AC36" s="57">
        <f t="shared" si="25"/>
        <v>26.879998619965825</v>
      </c>
      <c r="AE36" s="56">
        <f t="shared" si="6"/>
        <v>900</v>
      </c>
      <c r="AF36" s="57">
        <f t="shared" si="20"/>
        <v>15.880000000000003</v>
      </c>
    </row>
    <row r="37" spans="1:32" s="51" customFormat="1" ht="21" customHeight="1">
      <c r="A37" s="140"/>
      <c r="B37" s="140"/>
      <c r="C37" s="142"/>
      <c r="D37" s="143">
        <f t="shared" si="24"/>
        <v>480</v>
      </c>
      <c r="E37" s="133">
        <f t="shared" si="12"/>
        <v>0.33333333333333331</v>
      </c>
      <c r="F37" s="144">
        <f t="shared" si="13"/>
        <v>25.094785771219605</v>
      </c>
      <c r="G37" s="144">
        <f t="shared" si="14"/>
        <v>15.644785771219606</v>
      </c>
      <c r="H37" s="146"/>
      <c r="I37" s="146"/>
      <c r="J37" s="146"/>
      <c r="K37" s="80">
        <f t="shared" si="15"/>
        <v>0.26666389908458044</v>
      </c>
      <c r="L37" s="75" t="s">
        <v>21</v>
      </c>
      <c r="V37" s="55">
        <f t="shared" si="8"/>
        <v>150</v>
      </c>
      <c r="W37" s="51">
        <f t="shared" si="9"/>
        <v>4.1534103653503527</v>
      </c>
      <c r="X37" s="51">
        <f t="shared" si="10"/>
        <v>0.1</v>
      </c>
      <c r="Y37" s="51">
        <f t="shared" si="11"/>
        <v>5.0000000000000001E-4</v>
      </c>
      <c r="Z37" s="51">
        <f t="shared" si="3"/>
        <v>0.66666666666666663</v>
      </c>
      <c r="AA37" s="56">
        <f t="shared" si="4"/>
        <v>960</v>
      </c>
      <c r="AB37" s="76">
        <f t="shared" si="0"/>
        <v>26.879998619965825</v>
      </c>
      <c r="AC37" s="57">
        <f t="shared" si="25"/>
        <v>26.879998619965825</v>
      </c>
      <c r="AD37" s="51">
        <v>37</v>
      </c>
      <c r="AE37" s="56">
        <f t="shared" si="6"/>
        <v>960</v>
      </c>
      <c r="AF37" s="57">
        <f t="shared" si="20"/>
        <v>15.880000000000003</v>
      </c>
    </row>
    <row r="38" spans="1:32" s="51" customFormat="1" ht="21" customHeight="1">
      <c r="A38" s="140"/>
      <c r="B38" s="140"/>
      <c r="C38" s="142"/>
      <c r="D38" s="143">
        <f t="shared" si="24"/>
        <v>540</v>
      </c>
      <c r="E38" s="133">
        <f t="shared" si="12"/>
        <v>0.375</v>
      </c>
      <c r="F38" s="144">
        <f t="shared" si="13"/>
        <v>25.330000000000002</v>
      </c>
      <c r="G38" s="144">
        <f t="shared" si="14"/>
        <v>15.880000000000003</v>
      </c>
      <c r="H38" s="146"/>
      <c r="I38" s="146"/>
      <c r="J38" s="146"/>
      <c r="K38" s="80">
        <f t="shared" si="15"/>
        <v>0.23521422878039644</v>
      </c>
      <c r="L38" s="75" t="s">
        <v>21</v>
      </c>
      <c r="V38" s="55">
        <f t="shared" si="8"/>
        <v>150</v>
      </c>
      <c r="W38" s="51">
        <f t="shared" si="9"/>
        <v>4.1534103653503527</v>
      </c>
      <c r="X38" s="51">
        <f t="shared" si="10"/>
        <v>0.1</v>
      </c>
      <c r="Y38" s="51">
        <f t="shared" si="11"/>
        <v>5.0000000000000001E-4</v>
      </c>
      <c r="Z38" s="51">
        <f t="shared" si="3"/>
        <v>0.70833333333333337</v>
      </c>
      <c r="AA38" s="56">
        <f t="shared" si="4"/>
        <v>1020</v>
      </c>
      <c r="AB38" s="76">
        <f t="shared" si="0"/>
        <v>26.879998619965825</v>
      </c>
      <c r="AC38" s="57">
        <f t="shared" si="25"/>
        <v>26.879998619965825</v>
      </c>
      <c r="AD38" s="52" t="s">
        <v>40</v>
      </c>
      <c r="AE38" s="56">
        <f t="shared" si="6"/>
        <v>1020</v>
      </c>
      <c r="AF38" s="57">
        <f t="shared" si="20"/>
        <v>15.880000000000003</v>
      </c>
    </row>
    <row r="39" spans="1:32" s="51" customFormat="1" ht="21" customHeight="1">
      <c r="A39" s="140"/>
      <c r="B39" s="140"/>
      <c r="C39" s="142">
        <f>$C$10+D39/1440</f>
        <v>45454.888888888883</v>
      </c>
      <c r="D39" s="143">
        <f t="shared" si="24"/>
        <v>600</v>
      </c>
      <c r="E39" s="133">
        <f t="shared" si="12"/>
        <v>0.41666666666666669</v>
      </c>
      <c r="F39" s="144">
        <f t="shared" si="13"/>
        <v>25.330000000000002</v>
      </c>
      <c r="G39" s="144">
        <f t="shared" si="14"/>
        <v>15.880000000000003</v>
      </c>
      <c r="H39" s="146"/>
      <c r="I39" s="146"/>
      <c r="J39" s="146"/>
      <c r="K39" s="80">
        <f t="shared" si="15"/>
        <v>0</v>
      </c>
      <c r="L39" s="75" t="s">
        <v>21</v>
      </c>
      <c r="V39" s="55">
        <f t="shared" si="8"/>
        <v>150</v>
      </c>
      <c r="W39" s="51">
        <f t="shared" si="9"/>
        <v>4.1534103653503527</v>
      </c>
      <c r="X39" s="51">
        <f t="shared" si="10"/>
        <v>0.1</v>
      </c>
      <c r="Y39" s="51">
        <f t="shared" si="11"/>
        <v>5.0000000000000001E-4</v>
      </c>
      <c r="Z39" s="51">
        <f t="shared" si="3"/>
        <v>0.75</v>
      </c>
      <c r="AA39" s="56">
        <f t="shared" si="4"/>
        <v>1080</v>
      </c>
      <c r="AB39" s="76">
        <f t="shared" si="0"/>
        <v>26.879998619965825</v>
      </c>
      <c r="AC39" s="57">
        <f t="shared" ref="AC39:AC40" si="26">AC38</f>
        <v>26.879998619965825</v>
      </c>
      <c r="AD39" s="85">
        <v>39</v>
      </c>
      <c r="AE39" s="56">
        <f t="shared" si="6"/>
        <v>1080</v>
      </c>
      <c r="AF39" s="57">
        <f t="shared" si="20"/>
        <v>15.880000000000003</v>
      </c>
    </row>
    <row r="40" spans="1:32" s="51" customFormat="1" ht="21" customHeight="1">
      <c r="A40" s="140" t="s">
        <v>4</v>
      </c>
      <c r="B40" s="140" t="s">
        <v>4</v>
      </c>
      <c r="C40" s="142" t="s">
        <v>4</v>
      </c>
      <c r="D40" s="143">
        <f t="shared" si="24"/>
        <v>660</v>
      </c>
      <c r="E40" s="133">
        <f t="shared" si="12"/>
        <v>0.45833333333333331</v>
      </c>
      <c r="F40" s="144">
        <f t="shared" si="13"/>
        <v>25.330000000000002</v>
      </c>
      <c r="G40" s="144">
        <f t="shared" si="14"/>
        <v>15.880000000000003</v>
      </c>
      <c r="H40" s="146"/>
      <c r="I40" s="146"/>
      <c r="J40" s="146"/>
      <c r="K40" s="80">
        <f t="shared" si="15"/>
        <v>0</v>
      </c>
      <c r="L40" s="75" t="s">
        <v>21</v>
      </c>
      <c r="V40" s="55">
        <f t="shared" si="8"/>
        <v>150</v>
      </c>
      <c r="W40" s="51">
        <f t="shared" si="9"/>
        <v>4.1534103653503527</v>
      </c>
      <c r="X40" s="51">
        <f t="shared" si="10"/>
        <v>0.1</v>
      </c>
      <c r="Y40" s="51">
        <f t="shared" si="11"/>
        <v>5.0000000000000001E-4</v>
      </c>
      <c r="Z40" s="51">
        <f t="shared" si="3"/>
        <v>0.79166666666666663</v>
      </c>
      <c r="AA40" s="56">
        <f t="shared" si="4"/>
        <v>1140</v>
      </c>
      <c r="AB40" s="76">
        <f t="shared" si="0"/>
        <v>26.879998619965825</v>
      </c>
      <c r="AC40" s="57">
        <f t="shared" si="26"/>
        <v>26.879998619965825</v>
      </c>
      <c r="AD40" s="85">
        <v>40</v>
      </c>
      <c r="AE40" s="56">
        <f t="shared" si="6"/>
        <v>1140</v>
      </c>
      <c r="AF40" s="57">
        <f t="shared" si="20"/>
        <v>15.880000000000003</v>
      </c>
    </row>
    <row r="41" spans="1:32" s="51" customFormat="1" ht="21" customHeight="1">
      <c r="A41" s="140"/>
      <c r="B41" s="140"/>
      <c r="C41" s="142"/>
      <c r="D41" s="143">
        <f t="shared" si="24"/>
        <v>720</v>
      </c>
      <c r="E41" s="133">
        <f t="shared" si="12"/>
        <v>0.5</v>
      </c>
      <c r="F41" s="144">
        <f t="shared" si="13"/>
        <v>25.330000000000002</v>
      </c>
      <c r="G41" s="144">
        <f t="shared" si="14"/>
        <v>15.880000000000003</v>
      </c>
      <c r="H41" s="146"/>
      <c r="I41" s="146"/>
      <c r="J41" s="146"/>
      <c r="K41" s="80">
        <f t="shared" si="15"/>
        <v>0</v>
      </c>
      <c r="L41" s="75" t="s">
        <v>21</v>
      </c>
      <c r="V41" s="86">
        <f t="shared" si="8"/>
        <v>150</v>
      </c>
      <c r="W41" s="87">
        <f t="shared" si="9"/>
        <v>4.1534103653503527</v>
      </c>
      <c r="X41" s="87">
        <f t="shared" si="10"/>
        <v>0.1</v>
      </c>
      <c r="Y41" s="87">
        <f t="shared" si="11"/>
        <v>5.0000000000000001E-4</v>
      </c>
      <c r="Z41" s="87">
        <f t="shared" si="3"/>
        <v>0.83333333333333337</v>
      </c>
      <c r="AA41" s="88">
        <f t="shared" si="4"/>
        <v>1200</v>
      </c>
      <c r="AB41" s="89">
        <f t="shared" si="0"/>
        <v>26.879998619965825</v>
      </c>
      <c r="AC41" s="57">
        <f t="shared" ref="AC41:AC46" si="27">AC40</f>
        <v>26.879998619965825</v>
      </c>
      <c r="AD41" s="90">
        <v>41</v>
      </c>
      <c r="AE41" s="56">
        <f t="shared" si="6"/>
        <v>1200</v>
      </c>
      <c r="AF41" s="57">
        <f t="shared" si="20"/>
        <v>15.880000000000003</v>
      </c>
    </row>
    <row r="42" spans="1:32" s="51" customFormat="1" ht="21" customHeight="1">
      <c r="A42" s="140"/>
      <c r="B42" s="140"/>
      <c r="C42" s="142"/>
      <c r="D42" s="143">
        <f t="shared" si="24"/>
        <v>780</v>
      </c>
      <c r="E42" s="133">
        <f t="shared" si="12"/>
        <v>0.54166666666666663</v>
      </c>
      <c r="F42" s="144">
        <f t="shared" si="13"/>
        <v>25.330000000000002</v>
      </c>
      <c r="G42" s="144">
        <f t="shared" si="14"/>
        <v>15.880000000000003</v>
      </c>
      <c r="H42" s="146"/>
      <c r="I42" s="146"/>
      <c r="J42" s="146"/>
      <c r="K42" s="80">
        <f t="shared" si="15"/>
        <v>0</v>
      </c>
      <c r="L42" s="75" t="s">
        <v>21</v>
      </c>
      <c r="V42" s="55">
        <f t="shared" si="8"/>
        <v>150</v>
      </c>
      <c r="W42" s="51">
        <f t="shared" si="9"/>
        <v>4.1534103653503527</v>
      </c>
      <c r="X42" s="51">
        <f t="shared" si="10"/>
        <v>0.1</v>
      </c>
      <c r="Y42" s="51">
        <f t="shared" si="11"/>
        <v>5.0000000000000001E-4</v>
      </c>
      <c r="Z42" s="51">
        <f t="shared" si="3"/>
        <v>0.875</v>
      </c>
      <c r="AA42" s="56">
        <f t="shared" si="4"/>
        <v>1260</v>
      </c>
      <c r="AB42" s="76">
        <f t="shared" si="0"/>
        <v>26.879998619965825</v>
      </c>
      <c r="AC42" s="57">
        <f t="shared" si="27"/>
        <v>26.879998619965825</v>
      </c>
      <c r="AD42" s="85">
        <v>42</v>
      </c>
      <c r="AE42" s="56">
        <f t="shared" si="6"/>
        <v>1260</v>
      </c>
      <c r="AF42" s="57">
        <f t="shared" si="20"/>
        <v>15.880000000000003</v>
      </c>
    </row>
    <row r="43" spans="1:32" s="51" customFormat="1" ht="21" customHeight="1">
      <c r="A43" s="140"/>
      <c r="B43" s="140"/>
      <c r="C43" s="142"/>
      <c r="D43" s="143">
        <f t="shared" si="24"/>
        <v>840</v>
      </c>
      <c r="E43" s="133">
        <f t="shared" si="12"/>
        <v>0.58333333333333337</v>
      </c>
      <c r="F43" s="144">
        <f t="shared" si="13"/>
        <v>25.330000000000002</v>
      </c>
      <c r="G43" s="144">
        <f t="shared" si="14"/>
        <v>15.880000000000003</v>
      </c>
      <c r="H43" s="146"/>
      <c r="I43" s="146"/>
      <c r="J43" s="146"/>
      <c r="K43" s="80">
        <f t="shared" si="15"/>
        <v>0</v>
      </c>
      <c r="L43" s="75" t="s">
        <v>21</v>
      </c>
      <c r="V43" s="86">
        <f t="shared" si="8"/>
        <v>150</v>
      </c>
      <c r="W43" s="87">
        <f t="shared" si="9"/>
        <v>4.1534103653503527</v>
      </c>
      <c r="X43" s="87">
        <f t="shared" si="10"/>
        <v>0.1</v>
      </c>
      <c r="Y43" s="87">
        <f t="shared" si="11"/>
        <v>5.0000000000000001E-4</v>
      </c>
      <c r="Z43" s="87">
        <f t="shared" si="3"/>
        <v>0.91666666666666663</v>
      </c>
      <c r="AA43" s="88">
        <f t="shared" si="4"/>
        <v>1320</v>
      </c>
      <c r="AB43" s="89">
        <f t="shared" si="0"/>
        <v>26.879998619965825</v>
      </c>
      <c r="AC43" s="57">
        <f t="shared" si="27"/>
        <v>26.879998619965825</v>
      </c>
      <c r="AD43" s="90">
        <v>43</v>
      </c>
      <c r="AE43" s="56">
        <f t="shared" si="6"/>
        <v>1320</v>
      </c>
      <c r="AF43" s="57">
        <f t="shared" si="20"/>
        <v>15.880000000000003</v>
      </c>
    </row>
    <row r="44" spans="1:32" s="51" customFormat="1" ht="21" customHeight="1">
      <c r="A44" s="140"/>
      <c r="B44" s="140"/>
      <c r="C44" s="142"/>
      <c r="D44" s="143">
        <f t="shared" si="24"/>
        <v>900</v>
      </c>
      <c r="E44" s="133">
        <f t="shared" si="12"/>
        <v>0.625</v>
      </c>
      <c r="F44" s="144">
        <f t="shared" si="13"/>
        <v>25.330000000000002</v>
      </c>
      <c r="G44" s="144">
        <f t="shared" si="14"/>
        <v>15.880000000000003</v>
      </c>
      <c r="H44" s="146"/>
      <c r="I44" s="146"/>
      <c r="J44" s="146"/>
      <c r="K44" s="80">
        <f t="shared" si="15"/>
        <v>0</v>
      </c>
      <c r="L44" s="75" t="s">
        <v>21</v>
      </c>
      <c r="V44" s="55">
        <f t="shared" si="8"/>
        <v>150</v>
      </c>
      <c r="W44" s="51">
        <f t="shared" si="9"/>
        <v>4.1534103653503527</v>
      </c>
      <c r="X44" s="51">
        <f t="shared" si="10"/>
        <v>0.1</v>
      </c>
      <c r="Y44" s="51">
        <f t="shared" si="11"/>
        <v>5.0000000000000001E-4</v>
      </c>
      <c r="Z44" s="51">
        <f t="shared" si="3"/>
        <v>0.95833333333333337</v>
      </c>
      <c r="AA44" s="56">
        <f t="shared" si="4"/>
        <v>1380</v>
      </c>
      <c r="AB44" s="76">
        <f t="shared" si="0"/>
        <v>26.879998619965825</v>
      </c>
      <c r="AC44" s="57">
        <f t="shared" si="27"/>
        <v>26.879998619965825</v>
      </c>
      <c r="AD44" s="85">
        <v>44</v>
      </c>
      <c r="AE44" s="56">
        <f t="shared" si="6"/>
        <v>1380</v>
      </c>
      <c r="AF44" s="57">
        <f t="shared" si="20"/>
        <v>15.880000000000003</v>
      </c>
    </row>
    <row r="45" spans="1:32" s="51" customFormat="1" ht="21" customHeight="1">
      <c r="A45" s="140" t="s">
        <v>4</v>
      </c>
      <c r="B45" s="140" t="s">
        <v>4</v>
      </c>
      <c r="C45" s="142">
        <f>$C$10+D45/1440</f>
        <v>45455.138888888883</v>
      </c>
      <c r="D45" s="143">
        <f t="shared" si="24"/>
        <v>960</v>
      </c>
      <c r="E45" s="133">
        <f t="shared" si="12"/>
        <v>0.66666666666666663</v>
      </c>
      <c r="F45" s="144">
        <f t="shared" si="13"/>
        <v>25.330000000000002</v>
      </c>
      <c r="G45" s="144">
        <f t="shared" si="14"/>
        <v>15.880000000000003</v>
      </c>
      <c r="H45" s="146"/>
      <c r="I45" s="146"/>
      <c r="J45" s="146"/>
      <c r="K45" s="80">
        <f t="shared" si="15"/>
        <v>0</v>
      </c>
      <c r="L45" s="75" t="s">
        <v>21</v>
      </c>
      <c r="V45" s="86">
        <f t="shared" si="8"/>
        <v>150</v>
      </c>
      <c r="W45" s="87">
        <f t="shared" si="9"/>
        <v>4.1534103653503527</v>
      </c>
      <c r="X45" s="87">
        <f t="shared" si="10"/>
        <v>0.1</v>
      </c>
      <c r="Y45" s="87">
        <f t="shared" si="11"/>
        <v>5.0000000000000001E-4</v>
      </c>
      <c r="Z45" s="87">
        <f t="shared" si="3"/>
        <v>1</v>
      </c>
      <c r="AA45" s="88">
        <f t="shared" si="4"/>
        <v>1440</v>
      </c>
      <c r="AB45" s="89">
        <f t="shared" si="0"/>
        <v>26.879998619965825</v>
      </c>
      <c r="AC45" s="57">
        <f t="shared" si="27"/>
        <v>26.879998619965825</v>
      </c>
      <c r="AD45" s="90">
        <v>45</v>
      </c>
      <c r="AE45" s="56">
        <f t="shared" si="6"/>
        <v>1440</v>
      </c>
      <c r="AF45" s="57">
        <f t="shared" si="20"/>
        <v>15.880000000000003</v>
      </c>
    </row>
    <row r="46" spans="1:32" s="51" customFormat="1" ht="21" customHeight="1">
      <c r="A46" s="140"/>
      <c r="B46" s="140"/>
      <c r="C46" s="140"/>
      <c r="D46" s="147">
        <f t="shared" si="24"/>
        <v>1020</v>
      </c>
      <c r="E46" s="133">
        <f t="shared" si="12"/>
        <v>0.70833333333333337</v>
      </c>
      <c r="F46" s="144">
        <f t="shared" si="13"/>
        <v>25.330000000000002</v>
      </c>
      <c r="G46" s="144">
        <f t="shared" si="14"/>
        <v>15.880000000000003</v>
      </c>
      <c r="H46" s="146"/>
      <c r="I46" s="146"/>
      <c r="J46" s="146"/>
      <c r="K46" s="80">
        <f t="shared" si="15"/>
        <v>0</v>
      </c>
      <c r="L46" s="75" t="s">
        <v>21</v>
      </c>
      <c r="V46" s="55">
        <f t="shared" si="8"/>
        <v>150</v>
      </c>
      <c r="W46" s="51">
        <f t="shared" si="9"/>
        <v>4.1534103653503527</v>
      </c>
      <c r="X46" s="51">
        <f t="shared" si="10"/>
        <v>0.1</v>
      </c>
      <c r="Y46" s="51">
        <f t="shared" si="11"/>
        <v>5.0000000000000001E-4</v>
      </c>
      <c r="Z46" s="51">
        <f t="shared" si="3"/>
        <v>1.0416666666666667</v>
      </c>
      <c r="AA46" s="91">
        <f t="shared" si="4"/>
        <v>1500</v>
      </c>
      <c r="AB46" s="92">
        <f t="shared" si="0"/>
        <v>26.879998619965825</v>
      </c>
      <c r="AC46" s="57">
        <f t="shared" si="27"/>
        <v>26.879998619965825</v>
      </c>
      <c r="AD46" s="85">
        <v>46</v>
      </c>
      <c r="AE46" s="91">
        <f t="shared" si="6"/>
        <v>1500</v>
      </c>
      <c r="AF46" s="93">
        <f t="shared" si="20"/>
        <v>15.880000000000003</v>
      </c>
    </row>
    <row r="47" spans="1:32" s="51" customFormat="1" ht="21" customHeight="1">
      <c r="A47" s="140"/>
      <c r="B47" s="140"/>
      <c r="C47" s="142"/>
      <c r="D47" s="143">
        <f t="shared" si="24"/>
        <v>1080</v>
      </c>
      <c r="E47" s="133">
        <f t="shared" si="12"/>
        <v>0.75</v>
      </c>
      <c r="F47" s="144">
        <f t="shared" si="13"/>
        <v>25.330000000000002</v>
      </c>
      <c r="G47" s="144">
        <f t="shared" si="14"/>
        <v>15.880000000000003</v>
      </c>
      <c r="H47" s="146"/>
      <c r="I47" s="146"/>
      <c r="J47" s="146"/>
      <c r="K47" s="80">
        <f t="shared" si="15"/>
        <v>0</v>
      </c>
      <c r="L47" s="75" t="s">
        <v>21</v>
      </c>
      <c r="V47" s="55">
        <f t="shared" si="8"/>
        <v>150</v>
      </c>
      <c r="W47" s="51">
        <f t="shared" si="9"/>
        <v>4.1534103653503527</v>
      </c>
      <c r="X47" s="51">
        <f t="shared" si="10"/>
        <v>0.1</v>
      </c>
      <c r="Y47" s="51">
        <f t="shared" si="11"/>
        <v>5.0000000000000001E-4</v>
      </c>
      <c r="Z47" s="51">
        <f t="shared" si="3"/>
        <v>1.0833333333333333</v>
      </c>
      <c r="AA47" s="56">
        <f t="shared" si="4"/>
        <v>1560</v>
      </c>
      <c r="AB47" s="76">
        <f t="shared" si="0"/>
        <v>26.879998619965825</v>
      </c>
      <c r="AC47" s="57">
        <f t="shared" ref="AC47:AC69" si="28">AC46</f>
        <v>26.879998619965825</v>
      </c>
      <c r="AE47" s="56">
        <f t="shared" si="6"/>
        <v>1560</v>
      </c>
      <c r="AF47" s="57">
        <f t="shared" si="20"/>
        <v>15.880000000000003</v>
      </c>
    </row>
    <row r="48" spans="1:32" s="51" customFormat="1" ht="21" customHeight="1">
      <c r="A48" s="140"/>
      <c r="B48" s="140"/>
      <c r="C48" s="142"/>
      <c r="D48" s="143">
        <f t="shared" si="24"/>
        <v>1140</v>
      </c>
      <c r="E48" s="133">
        <f t="shared" si="12"/>
        <v>0.79166666666666663</v>
      </c>
      <c r="F48" s="144">
        <f t="shared" si="13"/>
        <v>25.330000000000002</v>
      </c>
      <c r="G48" s="144">
        <f t="shared" si="14"/>
        <v>15.880000000000003</v>
      </c>
      <c r="H48" s="146"/>
      <c r="I48" s="146"/>
      <c r="J48" s="146"/>
      <c r="K48" s="51" t="s">
        <v>21</v>
      </c>
      <c r="L48" s="75" t="s">
        <v>21</v>
      </c>
      <c r="V48" s="55">
        <f t="shared" si="8"/>
        <v>150</v>
      </c>
      <c r="W48" s="51">
        <f t="shared" si="9"/>
        <v>4.1534103653503527</v>
      </c>
      <c r="X48" s="51">
        <f t="shared" si="10"/>
        <v>0.1</v>
      </c>
      <c r="Y48" s="51">
        <f t="shared" si="11"/>
        <v>5.0000000000000001E-4</v>
      </c>
      <c r="Z48" s="51">
        <f t="shared" si="3"/>
        <v>1.125</v>
      </c>
      <c r="AA48" s="56">
        <f t="shared" si="4"/>
        <v>1620</v>
      </c>
      <c r="AB48" s="76">
        <f t="shared" si="0"/>
        <v>26.879998619965825</v>
      </c>
      <c r="AC48" s="57">
        <f t="shared" si="28"/>
        <v>26.879998619965825</v>
      </c>
      <c r="AE48" s="56">
        <f t="shared" si="6"/>
        <v>1620</v>
      </c>
      <c r="AF48" s="57">
        <f t="shared" si="20"/>
        <v>15.880000000000003</v>
      </c>
    </row>
    <row r="49" spans="1:32" s="51" customFormat="1" ht="21" customHeight="1">
      <c r="A49" s="140"/>
      <c r="B49" s="140"/>
      <c r="C49" s="142"/>
      <c r="D49" s="143">
        <f t="shared" si="24"/>
        <v>1200</v>
      </c>
      <c r="E49" s="133">
        <f t="shared" si="12"/>
        <v>0.83333333333333337</v>
      </c>
      <c r="F49" s="144">
        <f t="shared" si="13"/>
        <v>25.330000000000002</v>
      </c>
      <c r="G49" s="144">
        <f t="shared" si="14"/>
        <v>15.880000000000003</v>
      </c>
      <c r="H49" s="146"/>
      <c r="I49" s="146"/>
      <c r="J49" s="146"/>
      <c r="K49" s="51" t="s">
        <v>21</v>
      </c>
      <c r="L49" s="75" t="s">
        <v>21</v>
      </c>
      <c r="V49" s="55">
        <f t="shared" si="8"/>
        <v>150</v>
      </c>
      <c r="W49" s="51">
        <f t="shared" si="9"/>
        <v>4.1534103653503527</v>
      </c>
      <c r="X49" s="51">
        <f t="shared" si="10"/>
        <v>0.1</v>
      </c>
      <c r="Y49" s="51">
        <f t="shared" si="11"/>
        <v>5.0000000000000001E-4</v>
      </c>
      <c r="Z49" s="51">
        <f t="shared" si="3"/>
        <v>1.1666666666666667</v>
      </c>
      <c r="AA49" s="56">
        <f t="shared" si="4"/>
        <v>1680</v>
      </c>
      <c r="AB49" s="76">
        <f t="shared" si="0"/>
        <v>26.879998619965825</v>
      </c>
      <c r="AC49" s="57">
        <f t="shared" si="28"/>
        <v>26.879998619965825</v>
      </c>
      <c r="AE49" s="56">
        <f t="shared" si="6"/>
        <v>1680</v>
      </c>
      <c r="AF49" s="57">
        <f t="shared" si="20"/>
        <v>15.880000000000003</v>
      </c>
    </row>
    <row r="50" spans="1:32" s="51" customFormat="1" ht="21" customHeight="1">
      <c r="A50" s="140"/>
      <c r="B50" s="140"/>
      <c r="C50" s="142"/>
      <c r="D50" s="143">
        <f t="shared" si="24"/>
        <v>1260</v>
      </c>
      <c r="E50" s="133">
        <f t="shared" si="12"/>
        <v>0.875</v>
      </c>
      <c r="F50" s="144">
        <f t="shared" si="13"/>
        <v>25.330000000000002</v>
      </c>
      <c r="G50" s="144">
        <f t="shared" si="14"/>
        <v>15.880000000000003</v>
      </c>
      <c r="H50" s="146"/>
      <c r="I50" s="146"/>
      <c r="J50" s="146"/>
      <c r="K50" s="51" t="s">
        <v>21</v>
      </c>
      <c r="L50" s="75" t="s">
        <v>21</v>
      </c>
      <c r="V50" s="55">
        <f t="shared" si="8"/>
        <v>150</v>
      </c>
      <c r="W50" s="51">
        <f t="shared" si="9"/>
        <v>4.1534103653503527</v>
      </c>
      <c r="X50" s="51">
        <f t="shared" si="10"/>
        <v>0.1</v>
      </c>
      <c r="Y50" s="51">
        <f t="shared" si="11"/>
        <v>5.0000000000000001E-4</v>
      </c>
      <c r="Z50" s="51">
        <f t="shared" si="3"/>
        <v>1.2083333333333333</v>
      </c>
      <c r="AA50" s="56">
        <f t="shared" si="4"/>
        <v>1740</v>
      </c>
      <c r="AB50" s="76">
        <f t="shared" si="0"/>
        <v>26.879998619965825</v>
      </c>
      <c r="AC50" s="57">
        <f t="shared" si="28"/>
        <v>26.879998619965825</v>
      </c>
      <c r="AE50" s="56">
        <f t="shared" si="6"/>
        <v>1740</v>
      </c>
      <c r="AF50" s="57">
        <f t="shared" si="20"/>
        <v>15.880000000000003</v>
      </c>
    </row>
    <row r="51" spans="1:32" s="51" customFormat="1" ht="21" customHeight="1">
      <c r="A51" s="140"/>
      <c r="B51" s="140"/>
      <c r="C51" s="142">
        <f>$C$10+D51/1440</f>
        <v>45455.388888888883</v>
      </c>
      <c r="D51" s="143">
        <f t="shared" si="24"/>
        <v>1320</v>
      </c>
      <c r="E51" s="133">
        <f t="shared" si="12"/>
        <v>0.91666666666666663</v>
      </c>
      <c r="F51" s="144">
        <f t="shared" si="13"/>
        <v>25.330000000000002</v>
      </c>
      <c r="G51" s="144">
        <f t="shared" si="14"/>
        <v>15.880000000000003</v>
      </c>
      <c r="H51" s="146"/>
      <c r="I51" s="146"/>
      <c r="J51" s="146"/>
      <c r="K51" s="51" t="s">
        <v>21</v>
      </c>
      <c r="L51" s="75" t="s">
        <v>21</v>
      </c>
      <c r="V51" s="55">
        <f t="shared" si="8"/>
        <v>150</v>
      </c>
      <c r="W51" s="51">
        <f t="shared" si="9"/>
        <v>4.1534103653503527</v>
      </c>
      <c r="X51" s="51">
        <f t="shared" si="10"/>
        <v>0.1</v>
      </c>
      <c r="Y51" s="51">
        <f t="shared" si="11"/>
        <v>5.0000000000000001E-4</v>
      </c>
      <c r="Z51" s="51">
        <f t="shared" si="3"/>
        <v>1.25</v>
      </c>
      <c r="AA51" s="56">
        <f t="shared" si="4"/>
        <v>1800</v>
      </c>
      <c r="AB51" s="76">
        <f t="shared" si="0"/>
        <v>26.879998619965825</v>
      </c>
      <c r="AC51" s="57">
        <f t="shared" si="28"/>
        <v>26.879998619965825</v>
      </c>
      <c r="AE51" s="56">
        <f t="shared" si="6"/>
        <v>1800</v>
      </c>
      <c r="AF51" s="57">
        <f t="shared" si="20"/>
        <v>15.880000000000003</v>
      </c>
    </row>
    <row r="52" spans="1:32" s="51" customFormat="1" ht="21" customHeight="1">
      <c r="A52" s="140"/>
      <c r="B52" s="140"/>
      <c r="C52" s="142"/>
      <c r="D52" s="143">
        <f t="shared" si="24"/>
        <v>1380</v>
      </c>
      <c r="E52" s="133">
        <f t="shared" si="12"/>
        <v>0.95833333333333337</v>
      </c>
      <c r="F52" s="144">
        <f t="shared" si="13"/>
        <v>25.330000000000002</v>
      </c>
      <c r="G52" s="144">
        <f t="shared" si="14"/>
        <v>15.880000000000003</v>
      </c>
      <c r="H52" s="146"/>
      <c r="I52" s="146"/>
      <c r="J52" s="146"/>
      <c r="K52" s="51" t="s">
        <v>21</v>
      </c>
      <c r="L52" s="75" t="s">
        <v>21</v>
      </c>
      <c r="V52" s="55">
        <f t="shared" si="8"/>
        <v>150</v>
      </c>
      <c r="W52" s="51">
        <f t="shared" si="9"/>
        <v>4.1534103653503527</v>
      </c>
      <c r="X52" s="51">
        <f t="shared" si="10"/>
        <v>0.1</v>
      </c>
      <c r="Y52" s="51">
        <f t="shared" si="11"/>
        <v>5.0000000000000001E-4</v>
      </c>
      <c r="Z52" s="51">
        <f t="shared" si="3"/>
        <v>1.2916666666666667</v>
      </c>
      <c r="AA52" s="56">
        <f t="shared" si="4"/>
        <v>1860</v>
      </c>
      <c r="AB52" s="76">
        <f t="shared" si="0"/>
        <v>26.879998619965825</v>
      </c>
      <c r="AC52" s="57">
        <f t="shared" si="28"/>
        <v>26.879998619965825</v>
      </c>
      <c r="AE52" s="56">
        <f t="shared" si="6"/>
        <v>1860</v>
      </c>
      <c r="AF52" s="57">
        <f t="shared" si="20"/>
        <v>15.880000000000003</v>
      </c>
    </row>
    <row r="53" spans="1:32" s="51" customFormat="1" ht="21" customHeight="1">
      <c r="A53" s="140"/>
      <c r="B53" s="140"/>
      <c r="C53" s="142"/>
      <c r="D53" s="143">
        <f t="shared" si="24"/>
        <v>1440</v>
      </c>
      <c r="E53" s="133">
        <f t="shared" si="12"/>
        <v>1</v>
      </c>
      <c r="F53" s="144">
        <f t="shared" si="13"/>
        <v>25.330000000000002</v>
      </c>
      <c r="G53" s="144">
        <f t="shared" si="14"/>
        <v>15.880000000000003</v>
      </c>
      <c r="H53" s="146"/>
      <c r="I53" s="146"/>
      <c r="J53" s="146"/>
      <c r="K53" s="51" t="s">
        <v>21</v>
      </c>
      <c r="L53" s="75" t="s">
        <v>21</v>
      </c>
      <c r="V53" s="55">
        <f t="shared" si="8"/>
        <v>150</v>
      </c>
      <c r="W53" s="51">
        <f t="shared" si="9"/>
        <v>4.1534103653503527</v>
      </c>
      <c r="X53" s="51">
        <f t="shared" si="10"/>
        <v>0.1</v>
      </c>
      <c r="Y53" s="51">
        <f t="shared" si="11"/>
        <v>5.0000000000000001E-4</v>
      </c>
      <c r="Z53" s="51">
        <f t="shared" si="3"/>
        <v>1.3333333333333333</v>
      </c>
      <c r="AA53" s="56">
        <f t="shared" si="4"/>
        <v>1920</v>
      </c>
      <c r="AB53" s="76">
        <f t="shared" si="0"/>
        <v>26.879998619965825</v>
      </c>
      <c r="AC53" s="57">
        <f t="shared" si="28"/>
        <v>26.879998619965825</v>
      </c>
      <c r="AE53" s="56">
        <f t="shared" si="6"/>
        <v>1920</v>
      </c>
      <c r="AF53" s="57">
        <f t="shared" si="20"/>
        <v>15.880000000000003</v>
      </c>
    </row>
    <row r="54" spans="1:32" s="51" customFormat="1" ht="21" customHeight="1">
      <c r="A54" s="140"/>
      <c r="B54" s="140"/>
      <c r="C54" s="142"/>
      <c r="D54" s="143">
        <f t="shared" si="24"/>
        <v>1500</v>
      </c>
      <c r="E54" s="133">
        <f t="shared" si="12"/>
        <v>1.0416666666666667</v>
      </c>
      <c r="F54" s="144">
        <f t="shared" si="13"/>
        <v>25.330000000000002</v>
      </c>
      <c r="G54" s="144">
        <f t="shared" si="14"/>
        <v>15.880000000000003</v>
      </c>
      <c r="H54" s="146"/>
      <c r="I54" s="146"/>
      <c r="J54" s="146"/>
      <c r="K54" s="51" t="s">
        <v>21</v>
      </c>
      <c r="L54" s="75" t="s">
        <v>21</v>
      </c>
      <c r="V54" s="55">
        <f t="shared" si="8"/>
        <v>150</v>
      </c>
      <c r="W54" s="51">
        <f t="shared" si="9"/>
        <v>4.1534103653503527</v>
      </c>
      <c r="X54" s="51">
        <f t="shared" si="10"/>
        <v>0.1</v>
      </c>
      <c r="Y54" s="51">
        <f t="shared" si="11"/>
        <v>5.0000000000000001E-4</v>
      </c>
      <c r="Z54" s="51">
        <f t="shared" si="3"/>
        <v>1.375</v>
      </c>
      <c r="AA54" s="56">
        <f t="shared" si="4"/>
        <v>1980</v>
      </c>
      <c r="AB54" s="76">
        <f t="shared" si="0"/>
        <v>26.879998619965825</v>
      </c>
      <c r="AC54" s="57">
        <f t="shared" si="28"/>
        <v>26.879998619965825</v>
      </c>
      <c r="AE54" s="56">
        <f t="shared" si="6"/>
        <v>1980</v>
      </c>
      <c r="AF54" s="57">
        <f t="shared" si="20"/>
        <v>15.880000000000003</v>
      </c>
    </row>
    <row r="55" spans="1:32" s="51" customFormat="1" ht="21" customHeight="1">
      <c r="A55" s="140"/>
      <c r="B55" s="140"/>
      <c r="C55" s="142" t="s">
        <v>4</v>
      </c>
      <c r="D55" s="143">
        <f t="shared" si="24"/>
        <v>1560</v>
      </c>
      <c r="E55" s="133">
        <f t="shared" si="12"/>
        <v>1.0833333333333333</v>
      </c>
      <c r="F55" s="144">
        <f t="shared" si="13"/>
        <v>25.330000000000002</v>
      </c>
      <c r="G55" s="144">
        <f t="shared" si="14"/>
        <v>15.880000000000003</v>
      </c>
      <c r="H55" s="146"/>
      <c r="I55" s="146"/>
      <c r="J55" s="146"/>
      <c r="K55" s="51" t="s">
        <v>21</v>
      </c>
      <c r="L55" s="75" t="s">
        <v>21</v>
      </c>
      <c r="V55" s="55">
        <f t="shared" si="8"/>
        <v>150</v>
      </c>
      <c r="W55" s="51">
        <f t="shared" si="9"/>
        <v>4.1534103653503527</v>
      </c>
      <c r="X55" s="51">
        <f t="shared" si="10"/>
        <v>0.1</v>
      </c>
      <c r="Y55" s="51">
        <f t="shared" si="11"/>
        <v>5.0000000000000001E-4</v>
      </c>
      <c r="Z55" s="51">
        <f t="shared" si="3"/>
        <v>1.4166666666666667</v>
      </c>
      <c r="AA55" s="56">
        <f t="shared" si="4"/>
        <v>2040</v>
      </c>
      <c r="AB55" s="76">
        <f t="shared" si="0"/>
        <v>26.879998619965825</v>
      </c>
      <c r="AC55" s="57">
        <f t="shared" si="28"/>
        <v>26.879998619965825</v>
      </c>
      <c r="AE55" s="56">
        <f t="shared" si="6"/>
        <v>2040</v>
      </c>
      <c r="AF55" s="57">
        <f t="shared" si="20"/>
        <v>15.880000000000003</v>
      </c>
    </row>
    <row r="56" spans="1:32" s="51" customFormat="1" ht="21.6" customHeight="1">
      <c r="A56" s="140"/>
      <c r="B56" s="140"/>
      <c r="C56" s="142">
        <f>$C$10+D56/1440</f>
        <v>45455.597222222219</v>
      </c>
      <c r="D56" s="143">
        <f t="shared" si="24"/>
        <v>1620</v>
      </c>
      <c r="E56" s="133">
        <f t="shared" si="12"/>
        <v>1.125</v>
      </c>
      <c r="F56" s="144">
        <f t="shared" si="13"/>
        <v>25.330000000000002</v>
      </c>
      <c r="G56" s="144">
        <f t="shared" si="14"/>
        <v>15.880000000000003</v>
      </c>
      <c r="H56" s="146"/>
      <c r="I56" s="146"/>
      <c r="J56" s="146"/>
      <c r="K56" s="51" t="s">
        <v>21</v>
      </c>
      <c r="L56" s="75" t="s">
        <v>21</v>
      </c>
      <c r="V56" s="55">
        <f t="shared" si="8"/>
        <v>150</v>
      </c>
      <c r="W56" s="51">
        <f t="shared" si="9"/>
        <v>4.1534103653503527</v>
      </c>
      <c r="X56" s="51">
        <f t="shared" si="10"/>
        <v>0.1</v>
      </c>
      <c r="Y56" s="51">
        <f t="shared" si="11"/>
        <v>5.0000000000000001E-4</v>
      </c>
      <c r="Z56" s="51">
        <f t="shared" si="3"/>
        <v>1.4583333333333333</v>
      </c>
      <c r="AA56" s="56">
        <f t="shared" si="4"/>
        <v>2100</v>
      </c>
      <c r="AB56" s="76">
        <f t="shared" si="0"/>
        <v>26.879998619965825</v>
      </c>
      <c r="AC56" s="57">
        <f t="shared" si="28"/>
        <v>26.879998619965825</v>
      </c>
      <c r="AE56" s="56">
        <f t="shared" si="6"/>
        <v>2100</v>
      </c>
      <c r="AF56" s="57">
        <f t="shared" si="20"/>
        <v>15.880000000000003</v>
      </c>
    </row>
    <row r="57" spans="1:32" s="51" customFormat="1" ht="21.6" customHeight="1">
      <c r="A57" s="140"/>
      <c r="B57" s="140"/>
      <c r="C57" s="142"/>
      <c r="D57" s="143">
        <f t="shared" si="24"/>
        <v>1680</v>
      </c>
      <c r="E57" s="133">
        <f t="shared" si="12"/>
        <v>1.1666666666666667</v>
      </c>
      <c r="F57" s="144">
        <f t="shared" si="13"/>
        <v>25.330000000000002</v>
      </c>
      <c r="G57" s="144">
        <f t="shared" si="14"/>
        <v>15.880000000000003</v>
      </c>
      <c r="H57" s="146"/>
      <c r="I57" s="146"/>
      <c r="J57" s="146"/>
      <c r="K57" s="51" t="s">
        <v>21</v>
      </c>
      <c r="L57" s="75" t="s">
        <v>21</v>
      </c>
      <c r="V57" s="55">
        <f t="shared" si="8"/>
        <v>150</v>
      </c>
      <c r="W57" s="51">
        <f t="shared" si="9"/>
        <v>4.1534103653503527</v>
      </c>
      <c r="X57" s="51">
        <f t="shared" si="10"/>
        <v>0.1</v>
      </c>
      <c r="Y57" s="51">
        <f t="shared" si="11"/>
        <v>5.0000000000000001E-4</v>
      </c>
      <c r="Z57" s="51">
        <f t="shared" si="3"/>
        <v>1.5</v>
      </c>
      <c r="AA57" s="56">
        <f t="shared" si="4"/>
        <v>2160</v>
      </c>
      <c r="AB57" s="76">
        <f t="shared" si="0"/>
        <v>26.879998619965825</v>
      </c>
      <c r="AC57" s="57">
        <f t="shared" si="28"/>
        <v>26.879998619965825</v>
      </c>
      <c r="AE57" s="56">
        <f t="shared" si="6"/>
        <v>2160</v>
      </c>
      <c r="AF57" s="57">
        <f t="shared" si="20"/>
        <v>15.880000000000003</v>
      </c>
    </row>
    <row r="58" spans="1:32" s="51" customFormat="1" ht="21.6" customHeight="1">
      <c r="A58" s="140"/>
      <c r="B58" s="140"/>
      <c r="C58" s="142"/>
      <c r="D58" s="143">
        <f t="shared" si="24"/>
        <v>1740</v>
      </c>
      <c r="E58" s="133">
        <f t="shared" si="12"/>
        <v>1.2083333333333333</v>
      </c>
      <c r="F58" s="144">
        <f t="shared" si="13"/>
        <v>25.330000000000002</v>
      </c>
      <c r="G58" s="144">
        <f t="shared" si="14"/>
        <v>15.880000000000003</v>
      </c>
      <c r="H58" s="146"/>
      <c r="I58" s="146"/>
      <c r="J58" s="146"/>
      <c r="K58" s="51" t="s">
        <v>21</v>
      </c>
      <c r="L58" s="75" t="s">
        <v>21</v>
      </c>
      <c r="V58" s="55">
        <f t="shared" si="8"/>
        <v>150</v>
      </c>
      <c r="W58" s="51">
        <f t="shared" si="9"/>
        <v>4.1534103653503527</v>
      </c>
      <c r="X58" s="51">
        <f t="shared" si="10"/>
        <v>0.1</v>
      </c>
      <c r="Y58" s="51">
        <f t="shared" si="11"/>
        <v>5.0000000000000001E-4</v>
      </c>
      <c r="Z58" s="51">
        <f t="shared" si="3"/>
        <v>1.5416666666666667</v>
      </c>
      <c r="AA58" s="56">
        <f t="shared" si="4"/>
        <v>2220</v>
      </c>
      <c r="AB58" s="76">
        <f t="shared" si="0"/>
        <v>26.879998619965825</v>
      </c>
      <c r="AC58" s="57">
        <f t="shared" si="28"/>
        <v>26.879998619965825</v>
      </c>
      <c r="AE58" s="56">
        <f t="shared" si="6"/>
        <v>2220</v>
      </c>
      <c r="AF58" s="57">
        <f t="shared" si="20"/>
        <v>15.880000000000003</v>
      </c>
    </row>
    <row r="59" spans="1:32" s="51" customFormat="1" ht="21.6" customHeight="1">
      <c r="A59" s="140"/>
      <c r="B59" s="140"/>
      <c r="C59" s="142"/>
      <c r="D59" s="143">
        <f t="shared" si="24"/>
        <v>1800</v>
      </c>
      <c r="E59" s="133">
        <f t="shared" si="12"/>
        <v>1.25</v>
      </c>
      <c r="F59" s="144">
        <f t="shared" si="13"/>
        <v>25.330000000000002</v>
      </c>
      <c r="G59" s="144">
        <f t="shared" si="14"/>
        <v>15.880000000000003</v>
      </c>
      <c r="H59" s="146"/>
      <c r="I59" s="146"/>
      <c r="J59" s="146"/>
      <c r="K59" s="51" t="s">
        <v>21</v>
      </c>
      <c r="L59" s="75" t="s">
        <v>21</v>
      </c>
      <c r="V59" s="55">
        <f t="shared" si="8"/>
        <v>150</v>
      </c>
      <c r="W59" s="51">
        <f t="shared" si="9"/>
        <v>4.1534103653503527</v>
      </c>
      <c r="X59" s="51">
        <f t="shared" si="10"/>
        <v>0.1</v>
      </c>
      <c r="Y59" s="51">
        <f t="shared" si="11"/>
        <v>5.0000000000000001E-4</v>
      </c>
      <c r="Z59" s="51">
        <f t="shared" si="3"/>
        <v>1.5833333333333333</v>
      </c>
      <c r="AA59" s="56">
        <f t="shared" si="4"/>
        <v>2280</v>
      </c>
      <c r="AB59" s="76">
        <f t="shared" si="0"/>
        <v>26.879998619965825</v>
      </c>
      <c r="AC59" s="57">
        <f t="shared" si="28"/>
        <v>26.879998619965825</v>
      </c>
      <c r="AE59" s="56">
        <f t="shared" si="6"/>
        <v>2280</v>
      </c>
      <c r="AF59" s="57">
        <f t="shared" si="20"/>
        <v>15.880000000000003</v>
      </c>
    </row>
    <row r="60" spans="1:32" s="51" customFormat="1" ht="21.6" customHeight="1">
      <c r="A60" s="140"/>
      <c r="B60" s="140"/>
      <c r="C60" s="142"/>
      <c r="D60" s="143">
        <f t="shared" si="24"/>
        <v>1860</v>
      </c>
      <c r="E60" s="133">
        <f t="shared" si="12"/>
        <v>1.2916666666666667</v>
      </c>
      <c r="F60" s="144">
        <f t="shared" si="13"/>
        <v>25.330000000000002</v>
      </c>
      <c r="G60" s="144">
        <f t="shared" si="14"/>
        <v>15.880000000000003</v>
      </c>
      <c r="H60" s="146"/>
      <c r="I60" s="146"/>
      <c r="J60" s="146"/>
      <c r="K60" s="51" t="s">
        <v>21</v>
      </c>
      <c r="L60" s="75" t="s">
        <v>21</v>
      </c>
      <c r="V60" s="55">
        <f t="shared" si="8"/>
        <v>150</v>
      </c>
      <c r="W60" s="51">
        <f t="shared" si="9"/>
        <v>4.1534103653503527</v>
      </c>
      <c r="X60" s="51">
        <f t="shared" si="10"/>
        <v>0.1</v>
      </c>
      <c r="Y60" s="51">
        <f t="shared" si="11"/>
        <v>5.0000000000000001E-4</v>
      </c>
      <c r="Z60" s="51">
        <f t="shared" si="3"/>
        <v>1.625</v>
      </c>
      <c r="AA60" s="56">
        <f t="shared" si="4"/>
        <v>2340</v>
      </c>
      <c r="AB60" s="76">
        <f t="shared" si="0"/>
        <v>26.879998619965825</v>
      </c>
      <c r="AC60" s="57">
        <f t="shared" si="28"/>
        <v>26.879998619965825</v>
      </c>
      <c r="AE60" s="56">
        <f t="shared" si="6"/>
        <v>2340</v>
      </c>
      <c r="AF60" s="57">
        <f t="shared" si="20"/>
        <v>15.880000000000003</v>
      </c>
    </row>
    <row r="61" spans="1:32" s="51" customFormat="1" ht="21.6" customHeight="1">
      <c r="A61" s="140"/>
      <c r="B61" s="140"/>
      <c r="C61" s="142">
        <f>$C$10+D61/1440</f>
        <v>45455.805555555555</v>
      </c>
      <c r="D61" s="143">
        <f t="shared" si="24"/>
        <v>1920</v>
      </c>
      <c r="E61" s="133">
        <f t="shared" si="12"/>
        <v>1.3333333333333333</v>
      </c>
      <c r="F61" s="144">
        <f t="shared" si="13"/>
        <v>25.330000000000002</v>
      </c>
      <c r="G61" s="144">
        <f t="shared" si="14"/>
        <v>15.880000000000003</v>
      </c>
      <c r="H61" s="146"/>
      <c r="I61" s="146"/>
      <c r="J61" s="146"/>
      <c r="K61" s="51" t="s">
        <v>21</v>
      </c>
      <c r="L61" s="75" t="s">
        <v>21</v>
      </c>
      <c r="V61" s="55">
        <f t="shared" si="8"/>
        <v>150</v>
      </c>
      <c r="W61" s="51">
        <f t="shared" si="9"/>
        <v>4.1534103653503527</v>
      </c>
      <c r="X61" s="51">
        <f t="shared" si="10"/>
        <v>0.1</v>
      </c>
      <c r="Y61" s="51">
        <f t="shared" si="11"/>
        <v>5.0000000000000001E-4</v>
      </c>
      <c r="Z61" s="51">
        <f t="shared" si="3"/>
        <v>1.6666666666666667</v>
      </c>
      <c r="AA61" s="56">
        <f t="shared" si="4"/>
        <v>2400</v>
      </c>
      <c r="AB61" s="76">
        <f t="shared" si="0"/>
        <v>26.879998619965825</v>
      </c>
      <c r="AC61" s="57">
        <f t="shared" si="28"/>
        <v>26.879998619965825</v>
      </c>
      <c r="AE61" s="56">
        <f t="shared" si="6"/>
        <v>2400</v>
      </c>
      <c r="AF61" s="57">
        <f t="shared" si="20"/>
        <v>15.880000000000003</v>
      </c>
    </row>
    <row r="62" spans="1:32" s="51" customFormat="1" ht="21.6" customHeight="1">
      <c r="A62" s="140"/>
      <c r="B62" s="140"/>
      <c r="C62" s="142"/>
      <c r="D62" s="143">
        <f t="shared" si="24"/>
        <v>1980</v>
      </c>
      <c r="E62" s="133">
        <f t="shared" si="12"/>
        <v>1.375</v>
      </c>
      <c r="F62" s="144">
        <f t="shared" si="13"/>
        <v>25.330000000000002</v>
      </c>
      <c r="G62" s="144">
        <f t="shared" si="14"/>
        <v>15.880000000000003</v>
      </c>
      <c r="H62" s="146"/>
      <c r="I62" s="146"/>
      <c r="J62" s="146"/>
      <c r="K62" s="51" t="s">
        <v>21</v>
      </c>
      <c r="L62" s="75" t="s">
        <v>21</v>
      </c>
      <c r="V62" s="55">
        <f t="shared" si="8"/>
        <v>150</v>
      </c>
      <c r="W62" s="51">
        <f t="shared" si="9"/>
        <v>4.1534103653503527</v>
      </c>
      <c r="X62" s="51">
        <f t="shared" si="10"/>
        <v>0.1</v>
      </c>
      <c r="Y62" s="51">
        <f t="shared" si="11"/>
        <v>5.0000000000000001E-4</v>
      </c>
      <c r="Z62" s="51">
        <f t="shared" si="3"/>
        <v>1.7083333333333333</v>
      </c>
      <c r="AA62" s="56">
        <f t="shared" si="4"/>
        <v>2460</v>
      </c>
      <c r="AB62" s="76">
        <f t="shared" si="0"/>
        <v>26.879998619965825</v>
      </c>
      <c r="AC62" s="57">
        <f t="shared" si="28"/>
        <v>26.879998619965825</v>
      </c>
      <c r="AE62" s="56">
        <f t="shared" si="6"/>
        <v>2460</v>
      </c>
      <c r="AF62" s="57">
        <f t="shared" si="20"/>
        <v>15.880000000000003</v>
      </c>
    </row>
    <row r="63" spans="1:32" s="51" customFormat="1" ht="21.6" customHeight="1">
      <c r="A63" s="140"/>
      <c r="B63" s="140"/>
      <c r="C63" s="142"/>
      <c r="D63" s="143">
        <f t="shared" si="24"/>
        <v>2040</v>
      </c>
      <c r="E63" s="133">
        <f t="shared" si="12"/>
        <v>1.4166666666666667</v>
      </c>
      <c r="F63" s="144">
        <f>F62</f>
        <v>25.330000000000002</v>
      </c>
      <c r="G63" s="144">
        <f t="shared" si="14"/>
        <v>15.880000000000003</v>
      </c>
      <c r="H63" s="146"/>
      <c r="I63" s="146"/>
      <c r="J63" s="146"/>
      <c r="K63" s="51" t="s">
        <v>21</v>
      </c>
      <c r="L63" s="75" t="s">
        <v>21</v>
      </c>
      <c r="V63" s="55">
        <f t="shared" si="8"/>
        <v>150</v>
      </c>
      <c r="W63" s="51">
        <f t="shared" si="9"/>
        <v>4.1534103653503527</v>
      </c>
      <c r="X63" s="51">
        <f t="shared" si="10"/>
        <v>0.1</v>
      </c>
      <c r="Y63" s="51">
        <f t="shared" si="11"/>
        <v>5.0000000000000001E-4</v>
      </c>
      <c r="Z63" s="51">
        <f t="shared" si="3"/>
        <v>1.75</v>
      </c>
      <c r="AA63" s="56">
        <f t="shared" si="4"/>
        <v>2520</v>
      </c>
      <c r="AB63" s="76">
        <f t="shared" si="0"/>
        <v>26.879998619965825</v>
      </c>
      <c r="AC63" s="57">
        <f t="shared" si="28"/>
        <v>26.879998619965825</v>
      </c>
      <c r="AE63" s="56">
        <f t="shared" si="6"/>
        <v>2520</v>
      </c>
      <c r="AF63" s="57">
        <f t="shared" si="20"/>
        <v>15.880000000000003</v>
      </c>
    </row>
    <row r="64" spans="1:32" s="51" customFormat="1" ht="21.6" customHeight="1">
      <c r="A64" s="140"/>
      <c r="B64" s="140"/>
      <c r="C64" s="142"/>
      <c r="D64" s="143">
        <f t="shared" si="24"/>
        <v>2100</v>
      </c>
      <c r="E64" s="133">
        <f t="shared" si="12"/>
        <v>1.4583333333333333</v>
      </c>
      <c r="F64" s="144">
        <f t="shared" ref="F64:F77" si="29">F63</f>
        <v>25.330000000000002</v>
      </c>
      <c r="G64" s="144">
        <f t="shared" si="14"/>
        <v>15.880000000000003</v>
      </c>
      <c r="H64" s="146"/>
      <c r="I64" s="146"/>
      <c r="J64" s="146"/>
      <c r="K64" s="51" t="s">
        <v>21</v>
      </c>
      <c r="L64" s="75" t="s">
        <v>21</v>
      </c>
      <c r="V64" s="55">
        <f t="shared" si="8"/>
        <v>150</v>
      </c>
      <c r="W64" s="51">
        <f t="shared" si="9"/>
        <v>4.1534103653503527</v>
      </c>
      <c r="X64" s="51">
        <f t="shared" si="10"/>
        <v>0.1</v>
      </c>
      <c r="Y64" s="51">
        <f t="shared" si="11"/>
        <v>5.0000000000000001E-4</v>
      </c>
      <c r="Z64" s="51">
        <f t="shared" si="3"/>
        <v>1.7916666666666667</v>
      </c>
      <c r="AA64" s="56">
        <f t="shared" si="4"/>
        <v>2580</v>
      </c>
      <c r="AB64" s="76">
        <f t="shared" si="0"/>
        <v>26.879998619965825</v>
      </c>
      <c r="AC64" s="57">
        <f t="shared" si="28"/>
        <v>26.879998619965825</v>
      </c>
      <c r="AE64" s="56">
        <f t="shared" si="6"/>
        <v>2580</v>
      </c>
      <c r="AF64" s="57">
        <f t="shared" si="20"/>
        <v>15.880000000000003</v>
      </c>
    </row>
    <row r="65" spans="1:32" s="51" customFormat="1" ht="21.6" customHeight="1">
      <c r="A65" s="140"/>
      <c r="B65" s="140"/>
      <c r="C65" s="142"/>
      <c r="D65" s="143">
        <f t="shared" si="24"/>
        <v>2160</v>
      </c>
      <c r="E65" s="133">
        <f t="shared" si="12"/>
        <v>1.5</v>
      </c>
      <c r="F65" s="144">
        <f t="shared" si="29"/>
        <v>25.330000000000002</v>
      </c>
      <c r="G65" s="144">
        <f t="shared" si="14"/>
        <v>15.880000000000003</v>
      </c>
      <c r="H65" s="146"/>
      <c r="I65" s="146"/>
      <c r="J65" s="146"/>
      <c r="K65" s="51" t="s">
        <v>21</v>
      </c>
      <c r="L65" s="75" t="s">
        <v>21</v>
      </c>
      <c r="V65" s="55">
        <f t="shared" si="8"/>
        <v>150</v>
      </c>
      <c r="W65" s="51">
        <f t="shared" si="9"/>
        <v>4.1534103653503527</v>
      </c>
      <c r="X65" s="51">
        <f t="shared" si="10"/>
        <v>0.1</v>
      </c>
      <c r="Y65" s="51">
        <f t="shared" si="11"/>
        <v>5.0000000000000001E-4</v>
      </c>
      <c r="Z65" s="51">
        <f t="shared" si="3"/>
        <v>1.8333333333333333</v>
      </c>
      <c r="AA65" s="56">
        <f t="shared" si="4"/>
        <v>2640</v>
      </c>
      <c r="AB65" s="76">
        <f t="shared" si="0"/>
        <v>26.879998619965825</v>
      </c>
      <c r="AC65" s="57">
        <f t="shared" si="28"/>
        <v>26.879998619965825</v>
      </c>
      <c r="AE65" s="56">
        <f t="shared" si="6"/>
        <v>2640</v>
      </c>
      <c r="AF65" s="57">
        <f t="shared" si="20"/>
        <v>15.880000000000003</v>
      </c>
    </row>
    <row r="66" spans="1:32" s="51" customFormat="1" ht="21.6" customHeight="1">
      <c r="A66" s="140"/>
      <c r="B66" s="140"/>
      <c r="C66" s="142">
        <f>$C$10+D66/1440</f>
        <v>45456.013888888883</v>
      </c>
      <c r="D66" s="143">
        <f t="shared" si="24"/>
        <v>2220</v>
      </c>
      <c r="E66" s="133">
        <f t="shared" si="12"/>
        <v>1.5416666666666667</v>
      </c>
      <c r="F66" s="144">
        <f t="shared" si="29"/>
        <v>25.330000000000002</v>
      </c>
      <c r="G66" s="144">
        <f t="shared" si="14"/>
        <v>15.880000000000003</v>
      </c>
      <c r="H66" s="146"/>
      <c r="I66" s="146"/>
      <c r="J66" s="146"/>
      <c r="K66" s="51" t="s">
        <v>21</v>
      </c>
      <c r="L66" s="75" t="s">
        <v>21</v>
      </c>
      <c r="V66" s="55">
        <f t="shared" si="8"/>
        <v>150</v>
      </c>
      <c r="W66" s="51">
        <f t="shared" si="9"/>
        <v>4.1534103653503527</v>
      </c>
      <c r="X66" s="51">
        <f t="shared" si="10"/>
        <v>0.1</v>
      </c>
      <c r="Y66" s="51">
        <f t="shared" si="11"/>
        <v>5.0000000000000001E-4</v>
      </c>
      <c r="Z66" s="51">
        <f t="shared" si="3"/>
        <v>1.875</v>
      </c>
      <c r="AA66" s="56">
        <f t="shared" si="4"/>
        <v>2700</v>
      </c>
      <c r="AB66" s="76">
        <f>AC66+AD$2</f>
        <v>26.879998619965825</v>
      </c>
      <c r="AC66" s="57">
        <f t="shared" si="28"/>
        <v>26.879998619965825</v>
      </c>
      <c r="AE66" s="56">
        <f t="shared" si="6"/>
        <v>2700</v>
      </c>
      <c r="AF66" s="57">
        <f t="shared" si="20"/>
        <v>15.880000000000003</v>
      </c>
    </row>
    <row r="67" spans="1:32" s="51" customFormat="1" ht="21.6" customHeight="1">
      <c r="A67" s="140"/>
      <c r="B67" s="140"/>
      <c r="C67" s="142"/>
      <c r="D67" s="143">
        <f t="shared" si="24"/>
        <v>2280</v>
      </c>
      <c r="E67" s="133">
        <f t="shared" si="12"/>
        <v>1.5833333333333333</v>
      </c>
      <c r="F67" s="144">
        <f t="shared" si="29"/>
        <v>25.330000000000002</v>
      </c>
      <c r="G67" s="144">
        <f t="shared" si="14"/>
        <v>15.880000000000003</v>
      </c>
      <c r="H67" s="146"/>
      <c r="I67" s="146"/>
      <c r="J67" s="146"/>
      <c r="K67" s="51" t="s">
        <v>21</v>
      </c>
      <c r="L67" s="75" t="s">
        <v>21</v>
      </c>
      <c r="V67" s="55">
        <f t="shared" si="8"/>
        <v>150</v>
      </c>
      <c r="W67" s="51">
        <f t="shared" si="9"/>
        <v>4.1534103653503527</v>
      </c>
      <c r="X67" s="51">
        <f t="shared" si="10"/>
        <v>0.1</v>
      </c>
      <c r="Y67" s="51">
        <f t="shared" si="11"/>
        <v>5.0000000000000001E-4</v>
      </c>
      <c r="Z67" s="51">
        <f t="shared" ref="Z67:Z79" si="30">E75</f>
        <v>1.9166666666666667</v>
      </c>
      <c r="AA67" s="56">
        <f t="shared" ref="AA67:AA79" si="31">D75</f>
        <v>2760</v>
      </c>
      <c r="AB67" s="76">
        <f>AC67+AD$2</f>
        <v>26.879998619965825</v>
      </c>
      <c r="AC67" s="57">
        <f t="shared" si="28"/>
        <v>26.879998619965825</v>
      </c>
      <c r="AE67" s="56">
        <f>AA67</f>
        <v>2760</v>
      </c>
      <c r="AF67" s="57">
        <f t="shared" si="20"/>
        <v>15.880000000000003</v>
      </c>
    </row>
    <row r="68" spans="1:32" s="51" customFormat="1" ht="21.6" customHeight="1">
      <c r="A68" s="140"/>
      <c r="B68" s="140"/>
      <c r="C68" s="142" t="s">
        <v>4</v>
      </c>
      <c r="D68" s="143">
        <f t="shared" si="24"/>
        <v>2340</v>
      </c>
      <c r="E68" s="133">
        <f t="shared" si="12"/>
        <v>1.625</v>
      </c>
      <c r="F68" s="144">
        <f t="shared" si="29"/>
        <v>25.330000000000002</v>
      </c>
      <c r="G68" s="144">
        <f t="shared" si="14"/>
        <v>15.880000000000003</v>
      </c>
      <c r="H68" s="146"/>
      <c r="I68" s="146"/>
      <c r="J68" s="146"/>
      <c r="K68" s="51" t="s">
        <v>21</v>
      </c>
      <c r="L68" s="75" t="s">
        <v>21</v>
      </c>
      <c r="V68" s="55">
        <f>V67</f>
        <v>150</v>
      </c>
      <c r="W68" s="51">
        <f t="shared" ref="W68:W83" si="32">W$2</f>
        <v>4.1534103653503527</v>
      </c>
      <c r="X68" s="51">
        <f t="shared" ref="X68:X83" si="33">X67</f>
        <v>0.1</v>
      </c>
      <c r="Y68" s="51">
        <f t="shared" ref="Y68:Y83" si="34">Y$2</f>
        <v>5.0000000000000001E-4</v>
      </c>
      <c r="Z68" s="51">
        <f t="shared" si="30"/>
        <v>1.9583333333333333</v>
      </c>
      <c r="AA68" s="56">
        <f t="shared" si="31"/>
        <v>2820</v>
      </c>
      <c r="AB68" s="76">
        <f>AC68+AD$2</f>
        <v>26.879998619965825</v>
      </c>
      <c r="AC68" s="57">
        <f t="shared" si="28"/>
        <v>26.879998619965825</v>
      </c>
      <c r="AE68" s="56">
        <f>AA68</f>
        <v>2820</v>
      </c>
      <c r="AF68" s="57">
        <f t="shared" si="20"/>
        <v>15.880000000000003</v>
      </c>
    </row>
    <row r="69" spans="1:32" s="51" customFormat="1" ht="21.6" customHeight="1">
      <c r="A69" s="140"/>
      <c r="B69" s="140"/>
      <c r="C69" s="142"/>
      <c r="D69" s="143">
        <f t="shared" si="24"/>
        <v>2400</v>
      </c>
      <c r="E69" s="133">
        <f t="shared" si="12"/>
        <v>1.6666666666666667</v>
      </c>
      <c r="F69" s="144">
        <f t="shared" si="29"/>
        <v>25.330000000000002</v>
      </c>
      <c r="G69" s="144">
        <f t="shared" si="14"/>
        <v>15.880000000000003</v>
      </c>
      <c r="H69" s="146"/>
      <c r="I69" s="146"/>
      <c r="J69" s="146"/>
      <c r="K69" s="51" t="s">
        <v>21</v>
      </c>
      <c r="L69" s="75" t="s">
        <v>21</v>
      </c>
      <c r="V69" s="55">
        <f>V68</f>
        <v>150</v>
      </c>
      <c r="W69" s="51">
        <f t="shared" si="32"/>
        <v>4.1534103653503527</v>
      </c>
      <c r="X69" s="51">
        <f t="shared" si="33"/>
        <v>0.1</v>
      </c>
      <c r="Y69" s="51">
        <f t="shared" si="34"/>
        <v>5.0000000000000001E-4</v>
      </c>
      <c r="Z69" s="51">
        <f t="shared" si="30"/>
        <v>2</v>
      </c>
      <c r="AA69" s="56">
        <f t="shared" si="31"/>
        <v>2880</v>
      </c>
      <c r="AB69" s="76">
        <f>AC69+AD$2</f>
        <v>26.879998619965825</v>
      </c>
      <c r="AC69" s="57">
        <f t="shared" si="28"/>
        <v>26.879998619965825</v>
      </c>
      <c r="AE69" s="56">
        <f>AA69</f>
        <v>2880</v>
      </c>
      <c r="AF69" s="57">
        <f t="shared" si="20"/>
        <v>15.880000000000003</v>
      </c>
    </row>
    <row r="70" spans="1:32" s="51" customFormat="1" ht="21.6" customHeight="1">
      <c r="A70" s="140"/>
      <c r="B70" s="140"/>
      <c r="C70" s="142"/>
      <c r="D70" s="143">
        <f t="shared" si="24"/>
        <v>2460</v>
      </c>
      <c r="E70" s="133">
        <f t="shared" si="12"/>
        <v>1.7083333333333333</v>
      </c>
      <c r="F70" s="144">
        <f t="shared" si="29"/>
        <v>25.330000000000002</v>
      </c>
      <c r="G70" s="144">
        <f t="shared" si="14"/>
        <v>15.880000000000003</v>
      </c>
      <c r="H70" s="146"/>
      <c r="I70" s="146"/>
      <c r="J70" s="146"/>
      <c r="K70" s="51" t="s">
        <v>21</v>
      </c>
      <c r="L70" s="75" t="s">
        <v>21</v>
      </c>
      <c r="V70" s="55"/>
      <c r="W70" s="51">
        <f t="shared" si="32"/>
        <v>4.1534103653503527</v>
      </c>
      <c r="X70" s="51">
        <f t="shared" si="33"/>
        <v>0.1</v>
      </c>
      <c r="Y70" s="51">
        <f t="shared" si="34"/>
        <v>5.0000000000000001E-4</v>
      </c>
      <c r="Z70" s="51">
        <f t="shared" si="30"/>
        <v>6.9444444444444447E-4</v>
      </c>
      <c r="AA70" s="56">
        <f t="shared" si="31"/>
        <v>1</v>
      </c>
      <c r="AB70" s="76"/>
      <c r="AC70" s="57"/>
      <c r="AF70" s="57"/>
    </row>
    <row r="71" spans="1:32" s="51" customFormat="1" ht="21.6" customHeight="1">
      <c r="A71" s="140"/>
      <c r="B71" s="140"/>
      <c r="C71" s="142">
        <f>$C$10+D71/1440</f>
        <v>45456.222222222219</v>
      </c>
      <c r="D71" s="143">
        <f t="shared" si="24"/>
        <v>2520</v>
      </c>
      <c r="E71" s="133">
        <f t="shared" si="12"/>
        <v>1.75</v>
      </c>
      <c r="F71" s="144">
        <f t="shared" si="29"/>
        <v>25.330000000000002</v>
      </c>
      <c r="G71" s="144">
        <f t="shared" si="14"/>
        <v>15.880000000000003</v>
      </c>
      <c r="H71" s="146"/>
      <c r="I71" s="146"/>
      <c r="J71" s="146"/>
      <c r="K71" s="51" t="s">
        <v>21</v>
      </c>
      <c r="L71" s="75" t="s">
        <v>21</v>
      </c>
      <c r="V71" s="55"/>
      <c r="W71" s="51">
        <f t="shared" si="32"/>
        <v>4.1534103653503527</v>
      </c>
      <c r="X71" s="51">
        <f t="shared" si="33"/>
        <v>0.1</v>
      </c>
      <c r="Y71" s="51">
        <f t="shared" si="34"/>
        <v>5.0000000000000001E-4</v>
      </c>
      <c r="Z71" s="51">
        <f t="shared" si="30"/>
        <v>1.3888888888888889E-3</v>
      </c>
      <c r="AA71" s="56">
        <f t="shared" si="31"/>
        <v>2</v>
      </c>
      <c r="AB71" s="76"/>
      <c r="AC71" s="57"/>
      <c r="AF71" s="57"/>
    </row>
    <row r="72" spans="1:32" s="51" customFormat="1" ht="21.6" customHeight="1">
      <c r="A72" s="140"/>
      <c r="B72" s="140"/>
      <c r="C72" s="142"/>
      <c r="D72" s="143">
        <f t="shared" si="24"/>
        <v>2580</v>
      </c>
      <c r="E72" s="133">
        <f t="shared" si="12"/>
        <v>1.7916666666666667</v>
      </c>
      <c r="F72" s="144">
        <f t="shared" si="29"/>
        <v>25.330000000000002</v>
      </c>
      <c r="G72" s="144">
        <f t="shared" si="14"/>
        <v>15.880000000000003</v>
      </c>
      <c r="H72" s="146"/>
      <c r="I72" s="146"/>
      <c r="J72" s="146"/>
      <c r="K72" s="51" t="s">
        <v>21</v>
      </c>
      <c r="L72" s="75" t="s">
        <v>21</v>
      </c>
      <c r="V72" s="55"/>
      <c r="W72" s="51">
        <f t="shared" si="32"/>
        <v>4.1534103653503527</v>
      </c>
      <c r="X72" s="51">
        <f t="shared" si="33"/>
        <v>0.1</v>
      </c>
      <c r="Y72" s="51">
        <f t="shared" si="34"/>
        <v>5.0000000000000001E-4</v>
      </c>
      <c r="Z72" s="51">
        <f t="shared" si="30"/>
        <v>2.0833333333333333E-3</v>
      </c>
      <c r="AA72" s="56">
        <f t="shared" si="31"/>
        <v>3</v>
      </c>
      <c r="AB72" s="76"/>
      <c r="AC72" s="57"/>
      <c r="AF72" s="57"/>
    </row>
    <row r="73" spans="1:32" s="51" customFormat="1" ht="21.6" customHeight="1">
      <c r="A73" s="140"/>
      <c r="B73" s="140"/>
      <c r="C73" s="142"/>
      <c r="D73" s="143">
        <f t="shared" si="24"/>
        <v>2640</v>
      </c>
      <c r="E73" s="133">
        <f t="shared" si="12"/>
        <v>1.8333333333333333</v>
      </c>
      <c r="F73" s="144">
        <f t="shared" si="29"/>
        <v>25.330000000000002</v>
      </c>
      <c r="G73" s="144">
        <f t="shared" si="14"/>
        <v>15.880000000000003</v>
      </c>
      <c r="H73" s="146"/>
      <c r="I73" s="146"/>
      <c r="J73" s="146"/>
      <c r="K73" s="51" t="s">
        <v>21</v>
      </c>
      <c r="L73" s="75" t="s">
        <v>21</v>
      </c>
      <c r="V73" s="55"/>
      <c r="W73" s="51">
        <f t="shared" si="32"/>
        <v>4.1534103653503527</v>
      </c>
      <c r="X73" s="51">
        <f t="shared" si="33"/>
        <v>0.1</v>
      </c>
      <c r="Y73" s="51">
        <f t="shared" si="34"/>
        <v>5.0000000000000001E-4</v>
      </c>
      <c r="Z73" s="51">
        <f t="shared" si="30"/>
        <v>2.7777777777777779E-3</v>
      </c>
      <c r="AA73" s="56">
        <f t="shared" si="31"/>
        <v>4</v>
      </c>
      <c r="AB73" s="76"/>
      <c r="AC73" s="57"/>
      <c r="AF73" s="57"/>
    </row>
    <row r="74" spans="1:32" s="51" customFormat="1" ht="21.6" customHeight="1">
      <c r="A74" s="140"/>
      <c r="B74" s="140"/>
      <c r="C74" s="142"/>
      <c r="D74" s="143">
        <f t="shared" si="24"/>
        <v>2700</v>
      </c>
      <c r="E74" s="133">
        <f t="shared" si="12"/>
        <v>1.875</v>
      </c>
      <c r="F74" s="144">
        <f t="shared" si="29"/>
        <v>25.330000000000002</v>
      </c>
      <c r="G74" s="144">
        <f t="shared" si="14"/>
        <v>15.880000000000003</v>
      </c>
      <c r="H74" s="146"/>
      <c r="I74" s="146"/>
      <c r="J74" s="146"/>
      <c r="K74" s="51" t="s">
        <v>21</v>
      </c>
      <c r="L74" s="75" t="s">
        <v>21</v>
      </c>
      <c r="V74" s="55"/>
      <c r="W74" s="51">
        <f t="shared" si="32"/>
        <v>4.1534103653503527</v>
      </c>
      <c r="X74" s="51">
        <f t="shared" si="33"/>
        <v>0.1</v>
      </c>
      <c r="Y74" s="51">
        <f t="shared" si="34"/>
        <v>5.0000000000000001E-4</v>
      </c>
      <c r="Z74" s="51">
        <f t="shared" si="30"/>
        <v>3.472222222222222E-3</v>
      </c>
      <c r="AA74" s="56">
        <f t="shared" si="31"/>
        <v>5</v>
      </c>
      <c r="AB74" s="76"/>
      <c r="AC74" s="57"/>
      <c r="AF74" s="57"/>
    </row>
    <row r="75" spans="1:32" s="51" customFormat="1" ht="21.6" customHeight="1">
      <c r="A75" s="140"/>
      <c r="B75" s="140"/>
      <c r="C75" s="142"/>
      <c r="D75" s="143">
        <f t="shared" si="24"/>
        <v>2760</v>
      </c>
      <c r="E75" s="133">
        <f>D75/1440</f>
        <v>1.9166666666666667</v>
      </c>
      <c r="F75" s="144">
        <f t="shared" si="29"/>
        <v>25.330000000000002</v>
      </c>
      <c r="G75" s="144">
        <f>AF67</f>
        <v>15.880000000000003</v>
      </c>
      <c r="H75" s="146"/>
      <c r="I75" s="146"/>
      <c r="J75" s="146"/>
      <c r="K75" s="51" t="s">
        <v>21</v>
      </c>
      <c r="L75" s="75" t="s">
        <v>21</v>
      </c>
      <c r="V75" s="55"/>
      <c r="W75" s="51">
        <f t="shared" si="32"/>
        <v>4.1534103653503527</v>
      </c>
      <c r="X75" s="51">
        <f t="shared" si="33"/>
        <v>0.1</v>
      </c>
      <c r="Y75" s="51">
        <f t="shared" si="34"/>
        <v>5.0000000000000001E-4</v>
      </c>
      <c r="Z75" s="51">
        <f t="shared" si="30"/>
        <v>6.9444444444444441E-3</v>
      </c>
      <c r="AA75" s="56">
        <f t="shared" si="31"/>
        <v>10</v>
      </c>
      <c r="AB75" s="76"/>
      <c r="AC75" s="57"/>
      <c r="AF75" s="57"/>
    </row>
    <row r="76" spans="1:32" s="51" customFormat="1" ht="21.6" customHeight="1">
      <c r="A76" s="140"/>
      <c r="B76" s="140"/>
      <c r="C76" s="142"/>
      <c r="D76" s="143">
        <f t="shared" si="24"/>
        <v>2820</v>
      </c>
      <c r="E76" s="133">
        <f>D76/1440</f>
        <v>1.9583333333333333</v>
      </c>
      <c r="F76" s="144">
        <f t="shared" si="29"/>
        <v>25.330000000000002</v>
      </c>
      <c r="G76" s="144">
        <f>AF68</f>
        <v>15.880000000000003</v>
      </c>
      <c r="H76" s="146"/>
      <c r="I76" s="146"/>
      <c r="J76" s="146"/>
      <c r="K76" s="51" t="s">
        <v>21</v>
      </c>
      <c r="L76" s="75" t="s">
        <v>21</v>
      </c>
      <c r="V76" s="55"/>
      <c r="W76" s="51">
        <f t="shared" si="32"/>
        <v>4.1534103653503527</v>
      </c>
      <c r="X76" s="51">
        <f t="shared" si="33"/>
        <v>0.1</v>
      </c>
      <c r="Y76" s="51">
        <f t="shared" si="34"/>
        <v>5.0000000000000001E-4</v>
      </c>
      <c r="Z76" s="51">
        <f t="shared" si="30"/>
        <v>1.0416666666666666E-2</v>
      </c>
      <c r="AA76" s="56">
        <f t="shared" si="31"/>
        <v>15</v>
      </c>
      <c r="AB76" s="76"/>
      <c r="AC76" s="57"/>
      <c r="AF76" s="57"/>
    </row>
    <row r="77" spans="1:32" s="51" customFormat="1" ht="21.6" customHeight="1">
      <c r="A77" s="140"/>
      <c r="B77" s="140"/>
      <c r="C77" s="142">
        <f>$C$10+D77/1440</f>
        <v>45456.472222222219</v>
      </c>
      <c r="D77" s="143">
        <f>D76+60</f>
        <v>2880</v>
      </c>
      <c r="E77" s="133">
        <f>D77/1440</f>
        <v>2</v>
      </c>
      <c r="F77" s="145">
        <f t="shared" si="29"/>
        <v>25.330000000000002</v>
      </c>
      <c r="G77" s="144">
        <f>AF69</f>
        <v>15.880000000000003</v>
      </c>
      <c r="H77" s="146" t="s">
        <v>180</v>
      </c>
      <c r="I77" s="146"/>
      <c r="J77" s="146"/>
      <c r="K77" s="51" t="s">
        <v>21</v>
      </c>
      <c r="L77" s="75" t="s">
        <v>21</v>
      </c>
      <c r="V77" s="55"/>
      <c r="W77" s="51">
        <f t="shared" si="32"/>
        <v>4.1534103653503527</v>
      </c>
      <c r="X77" s="51">
        <f t="shared" si="33"/>
        <v>0.1</v>
      </c>
      <c r="Y77" s="51">
        <f t="shared" si="34"/>
        <v>5.0000000000000001E-4</v>
      </c>
      <c r="Z77" s="51">
        <f t="shared" si="30"/>
        <v>1.3888888888888888E-2</v>
      </c>
      <c r="AA77" s="56">
        <f t="shared" si="31"/>
        <v>20</v>
      </c>
      <c r="AB77" s="76"/>
      <c r="AC77" s="57"/>
      <c r="AF77" s="57"/>
    </row>
    <row r="78" spans="1:32" s="51" customFormat="1" ht="20.45" customHeight="1">
      <c r="A78" s="140">
        <v>2</v>
      </c>
      <c r="B78" s="140">
        <v>0</v>
      </c>
      <c r="C78" s="142">
        <f>$C$10+(D78+2880)/1440</f>
        <v>45456.472916666666</v>
      </c>
      <c r="D78" s="143">
        <v>1</v>
      </c>
      <c r="E78" s="133">
        <f t="shared" ref="E78:E101" si="35">D78/1440</f>
        <v>6.9444444444444447E-4</v>
      </c>
      <c r="F78" s="144">
        <f>G78+D$8</f>
        <v>20.232796980712919</v>
      </c>
      <c r="G78" s="144">
        <f>H114</f>
        <v>10.782796980712918</v>
      </c>
      <c r="H78" s="523" t="s">
        <v>191</v>
      </c>
      <c r="I78" s="523"/>
      <c r="J78" s="523"/>
      <c r="K78" s="51" t="s">
        <v>21</v>
      </c>
      <c r="L78" s="75"/>
      <c r="V78" s="55"/>
      <c r="W78" s="51">
        <f t="shared" si="32"/>
        <v>4.1534103653503527</v>
      </c>
      <c r="X78" s="51">
        <f t="shared" si="33"/>
        <v>0.1</v>
      </c>
      <c r="Y78" s="51">
        <f t="shared" si="34"/>
        <v>5.0000000000000001E-4</v>
      </c>
      <c r="Z78" s="51">
        <f t="shared" si="30"/>
        <v>1.7361111111111112E-2</v>
      </c>
      <c r="AA78" s="56">
        <f t="shared" si="31"/>
        <v>25</v>
      </c>
      <c r="AB78" s="76"/>
      <c r="AC78" s="57"/>
      <c r="AF78" s="57"/>
    </row>
    <row r="79" spans="1:32" s="51" customFormat="1" ht="20.45" customHeight="1">
      <c r="A79" s="140"/>
      <c r="B79" s="140"/>
      <c r="C79" s="140" t="s">
        <v>21</v>
      </c>
      <c r="D79" s="143">
        <v>2</v>
      </c>
      <c r="E79" s="133">
        <f t="shared" si="35"/>
        <v>1.3888888888888889E-3</v>
      </c>
      <c r="F79" s="144">
        <f t="shared" ref="F79:F101" si="36">G79+D$8</f>
        <v>19.374437782107812</v>
      </c>
      <c r="G79" s="144">
        <f>H115</f>
        <v>9.9244377821078142</v>
      </c>
      <c r="H79" s="523"/>
      <c r="I79" s="523"/>
      <c r="J79" s="523"/>
      <c r="K79" s="51" t="s">
        <v>21</v>
      </c>
      <c r="L79" s="75" t="s">
        <v>21</v>
      </c>
      <c r="V79" s="55"/>
      <c r="W79" s="51">
        <f t="shared" si="32"/>
        <v>4.1534103653503527</v>
      </c>
      <c r="X79" s="51">
        <f t="shared" si="33"/>
        <v>0.1</v>
      </c>
      <c r="Y79" s="51">
        <f t="shared" si="34"/>
        <v>5.0000000000000001E-4</v>
      </c>
      <c r="Z79" s="51">
        <f t="shared" si="30"/>
        <v>2.0833333333333332E-2</v>
      </c>
      <c r="AA79" s="56">
        <f t="shared" si="31"/>
        <v>30</v>
      </c>
      <c r="AB79" s="76"/>
      <c r="AC79" s="57"/>
      <c r="AF79" s="57"/>
    </row>
    <row r="80" spans="1:32" s="51" customFormat="1" ht="20.45" customHeight="1">
      <c r="A80" s="140"/>
      <c r="B80" s="140"/>
      <c r="C80" s="142" t="s">
        <v>21</v>
      </c>
      <c r="D80" s="143">
        <v>3</v>
      </c>
      <c r="E80" s="133">
        <f t="shared" si="35"/>
        <v>2.0833333333333333E-3</v>
      </c>
      <c r="F80" s="144">
        <f t="shared" si="36"/>
        <v>18.58440784122201</v>
      </c>
      <c r="G80" s="144">
        <f>H116</f>
        <v>9.1344078412220089</v>
      </c>
      <c r="H80" s="523"/>
      <c r="I80" s="523"/>
      <c r="J80" s="523"/>
      <c r="K80" s="51" t="s">
        <v>21</v>
      </c>
      <c r="L80" s="75" t="s">
        <v>21</v>
      </c>
      <c r="V80" s="55"/>
      <c r="W80" s="51">
        <f t="shared" si="32"/>
        <v>4.1534103653503527</v>
      </c>
      <c r="X80" s="51">
        <f t="shared" si="33"/>
        <v>0.1</v>
      </c>
      <c r="Y80" s="51">
        <f t="shared" si="34"/>
        <v>5.0000000000000001E-4</v>
      </c>
      <c r="Z80" s="51">
        <f>E90</f>
        <v>3.125E-2</v>
      </c>
      <c r="AA80" s="56">
        <f>D90</f>
        <v>45</v>
      </c>
      <c r="AB80" s="76"/>
      <c r="AC80" s="57"/>
      <c r="AF80" s="57"/>
    </row>
    <row r="81" spans="1:32" s="51" customFormat="1" ht="20.45" customHeight="1">
      <c r="A81" s="140"/>
      <c r="B81" s="140"/>
      <c r="C81" s="142" t="s">
        <v>21</v>
      </c>
      <c r="D81" s="143">
        <v>4</v>
      </c>
      <c r="E81" s="133">
        <f t="shared" si="35"/>
        <v>2.7777777777777779E-3</v>
      </c>
      <c r="F81" s="144">
        <f t="shared" si="36"/>
        <v>17.857267841429007</v>
      </c>
      <c r="G81" s="144">
        <f>H117</f>
        <v>8.4072678414290092</v>
      </c>
      <c r="H81" s="523"/>
      <c r="I81" s="523"/>
      <c r="J81" s="523"/>
      <c r="K81" s="51" t="s">
        <v>21</v>
      </c>
      <c r="L81" s="75" t="s">
        <v>21</v>
      </c>
      <c r="V81" s="55"/>
      <c r="W81" s="51">
        <f t="shared" si="32"/>
        <v>4.1534103653503527</v>
      </c>
      <c r="X81" s="51">
        <f t="shared" si="33"/>
        <v>0.1</v>
      </c>
      <c r="Y81" s="51">
        <f t="shared" si="34"/>
        <v>5.0000000000000001E-4</v>
      </c>
      <c r="Z81" s="51">
        <f>E93</f>
        <v>4.1666666666666664E-2</v>
      </c>
      <c r="AA81" s="56">
        <f>D93</f>
        <v>60</v>
      </c>
      <c r="AB81" s="76"/>
      <c r="AC81" s="57"/>
      <c r="AF81" s="57"/>
    </row>
    <row r="82" spans="1:32" s="51" customFormat="1" ht="20.45" customHeight="1">
      <c r="A82" s="140"/>
      <c r="B82" s="140"/>
      <c r="C82" s="142" t="s">
        <v>21</v>
      </c>
      <c r="D82" s="143">
        <v>5</v>
      </c>
      <c r="E82" s="133">
        <f t="shared" si="35"/>
        <v>3.472222222222222E-3</v>
      </c>
      <c r="F82" s="144">
        <f t="shared" si="36"/>
        <v>17.188011460201068</v>
      </c>
      <c r="G82" s="144">
        <f>H118</f>
        <v>7.7380114602010686</v>
      </c>
      <c r="H82" s="523"/>
      <c r="I82" s="523"/>
      <c r="J82" s="523"/>
      <c r="K82" s="51" t="s">
        <v>21</v>
      </c>
      <c r="L82" s="75" t="s">
        <v>21</v>
      </c>
      <c r="V82" s="55"/>
      <c r="W82" s="51">
        <f t="shared" si="32"/>
        <v>4.1534103653503527</v>
      </c>
      <c r="X82" s="51">
        <f t="shared" si="33"/>
        <v>0.1</v>
      </c>
      <c r="Y82" s="51">
        <f t="shared" si="34"/>
        <v>5.0000000000000001E-4</v>
      </c>
      <c r="Z82" s="51">
        <f>E97</f>
        <v>8.3333333333333329E-2</v>
      </c>
      <c r="AA82" s="56">
        <f>D97</f>
        <v>120</v>
      </c>
      <c r="AB82" s="76"/>
      <c r="AC82" s="57"/>
      <c r="AF82" s="57"/>
    </row>
    <row r="83" spans="1:32" s="51" customFormat="1" ht="20.45" customHeight="1">
      <c r="A83" s="140"/>
      <c r="B83" s="140"/>
      <c r="C83" s="142" t="s">
        <v>21</v>
      </c>
      <c r="D83" s="143">
        <v>10</v>
      </c>
      <c r="E83" s="133">
        <f t="shared" si="35"/>
        <v>6.9444444444444441E-3</v>
      </c>
      <c r="F83" s="144">
        <f t="shared" si="36"/>
        <v>15.483270868618019</v>
      </c>
      <c r="G83" s="144">
        <f>H121</f>
        <v>6.0332708686180201</v>
      </c>
      <c r="H83" s="523"/>
      <c r="I83" s="523"/>
      <c r="J83" s="523"/>
      <c r="K83" s="51" t="s">
        <v>21</v>
      </c>
      <c r="L83" s="75" t="s">
        <v>21</v>
      </c>
      <c r="V83" s="55"/>
      <c r="W83" s="51">
        <f t="shared" si="32"/>
        <v>4.1534103653503527</v>
      </c>
      <c r="X83" s="51">
        <f t="shared" si="33"/>
        <v>0.1</v>
      </c>
      <c r="Y83" s="51">
        <f t="shared" si="34"/>
        <v>5.0000000000000001E-4</v>
      </c>
      <c r="Z83" s="51">
        <f>E98</f>
        <v>0.125</v>
      </c>
      <c r="AA83" s="56">
        <f>D98</f>
        <v>180</v>
      </c>
      <c r="AB83" s="76"/>
      <c r="AC83" s="57"/>
      <c r="AF83" s="57"/>
    </row>
    <row r="84" spans="1:32" s="51" customFormat="1" ht="20.45" customHeight="1">
      <c r="A84" s="140"/>
      <c r="B84" s="140"/>
      <c r="C84" s="142" t="s">
        <v>21</v>
      </c>
      <c r="D84" s="143">
        <v>15</v>
      </c>
      <c r="E84" s="133">
        <f t="shared" si="35"/>
        <v>1.0416666666666666E-2</v>
      </c>
      <c r="F84" s="144">
        <f t="shared" si="36"/>
        <v>15.158681504824028</v>
      </c>
      <c r="G84" s="144">
        <f>H124</f>
        <v>5.7086815048240274</v>
      </c>
      <c r="H84" s="523"/>
      <c r="I84" s="523"/>
      <c r="J84" s="523"/>
      <c r="K84" s="51" t="s">
        <v>21</v>
      </c>
      <c r="L84" s="75" t="s">
        <v>21</v>
      </c>
      <c r="V84" s="55"/>
      <c r="AA84" s="56">
        <f>D99</f>
        <v>240</v>
      </c>
      <c r="AB84" s="76"/>
      <c r="AC84" s="57"/>
      <c r="AF84" s="57"/>
    </row>
    <row r="85" spans="1:32" s="51" customFormat="1" ht="20.45" customHeight="1">
      <c r="A85" s="140"/>
      <c r="B85" s="140"/>
      <c r="C85" s="142" t="s">
        <v>21</v>
      </c>
      <c r="D85" s="143">
        <v>20</v>
      </c>
      <c r="E85" s="133">
        <f t="shared" si="35"/>
        <v>1.3888888888888888E-2</v>
      </c>
      <c r="F85" s="144">
        <f t="shared" si="36"/>
        <v>14.285983204912011</v>
      </c>
      <c r="G85" s="144">
        <f>H126</f>
        <v>4.8359832049120115</v>
      </c>
      <c r="H85" s="523"/>
      <c r="I85" s="523"/>
      <c r="J85" s="523"/>
      <c r="K85" s="51" t="s">
        <v>21</v>
      </c>
      <c r="L85" s="75" t="s">
        <v>21</v>
      </c>
      <c r="V85" s="55"/>
      <c r="AA85" s="56">
        <f>D100</f>
        <v>300</v>
      </c>
      <c r="AB85" s="94"/>
      <c r="AF85" s="57"/>
    </row>
    <row r="86" spans="1:32" s="51" customFormat="1" ht="20.45" customHeight="1">
      <c r="A86" s="140"/>
      <c r="B86" s="140"/>
      <c r="C86" s="142" t="s">
        <v>21</v>
      </c>
      <c r="D86" s="143">
        <v>25</v>
      </c>
      <c r="E86" s="133">
        <f t="shared" si="35"/>
        <v>1.7361111111111112E-2</v>
      </c>
      <c r="F86" s="144">
        <f t="shared" si="36"/>
        <v>13.901017163572192</v>
      </c>
      <c r="G86" s="144">
        <f t="shared" ref="G86:G92" si="37">H127</f>
        <v>4.4510171635721916</v>
      </c>
      <c r="H86" s="523"/>
      <c r="I86" s="523"/>
      <c r="J86" s="523"/>
      <c r="K86" s="51" t="s">
        <v>21</v>
      </c>
      <c r="L86" s="75" t="s">
        <v>21</v>
      </c>
      <c r="V86" s="55"/>
      <c r="AA86" s="56">
        <f>D101</f>
        <v>360</v>
      </c>
      <c r="AB86" s="94"/>
      <c r="AF86" s="57"/>
    </row>
    <row r="87" spans="1:32" s="51" customFormat="1" ht="20.45" customHeight="1">
      <c r="A87" s="140"/>
      <c r="B87" s="140"/>
      <c r="C87" s="142" t="s">
        <v>21</v>
      </c>
      <c r="D87" s="143">
        <v>30</v>
      </c>
      <c r="E87" s="133">
        <f t="shared" si="35"/>
        <v>2.0833333333333332E-2</v>
      </c>
      <c r="F87" s="144">
        <f t="shared" si="36"/>
        <v>13.54669615276811</v>
      </c>
      <c r="G87" s="144">
        <f t="shared" si="37"/>
        <v>4.0966961527681098</v>
      </c>
      <c r="H87" s="523"/>
      <c r="I87" s="523"/>
      <c r="J87" s="523"/>
      <c r="K87" s="51" t="s">
        <v>21</v>
      </c>
      <c r="L87" s="75" t="s">
        <v>21</v>
      </c>
      <c r="V87" s="55" t="s">
        <v>21</v>
      </c>
      <c r="AA87" s="56" t="s">
        <v>21</v>
      </c>
      <c r="AB87" s="94"/>
    </row>
    <row r="88" spans="1:32" s="51" customFormat="1" ht="20.45" customHeight="1">
      <c r="A88" s="140"/>
      <c r="B88" s="140"/>
      <c r="C88" s="142"/>
      <c r="D88" s="143">
        <v>35</v>
      </c>
      <c r="E88" s="133">
        <f t="shared" si="35"/>
        <v>2.4305555555555556E-2</v>
      </c>
      <c r="F88" s="144">
        <f t="shared" si="36"/>
        <v>13.434971769034254</v>
      </c>
      <c r="G88" s="144">
        <f t="shared" si="37"/>
        <v>3.9849717690342552</v>
      </c>
      <c r="H88" s="523"/>
      <c r="I88" s="523"/>
      <c r="J88" s="523"/>
      <c r="L88" s="75"/>
      <c r="V88" s="55"/>
      <c r="AA88" s="56"/>
      <c r="AB88" s="94"/>
    </row>
    <row r="89" spans="1:32" s="51" customFormat="1" ht="20.45" customHeight="1">
      <c r="A89" s="140"/>
      <c r="B89" s="140"/>
      <c r="C89" s="142"/>
      <c r="D89" s="143">
        <v>40</v>
      </c>
      <c r="E89" s="133">
        <f t="shared" si="35"/>
        <v>2.7777777777777776E-2</v>
      </c>
      <c r="F89" s="144">
        <f t="shared" si="36"/>
        <v>13.326294313228475</v>
      </c>
      <c r="G89" s="144">
        <f t="shared" si="37"/>
        <v>3.8762943132284762</v>
      </c>
      <c r="H89" s="523"/>
      <c r="I89" s="523"/>
      <c r="J89" s="523"/>
      <c r="L89" s="75"/>
      <c r="V89" s="55"/>
      <c r="AA89" s="56"/>
      <c r="AB89" s="94"/>
    </row>
    <row r="90" spans="1:32" s="51" customFormat="1" ht="20.45" customHeight="1">
      <c r="A90" s="140"/>
      <c r="B90" s="140"/>
      <c r="C90" s="142" t="s">
        <v>21</v>
      </c>
      <c r="D90" s="143">
        <v>45</v>
      </c>
      <c r="E90" s="133">
        <f t="shared" si="35"/>
        <v>3.125E-2</v>
      </c>
      <c r="F90" s="144">
        <f t="shared" si="36"/>
        <v>13.220580690063166</v>
      </c>
      <c r="G90" s="144">
        <f t="shared" si="37"/>
        <v>3.7705806900631673</v>
      </c>
      <c r="H90" s="523"/>
      <c r="I90" s="523"/>
      <c r="J90" s="523"/>
      <c r="K90" s="51" t="s">
        <v>21</v>
      </c>
      <c r="L90" s="75" t="s">
        <v>21</v>
      </c>
      <c r="V90" s="55" t="s">
        <v>21</v>
      </c>
      <c r="AA90" s="56" t="s">
        <v>21</v>
      </c>
      <c r="AB90" s="94"/>
    </row>
    <row r="91" spans="1:32" s="51" customFormat="1" ht="20.45" customHeight="1">
      <c r="A91" s="140"/>
      <c r="B91" s="140"/>
      <c r="C91" s="142"/>
      <c r="D91" s="143">
        <v>50</v>
      </c>
      <c r="E91" s="133">
        <f t="shared" si="35"/>
        <v>3.4722222222222224E-2</v>
      </c>
      <c r="F91" s="144">
        <f t="shared" si="36"/>
        <v>13.11775007041093</v>
      </c>
      <c r="G91" s="144">
        <f t="shared" si="37"/>
        <v>3.6677500704109298</v>
      </c>
      <c r="H91" s="523"/>
      <c r="I91" s="523"/>
      <c r="J91" s="523"/>
      <c r="L91" s="75"/>
      <c r="V91" s="55"/>
      <c r="AA91" s="56"/>
      <c r="AB91" s="94"/>
    </row>
    <row r="92" spans="1:32" s="51" customFormat="1" ht="20.45" customHeight="1">
      <c r="A92" s="140"/>
      <c r="B92" s="140"/>
      <c r="C92" s="142"/>
      <c r="D92" s="143">
        <v>55</v>
      </c>
      <c r="E92" s="133">
        <f t="shared" si="35"/>
        <v>3.8194444444444448E-2</v>
      </c>
      <c r="F92" s="144">
        <f t="shared" si="36"/>
        <v>13.017723829502245</v>
      </c>
      <c r="G92" s="144">
        <f t="shared" si="37"/>
        <v>3.5677238295022455</v>
      </c>
      <c r="H92" s="523"/>
      <c r="I92" s="523"/>
      <c r="J92" s="523"/>
      <c r="L92" s="75"/>
      <c r="V92" s="55"/>
      <c r="AA92" s="56"/>
      <c r="AB92" s="94"/>
    </row>
    <row r="93" spans="1:32" s="51" customFormat="1" ht="20.45" customHeight="1">
      <c r="A93" s="140"/>
      <c r="B93" s="140"/>
      <c r="C93" s="142">
        <f>$C$10+(D93+2880)/1440</f>
        <v>45456.513888888883</v>
      </c>
      <c r="D93" s="143">
        <v>60</v>
      </c>
      <c r="E93" s="133">
        <f t="shared" si="35"/>
        <v>4.1666666666666664E-2</v>
      </c>
      <c r="F93" s="144">
        <f t="shared" si="36"/>
        <v>12.920425486808609</v>
      </c>
      <c r="G93" s="144">
        <f>H134</f>
        <v>3.4704254868086104</v>
      </c>
      <c r="H93" s="523"/>
      <c r="I93" s="523"/>
      <c r="J93" s="523"/>
      <c r="K93" s="51" t="s">
        <v>21</v>
      </c>
      <c r="L93" s="75" t="s">
        <v>21</v>
      </c>
      <c r="V93" s="55" t="s">
        <v>21</v>
      </c>
      <c r="AA93" s="56" t="s">
        <v>21</v>
      </c>
      <c r="AB93" s="94"/>
    </row>
    <row r="94" spans="1:32" s="51" customFormat="1" ht="20.45" customHeight="1">
      <c r="A94" s="140"/>
      <c r="B94" s="140"/>
      <c r="C94" s="142"/>
      <c r="D94" s="143">
        <v>75</v>
      </c>
      <c r="E94" s="133">
        <f t="shared" si="35"/>
        <v>5.2083333333333336E-2</v>
      </c>
      <c r="F94" s="144">
        <f t="shared" si="36"/>
        <v>12.825780647565169</v>
      </c>
      <c r="G94" s="144">
        <f>H135</f>
        <v>3.3757806475651706</v>
      </c>
      <c r="H94" s="523"/>
      <c r="I94" s="523"/>
      <c r="J94" s="523"/>
      <c r="L94" s="75"/>
      <c r="V94" s="55"/>
      <c r="AA94" s="56"/>
      <c r="AB94" s="94"/>
    </row>
    <row r="95" spans="1:32" s="51" customFormat="1" ht="20.45" customHeight="1">
      <c r="A95" s="140"/>
      <c r="B95" s="140"/>
      <c r="C95" s="142"/>
      <c r="D95" s="143">
        <v>90</v>
      </c>
      <c r="E95" s="133">
        <f t="shared" si="35"/>
        <v>6.25E-2</v>
      </c>
      <c r="F95" s="144">
        <f t="shared" si="36"/>
        <v>12.733716945888137</v>
      </c>
      <c r="G95" s="144">
        <f>H136</f>
        <v>3.2837169458881377</v>
      </c>
      <c r="H95" s="523"/>
      <c r="I95" s="523"/>
      <c r="J95" s="523"/>
      <c r="L95" s="75"/>
      <c r="V95" s="55"/>
      <c r="AA95" s="56"/>
      <c r="AB95" s="94"/>
    </row>
    <row r="96" spans="1:32" s="51" customFormat="1" ht="20.45" customHeight="1">
      <c r="A96" s="140"/>
      <c r="B96" s="140"/>
      <c r="C96" s="142"/>
      <c r="D96" s="143">
        <v>105</v>
      </c>
      <c r="E96" s="133">
        <f t="shared" si="35"/>
        <v>7.2916666666666671E-2</v>
      </c>
      <c r="F96" s="144">
        <f t="shared" si="36"/>
        <v>12.644163989443497</v>
      </c>
      <c r="G96" s="144">
        <f>H137</f>
        <v>3.194163989443497</v>
      </c>
      <c r="H96" s="523"/>
      <c r="I96" s="523"/>
      <c r="J96" s="523"/>
      <c r="L96" s="75"/>
      <c r="V96" s="55"/>
      <c r="AA96" s="56"/>
      <c r="AB96" s="94"/>
    </row>
    <row r="97" spans="1:28" s="51" customFormat="1" ht="20.45" customHeight="1">
      <c r="A97" s="140"/>
      <c r="B97" s="140"/>
      <c r="C97" s="142">
        <f>$C$10+(D97+2880)/1440</f>
        <v>45456.555555555555</v>
      </c>
      <c r="D97" s="143">
        <v>120</v>
      </c>
      <c r="E97" s="133">
        <f t="shared" si="35"/>
        <v>8.3333333333333329E-2</v>
      </c>
      <c r="F97" s="144">
        <f t="shared" si="36"/>
        <v>12.389894151376794</v>
      </c>
      <c r="G97" s="144">
        <f>H138</f>
        <v>2.9398941513767949</v>
      </c>
      <c r="H97" s="523"/>
      <c r="I97" s="523"/>
      <c r="J97" s="523"/>
      <c r="K97" s="51" t="s">
        <v>21</v>
      </c>
      <c r="L97" s="75" t="s">
        <v>21</v>
      </c>
      <c r="V97" s="55" t="s">
        <v>21</v>
      </c>
      <c r="AA97" s="56" t="s">
        <v>21</v>
      </c>
      <c r="AB97" s="94"/>
    </row>
    <row r="98" spans="1:28" s="51" customFormat="1" ht="20.45" customHeight="1">
      <c r="A98" s="140"/>
      <c r="B98" s="140"/>
      <c r="C98" s="142" t="s">
        <v>21</v>
      </c>
      <c r="D98" s="143">
        <v>180</v>
      </c>
      <c r="E98" s="133">
        <f t="shared" si="35"/>
        <v>0.125</v>
      </c>
      <c r="F98" s="144">
        <f t="shared" si="36"/>
        <v>12.309717870281746</v>
      </c>
      <c r="G98" s="144">
        <f>H140</f>
        <v>2.859717870281747</v>
      </c>
      <c r="H98" s="523"/>
      <c r="I98" s="523"/>
      <c r="J98" s="523"/>
      <c r="K98" s="80"/>
      <c r="L98" s="75" t="s">
        <v>21</v>
      </c>
      <c r="V98" s="55" t="str">
        <f t="shared" ref="V98:V103" si="38">V97</f>
        <v xml:space="preserve"> </v>
      </c>
      <c r="AA98" s="56" t="s">
        <v>21</v>
      </c>
      <c r="AB98" s="94"/>
    </row>
    <row r="99" spans="1:28" s="51" customFormat="1" ht="20.45" customHeight="1">
      <c r="A99" s="140"/>
      <c r="B99" s="140"/>
      <c r="C99" s="142">
        <f>$C$10+(D99+2880)/1440</f>
        <v>45456.638888888883</v>
      </c>
      <c r="D99" s="143">
        <v>240</v>
      </c>
      <c r="E99" s="133">
        <f t="shared" si="35"/>
        <v>0.16666666666666666</v>
      </c>
      <c r="F99" s="144">
        <f t="shared" si="36"/>
        <v>11.872546708864883</v>
      </c>
      <c r="G99" s="144">
        <f>H142</f>
        <v>2.4225467088648833</v>
      </c>
      <c r="H99" s="523"/>
      <c r="I99" s="523"/>
      <c r="J99" s="523"/>
      <c r="V99" s="55" t="str">
        <f t="shared" si="38"/>
        <v xml:space="preserve"> </v>
      </c>
      <c r="AA99" s="56" t="s">
        <v>21</v>
      </c>
      <c r="AB99" s="94"/>
    </row>
    <row r="100" spans="1:28" s="51" customFormat="1" ht="20.45" customHeight="1">
      <c r="A100" s="140"/>
      <c r="B100" s="140"/>
      <c r="C100" s="142" t="s">
        <v>21</v>
      </c>
      <c r="D100" s="143">
        <v>300</v>
      </c>
      <c r="E100" s="133">
        <f t="shared" si="35"/>
        <v>0.20833333333333334</v>
      </c>
      <c r="F100" s="144">
        <f t="shared" si="36"/>
        <v>11.502206833974805</v>
      </c>
      <c r="G100" s="144">
        <f>H144</f>
        <v>2.0522068339748056</v>
      </c>
      <c r="H100" s="523"/>
      <c r="I100" s="523"/>
      <c r="J100" s="523"/>
      <c r="V100" s="55" t="str">
        <f t="shared" si="38"/>
        <v xml:space="preserve"> </v>
      </c>
      <c r="AA100" s="56" t="s">
        <v>21</v>
      </c>
      <c r="AB100" s="94"/>
    </row>
    <row r="101" spans="1:28" s="51" customFormat="1" ht="20.45" customHeight="1">
      <c r="A101" s="140"/>
      <c r="B101" s="140"/>
      <c r="C101" s="142">
        <f>$C$10+(D101+2880)/1440</f>
        <v>45456.722222222219</v>
      </c>
      <c r="D101" s="143">
        <v>360</v>
      </c>
      <c r="E101" s="133">
        <f t="shared" si="35"/>
        <v>0.25</v>
      </c>
      <c r="F101" s="145">
        <f t="shared" si="36"/>
        <v>11.18848160450383</v>
      </c>
      <c r="G101" s="148">
        <f>H146</f>
        <v>1.7384816045038303</v>
      </c>
      <c r="H101" s="523"/>
      <c r="I101" s="523"/>
      <c r="J101" s="523"/>
      <c r="V101" s="55" t="str">
        <f t="shared" si="38"/>
        <v xml:space="preserve"> </v>
      </c>
      <c r="AA101" s="56" t="s">
        <v>21</v>
      </c>
      <c r="AB101" s="94"/>
    </row>
    <row r="102" spans="1:28" s="51" customFormat="1" ht="17.25" customHeight="1">
      <c r="D102" s="95"/>
      <c r="V102" s="55" t="str">
        <f t="shared" si="38"/>
        <v xml:space="preserve"> </v>
      </c>
      <c r="AA102" s="56" t="s">
        <v>21</v>
      </c>
      <c r="AB102" s="94"/>
    </row>
    <row r="103" spans="1:28" s="51" customFormat="1" ht="17.25" customHeight="1">
      <c r="D103" s="95"/>
      <c r="V103" s="55" t="str">
        <f t="shared" si="38"/>
        <v xml:space="preserve"> </v>
      </c>
      <c r="AA103" s="56"/>
      <c r="AB103" s="94"/>
    </row>
    <row r="104" spans="1:28" s="51" customFormat="1" ht="17.25" customHeight="1">
      <c r="D104" s="95"/>
      <c r="AA104" s="56"/>
      <c r="AB104" s="94"/>
    </row>
    <row r="105" spans="1:28" s="51" customFormat="1" ht="17.25" customHeight="1">
      <c r="D105" s="95"/>
      <c r="AA105" s="56"/>
      <c r="AB105" s="94"/>
    </row>
    <row r="106" spans="1:28" s="51" customFormat="1" ht="17.25" customHeight="1">
      <c r="AA106" s="56"/>
      <c r="AB106" s="94"/>
    </row>
    <row r="107" spans="1:28" s="51" customFormat="1" ht="17.25" customHeight="1">
      <c r="AA107" s="56"/>
      <c r="AB107" s="94"/>
    </row>
    <row r="108" spans="1:28" s="51" customFormat="1" ht="17.25" customHeight="1">
      <c r="AA108" s="56"/>
      <c r="AB108" s="94"/>
    </row>
    <row r="109" spans="1:28" s="51" customFormat="1" ht="17.25" customHeight="1">
      <c r="A109" s="331"/>
      <c r="B109" s="331"/>
      <c r="C109" s="331"/>
      <c r="D109" s="331"/>
      <c r="E109" s="331"/>
      <c r="F109" s="331"/>
      <c r="G109" s="331"/>
      <c r="H109" s="331"/>
      <c r="I109" s="331"/>
      <c r="J109" s="331"/>
      <c r="AA109" s="56"/>
      <c r="AB109" s="94"/>
    </row>
    <row r="110" spans="1:28" s="51" customFormat="1" ht="17.25" customHeight="1">
      <c r="A110" s="331"/>
      <c r="B110" s="331"/>
      <c r="C110" s="332">
        <v>3</v>
      </c>
      <c r="D110" s="333">
        <f>G77</f>
        <v>15.880000000000003</v>
      </c>
      <c r="E110" s="331"/>
      <c r="F110" s="334" t="s">
        <v>192</v>
      </c>
      <c r="G110" s="331"/>
      <c r="H110" s="335" t="s">
        <v>193</v>
      </c>
      <c r="I110" s="336"/>
      <c r="J110" s="331"/>
      <c r="AA110" s="56"/>
      <c r="AB110" s="94"/>
    </row>
    <row r="111" spans="1:28" s="51" customFormat="1" ht="17.25" hidden="1" customHeight="1">
      <c r="A111" s="331"/>
      <c r="B111" s="331">
        <v>1</v>
      </c>
      <c r="C111" s="331">
        <v>95</v>
      </c>
      <c r="D111" s="337">
        <f>D110</f>
        <v>15.880000000000003</v>
      </c>
      <c r="E111" s="338">
        <f>C111/100</f>
        <v>0.95</v>
      </c>
      <c r="F111" s="339" t="s">
        <v>21</v>
      </c>
      <c r="G111" s="331">
        <v>1</v>
      </c>
      <c r="H111" s="340">
        <f t="shared" ref="H111:H146" si="39">D111^E111</f>
        <v>13.829547591469272</v>
      </c>
      <c r="I111" s="341"/>
      <c r="J111" s="331"/>
      <c r="AA111" s="56"/>
      <c r="AB111" s="94"/>
    </row>
    <row r="112" spans="1:28" s="51" customFormat="1" ht="17.25" hidden="1" customHeight="1">
      <c r="A112" s="331"/>
      <c r="B112" s="331">
        <v>2</v>
      </c>
      <c r="C112" s="331">
        <f t="shared" ref="C112:C119" si="40">C111-C$110</f>
        <v>92</v>
      </c>
      <c r="D112" s="336">
        <f>D111</f>
        <v>15.880000000000003</v>
      </c>
      <c r="E112" s="338">
        <f t="shared" ref="E112:E141" si="41">C112/100</f>
        <v>0.92</v>
      </c>
      <c r="F112" s="342"/>
      <c r="G112" s="331">
        <v>2</v>
      </c>
      <c r="H112" s="340">
        <f t="shared" si="39"/>
        <v>12.728653323598166</v>
      </c>
      <c r="I112" s="341"/>
      <c r="J112" s="343">
        <f>H111-H112</f>
        <v>1.1008942678711051</v>
      </c>
      <c r="AA112" s="56"/>
      <c r="AB112" s="94"/>
    </row>
    <row r="113" spans="1:28" s="51" customFormat="1" ht="17.25" hidden="1" customHeight="1">
      <c r="A113" s="331"/>
      <c r="B113" s="331">
        <v>3</v>
      </c>
      <c r="C113" s="331">
        <f t="shared" si="40"/>
        <v>89</v>
      </c>
      <c r="D113" s="336">
        <f t="shared" ref="D113:D146" si="42">D112</f>
        <v>15.880000000000003</v>
      </c>
      <c r="E113" s="338">
        <f t="shared" si="41"/>
        <v>0.89</v>
      </c>
      <c r="F113" s="339" t="s">
        <v>21</v>
      </c>
      <c r="G113" s="331">
        <v>3</v>
      </c>
      <c r="H113" s="340">
        <f t="shared" si="39"/>
        <v>11.715395197185446</v>
      </c>
      <c r="I113" s="341"/>
      <c r="J113" s="343">
        <f t="shared" ref="J113:J146" si="43">H112-H113</f>
        <v>1.0132581264127207</v>
      </c>
      <c r="AA113" s="56"/>
      <c r="AB113" s="94"/>
    </row>
    <row r="114" spans="1:28" s="51" customFormat="1" ht="17.25" customHeight="1">
      <c r="A114" s="331"/>
      <c r="B114" s="331">
        <v>4</v>
      </c>
      <c r="C114" s="331">
        <f t="shared" si="40"/>
        <v>86</v>
      </c>
      <c r="D114" s="336">
        <f t="shared" si="42"/>
        <v>15.880000000000003</v>
      </c>
      <c r="E114" s="338">
        <f t="shared" si="41"/>
        <v>0.86</v>
      </c>
      <c r="F114" s="342">
        <v>1</v>
      </c>
      <c r="G114" s="344">
        <v>4</v>
      </c>
      <c r="H114" s="345">
        <f t="shared" si="39"/>
        <v>10.782796980712918</v>
      </c>
      <c r="I114" s="346"/>
      <c r="J114" s="343">
        <f t="shared" si="43"/>
        <v>0.9325982164725275</v>
      </c>
      <c r="AA114" s="56"/>
      <c r="AB114" s="94"/>
    </row>
    <row r="115" spans="1:28" s="51" customFormat="1" ht="17.25" customHeight="1">
      <c r="A115" s="331"/>
      <c r="B115" s="331">
        <v>5</v>
      </c>
      <c r="C115" s="331">
        <f t="shared" si="40"/>
        <v>83</v>
      </c>
      <c r="D115" s="336">
        <f t="shared" si="42"/>
        <v>15.880000000000003</v>
      </c>
      <c r="E115" s="338">
        <f t="shared" si="41"/>
        <v>0.83</v>
      </c>
      <c r="F115" s="342">
        <v>2</v>
      </c>
      <c r="G115" s="344">
        <v>5</v>
      </c>
      <c r="H115" s="345">
        <f t="shared" si="39"/>
        <v>9.9244377821078142</v>
      </c>
      <c r="I115" s="346"/>
      <c r="J115" s="343">
        <f t="shared" si="43"/>
        <v>0.85835919860510401</v>
      </c>
      <c r="AA115" s="56"/>
      <c r="AB115" s="94"/>
    </row>
    <row r="116" spans="1:28" s="51" customFormat="1" ht="17.25" customHeight="1">
      <c r="A116" s="331"/>
      <c r="B116" s="331">
        <v>6</v>
      </c>
      <c r="C116" s="331">
        <f t="shared" si="40"/>
        <v>80</v>
      </c>
      <c r="D116" s="336">
        <f t="shared" si="42"/>
        <v>15.880000000000003</v>
      </c>
      <c r="E116" s="338">
        <f t="shared" si="41"/>
        <v>0.8</v>
      </c>
      <c r="F116" s="342">
        <v>3</v>
      </c>
      <c r="G116" s="344">
        <v>6</v>
      </c>
      <c r="H116" s="345">
        <f t="shared" si="39"/>
        <v>9.1344078412220089</v>
      </c>
      <c r="I116" s="346"/>
      <c r="J116" s="343">
        <f t="shared" si="43"/>
        <v>0.79002994088580536</v>
      </c>
      <c r="AA116" s="56"/>
      <c r="AB116" s="94"/>
    </row>
    <row r="117" spans="1:28" s="51" customFormat="1" ht="17.25" customHeight="1">
      <c r="A117" s="331"/>
      <c r="B117" s="331">
        <v>7</v>
      </c>
      <c r="C117" s="331">
        <f t="shared" si="40"/>
        <v>77</v>
      </c>
      <c r="D117" s="336">
        <f t="shared" si="42"/>
        <v>15.880000000000003</v>
      </c>
      <c r="E117" s="338">
        <f t="shared" si="41"/>
        <v>0.77</v>
      </c>
      <c r="F117" s="342">
        <v>4</v>
      </c>
      <c r="G117" s="344">
        <v>7</v>
      </c>
      <c r="H117" s="345">
        <f t="shared" si="39"/>
        <v>8.4072678414290092</v>
      </c>
      <c r="I117" s="346"/>
      <c r="J117" s="343">
        <f t="shared" si="43"/>
        <v>0.7271399997929997</v>
      </c>
      <c r="AA117" s="56"/>
      <c r="AB117" s="94"/>
    </row>
    <row r="118" spans="1:28" s="51" customFormat="1" ht="17.25" customHeight="1">
      <c r="A118" s="331"/>
      <c r="B118" s="331">
        <v>8</v>
      </c>
      <c r="C118" s="331">
        <f t="shared" si="40"/>
        <v>74</v>
      </c>
      <c r="D118" s="336">
        <f t="shared" si="42"/>
        <v>15.880000000000003</v>
      </c>
      <c r="E118" s="338">
        <f t="shared" si="41"/>
        <v>0.74</v>
      </c>
      <c r="F118" s="342">
        <v>5</v>
      </c>
      <c r="G118" s="344">
        <v>8</v>
      </c>
      <c r="H118" s="345">
        <f t="shared" si="39"/>
        <v>7.7380114602010686</v>
      </c>
      <c r="I118" s="346"/>
      <c r="J118" s="343">
        <f t="shared" si="43"/>
        <v>0.66925638122794062</v>
      </c>
      <c r="AA118" s="56"/>
      <c r="AB118" s="94"/>
    </row>
    <row r="119" spans="1:28" s="51" customFormat="1" ht="17.25" hidden="1" customHeight="1">
      <c r="A119" s="331"/>
      <c r="B119" s="331">
        <v>9</v>
      </c>
      <c r="C119" s="331">
        <f t="shared" si="40"/>
        <v>71</v>
      </c>
      <c r="D119" s="336">
        <f t="shared" si="42"/>
        <v>15.880000000000003</v>
      </c>
      <c r="E119" s="338">
        <f t="shared" si="41"/>
        <v>0.71</v>
      </c>
      <c r="F119" s="339"/>
      <c r="G119" s="331">
        <v>9</v>
      </c>
      <c r="H119" s="347">
        <f t="shared" si="39"/>
        <v>7.1220309008289719</v>
      </c>
      <c r="I119" s="348"/>
      <c r="J119" s="343">
        <f t="shared" si="43"/>
        <v>0.61598055937209661</v>
      </c>
      <c r="AA119" s="56"/>
      <c r="AB119" s="94"/>
    </row>
    <row r="120" spans="1:28" s="51" customFormat="1" ht="17.25" hidden="1" customHeight="1">
      <c r="A120" s="331">
        <f>C110</f>
        <v>3</v>
      </c>
      <c r="B120" s="331">
        <v>10</v>
      </c>
      <c r="C120" s="331">
        <f>C119-A$120</f>
        <v>68</v>
      </c>
      <c r="D120" s="336">
        <f t="shared" si="42"/>
        <v>15.880000000000003</v>
      </c>
      <c r="E120" s="338">
        <f t="shared" si="41"/>
        <v>0.68</v>
      </c>
      <c r="F120" s="339" t="s">
        <v>21</v>
      </c>
      <c r="G120" s="331">
        <v>10</v>
      </c>
      <c r="H120" s="340">
        <f t="shared" si="39"/>
        <v>6.5550851679721758</v>
      </c>
      <c r="I120" s="341"/>
      <c r="J120" s="343">
        <f t="shared" si="43"/>
        <v>0.56694573285679617</v>
      </c>
      <c r="AA120" s="56"/>
      <c r="AB120" s="94"/>
    </row>
    <row r="121" spans="1:28" s="51" customFormat="1" ht="17.25" customHeight="1">
      <c r="A121" s="331"/>
      <c r="B121" s="331">
        <v>11</v>
      </c>
      <c r="C121" s="331">
        <f t="shared" ref="C121:C128" si="44">C120-A$120</f>
        <v>65</v>
      </c>
      <c r="D121" s="336">
        <f t="shared" si="42"/>
        <v>15.880000000000003</v>
      </c>
      <c r="E121" s="338">
        <f t="shared" si="41"/>
        <v>0.65</v>
      </c>
      <c r="F121" s="342">
        <v>10</v>
      </c>
      <c r="G121" s="344">
        <v>12</v>
      </c>
      <c r="H121" s="345">
        <f t="shared" si="39"/>
        <v>6.0332708686180201</v>
      </c>
      <c r="I121" s="346"/>
      <c r="J121" s="343">
        <f t="shared" si="43"/>
        <v>0.52181429935415569</v>
      </c>
      <c r="AA121" s="56"/>
      <c r="AB121" s="94"/>
    </row>
    <row r="122" spans="1:28" s="51" customFormat="1" ht="17.25" hidden="1" customHeight="1">
      <c r="A122" s="331"/>
      <c r="B122" s="331">
        <v>12</v>
      </c>
      <c r="C122" s="331">
        <f t="shared" si="44"/>
        <v>62</v>
      </c>
      <c r="D122" s="336">
        <f t="shared" si="42"/>
        <v>15.880000000000003</v>
      </c>
      <c r="E122" s="338">
        <f t="shared" si="41"/>
        <v>0.62</v>
      </c>
      <c r="F122" s="339"/>
      <c r="G122" s="331">
        <v>14</v>
      </c>
      <c r="H122" s="340">
        <f t="shared" si="39"/>
        <v>5.5529953374160863</v>
      </c>
      <c r="I122" s="341"/>
      <c r="J122" s="343">
        <f t="shared" si="43"/>
        <v>0.48027553120193378</v>
      </c>
      <c r="AA122" s="56"/>
      <c r="AB122" s="94"/>
    </row>
    <row r="123" spans="1:28" s="51" customFormat="1" ht="17.25" hidden="1" customHeight="1">
      <c r="A123" s="331"/>
      <c r="B123" s="331"/>
      <c r="C123" s="331">
        <v>37</v>
      </c>
      <c r="D123" s="336">
        <f t="shared" si="42"/>
        <v>15.880000000000003</v>
      </c>
      <c r="E123" s="338">
        <f t="shared" si="41"/>
        <v>0.37</v>
      </c>
      <c r="F123" s="339"/>
      <c r="G123" s="331">
        <v>15</v>
      </c>
      <c r="H123" s="340">
        <f t="shared" si="39"/>
        <v>2.7817281427560583</v>
      </c>
      <c r="I123" s="341"/>
      <c r="J123" s="343">
        <f t="shared" si="43"/>
        <v>2.771267194660028</v>
      </c>
      <c r="AA123" s="56"/>
      <c r="AB123" s="94"/>
    </row>
    <row r="124" spans="1:28" s="51" customFormat="1" ht="17.25" customHeight="1">
      <c r="A124" s="331"/>
      <c r="B124" s="331">
        <v>13</v>
      </c>
      <c r="C124" s="331">
        <v>63</v>
      </c>
      <c r="D124" s="336">
        <f t="shared" si="42"/>
        <v>15.880000000000003</v>
      </c>
      <c r="E124" s="338">
        <f t="shared" si="41"/>
        <v>0.63</v>
      </c>
      <c r="F124" s="342">
        <v>15</v>
      </c>
      <c r="G124" s="344">
        <v>16</v>
      </c>
      <c r="H124" s="345">
        <f t="shared" si="39"/>
        <v>5.7086815048240274</v>
      </c>
      <c r="I124" s="346"/>
      <c r="J124" s="343">
        <f t="shared" si="43"/>
        <v>-2.9269533620679691</v>
      </c>
      <c r="AA124" s="56"/>
      <c r="AB124" s="94"/>
    </row>
    <row r="125" spans="1:28" s="51" customFormat="1" ht="17.25" hidden="1" customHeight="1">
      <c r="A125" s="331"/>
      <c r="B125" s="331">
        <v>14</v>
      </c>
      <c r="C125" s="331">
        <f t="shared" si="44"/>
        <v>60</v>
      </c>
      <c r="D125" s="336">
        <f t="shared" si="42"/>
        <v>15.880000000000003</v>
      </c>
      <c r="E125" s="338">
        <f t="shared" si="41"/>
        <v>0.6</v>
      </c>
      <c r="F125" s="339"/>
      <c r="G125" s="331">
        <v>18</v>
      </c>
      <c r="H125" s="340">
        <f t="shared" si="39"/>
        <v>5.2542447487265775</v>
      </c>
      <c r="I125" s="341"/>
      <c r="J125" s="343">
        <f t="shared" si="43"/>
        <v>0.45443675609744982</v>
      </c>
      <c r="AA125" s="56"/>
      <c r="AB125" s="94"/>
    </row>
    <row r="126" spans="1:28" s="51" customFormat="1" ht="17.25" customHeight="1">
      <c r="A126" s="331"/>
      <c r="B126" s="331">
        <v>15</v>
      </c>
      <c r="C126" s="331">
        <f t="shared" si="44"/>
        <v>57</v>
      </c>
      <c r="D126" s="336">
        <f t="shared" si="42"/>
        <v>15.880000000000003</v>
      </c>
      <c r="E126" s="338">
        <f t="shared" si="41"/>
        <v>0.56999999999999995</v>
      </c>
      <c r="F126" s="342">
        <v>20</v>
      </c>
      <c r="G126" s="344">
        <v>20</v>
      </c>
      <c r="H126" s="345">
        <f t="shared" si="39"/>
        <v>4.8359832049120115</v>
      </c>
      <c r="I126" s="346"/>
      <c r="J126" s="343">
        <f t="shared" si="43"/>
        <v>0.41826154381456604</v>
      </c>
      <c r="AA126" s="56"/>
      <c r="AB126" s="94"/>
    </row>
    <row r="127" spans="1:28" s="51" customFormat="1" ht="17.25" customHeight="1">
      <c r="A127" s="331"/>
      <c r="B127" s="331">
        <v>16</v>
      </c>
      <c r="C127" s="331">
        <f t="shared" si="44"/>
        <v>54</v>
      </c>
      <c r="D127" s="336">
        <f t="shared" si="42"/>
        <v>15.880000000000003</v>
      </c>
      <c r="E127" s="338">
        <f t="shared" si="41"/>
        <v>0.54</v>
      </c>
      <c r="F127" s="342">
        <v>25</v>
      </c>
      <c r="G127" s="344">
        <v>25</v>
      </c>
      <c r="H127" s="345">
        <f t="shared" si="39"/>
        <v>4.4510171635721916</v>
      </c>
      <c r="I127" s="346"/>
      <c r="J127" s="343">
        <f t="shared" si="43"/>
        <v>0.38496604133981993</v>
      </c>
      <c r="AA127" s="56"/>
      <c r="AB127" s="94"/>
    </row>
    <row r="128" spans="1:28" s="51" customFormat="1" ht="17.25" customHeight="1">
      <c r="A128" s="331"/>
      <c r="B128" s="331">
        <v>17</v>
      </c>
      <c r="C128" s="331">
        <f t="shared" si="44"/>
        <v>51</v>
      </c>
      <c r="D128" s="336">
        <f t="shared" si="42"/>
        <v>15.880000000000003</v>
      </c>
      <c r="E128" s="338">
        <f t="shared" si="41"/>
        <v>0.51</v>
      </c>
      <c r="F128" s="342">
        <v>30</v>
      </c>
      <c r="G128" s="344">
        <v>30</v>
      </c>
      <c r="H128" s="345">
        <f>D128^E128</f>
        <v>4.0966961527681098</v>
      </c>
      <c r="I128" s="346"/>
      <c r="J128" s="343">
        <f t="shared" si="43"/>
        <v>0.35432101080408174</v>
      </c>
      <c r="AA128" s="56"/>
      <c r="AB128" s="94"/>
    </row>
    <row r="129" spans="1:28" s="51" customFormat="1" ht="17.25" customHeight="1">
      <c r="A129" s="331"/>
      <c r="B129" s="331"/>
      <c r="C129" s="331">
        <v>50</v>
      </c>
      <c r="D129" s="336">
        <f t="shared" si="42"/>
        <v>15.880000000000003</v>
      </c>
      <c r="E129" s="338">
        <f t="shared" si="41"/>
        <v>0.5</v>
      </c>
      <c r="F129" s="342">
        <v>35</v>
      </c>
      <c r="G129" s="344">
        <v>35</v>
      </c>
      <c r="H129" s="345">
        <f t="shared" si="39"/>
        <v>3.9849717690342552</v>
      </c>
      <c r="I129" s="346"/>
      <c r="J129" s="343">
        <f t="shared" si="43"/>
        <v>0.11172438373385463</v>
      </c>
      <c r="AA129" s="56"/>
      <c r="AB129" s="94"/>
    </row>
    <row r="130" spans="1:28" s="51" customFormat="1" ht="17.25" customHeight="1">
      <c r="A130" s="331"/>
      <c r="B130" s="331"/>
      <c r="C130" s="331">
        <v>49</v>
      </c>
      <c r="D130" s="336">
        <f t="shared" si="42"/>
        <v>15.880000000000003</v>
      </c>
      <c r="E130" s="338">
        <f t="shared" si="41"/>
        <v>0.49</v>
      </c>
      <c r="F130" s="342">
        <v>40</v>
      </c>
      <c r="G130" s="344">
        <v>40</v>
      </c>
      <c r="H130" s="345">
        <f t="shared" si="39"/>
        <v>3.8762943132284762</v>
      </c>
      <c r="I130" s="346"/>
      <c r="J130" s="343">
        <f t="shared" si="43"/>
        <v>0.10867745580577903</v>
      </c>
      <c r="AA130" s="56"/>
      <c r="AB130" s="94"/>
    </row>
    <row r="131" spans="1:28" s="51" customFormat="1" ht="17.25" customHeight="1">
      <c r="A131" s="331">
        <f>A120</f>
        <v>3</v>
      </c>
      <c r="B131" s="331">
        <v>18</v>
      </c>
      <c r="C131" s="331">
        <f>C128-A$131</f>
        <v>48</v>
      </c>
      <c r="D131" s="336">
        <f t="shared" si="42"/>
        <v>15.880000000000003</v>
      </c>
      <c r="E131" s="338">
        <f t="shared" si="41"/>
        <v>0.48</v>
      </c>
      <c r="F131" s="342">
        <v>45</v>
      </c>
      <c r="G131" s="344">
        <v>45</v>
      </c>
      <c r="H131" s="345">
        <f t="shared" si="39"/>
        <v>3.7705806900631673</v>
      </c>
      <c r="I131" s="346"/>
      <c r="J131" s="343">
        <f t="shared" si="43"/>
        <v>0.10571362316530886</v>
      </c>
      <c r="AA131" s="56"/>
      <c r="AB131" s="94"/>
    </row>
    <row r="132" spans="1:28" s="51" customFormat="1" ht="17.25" customHeight="1">
      <c r="A132" s="331"/>
      <c r="B132" s="331"/>
      <c r="C132" s="331">
        <v>47</v>
      </c>
      <c r="D132" s="336">
        <f t="shared" si="42"/>
        <v>15.880000000000003</v>
      </c>
      <c r="E132" s="338">
        <f t="shared" si="41"/>
        <v>0.47</v>
      </c>
      <c r="F132" s="342">
        <v>50</v>
      </c>
      <c r="G132" s="344">
        <v>50</v>
      </c>
      <c r="H132" s="345">
        <f t="shared" si="39"/>
        <v>3.6677500704109298</v>
      </c>
      <c r="I132" s="346"/>
      <c r="J132" s="343">
        <f t="shared" si="43"/>
        <v>0.1028306196522375</v>
      </c>
      <c r="AA132" s="56"/>
      <c r="AB132" s="94"/>
    </row>
    <row r="133" spans="1:28" s="51" customFormat="1" ht="17.25" customHeight="1">
      <c r="A133" s="331"/>
      <c r="B133" s="331"/>
      <c r="C133" s="331">
        <v>46</v>
      </c>
      <c r="D133" s="336">
        <f t="shared" si="42"/>
        <v>15.880000000000003</v>
      </c>
      <c r="E133" s="338">
        <f t="shared" si="41"/>
        <v>0.46</v>
      </c>
      <c r="F133" s="342">
        <v>55</v>
      </c>
      <c r="G133" s="344">
        <v>55</v>
      </c>
      <c r="H133" s="345">
        <f t="shared" si="39"/>
        <v>3.5677238295022455</v>
      </c>
      <c r="I133" s="346"/>
      <c r="J133" s="343">
        <f t="shared" si="43"/>
        <v>0.10002624090868428</v>
      </c>
      <c r="AA133" s="56"/>
      <c r="AB133" s="94"/>
    </row>
    <row r="134" spans="1:28" s="51" customFormat="1" ht="17.25" customHeight="1">
      <c r="A134" s="331"/>
      <c r="B134" s="331">
        <v>19</v>
      </c>
      <c r="C134" s="331">
        <f>C131-A$131</f>
        <v>45</v>
      </c>
      <c r="D134" s="336">
        <f t="shared" si="42"/>
        <v>15.880000000000003</v>
      </c>
      <c r="E134" s="338">
        <f t="shared" si="41"/>
        <v>0.45</v>
      </c>
      <c r="F134" s="342">
        <v>60</v>
      </c>
      <c r="G134" s="344">
        <v>60</v>
      </c>
      <c r="H134" s="345">
        <f t="shared" si="39"/>
        <v>3.4704254868086104</v>
      </c>
      <c r="I134" s="346"/>
      <c r="J134" s="343">
        <f t="shared" si="43"/>
        <v>9.7298342693635131E-2</v>
      </c>
      <c r="AA134" s="56"/>
      <c r="AB134" s="94"/>
    </row>
    <row r="135" spans="1:28" s="51" customFormat="1" ht="17.25" customHeight="1">
      <c r="A135" s="331"/>
      <c r="B135" s="331"/>
      <c r="C135" s="331">
        <v>44</v>
      </c>
      <c r="D135" s="336">
        <f t="shared" si="42"/>
        <v>15.880000000000003</v>
      </c>
      <c r="E135" s="338">
        <f t="shared" si="41"/>
        <v>0.44</v>
      </c>
      <c r="F135" s="342">
        <v>75</v>
      </c>
      <c r="G135" s="344">
        <v>75</v>
      </c>
      <c r="H135" s="345">
        <f t="shared" si="39"/>
        <v>3.3757806475651706</v>
      </c>
      <c r="I135" s="346"/>
      <c r="J135" s="343">
        <f t="shared" si="43"/>
        <v>9.4644839243439804E-2</v>
      </c>
      <c r="AA135" s="56"/>
      <c r="AB135" s="94"/>
    </row>
    <row r="136" spans="1:28" s="51" customFormat="1" ht="17.25" customHeight="1">
      <c r="A136" s="331"/>
      <c r="B136" s="331"/>
      <c r="C136" s="331">
        <v>43</v>
      </c>
      <c r="D136" s="336">
        <f t="shared" si="42"/>
        <v>15.880000000000003</v>
      </c>
      <c r="E136" s="338">
        <f t="shared" si="41"/>
        <v>0.43</v>
      </c>
      <c r="F136" s="342">
        <v>90</v>
      </c>
      <c r="G136" s="344">
        <v>90</v>
      </c>
      <c r="H136" s="345">
        <f t="shared" si="39"/>
        <v>3.2837169458881377</v>
      </c>
      <c r="I136" s="346"/>
      <c r="J136" s="343">
        <f t="shared" si="43"/>
        <v>9.2063701677032928E-2</v>
      </c>
      <c r="AA136" s="56"/>
      <c r="AB136" s="94"/>
    </row>
    <row r="137" spans="1:28" s="51" customFormat="1" ht="17.25" customHeight="1">
      <c r="A137" s="331"/>
      <c r="B137" s="331">
        <v>20</v>
      </c>
      <c r="C137" s="331">
        <f>C134-A$131</f>
        <v>42</v>
      </c>
      <c r="D137" s="336">
        <f t="shared" si="42"/>
        <v>15.880000000000003</v>
      </c>
      <c r="E137" s="338">
        <f t="shared" si="41"/>
        <v>0.42</v>
      </c>
      <c r="F137" s="342">
        <v>105</v>
      </c>
      <c r="G137" s="344">
        <v>105</v>
      </c>
      <c r="H137" s="345">
        <f t="shared" si="39"/>
        <v>3.194163989443497</v>
      </c>
      <c r="I137" s="346"/>
      <c r="J137" s="343">
        <f t="shared" si="43"/>
        <v>8.9552956444640675E-2</v>
      </c>
      <c r="AA137" s="56"/>
      <c r="AB137" s="94"/>
    </row>
    <row r="138" spans="1:28" s="51" customFormat="1" ht="17.25" customHeight="1">
      <c r="A138" s="331">
        <f>A131</f>
        <v>3</v>
      </c>
      <c r="B138" s="331"/>
      <c r="C138" s="331">
        <f>C137-A$138</f>
        <v>39</v>
      </c>
      <c r="D138" s="336">
        <f t="shared" si="42"/>
        <v>15.880000000000003</v>
      </c>
      <c r="E138" s="338">
        <f t="shared" si="41"/>
        <v>0.39</v>
      </c>
      <c r="F138" s="342">
        <v>120</v>
      </c>
      <c r="G138" s="344">
        <v>120</v>
      </c>
      <c r="H138" s="345">
        <f t="shared" si="39"/>
        <v>2.9398941513767949</v>
      </c>
      <c r="I138" s="346"/>
      <c r="J138" s="343">
        <f t="shared" si="43"/>
        <v>0.25426983806670211</v>
      </c>
      <c r="AA138" s="56"/>
      <c r="AB138" s="94"/>
    </row>
    <row r="139" spans="1:28" s="51" customFormat="1" ht="17.25" hidden="1" customHeight="1">
      <c r="A139" s="331"/>
      <c r="B139" s="331"/>
      <c r="C139" s="331">
        <f t="shared" ref="C139:C146" si="45">C138-A$138</f>
        <v>36</v>
      </c>
      <c r="D139" s="336">
        <f t="shared" si="42"/>
        <v>15.880000000000003</v>
      </c>
      <c r="E139" s="338">
        <f t="shared" si="41"/>
        <v>0.36</v>
      </c>
      <c r="F139" s="339"/>
      <c r="G139" s="331">
        <v>150</v>
      </c>
      <c r="H139" s="340">
        <f t="shared" si="39"/>
        <v>2.705865337491737</v>
      </c>
      <c r="I139" s="341"/>
      <c r="J139" s="343">
        <f t="shared" si="43"/>
        <v>0.23402881388505792</v>
      </c>
      <c r="AA139" s="56"/>
      <c r="AB139" s="94"/>
    </row>
    <row r="140" spans="1:28" s="51" customFormat="1" ht="17.25" customHeight="1">
      <c r="A140" s="331"/>
      <c r="B140" s="331"/>
      <c r="C140" s="331">
        <v>38</v>
      </c>
      <c r="D140" s="336">
        <f t="shared" si="42"/>
        <v>15.880000000000003</v>
      </c>
      <c r="E140" s="338">
        <f t="shared" si="41"/>
        <v>0.38</v>
      </c>
      <c r="F140" s="342">
        <v>180</v>
      </c>
      <c r="G140" s="344">
        <v>180</v>
      </c>
      <c r="H140" s="345">
        <f t="shared" si="39"/>
        <v>2.859717870281747</v>
      </c>
      <c r="I140" s="346"/>
      <c r="J140" s="343">
        <f t="shared" si="43"/>
        <v>-0.15385253279000999</v>
      </c>
      <c r="AA140" s="56"/>
      <c r="AB140" s="94"/>
    </row>
    <row r="141" spans="1:28" s="51" customFormat="1" ht="17.25" hidden="1" customHeight="1">
      <c r="A141" s="331"/>
      <c r="B141" s="331"/>
      <c r="C141" s="331">
        <f t="shared" si="45"/>
        <v>35</v>
      </c>
      <c r="D141" s="336">
        <f t="shared" si="42"/>
        <v>15.880000000000003</v>
      </c>
      <c r="E141" s="338">
        <f t="shared" si="41"/>
        <v>0.35</v>
      </c>
      <c r="F141" s="339"/>
      <c r="G141" s="331">
        <v>210</v>
      </c>
      <c r="H141" s="340">
        <f t="shared" si="39"/>
        <v>2.6320714494354323</v>
      </c>
      <c r="I141" s="341"/>
      <c r="J141" s="343">
        <f t="shared" si="43"/>
        <v>0.2276464208463147</v>
      </c>
      <c r="AA141" s="56"/>
      <c r="AB141" s="94"/>
    </row>
    <row r="142" spans="1:28" s="51" customFormat="1" ht="17.25" customHeight="1">
      <c r="A142" s="331"/>
      <c r="B142" s="331"/>
      <c r="C142" s="331">
        <f t="shared" si="45"/>
        <v>32</v>
      </c>
      <c r="D142" s="336">
        <f t="shared" si="42"/>
        <v>15.880000000000003</v>
      </c>
      <c r="E142" s="338">
        <f>C142/100</f>
        <v>0.32</v>
      </c>
      <c r="F142" s="342">
        <v>240</v>
      </c>
      <c r="G142" s="344">
        <v>240</v>
      </c>
      <c r="H142" s="345">
        <f t="shared" si="39"/>
        <v>2.4225467088648833</v>
      </c>
      <c r="I142" s="346"/>
      <c r="J142" s="343">
        <f t="shared" si="43"/>
        <v>0.20952474057054893</v>
      </c>
      <c r="AA142" s="56"/>
      <c r="AB142" s="94"/>
    </row>
    <row r="143" spans="1:28" s="51" customFormat="1" ht="17.25" hidden="1" customHeight="1">
      <c r="A143" s="331"/>
      <c r="B143" s="331"/>
      <c r="C143" s="331">
        <f t="shared" si="45"/>
        <v>29</v>
      </c>
      <c r="D143" s="336">
        <f t="shared" si="42"/>
        <v>15.880000000000003</v>
      </c>
      <c r="E143" s="338">
        <f>C143/100</f>
        <v>0.28999999999999998</v>
      </c>
      <c r="F143" s="339"/>
      <c r="G143" s="331">
        <v>270</v>
      </c>
      <c r="H143" s="340">
        <f t="shared" si="39"/>
        <v>2.2297010812114899</v>
      </c>
      <c r="I143" s="341"/>
      <c r="J143" s="343">
        <f t="shared" si="43"/>
        <v>0.19284562765339341</v>
      </c>
      <c r="AA143" s="56"/>
      <c r="AB143" s="94"/>
    </row>
    <row r="144" spans="1:28" s="51" customFormat="1" ht="17.25" customHeight="1">
      <c r="A144" s="331"/>
      <c r="B144" s="331"/>
      <c r="C144" s="331">
        <f t="shared" si="45"/>
        <v>26</v>
      </c>
      <c r="D144" s="336">
        <f t="shared" si="42"/>
        <v>15.880000000000003</v>
      </c>
      <c r="E144" s="338">
        <f>C144/100</f>
        <v>0.26</v>
      </c>
      <c r="F144" s="342">
        <v>300</v>
      </c>
      <c r="G144" s="344">
        <v>300</v>
      </c>
      <c r="H144" s="345">
        <f t="shared" si="39"/>
        <v>2.0522068339748056</v>
      </c>
      <c r="I144" s="346"/>
      <c r="J144" s="343">
        <f t="shared" si="43"/>
        <v>0.17749424723668428</v>
      </c>
      <c r="AA144" s="56"/>
      <c r="AB144" s="94"/>
    </row>
    <row r="145" spans="1:28" s="51" customFormat="1" ht="17.25" hidden="1" customHeight="1">
      <c r="A145" s="331"/>
      <c r="B145" s="331"/>
      <c r="C145" s="331">
        <f t="shared" si="45"/>
        <v>23</v>
      </c>
      <c r="D145" s="336">
        <f t="shared" si="42"/>
        <v>15.880000000000003</v>
      </c>
      <c r="E145" s="338">
        <f>C145/100</f>
        <v>0.23</v>
      </c>
      <c r="F145" s="339"/>
      <c r="G145" s="331">
        <v>330</v>
      </c>
      <c r="H145" s="340">
        <f t="shared" si="39"/>
        <v>1.8888419281406916</v>
      </c>
      <c r="I145" s="341"/>
      <c r="J145" s="343">
        <f t="shared" si="43"/>
        <v>0.163364905834114</v>
      </c>
      <c r="AA145" s="56"/>
      <c r="AB145" s="94"/>
    </row>
    <row r="146" spans="1:28" s="51" customFormat="1" ht="17.25" customHeight="1">
      <c r="A146" s="331"/>
      <c r="B146" s="331"/>
      <c r="C146" s="331">
        <f t="shared" si="45"/>
        <v>20</v>
      </c>
      <c r="D146" s="336">
        <f t="shared" si="42"/>
        <v>15.880000000000003</v>
      </c>
      <c r="E146" s="338">
        <f>C146/100</f>
        <v>0.2</v>
      </c>
      <c r="F146" s="342">
        <v>360</v>
      </c>
      <c r="G146" s="344">
        <v>360</v>
      </c>
      <c r="H146" s="345">
        <f t="shared" si="39"/>
        <v>1.7384816045038303</v>
      </c>
      <c r="I146" s="346"/>
      <c r="J146" s="343">
        <f t="shared" si="43"/>
        <v>0.15036032363686136</v>
      </c>
      <c r="AA146" s="56"/>
      <c r="AB146" s="94"/>
    </row>
    <row r="147" spans="1:28" s="51" customFormat="1" ht="17.25" customHeight="1">
      <c r="C147" s="51" t="s">
        <v>21</v>
      </c>
      <c r="D147" s="53" t="s">
        <v>21</v>
      </c>
      <c r="E147" s="74" t="s">
        <v>21</v>
      </c>
      <c r="F147" s="51" t="s">
        <v>21</v>
      </c>
      <c r="G147" s="57" t="s">
        <v>21</v>
      </c>
      <c r="AA147" s="56"/>
      <c r="AB147" s="94"/>
    </row>
    <row r="148" spans="1:28" s="51" customFormat="1" ht="17.25" customHeight="1">
      <c r="C148" s="51" t="s">
        <v>21</v>
      </c>
      <c r="D148" s="53" t="s">
        <v>21</v>
      </c>
      <c r="E148" s="74" t="s">
        <v>21</v>
      </c>
      <c r="F148" s="51" t="s">
        <v>21</v>
      </c>
      <c r="G148" s="57" t="s">
        <v>21</v>
      </c>
      <c r="AB148" s="94"/>
    </row>
    <row r="149" spans="1:28" s="51" customFormat="1" ht="17.25" customHeight="1">
      <c r="C149" s="51" t="s">
        <v>21</v>
      </c>
      <c r="D149" s="53" t="s">
        <v>21</v>
      </c>
      <c r="E149" s="74" t="s">
        <v>21</v>
      </c>
      <c r="F149" s="51" t="s">
        <v>21</v>
      </c>
      <c r="G149" s="57" t="s">
        <v>21</v>
      </c>
      <c r="AB149" s="94"/>
    </row>
    <row r="150" spans="1:28" s="51" customFormat="1" ht="17.25" customHeight="1">
      <c r="C150" s="51" t="s">
        <v>21</v>
      </c>
      <c r="D150" s="53" t="s">
        <v>21</v>
      </c>
      <c r="E150" s="74" t="s">
        <v>21</v>
      </c>
      <c r="F150" s="51" t="s">
        <v>21</v>
      </c>
      <c r="G150" s="57" t="s">
        <v>21</v>
      </c>
      <c r="AB150" s="94"/>
    </row>
    <row r="151" spans="1:28" s="51" customFormat="1" ht="17.25" customHeight="1">
      <c r="C151" s="51" t="s">
        <v>21</v>
      </c>
      <c r="D151" s="53" t="s">
        <v>21</v>
      </c>
      <c r="E151" s="74" t="s">
        <v>21</v>
      </c>
      <c r="F151" s="51" t="s">
        <v>21</v>
      </c>
      <c r="G151" s="57" t="s">
        <v>21</v>
      </c>
      <c r="AB151" s="94"/>
    </row>
    <row r="152" spans="1:28" s="51" customFormat="1" ht="17.25" customHeight="1">
      <c r="C152" s="51" t="s">
        <v>21</v>
      </c>
      <c r="D152" s="53" t="s">
        <v>21</v>
      </c>
      <c r="E152" s="74" t="s">
        <v>21</v>
      </c>
      <c r="F152" s="51" t="s">
        <v>21</v>
      </c>
      <c r="G152" s="57" t="s">
        <v>21</v>
      </c>
      <c r="AB152" s="94"/>
    </row>
    <row r="153" spans="1:28" s="51" customFormat="1" ht="17.25" customHeight="1">
      <c r="C153" s="51" t="s">
        <v>21</v>
      </c>
      <c r="D153" s="53" t="s">
        <v>21</v>
      </c>
      <c r="E153" s="74" t="s">
        <v>21</v>
      </c>
      <c r="F153" s="51" t="s">
        <v>21</v>
      </c>
      <c r="G153" s="57" t="s">
        <v>21</v>
      </c>
      <c r="AB153" s="94"/>
    </row>
    <row r="154" spans="1:28" s="51" customFormat="1" ht="17.25" customHeight="1">
      <c r="C154" s="51" t="s">
        <v>21</v>
      </c>
      <c r="D154" s="53" t="s">
        <v>21</v>
      </c>
      <c r="E154" s="74" t="s">
        <v>21</v>
      </c>
      <c r="F154" s="51" t="s">
        <v>21</v>
      </c>
      <c r="G154" s="57" t="s">
        <v>21</v>
      </c>
      <c r="AB154" s="94"/>
    </row>
    <row r="155" spans="1:28" s="51" customFormat="1" ht="17.25" customHeight="1">
      <c r="C155" s="51" t="s">
        <v>21</v>
      </c>
      <c r="D155" s="53" t="s">
        <v>21</v>
      </c>
      <c r="E155" s="74" t="s">
        <v>21</v>
      </c>
      <c r="F155" s="51" t="s">
        <v>21</v>
      </c>
      <c r="G155" s="57" t="s">
        <v>21</v>
      </c>
      <c r="AB155" s="94"/>
    </row>
    <row r="156" spans="1:28" s="51" customFormat="1" ht="17.25" customHeight="1">
      <c r="C156" s="51" t="s">
        <v>21</v>
      </c>
      <c r="D156" s="53" t="s">
        <v>21</v>
      </c>
      <c r="E156" s="74" t="s">
        <v>21</v>
      </c>
      <c r="F156" s="51" t="s">
        <v>21</v>
      </c>
      <c r="G156" s="57" t="s">
        <v>21</v>
      </c>
      <c r="AB156" s="94"/>
    </row>
    <row r="157" spans="1:28" s="51" customFormat="1" ht="17.25" customHeight="1">
      <c r="C157" s="51" t="s">
        <v>21</v>
      </c>
      <c r="D157" s="53" t="s">
        <v>21</v>
      </c>
      <c r="E157" s="74" t="s">
        <v>21</v>
      </c>
      <c r="F157" s="51" t="s">
        <v>21</v>
      </c>
      <c r="G157" s="57" t="s">
        <v>21</v>
      </c>
      <c r="AB157" s="94"/>
    </row>
    <row r="158" spans="1:28" s="51" customFormat="1" ht="17.25" customHeight="1">
      <c r="C158" s="51" t="s">
        <v>21</v>
      </c>
      <c r="D158" s="53" t="s">
        <v>21</v>
      </c>
      <c r="E158" s="74" t="s">
        <v>21</v>
      </c>
      <c r="F158" s="51" t="s">
        <v>21</v>
      </c>
      <c r="G158" s="57" t="s">
        <v>21</v>
      </c>
      <c r="AB158" s="94"/>
    </row>
    <row r="159" spans="1:28" s="51" customFormat="1" ht="17.25" customHeight="1">
      <c r="C159" s="51" t="s">
        <v>21</v>
      </c>
      <c r="D159" s="53" t="s">
        <v>21</v>
      </c>
      <c r="E159" s="74" t="s">
        <v>21</v>
      </c>
      <c r="F159" s="51" t="s">
        <v>21</v>
      </c>
      <c r="G159" s="57" t="s">
        <v>21</v>
      </c>
      <c r="AB159" s="94"/>
    </row>
    <row r="160" spans="1:28" s="51" customFormat="1" ht="17.25" customHeight="1">
      <c r="C160" s="51" t="s">
        <v>21</v>
      </c>
      <c r="D160" s="53" t="s">
        <v>21</v>
      </c>
      <c r="E160" s="74" t="s">
        <v>21</v>
      </c>
      <c r="F160" s="51" t="s">
        <v>21</v>
      </c>
      <c r="G160" s="57" t="s">
        <v>21</v>
      </c>
      <c r="AB160" s="94"/>
    </row>
    <row r="161" spans="3:28" s="51" customFormat="1" ht="17.25" customHeight="1">
      <c r="C161" s="51" t="s">
        <v>21</v>
      </c>
      <c r="D161" s="53" t="s">
        <v>21</v>
      </c>
      <c r="E161" s="74" t="s">
        <v>21</v>
      </c>
      <c r="F161" s="51" t="s">
        <v>21</v>
      </c>
      <c r="G161" s="57" t="s">
        <v>21</v>
      </c>
      <c r="AB161" s="94"/>
    </row>
    <row r="162" spans="3:28" s="51" customFormat="1" ht="17.25" customHeight="1">
      <c r="C162" s="51" t="s">
        <v>21</v>
      </c>
      <c r="D162" s="53" t="s">
        <v>21</v>
      </c>
      <c r="E162" s="74" t="s">
        <v>21</v>
      </c>
      <c r="F162" s="51" t="s">
        <v>21</v>
      </c>
      <c r="G162" s="57" t="s">
        <v>21</v>
      </c>
      <c r="AB162" s="94"/>
    </row>
    <row r="163" spans="3:28" s="51" customFormat="1" ht="17.25" customHeight="1">
      <c r="C163" s="51" t="s">
        <v>21</v>
      </c>
      <c r="D163" s="53" t="s">
        <v>21</v>
      </c>
      <c r="E163" s="74" t="s">
        <v>21</v>
      </c>
      <c r="F163" s="51" t="s">
        <v>21</v>
      </c>
      <c r="G163" s="57" t="s">
        <v>21</v>
      </c>
      <c r="AB163" s="94"/>
    </row>
    <row r="164" spans="3:28" s="51" customFormat="1" ht="17.25" customHeight="1">
      <c r="C164" s="51" t="s">
        <v>21</v>
      </c>
      <c r="D164" s="53" t="s">
        <v>21</v>
      </c>
      <c r="E164" s="74" t="s">
        <v>21</v>
      </c>
      <c r="F164" s="51" t="s">
        <v>21</v>
      </c>
      <c r="G164" s="57" t="s">
        <v>21</v>
      </c>
      <c r="AB164" s="94"/>
    </row>
    <row r="165" spans="3:28" s="51" customFormat="1" ht="17.25" customHeight="1">
      <c r="C165" s="51" t="s">
        <v>21</v>
      </c>
      <c r="D165" s="53" t="s">
        <v>21</v>
      </c>
      <c r="E165" s="74" t="s">
        <v>21</v>
      </c>
      <c r="F165" s="51" t="s">
        <v>21</v>
      </c>
      <c r="G165" s="57" t="s">
        <v>21</v>
      </c>
      <c r="AB165" s="94"/>
    </row>
    <row r="166" spans="3:28" s="51" customFormat="1" ht="17.25" customHeight="1">
      <c r="C166" s="51" t="s">
        <v>21</v>
      </c>
      <c r="D166" s="53" t="s">
        <v>21</v>
      </c>
      <c r="E166" s="74" t="s">
        <v>21</v>
      </c>
      <c r="F166" s="51" t="s">
        <v>21</v>
      </c>
      <c r="G166" s="57" t="s">
        <v>21</v>
      </c>
      <c r="AB166" s="94"/>
    </row>
    <row r="167" spans="3:28" s="51" customFormat="1" ht="17.25" customHeight="1">
      <c r="C167" s="51" t="s">
        <v>21</v>
      </c>
      <c r="D167" s="53" t="s">
        <v>21</v>
      </c>
      <c r="E167" s="74" t="s">
        <v>21</v>
      </c>
      <c r="F167" s="51" t="s">
        <v>21</v>
      </c>
      <c r="G167" s="57" t="s">
        <v>21</v>
      </c>
      <c r="AB167" s="94"/>
    </row>
    <row r="168" spans="3:28" s="51" customFormat="1" ht="17.25" customHeight="1">
      <c r="C168" s="51" t="s">
        <v>21</v>
      </c>
      <c r="D168" s="53" t="s">
        <v>21</v>
      </c>
      <c r="E168" s="74" t="s">
        <v>21</v>
      </c>
      <c r="F168" s="51" t="s">
        <v>21</v>
      </c>
      <c r="G168" s="57" t="s">
        <v>21</v>
      </c>
      <c r="AB168" s="94"/>
    </row>
    <row r="169" spans="3:28" s="51" customFormat="1" ht="17.25" customHeight="1">
      <c r="C169" s="51" t="s">
        <v>21</v>
      </c>
      <c r="D169" s="53" t="s">
        <v>21</v>
      </c>
      <c r="E169" s="74" t="s">
        <v>21</v>
      </c>
      <c r="F169" s="51" t="s">
        <v>21</v>
      </c>
      <c r="G169" s="57" t="s">
        <v>21</v>
      </c>
      <c r="AB169" s="94"/>
    </row>
    <row r="170" spans="3:28" s="51" customFormat="1" ht="17.25" customHeight="1">
      <c r="C170" s="51" t="s">
        <v>21</v>
      </c>
      <c r="D170" s="53" t="s">
        <v>21</v>
      </c>
      <c r="E170" s="74" t="s">
        <v>21</v>
      </c>
      <c r="F170" s="51" t="s">
        <v>21</v>
      </c>
      <c r="G170" s="57" t="s">
        <v>21</v>
      </c>
      <c r="AB170" s="94"/>
    </row>
    <row r="171" spans="3:28" s="51" customFormat="1" ht="17.25" customHeight="1">
      <c r="C171" s="51" t="s">
        <v>21</v>
      </c>
      <c r="D171" s="53" t="s">
        <v>21</v>
      </c>
      <c r="E171" s="74" t="s">
        <v>21</v>
      </c>
      <c r="F171" s="51" t="s">
        <v>21</v>
      </c>
      <c r="G171" s="57" t="s">
        <v>21</v>
      </c>
      <c r="AB171" s="94"/>
    </row>
    <row r="172" spans="3:28" s="51" customFormat="1" ht="17.25" customHeight="1">
      <c r="C172" s="51" t="s">
        <v>21</v>
      </c>
      <c r="D172" s="53" t="s">
        <v>21</v>
      </c>
      <c r="E172" s="74" t="s">
        <v>21</v>
      </c>
      <c r="F172" s="51" t="s">
        <v>21</v>
      </c>
      <c r="G172" s="57" t="s">
        <v>21</v>
      </c>
      <c r="AB172" s="94"/>
    </row>
    <row r="173" spans="3:28" s="51" customFormat="1" ht="17.25" customHeight="1">
      <c r="C173" s="51" t="s">
        <v>21</v>
      </c>
      <c r="D173" s="53" t="s">
        <v>21</v>
      </c>
      <c r="E173" s="74" t="s">
        <v>21</v>
      </c>
      <c r="F173" s="51" t="s">
        <v>21</v>
      </c>
      <c r="G173" s="57" t="s">
        <v>21</v>
      </c>
      <c r="AB173" s="94"/>
    </row>
    <row r="174" spans="3:28" s="51" customFormat="1" ht="17.25" customHeight="1">
      <c r="C174" s="51" t="s">
        <v>21</v>
      </c>
      <c r="D174" s="53" t="s">
        <v>21</v>
      </c>
      <c r="E174" s="74" t="s">
        <v>21</v>
      </c>
      <c r="F174" s="51" t="s">
        <v>21</v>
      </c>
      <c r="G174" s="57" t="s">
        <v>21</v>
      </c>
      <c r="AB174" s="94"/>
    </row>
    <row r="175" spans="3:28" s="51" customFormat="1" ht="17.25" customHeight="1">
      <c r="C175" s="51" t="s">
        <v>21</v>
      </c>
      <c r="D175" s="53" t="s">
        <v>21</v>
      </c>
      <c r="E175" s="74" t="s">
        <v>21</v>
      </c>
      <c r="F175" s="51" t="s">
        <v>21</v>
      </c>
      <c r="G175" s="57" t="s">
        <v>21</v>
      </c>
      <c r="AB175" s="94"/>
    </row>
    <row r="176" spans="3:28" s="51" customFormat="1" ht="17.25" customHeight="1">
      <c r="C176" s="51" t="s">
        <v>21</v>
      </c>
      <c r="D176" s="53" t="s">
        <v>21</v>
      </c>
      <c r="E176" s="74" t="s">
        <v>21</v>
      </c>
      <c r="F176" s="51" t="s">
        <v>21</v>
      </c>
      <c r="G176" s="57" t="s">
        <v>21</v>
      </c>
      <c r="AB176" s="94"/>
    </row>
    <row r="177" spans="3:28" s="51" customFormat="1" ht="17.25" customHeight="1">
      <c r="C177" s="51" t="s">
        <v>21</v>
      </c>
      <c r="D177" s="53" t="s">
        <v>21</v>
      </c>
      <c r="E177" s="74" t="s">
        <v>21</v>
      </c>
      <c r="F177" s="51" t="s">
        <v>21</v>
      </c>
      <c r="G177" s="57" t="s">
        <v>21</v>
      </c>
      <c r="AB177" s="94"/>
    </row>
    <row r="178" spans="3:28" s="51" customFormat="1" ht="17.25" customHeight="1">
      <c r="C178" s="51" t="s">
        <v>21</v>
      </c>
      <c r="D178" s="53" t="s">
        <v>21</v>
      </c>
      <c r="E178" s="74" t="s">
        <v>21</v>
      </c>
      <c r="F178" s="51" t="s">
        <v>21</v>
      </c>
      <c r="G178" s="57" t="s">
        <v>21</v>
      </c>
      <c r="AB178" s="94"/>
    </row>
    <row r="179" spans="3:28" s="51" customFormat="1" ht="17.25" customHeight="1">
      <c r="C179" s="51" t="s">
        <v>21</v>
      </c>
      <c r="D179" s="53" t="s">
        <v>21</v>
      </c>
      <c r="E179" s="74" t="s">
        <v>21</v>
      </c>
      <c r="F179" s="51" t="s">
        <v>21</v>
      </c>
      <c r="G179" s="57" t="s">
        <v>21</v>
      </c>
      <c r="AB179" s="94"/>
    </row>
    <row r="180" spans="3:28" s="51" customFormat="1" ht="17.25" customHeight="1">
      <c r="C180" s="51" t="s">
        <v>21</v>
      </c>
      <c r="D180" s="53" t="s">
        <v>21</v>
      </c>
      <c r="E180" s="74" t="s">
        <v>21</v>
      </c>
      <c r="F180" s="51" t="s">
        <v>21</v>
      </c>
      <c r="G180" s="57" t="s">
        <v>21</v>
      </c>
      <c r="AB180" s="94"/>
    </row>
    <row r="181" spans="3:28" s="51" customFormat="1" ht="17.25" customHeight="1">
      <c r="C181" s="51" t="s">
        <v>21</v>
      </c>
      <c r="D181" s="53" t="s">
        <v>21</v>
      </c>
      <c r="E181" s="74" t="s">
        <v>21</v>
      </c>
      <c r="F181" s="51" t="s">
        <v>21</v>
      </c>
      <c r="G181" s="57" t="s">
        <v>21</v>
      </c>
      <c r="AB181" s="94"/>
    </row>
    <row r="182" spans="3:28" s="51" customFormat="1" ht="17.25" customHeight="1">
      <c r="C182" s="51" t="s">
        <v>21</v>
      </c>
      <c r="D182" s="53" t="s">
        <v>21</v>
      </c>
      <c r="E182" s="74" t="s">
        <v>21</v>
      </c>
      <c r="F182" s="51" t="s">
        <v>21</v>
      </c>
      <c r="G182" s="57" t="s">
        <v>21</v>
      </c>
      <c r="AB182" s="94"/>
    </row>
    <row r="183" spans="3:28" s="51" customFormat="1" ht="17.25" customHeight="1">
      <c r="C183" s="51" t="s">
        <v>21</v>
      </c>
      <c r="D183" s="53" t="s">
        <v>21</v>
      </c>
      <c r="E183" s="74" t="s">
        <v>21</v>
      </c>
      <c r="F183" s="51" t="s">
        <v>21</v>
      </c>
      <c r="G183" s="57" t="s">
        <v>21</v>
      </c>
      <c r="AB183" s="94"/>
    </row>
    <row r="184" spans="3:28" s="51" customFormat="1" ht="17.25" customHeight="1">
      <c r="C184" s="51" t="s">
        <v>21</v>
      </c>
      <c r="D184" s="53" t="s">
        <v>21</v>
      </c>
      <c r="E184" s="74" t="s">
        <v>21</v>
      </c>
      <c r="F184" s="51" t="s">
        <v>21</v>
      </c>
      <c r="G184" s="57" t="s">
        <v>21</v>
      </c>
      <c r="AB184" s="94"/>
    </row>
    <row r="185" spans="3:28" s="51" customFormat="1" ht="17.25" customHeight="1">
      <c r="C185" s="51" t="s">
        <v>21</v>
      </c>
      <c r="D185" s="53" t="s">
        <v>21</v>
      </c>
      <c r="E185" s="74" t="s">
        <v>21</v>
      </c>
      <c r="F185" s="51" t="s">
        <v>21</v>
      </c>
      <c r="G185" s="57" t="s">
        <v>21</v>
      </c>
      <c r="AB185" s="94"/>
    </row>
    <row r="186" spans="3:28" s="51" customFormat="1" ht="17.25" customHeight="1">
      <c r="C186" s="51" t="s">
        <v>21</v>
      </c>
      <c r="D186" s="53" t="s">
        <v>21</v>
      </c>
      <c r="E186" s="74" t="s">
        <v>21</v>
      </c>
      <c r="F186" s="51" t="s">
        <v>21</v>
      </c>
      <c r="G186" s="57" t="s">
        <v>21</v>
      </c>
      <c r="AB186" s="94"/>
    </row>
    <row r="187" spans="3:28" s="51" customFormat="1" ht="17.25" customHeight="1">
      <c r="C187" s="51" t="s">
        <v>21</v>
      </c>
      <c r="D187" s="53" t="s">
        <v>21</v>
      </c>
      <c r="E187" s="74" t="s">
        <v>21</v>
      </c>
      <c r="F187" s="51" t="s">
        <v>21</v>
      </c>
      <c r="G187" s="57" t="s">
        <v>21</v>
      </c>
      <c r="AB187" s="94"/>
    </row>
    <row r="188" spans="3:28" s="51" customFormat="1" ht="17.25" customHeight="1">
      <c r="C188" s="51" t="s">
        <v>21</v>
      </c>
      <c r="D188" s="53" t="s">
        <v>21</v>
      </c>
      <c r="E188" s="74" t="s">
        <v>21</v>
      </c>
      <c r="F188" s="51" t="s">
        <v>21</v>
      </c>
      <c r="G188" s="57" t="s">
        <v>21</v>
      </c>
      <c r="AB188" s="94"/>
    </row>
    <row r="189" spans="3:28" s="51" customFormat="1" ht="17.25" customHeight="1">
      <c r="C189" s="51" t="s">
        <v>21</v>
      </c>
      <c r="D189" s="53" t="s">
        <v>21</v>
      </c>
      <c r="E189" s="74" t="s">
        <v>21</v>
      </c>
      <c r="F189" s="51" t="s">
        <v>21</v>
      </c>
      <c r="G189" s="57" t="s">
        <v>21</v>
      </c>
      <c r="AB189" s="94"/>
    </row>
    <row r="190" spans="3:28" s="51" customFormat="1" ht="17.25" customHeight="1">
      <c r="C190" s="51" t="s">
        <v>21</v>
      </c>
      <c r="D190" s="53" t="s">
        <v>21</v>
      </c>
      <c r="E190" s="74" t="s">
        <v>21</v>
      </c>
      <c r="F190" s="51" t="s">
        <v>21</v>
      </c>
      <c r="G190" s="57" t="s">
        <v>21</v>
      </c>
      <c r="AB190" s="94"/>
    </row>
    <row r="191" spans="3:28" s="51" customFormat="1" ht="17.25" customHeight="1">
      <c r="C191" s="51" t="s">
        <v>21</v>
      </c>
      <c r="D191" s="53" t="s">
        <v>21</v>
      </c>
      <c r="E191" s="74" t="s">
        <v>21</v>
      </c>
      <c r="F191" s="51" t="s">
        <v>21</v>
      </c>
      <c r="G191" s="57" t="s">
        <v>21</v>
      </c>
      <c r="AB191" s="94"/>
    </row>
    <row r="192" spans="3:28" s="51" customFormat="1" ht="17.25" customHeight="1">
      <c r="C192" s="51" t="s">
        <v>21</v>
      </c>
      <c r="D192" s="53" t="s">
        <v>21</v>
      </c>
      <c r="E192" s="74" t="s">
        <v>21</v>
      </c>
      <c r="F192" s="51" t="s">
        <v>21</v>
      </c>
      <c r="G192" s="57" t="s">
        <v>21</v>
      </c>
      <c r="AB192" s="94"/>
    </row>
    <row r="193" spans="3:28" s="51" customFormat="1" ht="17.25" customHeight="1">
      <c r="C193" s="51" t="s">
        <v>21</v>
      </c>
      <c r="D193" s="53" t="s">
        <v>21</v>
      </c>
      <c r="E193" s="74" t="s">
        <v>21</v>
      </c>
      <c r="F193" s="51" t="s">
        <v>21</v>
      </c>
      <c r="G193" s="57" t="s">
        <v>21</v>
      </c>
      <c r="AB193" s="94"/>
    </row>
    <row r="194" spans="3:28" s="51" customFormat="1" ht="17.25" customHeight="1">
      <c r="C194" s="51" t="s">
        <v>21</v>
      </c>
      <c r="D194" s="53" t="s">
        <v>21</v>
      </c>
      <c r="E194" s="74" t="s">
        <v>21</v>
      </c>
      <c r="F194" s="51" t="s">
        <v>21</v>
      </c>
      <c r="G194" s="57" t="s">
        <v>21</v>
      </c>
      <c r="AB194" s="94"/>
    </row>
    <row r="195" spans="3:28" s="51" customFormat="1" ht="17.25" customHeight="1">
      <c r="C195" s="51" t="s">
        <v>21</v>
      </c>
      <c r="D195" s="53" t="s">
        <v>21</v>
      </c>
      <c r="E195" s="74" t="s">
        <v>21</v>
      </c>
      <c r="F195" s="51" t="s">
        <v>21</v>
      </c>
      <c r="G195" s="57" t="s">
        <v>21</v>
      </c>
      <c r="AB195" s="94"/>
    </row>
    <row r="196" spans="3:28" s="51" customFormat="1" ht="17.25" customHeight="1">
      <c r="C196" s="51" t="s">
        <v>21</v>
      </c>
      <c r="D196" s="53" t="s">
        <v>21</v>
      </c>
      <c r="E196" s="74" t="s">
        <v>21</v>
      </c>
      <c r="F196" s="51" t="s">
        <v>21</v>
      </c>
      <c r="G196" s="57" t="s">
        <v>21</v>
      </c>
      <c r="AB196" s="94"/>
    </row>
    <row r="197" spans="3:28" s="51" customFormat="1" ht="17.25" customHeight="1">
      <c r="C197" s="51" t="s">
        <v>21</v>
      </c>
      <c r="D197" s="53" t="s">
        <v>21</v>
      </c>
      <c r="E197" s="74" t="s">
        <v>21</v>
      </c>
      <c r="F197" s="51" t="s">
        <v>21</v>
      </c>
      <c r="G197" s="57" t="s">
        <v>21</v>
      </c>
      <c r="AB197" s="94"/>
    </row>
    <row r="198" spans="3:28" s="51" customFormat="1" ht="17.25" customHeight="1">
      <c r="C198" s="51" t="s">
        <v>21</v>
      </c>
      <c r="D198" s="53" t="s">
        <v>21</v>
      </c>
      <c r="E198" s="74" t="s">
        <v>21</v>
      </c>
      <c r="F198" s="51" t="s">
        <v>21</v>
      </c>
      <c r="G198" s="57" t="s">
        <v>21</v>
      </c>
      <c r="AB198" s="94"/>
    </row>
    <row r="199" spans="3:28" s="51" customFormat="1" ht="17.25" customHeight="1">
      <c r="C199" s="51" t="s">
        <v>21</v>
      </c>
      <c r="D199" s="53" t="s">
        <v>21</v>
      </c>
      <c r="E199" s="74" t="s">
        <v>21</v>
      </c>
      <c r="F199" s="51" t="s">
        <v>21</v>
      </c>
      <c r="G199" s="57" t="s">
        <v>21</v>
      </c>
      <c r="AB199" s="94"/>
    </row>
    <row r="200" spans="3:28" s="51" customFormat="1" ht="17.25" customHeight="1">
      <c r="C200" s="51" t="s">
        <v>21</v>
      </c>
      <c r="D200" s="53" t="s">
        <v>21</v>
      </c>
      <c r="E200" s="74" t="s">
        <v>21</v>
      </c>
      <c r="F200" s="51" t="s">
        <v>21</v>
      </c>
      <c r="G200" s="57" t="s">
        <v>21</v>
      </c>
      <c r="AB200" s="94"/>
    </row>
    <row r="201" spans="3:28" s="51" customFormat="1" ht="17.25" customHeight="1">
      <c r="C201" s="51" t="s">
        <v>21</v>
      </c>
      <c r="D201" s="53" t="s">
        <v>21</v>
      </c>
      <c r="E201" s="74" t="s">
        <v>21</v>
      </c>
      <c r="F201" s="51" t="s">
        <v>21</v>
      </c>
      <c r="G201" s="57" t="s">
        <v>21</v>
      </c>
      <c r="AB201" s="94"/>
    </row>
    <row r="202" spans="3:28" s="51" customFormat="1" ht="17.25" customHeight="1">
      <c r="C202" s="51" t="s">
        <v>21</v>
      </c>
      <c r="D202" s="53" t="s">
        <v>21</v>
      </c>
      <c r="E202" s="74" t="s">
        <v>21</v>
      </c>
      <c r="F202" s="51" t="s">
        <v>21</v>
      </c>
      <c r="G202" s="57" t="s">
        <v>21</v>
      </c>
      <c r="AB202" s="94"/>
    </row>
    <row r="203" spans="3:28" s="51" customFormat="1" ht="17.25" customHeight="1">
      <c r="C203" s="51" t="s">
        <v>21</v>
      </c>
      <c r="D203" s="53" t="s">
        <v>21</v>
      </c>
      <c r="E203" s="74" t="s">
        <v>21</v>
      </c>
      <c r="F203" s="51" t="s">
        <v>21</v>
      </c>
      <c r="G203" s="57" t="s">
        <v>21</v>
      </c>
      <c r="AB203" s="94"/>
    </row>
    <row r="204" spans="3:28" s="51" customFormat="1" ht="17.25" customHeight="1">
      <c r="C204" s="51" t="s">
        <v>21</v>
      </c>
      <c r="D204" s="53" t="s">
        <v>21</v>
      </c>
      <c r="E204" s="74" t="s">
        <v>21</v>
      </c>
      <c r="F204" s="51" t="s">
        <v>21</v>
      </c>
      <c r="G204" s="57" t="s">
        <v>21</v>
      </c>
      <c r="AB204" s="94"/>
    </row>
    <row r="205" spans="3:28" s="51" customFormat="1" ht="17.25" customHeight="1">
      <c r="C205" s="51" t="s">
        <v>21</v>
      </c>
      <c r="D205" s="53" t="s">
        <v>21</v>
      </c>
      <c r="E205" s="74" t="s">
        <v>21</v>
      </c>
      <c r="F205" s="51" t="s">
        <v>21</v>
      </c>
      <c r="G205" s="57" t="s">
        <v>21</v>
      </c>
      <c r="AB205" s="94"/>
    </row>
    <row r="206" spans="3:28" s="51" customFormat="1" ht="17.25" customHeight="1">
      <c r="C206" s="51" t="s">
        <v>21</v>
      </c>
      <c r="D206" s="53" t="s">
        <v>21</v>
      </c>
      <c r="E206" s="74" t="s">
        <v>21</v>
      </c>
      <c r="F206" s="51" t="s">
        <v>21</v>
      </c>
      <c r="G206" s="57" t="s">
        <v>21</v>
      </c>
      <c r="AB206" s="94"/>
    </row>
    <row r="207" spans="3:28" s="51" customFormat="1" ht="17.25" customHeight="1">
      <c r="C207" s="51" t="s">
        <v>21</v>
      </c>
      <c r="D207" s="53" t="s">
        <v>21</v>
      </c>
      <c r="E207" s="74" t="s">
        <v>21</v>
      </c>
      <c r="F207" s="51" t="s">
        <v>21</v>
      </c>
      <c r="G207" s="57" t="s">
        <v>21</v>
      </c>
      <c r="AB207" s="94"/>
    </row>
    <row r="208" spans="3:28" s="51" customFormat="1" ht="17.25" customHeight="1">
      <c r="C208" s="51" t="s">
        <v>21</v>
      </c>
      <c r="D208" s="53" t="s">
        <v>21</v>
      </c>
      <c r="E208" s="74" t="s">
        <v>21</v>
      </c>
      <c r="F208" s="51" t="s">
        <v>21</v>
      </c>
      <c r="G208" s="57" t="s">
        <v>21</v>
      </c>
      <c r="AB208" s="94"/>
    </row>
    <row r="209" spans="3:28" s="51" customFormat="1" ht="17.25" customHeight="1">
      <c r="C209" s="51" t="s">
        <v>21</v>
      </c>
      <c r="D209" s="53" t="s">
        <v>21</v>
      </c>
      <c r="E209" s="74" t="s">
        <v>21</v>
      </c>
      <c r="F209" s="51" t="s">
        <v>21</v>
      </c>
      <c r="G209" s="57" t="s">
        <v>21</v>
      </c>
      <c r="AB209" s="94"/>
    </row>
    <row r="210" spans="3:28" s="51" customFormat="1" ht="17.25" customHeight="1">
      <c r="C210" s="51" t="s">
        <v>21</v>
      </c>
      <c r="D210" s="53" t="s">
        <v>21</v>
      </c>
      <c r="E210" s="74" t="s">
        <v>21</v>
      </c>
      <c r="F210" s="51" t="s">
        <v>21</v>
      </c>
      <c r="G210" s="57" t="s">
        <v>21</v>
      </c>
      <c r="AB210" s="94"/>
    </row>
    <row r="211" spans="3:28" s="51" customFormat="1" ht="17.25" customHeight="1">
      <c r="C211" s="51" t="s">
        <v>21</v>
      </c>
      <c r="D211" s="53" t="s">
        <v>21</v>
      </c>
      <c r="E211" s="74" t="s">
        <v>21</v>
      </c>
      <c r="F211" s="51" t="s">
        <v>21</v>
      </c>
      <c r="G211" s="57" t="s">
        <v>21</v>
      </c>
      <c r="AB211" s="94"/>
    </row>
    <row r="212" spans="3:28" s="51" customFormat="1" ht="17.25" customHeight="1">
      <c r="C212" s="51" t="s">
        <v>21</v>
      </c>
      <c r="D212" s="53" t="s">
        <v>21</v>
      </c>
      <c r="E212" s="74" t="s">
        <v>21</v>
      </c>
      <c r="F212" s="51" t="s">
        <v>21</v>
      </c>
      <c r="G212" s="57" t="s">
        <v>21</v>
      </c>
      <c r="AB212" s="94"/>
    </row>
    <row r="213" spans="3:28" s="51" customFormat="1" ht="17.25" customHeight="1">
      <c r="C213" s="51" t="s">
        <v>21</v>
      </c>
      <c r="D213" s="53" t="s">
        <v>21</v>
      </c>
      <c r="E213" s="74" t="s">
        <v>21</v>
      </c>
      <c r="F213" s="51" t="s">
        <v>21</v>
      </c>
      <c r="G213" s="57" t="s">
        <v>21</v>
      </c>
      <c r="AB213" s="94"/>
    </row>
    <row r="214" spans="3:28" s="51" customFormat="1" ht="17.25" customHeight="1">
      <c r="C214" s="51" t="s">
        <v>21</v>
      </c>
      <c r="D214" s="53" t="s">
        <v>21</v>
      </c>
      <c r="E214" s="74" t="s">
        <v>21</v>
      </c>
      <c r="F214" s="51" t="s">
        <v>21</v>
      </c>
      <c r="G214" s="57" t="s">
        <v>21</v>
      </c>
      <c r="AB214" s="94"/>
    </row>
    <row r="215" spans="3:28" s="51" customFormat="1" ht="17.25" customHeight="1">
      <c r="C215" s="51" t="s">
        <v>21</v>
      </c>
      <c r="D215" s="53" t="s">
        <v>21</v>
      </c>
      <c r="E215" s="74" t="s">
        <v>21</v>
      </c>
      <c r="F215" s="51" t="s">
        <v>21</v>
      </c>
      <c r="G215" s="57" t="s">
        <v>21</v>
      </c>
      <c r="AB215" s="94"/>
    </row>
    <row r="216" spans="3:28" s="51" customFormat="1" ht="17.25" customHeight="1">
      <c r="C216" s="51" t="s">
        <v>21</v>
      </c>
      <c r="D216" s="53" t="s">
        <v>21</v>
      </c>
      <c r="E216" s="74" t="s">
        <v>21</v>
      </c>
      <c r="F216" s="51" t="s">
        <v>21</v>
      </c>
      <c r="G216" s="57" t="s">
        <v>21</v>
      </c>
      <c r="AB216" s="94"/>
    </row>
    <row r="217" spans="3:28" s="51" customFormat="1" ht="17.25" customHeight="1">
      <c r="C217" s="51" t="s">
        <v>21</v>
      </c>
      <c r="D217" s="53" t="s">
        <v>21</v>
      </c>
      <c r="E217" s="74" t="s">
        <v>21</v>
      </c>
      <c r="F217" s="51" t="s">
        <v>21</v>
      </c>
      <c r="G217" s="57" t="s">
        <v>21</v>
      </c>
      <c r="AB217" s="94"/>
    </row>
    <row r="218" spans="3:28" s="51" customFormat="1" ht="17.25" customHeight="1">
      <c r="C218" s="51" t="s">
        <v>21</v>
      </c>
      <c r="D218" s="53" t="s">
        <v>21</v>
      </c>
      <c r="E218" s="74" t="s">
        <v>21</v>
      </c>
      <c r="F218" s="51" t="s">
        <v>21</v>
      </c>
      <c r="G218" s="57" t="s">
        <v>21</v>
      </c>
      <c r="AB218" s="94"/>
    </row>
    <row r="219" spans="3:28" s="51" customFormat="1" ht="17.25" customHeight="1">
      <c r="C219" s="51" t="s">
        <v>21</v>
      </c>
      <c r="D219" s="53" t="s">
        <v>21</v>
      </c>
      <c r="E219" s="74" t="s">
        <v>21</v>
      </c>
      <c r="F219" s="51" t="s">
        <v>21</v>
      </c>
      <c r="G219" s="57" t="s">
        <v>21</v>
      </c>
      <c r="AB219" s="94"/>
    </row>
    <row r="220" spans="3:28" s="51" customFormat="1" ht="17.25" customHeight="1">
      <c r="C220" s="51" t="s">
        <v>21</v>
      </c>
      <c r="D220" s="53" t="s">
        <v>21</v>
      </c>
      <c r="E220" s="74" t="s">
        <v>21</v>
      </c>
      <c r="F220" s="51" t="s">
        <v>21</v>
      </c>
      <c r="G220" s="57" t="s">
        <v>21</v>
      </c>
      <c r="AB220" s="94"/>
    </row>
    <row r="221" spans="3:28" s="51" customFormat="1" ht="17.25" customHeight="1">
      <c r="C221" s="51" t="s">
        <v>21</v>
      </c>
      <c r="D221" s="53" t="s">
        <v>21</v>
      </c>
      <c r="E221" s="74" t="s">
        <v>21</v>
      </c>
      <c r="F221" s="51" t="s">
        <v>21</v>
      </c>
      <c r="G221" s="57" t="s">
        <v>21</v>
      </c>
      <c r="AB221" s="94"/>
    </row>
    <row r="222" spans="3:28" s="51" customFormat="1" ht="17.25" customHeight="1">
      <c r="C222" s="51" t="s">
        <v>21</v>
      </c>
      <c r="D222" s="53" t="s">
        <v>21</v>
      </c>
      <c r="E222" s="74" t="s">
        <v>21</v>
      </c>
      <c r="F222" s="51" t="s">
        <v>21</v>
      </c>
      <c r="G222" s="57" t="s">
        <v>21</v>
      </c>
      <c r="AB222" s="94"/>
    </row>
    <row r="223" spans="3:28" s="51" customFormat="1" ht="17.25" customHeight="1">
      <c r="C223" s="51" t="s">
        <v>21</v>
      </c>
      <c r="D223" s="53" t="s">
        <v>21</v>
      </c>
      <c r="E223" s="74" t="s">
        <v>21</v>
      </c>
      <c r="F223" s="51" t="s">
        <v>21</v>
      </c>
      <c r="G223" s="57" t="s">
        <v>21</v>
      </c>
      <c r="AB223" s="94"/>
    </row>
    <row r="224" spans="3:28" s="51" customFormat="1" ht="17.25" customHeight="1">
      <c r="C224" s="51" t="s">
        <v>21</v>
      </c>
      <c r="D224" s="53" t="s">
        <v>21</v>
      </c>
      <c r="E224" s="74" t="s">
        <v>21</v>
      </c>
      <c r="F224" s="51" t="s">
        <v>21</v>
      </c>
      <c r="G224" s="57" t="s">
        <v>21</v>
      </c>
      <c r="AB224" s="94"/>
    </row>
    <row r="225" spans="3:28" s="51" customFormat="1" ht="17.25" customHeight="1">
      <c r="C225" s="51" t="s">
        <v>21</v>
      </c>
      <c r="D225" s="53" t="s">
        <v>21</v>
      </c>
      <c r="E225" s="74" t="s">
        <v>21</v>
      </c>
      <c r="F225" s="51" t="s">
        <v>21</v>
      </c>
      <c r="G225" s="57" t="s">
        <v>21</v>
      </c>
      <c r="AB225" s="94"/>
    </row>
    <row r="226" spans="3:28" s="51" customFormat="1" ht="17.25" customHeight="1">
      <c r="C226" s="51" t="s">
        <v>21</v>
      </c>
      <c r="D226" s="53" t="s">
        <v>21</v>
      </c>
      <c r="E226" s="74" t="s">
        <v>21</v>
      </c>
      <c r="F226" s="51" t="s">
        <v>21</v>
      </c>
      <c r="G226" s="57" t="s">
        <v>21</v>
      </c>
      <c r="AB226" s="94"/>
    </row>
    <row r="227" spans="3:28" s="51" customFormat="1" ht="17.25" customHeight="1">
      <c r="C227" s="51" t="s">
        <v>21</v>
      </c>
      <c r="D227" s="53" t="s">
        <v>21</v>
      </c>
      <c r="E227" s="74" t="s">
        <v>21</v>
      </c>
      <c r="F227" s="51" t="s">
        <v>21</v>
      </c>
      <c r="G227" s="57" t="s">
        <v>21</v>
      </c>
      <c r="AB227" s="94"/>
    </row>
    <row r="228" spans="3:28" s="51" customFormat="1" ht="17.25" customHeight="1">
      <c r="AB228" s="94"/>
    </row>
    <row r="229" spans="3:28" s="51" customFormat="1" ht="17.25" customHeight="1">
      <c r="AB229" s="94"/>
    </row>
    <row r="230" spans="3:28" s="51" customFormat="1" ht="17.25" customHeight="1">
      <c r="AB230" s="94"/>
    </row>
    <row r="231" spans="3:28" s="51" customFormat="1" ht="17.25" customHeight="1">
      <c r="AB231" s="94"/>
    </row>
    <row r="232" spans="3:28" s="51" customFormat="1" ht="17.25" customHeight="1">
      <c r="AB232" s="94"/>
    </row>
    <row r="233" spans="3:28" s="51" customFormat="1" ht="17.25" customHeight="1">
      <c r="AB233" s="94"/>
    </row>
    <row r="234" spans="3:28" s="51" customFormat="1" ht="17.25" customHeight="1">
      <c r="AB234" s="94"/>
    </row>
    <row r="235" spans="3:28" s="51" customFormat="1" ht="17.25" customHeight="1">
      <c r="AB235" s="94"/>
    </row>
    <row r="236" spans="3:28" s="51" customFormat="1" ht="17.25" customHeight="1">
      <c r="AB236" s="94"/>
    </row>
    <row r="237" spans="3:28" s="51" customFormat="1" ht="17.25" customHeight="1">
      <c r="AB237" s="94"/>
    </row>
    <row r="238" spans="3:28" s="51" customFormat="1" ht="17.25" customHeight="1">
      <c r="AB238" s="94"/>
    </row>
    <row r="239" spans="3:28" s="51" customFormat="1" ht="17.25" customHeight="1">
      <c r="AB239" s="94"/>
    </row>
    <row r="240" spans="3:28" s="51" customFormat="1" ht="17.25" customHeight="1">
      <c r="AB240" s="94"/>
    </row>
    <row r="241" spans="28:28" s="51" customFormat="1" ht="17.25" customHeight="1">
      <c r="AB241" s="94"/>
    </row>
    <row r="242" spans="28:28" s="51" customFormat="1" ht="17.25" customHeight="1">
      <c r="AB242" s="94"/>
    </row>
    <row r="243" spans="28:28" s="51" customFormat="1" ht="17.25" customHeight="1">
      <c r="AB243" s="94"/>
    </row>
    <row r="244" spans="28:28" s="51" customFormat="1" ht="17.25" customHeight="1">
      <c r="AB244" s="94"/>
    </row>
    <row r="245" spans="28:28" s="51" customFormat="1" ht="17.25" customHeight="1">
      <c r="AB245" s="94"/>
    </row>
    <row r="246" spans="28:28" s="51" customFormat="1" ht="17.25" customHeight="1">
      <c r="AB246" s="94"/>
    </row>
    <row r="247" spans="28:28" s="51" customFormat="1" ht="17.25" customHeight="1">
      <c r="AB247" s="94"/>
    </row>
    <row r="248" spans="28:28" s="51" customFormat="1" ht="17.25" customHeight="1">
      <c r="AB248" s="94"/>
    </row>
    <row r="249" spans="28:28" s="51" customFormat="1" ht="17.25" customHeight="1">
      <c r="AB249" s="94"/>
    </row>
    <row r="250" spans="28:28" s="51" customFormat="1" ht="17.25" customHeight="1">
      <c r="AB250" s="94"/>
    </row>
    <row r="251" spans="28:28" s="51" customFormat="1" ht="17.25" customHeight="1">
      <c r="AB251" s="94"/>
    </row>
    <row r="252" spans="28:28" s="51" customFormat="1" ht="17.25" customHeight="1">
      <c r="AB252" s="94"/>
    </row>
    <row r="253" spans="28:28" s="51" customFormat="1" ht="17.25" customHeight="1">
      <c r="AB253" s="94"/>
    </row>
    <row r="254" spans="28:28" s="51" customFormat="1" ht="17.25" customHeight="1">
      <c r="AB254" s="94"/>
    </row>
    <row r="255" spans="28:28" s="51" customFormat="1" ht="17.25" customHeight="1">
      <c r="AB255" s="94"/>
    </row>
    <row r="256" spans="28:28" s="51" customFormat="1" ht="17.25" customHeight="1">
      <c r="AB256" s="94"/>
    </row>
    <row r="257" spans="28:28" s="51" customFormat="1" ht="17.25" customHeight="1">
      <c r="AB257" s="94"/>
    </row>
    <row r="258" spans="28:28" s="51" customFormat="1" ht="17.25" customHeight="1">
      <c r="AB258" s="94"/>
    </row>
    <row r="259" spans="28:28" s="51" customFormat="1" ht="17.25" customHeight="1">
      <c r="AB259" s="94"/>
    </row>
    <row r="260" spans="28:28" s="51" customFormat="1" ht="17.25" customHeight="1">
      <c r="AB260" s="94"/>
    </row>
    <row r="261" spans="28:28" s="51" customFormat="1" ht="17.25" customHeight="1">
      <c r="AB261" s="94"/>
    </row>
    <row r="262" spans="28:28" s="51" customFormat="1" ht="17.25" customHeight="1">
      <c r="AB262" s="94"/>
    </row>
    <row r="263" spans="28:28" s="51" customFormat="1" ht="17.25" customHeight="1">
      <c r="AB263" s="94"/>
    </row>
    <row r="264" spans="28:28" s="51" customFormat="1" ht="17.25" customHeight="1">
      <c r="AB264" s="94"/>
    </row>
    <row r="265" spans="28:28" s="51" customFormat="1" ht="17.25" customHeight="1">
      <c r="AB265" s="94"/>
    </row>
    <row r="266" spans="28:28" s="51" customFormat="1" ht="17.25" customHeight="1">
      <c r="AB266" s="94"/>
    </row>
    <row r="267" spans="28:28" s="51" customFormat="1" ht="17.25" customHeight="1">
      <c r="AB267" s="94"/>
    </row>
    <row r="268" spans="28:28" s="51" customFormat="1" ht="17.25" customHeight="1">
      <c r="AB268" s="94"/>
    </row>
    <row r="269" spans="28:28" s="51" customFormat="1" ht="17.25" customHeight="1">
      <c r="AB269" s="94"/>
    </row>
    <row r="270" spans="28:28" s="51" customFormat="1" ht="17.25" customHeight="1">
      <c r="AB270" s="94"/>
    </row>
    <row r="271" spans="28:28" s="51" customFormat="1" ht="17.25" customHeight="1">
      <c r="AB271" s="94"/>
    </row>
    <row r="272" spans="28:28" s="51" customFormat="1" ht="17.25" customHeight="1">
      <c r="AB272" s="94"/>
    </row>
    <row r="273" spans="28:28" s="51" customFormat="1" ht="17.25" customHeight="1">
      <c r="AB273" s="94"/>
    </row>
    <row r="274" spans="28:28" s="51" customFormat="1" ht="17.25" customHeight="1">
      <c r="AB274" s="94"/>
    </row>
    <row r="275" spans="28:28" s="51" customFormat="1" ht="17.25" customHeight="1">
      <c r="AB275" s="94"/>
    </row>
    <row r="276" spans="28:28" s="51" customFormat="1" ht="17.25" customHeight="1">
      <c r="AB276" s="94"/>
    </row>
    <row r="277" spans="28:28" s="51" customFormat="1" ht="17.25" customHeight="1">
      <c r="AB277" s="94"/>
    </row>
    <row r="278" spans="28:28" s="51" customFormat="1" ht="17.25" customHeight="1">
      <c r="AB278" s="94"/>
    </row>
    <row r="279" spans="28:28" s="51" customFormat="1" ht="17.25" customHeight="1">
      <c r="AB279" s="94"/>
    </row>
    <row r="280" spans="28:28" s="51" customFormat="1" ht="17.25" customHeight="1">
      <c r="AB280" s="94"/>
    </row>
    <row r="281" spans="28:28" s="51" customFormat="1" ht="17.25" customHeight="1">
      <c r="AB281" s="94"/>
    </row>
    <row r="282" spans="28:28" s="51" customFormat="1" ht="17.25" customHeight="1">
      <c r="AB282" s="94"/>
    </row>
    <row r="283" spans="28:28" s="51" customFormat="1" ht="17.25" customHeight="1">
      <c r="AB283" s="94"/>
    </row>
    <row r="284" spans="28:28" s="51" customFormat="1" ht="17.25" customHeight="1">
      <c r="AB284" s="94"/>
    </row>
    <row r="285" spans="28:28" s="51" customFormat="1" ht="17.25" customHeight="1">
      <c r="AB285" s="94"/>
    </row>
    <row r="286" spans="28:28" s="51" customFormat="1" ht="17.25" customHeight="1">
      <c r="AB286" s="94"/>
    </row>
    <row r="287" spans="28:28" s="51" customFormat="1" ht="17.25" customHeight="1">
      <c r="AB287" s="94"/>
    </row>
    <row r="288" spans="28:28" s="51" customFormat="1" ht="17.25" customHeight="1">
      <c r="AB288" s="94"/>
    </row>
    <row r="289" spans="28:28" s="51" customFormat="1" ht="17.25" customHeight="1">
      <c r="AB289" s="94"/>
    </row>
    <row r="290" spans="28:28" s="51" customFormat="1" ht="17.25" customHeight="1">
      <c r="AB290" s="94"/>
    </row>
    <row r="291" spans="28:28" s="51" customFormat="1" ht="17.25" customHeight="1">
      <c r="AB291" s="94"/>
    </row>
    <row r="292" spans="28:28" s="51" customFormat="1" ht="17.25" customHeight="1">
      <c r="AB292" s="94"/>
    </row>
    <row r="293" spans="28:28" s="51" customFormat="1" ht="17.25" customHeight="1">
      <c r="AB293" s="94"/>
    </row>
    <row r="294" spans="28:28" s="51" customFormat="1" ht="17.25" customHeight="1">
      <c r="AB294" s="94"/>
    </row>
    <row r="295" spans="28:28" s="51" customFormat="1" ht="17.25" customHeight="1">
      <c r="AB295" s="94"/>
    </row>
    <row r="296" spans="28:28" s="51" customFormat="1" ht="17.25" customHeight="1">
      <c r="AB296" s="94"/>
    </row>
    <row r="297" spans="28:28" s="51" customFormat="1" ht="17.25" customHeight="1">
      <c r="AB297" s="94"/>
    </row>
    <row r="298" spans="28:28" s="51" customFormat="1" ht="17.25" customHeight="1">
      <c r="AB298" s="94"/>
    </row>
    <row r="299" spans="28:28" s="51" customFormat="1" ht="17.25" customHeight="1">
      <c r="AB299" s="94"/>
    </row>
    <row r="300" spans="28:28" s="51" customFormat="1" ht="17.25" customHeight="1">
      <c r="AB300" s="94"/>
    </row>
    <row r="301" spans="28:28" s="51" customFormat="1" ht="17.25" customHeight="1">
      <c r="AB301" s="94"/>
    </row>
    <row r="302" spans="28:28" s="51" customFormat="1" ht="17.25" customHeight="1">
      <c r="AB302" s="94"/>
    </row>
    <row r="303" spans="28:28" s="51" customFormat="1" ht="17.25" customHeight="1">
      <c r="AB303" s="94"/>
    </row>
    <row r="304" spans="28:28" s="51" customFormat="1" ht="17.25" customHeight="1">
      <c r="AB304" s="94"/>
    </row>
    <row r="305" spans="28:28" s="51" customFormat="1" ht="17.25" customHeight="1">
      <c r="AB305" s="94"/>
    </row>
    <row r="306" spans="28:28" s="51" customFormat="1" ht="17.25" customHeight="1">
      <c r="AB306" s="94"/>
    </row>
    <row r="307" spans="28:28" s="51" customFormat="1" ht="17.25" customHeight="1">
      <c r="AB307" s="94"/>
    </row>
    <row r="308" spans="28:28" s="51" customFormat="1" ht="17.25" customHeight="1">
      <c r="AB308" s="94"/>
    </row>
    <row r="309" spans="28:28" s="51" customFormat="1" ht="17.25" customHeight="1">
      <c r="AB309" s="94"/>
    </row>
    <row r="310" spans="28:28" s="51" customFormat="1" ht="17.25" customHeight="1">
      <c r="AB310" s="94"/>
    </row>
    <row r="311" spans="28:28" s="51" customFormat="1" ht="17.25" customHeight="1">
      <c r="AB311" s="94"/>
    </row>
    <row r="312" spans="28:28" s="51" customFormat="1" ht="17.25" customHeight="1">
      <c r="AB312" s="94"/>
    </row>
    <row r="313" spans="28:28" s="51" customFormat="1" ht="17.25" customHeight="1">
      <c r="AB313" s="94"/>
    </row>
    <row r="314" spans="28:28" s="51" customFormat="1" ht="17.25" customHeight="1">
      <c r="AB314" s="94"/>
    </row>
    <row r="315" spans="28:28" s="51" customFormat="1" ht="17.25" customHeight="1">
      <c r="AB315" s="94"/>
    </row>
    <row r="316" spans="28:28" s="51" customFormat="1" ht="17.25" customHeight="1">
      <c r="AB316" s="94"/>
    </row>
    <row r="317" spans="28:28" s="51" customFormat="1" ht="17.25" customHeight="1">
      <c r="AB317" s="94"/>
    </row>
    <row r="318" spans="28:28" s="51" customFormat="1" ht="17.25" customHeight="1">
      <c r="AB318" s="94"/>
    </row>
    <row r="319" spans="28:28" s="51" customFormat="1" ht="17.25" customHeight="1">
      <c r="AB319" s="94"/>
    </row>
    <row r="320" spans="28:28" s="51" customFormat="1" ht="17.25" customHeight="1">
      <c r="AB320" s="94"/>
    </row>
    <row r="321" spans="28:28" s="51" customFormat="1" ht="17.25" customHeight="1">
      <c r="AB321" s="94"/>
    </row>
    <row r="322" spans="28:28" s="51" customFormat="1" ht="17.25" customHeight="1">
      <c r="AB322" s="94"/>
    </row>
    <row r="323" spans="28:28" s="51" customFormat="1" ht="17.25" customHeight="1">
      <c r="AB323" s="94"/>
    </row>
    <row r="324" spans="28:28" s="51" customFormat="1" ht="17.25" customHeight="1">
      <c r="AB324" s="94"/>
    </row>
    <row r="325" spans="28:28" s="51" customFormat="1" ht="17.25" customHeight="1">
      <c r="AB325" s="94"/>
    </row>
    <row r="326" spans="28:28" s="51" customFormat="1" ht="17.25" customHeight="1">
      <c r="AB326" s="94"/>
    </row>
    <row r="327" spans="28:28" s="51" customFormat="1" ht="17.25" customHeight="1">
      <c r="AB327" s="94"/>
    </row>
    <row r="328" spans="28:28" s="51" customFormat="1" ht="17.25" customHeight="1">
      <c r="AB328" s="94"/>
    </row>
    <row r="329" spans="28:28" s="51" customFormat="1" ht="17.25" customHeight="1">
      <c r="AB329" s="94"/>
    </row>
    <row r="330" spans="28:28" s="51" customFormat="1" ht="17.25" customHeight="1">
      <c r="AB330" s="94"/>
    </row>
    <row r="331" spans="28:28" s="51" customFormat="1" ht="17.25" customHeight="1">
      <c r="AB331" s="94"/>
    </row>
    <row r="332" spans="28:28" s="51" customFormat="1" ht="17.25" customHeight="1">
      <c r="AB332" s="94"/>
    </row>
    <row r="333" spans="28:28" s="51" customFormat="1" ht="17.25" customHeight="1">
      <c r="AB333" s="94"/>
    </row>
    <row r="334" spans="28:28" s="51" customFormat="1" ht="17.25" customHeight="1">
      <c r="AB334" s="94"/>
    </row>
    <row r="335" spans="28:28" s="51" customFormat="1" ht="17.25" customHeight="1">
      <c r="AB335" s="94"/>
    </row>
    <row r="336" spans="28:28" s="51" customFormat="1" ht="17.25" customHeight="1">
      <c r="AB336" s="94"/>
    </row>
    <row r="337" spans="28:28" s="51" customFormat="1" ht="17.25" customHeight="1">
      <c r="AB337" s="94"/>
    </row>
    <row r="338" spans="28:28" s="51" customFormat="1" ht="17.25" customHeight="1">
      <c r="AB338" s="94"/>
    </row>
    <row r="339" spans="28:28" s="51" customFormat="1" ht="17.25" customHeight="1">
      <c r="AB339" s="94"/>
    </row>
    <row r="340" spans="28:28" s="51" customFormat="1" ht="17.25" customHeight="1">
      <c r="AB340" s="94"/>
    </row>
    <row r="341" spans="28:28" s="51" customFormat="1" ht="17.25" customHeight="1">
      <c r="AB341" s="94"/>
    </row>
    <row r="342" spans="28:28" s="51" customFormat="1" ht="17.25" customHeight="1">
      <c r="AB342" s="94"/>
    </row>
    <row r="343" spans="28:28" s="51" customFormat="1" ht="17.25" customHeight="1">
      <c r="AB343" s="94"/>
    </row>
    <row r="344" spans="28:28" s="51" customFormat="1" ht="17.25" customHeight="1">
      <c r="AB344" s="94"/>
    </row>
    <row r="345" spans="28:28" s="51" customFormat="1" ht="17.25" customHeight="1">
      <c r="AB345" s="94"/>
    </row>
    <row r="346" spans="28:28" s="51" customFormat="1" ht="17.25" customHeight="1">
      <c r="AB346" s="94"/>
    </row>
    <row r="347" spans="28:28" s="51" customFormat="1" ht="17.25" customHeight="1">
      <c r="AB347" s="94"/>
    </row>
    <row r="348" spans="28:28" s="51" customFormat="1" ht="17.25" customHeight="1">
      <c r="AB348" s="94"/>
    </row>
    <row r="349" spans="28:28" s="51" customFormat="1" ht="17.25" customHeight="1">
      <c r="AB349" s="94"/>
    </row>
    <row r="350" spans="28:28" s="51" customFormat="1" ht="17.25" customHeight="1">
      <c r="AB350" s="94"/>
    </row>
    <row r="351" spans="28:28" s="51" customFormat="1" ht="17.25" customHeight="1">
      <c r="AB351" s="94"/>
    </row>
    <row r="352" spans="28:28" s="51" customFormat="1" ht="17.25" customHeight="1">
      <c r="AB352" s="94"/>
    </row>
    <row r="353" spans="28:28" s="51" customFormat="1" ht="17.25" customHeight="1">
      <c r="AB353" s="94"/>
    </row>
    <row r="354" spans="28:28" s="51" customFormat="1" ht="17.25" customHeight="1">
      <c r="AB354" s="94"/>
    </row>
    <row r="355" spans="28:28" s="51" customFormat="1" ht="17.25" customHeight="1">
      <c r="AB355" s="94"/>
    </row>
    <row r="356" spans="28:28" s="51" customFormat="1" ht="17.25" customHeight="1">
      <c r="AB356" s="94"/>
    </row>
    <row r="357" spans="28:28" s="51" customFormat="1" ht="17.25" customHeight="1">
      <c r="AB357" s="94"/>
    </row>
    <row r="358" spans="28:28" s="51" customFormat="1" ht="17.25" customHeight="1">
      <c r="AB358" s="94"/>
    </row>
    <row r="359" spans="28:28" s="51" customFormat="1" ht="17.25" customHeight="1">
      <c r="AB359" s="94"/>
    </row>
    <row r="360" spans="28:28" s="51" customFormat="1" ht="17.25" customHeight="1">
      <c r="AB360" s="94"/>
    </row>
    <row r="361" spans="28:28" s="51" customFormat="1" ht="17.25" customHeight="1">
      <c r="AB361" s="94"/>
    </row>
    <row r="362" spans="28:28" s="51" customFormat="1" ht="17.25" customHeight="1">
      <c r="AB362" s="94"/>
    </row>
    <row r="363" spans="28:28" s="51" customFormat="1" ht="17.25" customHeight="1">
      <c r="AB363" s="94"/>
    </row>
    <row r="364" spans="28:28" s="51" customFormat="1" ht="17.25" customHeight="1">
      <c r="AB364" s="94"/>
    </row>
    <row r="365" spans="28:28" s="51" customFormat="1" ht="17.25" customHeight="1">
      <c r="AB365" s="94"/>
    </row>
    <row r="366" spans="28:28" s="51" customFormat="1" ht="17.25" customHeight="1">
      <c r="AB366" s="94"/>
    </row>
    <row r="367" spans="28:28" s="51" customFormat="1" ht="17.25" customHeight="1">
      <c r="AB367" s="94"/>
    </row>
    <row r="368" spans="28:28" s="51" customFormat="1" ht="17.25" customHeight="1">
      <c r="AB368" s="94"/>
    </row>
    <row r="369" spans="28:28" s="51" customFormat="1" ht="17.25" customHeight="1">
      <c r="AB369" s="94"/>
    </row>
    <row r="370" spans="28:28" s="51" customFormat="1" ht="17.25" customHeight="1">
      <c r="AB370" s="94"/>
    </row>
    <row r="371" spans="28:28" s="51" customFormat="1" ht="17.25" customHeight="1">
      <c r="AB371" s="94"/>
    </row>
    <row r="372" spans="28:28" s="51" customFormat="1" ht="17.25" customHeight="1">
      <c r="AB372" s="94"/>
    </row>
    <row r="373" spans="28:28" s="51" customFormat="1" ht="17.25" customHeight="1">
      <c r="AB373" s="94"/>
    </row>
    <row r="374" spans="28:28" s="51" customFormat="1" ht="17.25" customHeight="1">
      <c r="AB374" s="94"/>
    </row>
    <row r="375" spans="28:28" s="51" customFormat="1" ht="17.25" customHeight="1">
      <c r="AB375" s="94"/>
    </row>
    <row r="376" spans="28:28" s="51" customFormat="1" ht="17.25" customHeight="1">
      <c r="AB376" s="94"/>
    </row>
    <row r="377" spans="28:28" s="51" customFormat="1" ht="17.25" customHeight="1">
      <c r="AB377" s="94"/>
    </row>
    <row r="378" spans="28:28" s="51" customFormat="1" ht="17.25" customHeight="1">
      <c r="AB378" s="94"/>
    </row>
    <row r="379" spans="28:28" s="51" customFormat="1" ht="17.25" customHeight="1">
      <c r="AB379" s="94"/>
    </row>
    <row r="380" spans="28:28" s="51" customFormat="1" ht="17.25" customHeight="1">
      <c r="AB380" s="94"/>
    </row>
    <row r="381" spans="28:28" s="51" customFormat="1" ht="17.25" customHeight="1">
      <c r="AB381" s="94"/>
    </row>
    <row r="382" spans="28:28" s="51" customFormat="1" ht="17.25" customHeight="1">
      <c r="AB382" s="94"/>
    </row>
    <row r="383" spans="28:28" s="51" customFormat="1" ht="17.25" customHeight="1">
      <c r="AB383" s="94"/>
    </row>
    <row r="384" spans="28:28" s="51" customFormat="1" ht="17.25" customHeight="1">
      <c r="AB384" s="94"/>
    </row>
    <row r="385" spans="28:28" s="51" customFormat="1" ht="17.25" customHeight="1">
      <c r="AB385" s="94"/>
    </row>
    <row r="386" spans="28:28" s="51" customFormat="1" ht="17.25" customHeight="1">
      <c r="AB386" s="94"/>
    </row>
    <row r="387" spans="28:28" s="51" customFormat="1" ht="17.25" customHeight="1">
      <c r="AB387" s="94"/>
    </row>
    <row r="388" spans="28:28" s="51" customFormat="1" ht="17.25" customHeight="1">
      <c r="AB388" s="94"/>
    </row>
    <row r="389" spans="28:28" s="51" customFormat="1" ht="17.25" customHeight="1">
      <c r="AB389" s="94"/>
    </row>
    <row r="390" spans="28:28" s="51" customFormat="1" ht="17.25" customHeight="1">
      <c r="AB390" s="94"/>
    </row>
    <row r="391" spans="28:28" s="51" customFormat="1" ht="17.25" customHeight="1">
      <c r="AB391" s="94"/>
    </row>
    <row r="392" spans="28:28" s="51" customFormat="1" ht="17.25" customHeight="1">
      <c r="AB392" s="94"/>
    </row>
    <row r="393" spans="28:28" s="51" customFormat="1" ht="17.25" customHeight="1">
      <c r="AB393" s="94"/>
    </row>
    <row r="394" spans="28:28" s="51" customFormat="1" ht="17.25" customHeight="1">
      <c r="AB394" s="94"/>
    </row>
    <row r="395" spans="28:28" s="51" customFormat="1" ht="17.25" customHeight="1">
      <c r="AB395" s="94"/>
    </row>
    <row r="396" spans="28:28" s="51" customFormat="1" ht="17.25" customHeight="1">
      <c r="AB396" s="94"/>
    </row>
    <row r="397" spans="28:28" s="51" customFormat="1" ht="17.25" customHeight="1">
      <c r="AB397" s="94"/>
    </row>
    <row r="398" spans="28:28" s="51" customFormat="1" ht="17.25" customHeight="1">
      <c r="AB398" s="94"/>
    </row>
    <row r="399" spans="28:28" s="51" customFormat="1" ht="17.25" customHeight="1">
      <c r="AB399" s="94"/>
    </row>
    <row r="400" spans="28:28" s="51" customFormat="1" ht="17.25" customHeight="1">
      <c r="AB400" s="94"/>
    </row>
    <row r="401" spans="28:28" s="51" customFormat="1" ht="17.25" customHeight="1">
      <c r="AB401" s="94"/>
    </row>
    <row r="402" spans="28:28" s="51" customFormat="1" ht="17.25" customHeight="1">
      <c r="AB402" s="94"/>
    </row>
    <row r="403" spans="28:28" s="51" customFormat="1" ht="17.25" customHeight="1">
      <c r="AB403" s="94"/>
    </row>
    <row r="404" spans="28:28" s="51" customFormat="1" ht="17.25" customHeight="1">
      <c r="AB404" s="94"/>
    </row>
    <row r="405" spans="28:28" s="51" customFormat="1" ht="17.25" customHeight="1">
      <c r="AB405" s="94"/>
    </row>
    <row r="406" spans="28:28" s="51" customFormat="1" ht="17.25" customHeight="1">
      <c r="AB406" s="94"/>
    </row>
    <row r="407" spans="28:28" s="51" customFormat="1" ht="17.25" customHeight="1">
      <c r="AB407" s="94"/>
    </row>
    <row r="408" spans="28:28" s="51" customFormat="1" ht="17.25" customHeight="1">
      <c r="AB408" s="94"/>
    </row>
    <row r="409" spans="28:28" s="51" customFormat="1" ht="17.25" customHeight="1">
      <c r="AB409" s="94"/>
    </row>
    <row r="410" spans="28:28" s="51" customFormat="1" ht="17.25" customHeight="1">
      <c r="AB410" s="94"/>
    </row>
    <row r="411" spans="28:28" s="51" customFormat="1" ht="17.25" customHeight="1">
      <c r="AB411" s="94"/>
    </row>
    <row r="412" spans="28:28" s="51" customFormat="1" ht="17.25" customHeight="1">
      <c r="AB412" s="94"/>
    </row>
    <row r="413" spans="28:28" s="51" customFormat="1" ht="17.25" customHeight="1">
      <c r="AB413" s="94"/>
    </row>
    <row r="414" spans="28:28" s="51" customFormat="1" ht="17.25" customHeight="1">
      <c r="AB414" s="94"/>
    </row>
    <row r="415" spans="28:28" s="51" customFormat="1" ht="17.25" customHeight="1">
      <c r="AB415" s="94"/>
    </row>
    <row r="416" spans="28:28" s="51" customFormat="1" ht="17.25" customHeight="1">
      <c r="AB416" s="94"/>
    </row>
    <row r="417" spans="28:28" s="51" customFormat="1" ht="17.25" customHeight="1">
      <c r="AB417" s="94"/>
    </row>
    <row r="418" spans="28:28" s="51" customFormat="1" ht="17.25" customHeight="1">
      <c r="AB418" s="94"/>
    </row>
    <row r="419" spans="28:28" s="51" customFormat="1" ht="17.25" customHeight="1">
      <c r="AB419" s="94"/>
    </row>
    <row r="420" spans="28:28" s="51" customFormat="1" ht="17.25" customHeight="1">
      <c r="AB420" s="94"/>
    </row>
    <row r="421" spans="28:28" s="51" customFormat="1" ht="17.25" customHeight="1">
      <c r="AB421" s="94"/>
    </row>
    <row r="422" spans="28:28" s="51" customFormat="1" ht="17.25" customHeight="1">
      <c r="AB422" s="94"/>
    </row>
    <row r="423" spans="28:28" s="51" customFormat="1" ht="17.25" customHeight="1">
      <c r="AB423" s="94"/>
    </row>
    <row r="424" spans="28:28" s="51" customFormat="1" ht="17.25" customHeight="1">
      <c r="AB424" s="94"/>
    </row>
    <row r="425" spans="28:28" s="51" customFormat="1" ht="17.25" customHeight="1">
      <c r="AB425" s="94"/>
    </row>
    <row r="426" spans="28:28" s="51" customFormat="1" ht="17.25" customHeight="1">
      <c r="AB426" s="94"/>
    </row>
    <row r="427" spans="28:28" s="51" customFormat="1" ht="17.25" customHeight="1">
      <c r="AB427" s="94"/>
    </row>
    <row r="428" spans="28:28" s="51" customFormat="1" ht="17.25" customHeight="1">
      <c r="AB428" s="94"/>
    </row>
    <row r="429" spans="28:28" s="51" customFormat="1" ht="17.25" customHeight="1">
      <c r="AB429" s="94"/>
    </row>
    <row r="430" spans="28:28" s="51" customFormat="1" ht="17.25" customHeight="1">
      <c r="AB430" s="94"/>
    </row>
    <row r="431" spans="28:28" s="51" customFormat="1" ht="17.25" customHeight="1">
      <c r="AB431" s="94"/>
    </row>
    <row r="432" spans="28:28" s="51" customFormat="1" ht="17.25" customHeight="1">
      <c r="AB432" s="94"/>
    </row>
    <row r="433" spans="28:28" s="51" customFormat="1" ht="17.25" customHeight="1">
      <c r="AB433" s="94"/>
    </row>
    <row r="434" spans="28:28" s="51" customFormat="1" ht="17.25" customHeight="1">
      <c r="AB434" s="94"/>
    </row>
    <row r="435" spans="28:28" s="51" customFormat="1" ht="17.25" customHeight="1">
      <c r="AB435" s="94"/>
    </row>
    <row r="436" spans="28:28" s="51" customFormat="1" ht="17.25" customHeight="1">
      <c r="AB436" s="94"/>
    </row>
    <row r="437" spans="28:28" s="51" customFormat="1" ht="17.25" customHeight="1">
      <c r="AB437" s="94"/>
    </row>
    <row r="438" spans="28:28" s="51" customFormat="1" ht="17.25" customHeight="1">
      <c r="AB438" s="94"/>
    </row>
    <row r="439" spans="28:28" s="51" customFormat="1" ht="17.25" customHeight="1">
      <c r="AB439" s="94"/>
    </row>
    <row r="440" spans="28:28" s="51" customFormat="1" ht="17.25" customHeight="1">
      <c r="AB440" s="94"/>
    </row>
    <row r="441" spans="28:28" s="51" customFormat="1" ht="17.25" customHeight="1">
      <c r="AB441" s="94"/>
    </row>
    <row r="442" spans="28:28" s="51" customFormat="1" ht="17.25" customHeight="1">
      <c r="AB442" s="94"/>
    </row>
    <row r="443" spans="28:28" s="51" customFormat="1" ht="17.25" customHeight="1">
      <c r="AB443" s="94"/>
    </row>
    <row r="444" spans="28:28" s="51" customFormat="1" ht="17.25" customHeight="1">
      <c r="AB444" s="94"/>
    </row>
    <row r="445" spans="28:28" s="51" customFormat="1" ht="17.25" customHeight="1">
      <c r="AB445" s="94"/>
    </row>
    <row r="446" spans="28:28" s="51" customFormat="1" ht="17.25" customHeight="1">
      <c r="AB446" s="94"/>
    </row>
    <row r="447" spans="28:28" s="51" customFormat="1" ht="17.25" customHeight="1">
      <c r="AB447" s="94"/>
    </row>
    <row r="448" spans="28:28" s="51" customFormat="1" ht="17.25" customHeight="1">
      <c r="AB448" s="94"/>
    </row>
    <row r="449" spans="28:28" s="51" customFormat="1" ht="17.25" customHeight="1">
      <c r="AB449" s="94"/>
    </row>
    <row r="450" spans="28:28" s="51" customFormat="1" ht="17.25" customHeight="1">
      <c r="AB450" s="94"/>
    </row>
    <row r="451" spans="28:28" s="51" customFormat="1" ht="17.25" customHeight="1">
      <c r="AB451" s="94"/>
    </row>
    <row r="452" spans="28:28" s="51" customFormat="1" ht="17.25" customHeight="1">
      <c r="AB452" s="94"/>
    </row>
    <row r="453" spans="28:28" s="51" customFormat="1" ht="17.25" customHeight="1">
      <c r="AB453" s="94"/>
    </row>
    <row r="454" spans="28:28" s="51" customFormat="1" ht="17.25" customHeight="1">
      <c r="AB454" s="94"/>
    </row>
    <row r="455" spans="28:28" s="51" customFormat="1" ht="17.25" customHeight="1">
      <c r="AB455" s="94"/>
    </row>
    <row r="456" spans="28:28" s="51" customFormat="1" ht="17.25" customHeight="1">
      <c r="AB456" s="94"/>
    </row>
    <row r="457" spans="28:28" s="51" customFormat="1">
      <c r="AB457" s="94"/>
    </row>
    <row r="458" spans="28:28" s="51" customFormat="1">
      <c r="AB458" s="94"/>
    </row>
    <row r="459" spans="28:28" s="51" customFormat="1">
      <c r="AB459" s="94"/>
    </row>
    <row r="460" spans="28:28" s="51" customFormat="1">
      <c r="AB460" s="94"/>
    </row>
    <row r="461" spans="28:28" s="51" customFormat="1">
      <c r="AB461" s="94"/>
    </row>
    <row r="462" spans="28:28" s="51" customFormat="1">
      <c r="AB462" s="94"/>
    </row>
    <row r="463" spans="28:28" s="51" customFormat="1">
      <c r="AB463" s="94"/>
    </row>
    <row r="464" spans="28:28" s="51" customFormat="1">
      <c r="AB464" s="94"/>
    </row>
    <row r="465" spans="28:28" s="51" customFormat="1">
      <c r="AB465" s="94"/>
    </row>
    <row r="466" spans="28:28" s="51" customFormat="1">
      <c r="AB466" s="94"/>
    </row>
    <row r="467" spans="28:28" s="51" customFormat="1">
      <c r="AB467" s="94"/>
    </row>
    <row r="468" spans="28:28" s="51" customFormat="1">
      <c r="AB468" s="94"/>
    </row>
    <row r="469" spans="28:28" s="51" customFormat="1">
      <c r="AB469" s="94"/>
    </row>
    <row r="470" spans="28:28" s="51" customFormat="1">
      <c r="AB470" s="94"/>
    </row>
    <row r="471" spans="28:28" s="51" customFormat="1">
      <c r="AB471" s="94"/>
    </row>
    <row r="472" spans="28:28" s="51" customFormat="1">
      <c r="AB472" s="94"/>
    </row>
    <row r="473" spans="28:28" s="51" customFormat="1">
      <c r="AB473" s="94"/>
    </row>
    <row r="474" spans="28:28" s="51" customFormat="1">
      <c r="AB474" s="94"/>
    </row>
    <row r="475" spans="28:28" s="51" customFormat="1">
      <c r="AB475" s="94"/>
    </row>
    <row r="476" spans="28:28" s="51" customFormat="1">
      <c r="AB476" s="94"/>
    </row>
    <row r="477" spans="28:28" s="51" customFormat="1">
      <c r="AB477" s="94"/>
    </row>
    <row r="478" spans="28:28" s="51" customFormat="1">
      <c r="AB478" s="94"/>
    </row>
    <row r="479" spans="28:28" s="51" customFormat="1">
      <c r="AB479" s="94"/>
    </row>
    <row r="480" spans="28:28" s="51" customFormat="1">
      <c r="AB480" s="94"/>
    </row>
    <row r="481" spans="28:28" s="51" customFormat="1">
      <c r="AB481" s="94"/>
    </row>
    <row r="482" spans="28:28" s="51" customFormat="1">
      <c r="AB482" s="94"/>
    </row>
    <row r="483" spans="28:28" s="51" customFormat="1">
      <c r="AB483" s="94"/>
    </row>
    <row r="484" spans="28:28" s="51" customFormat="1">
      <c r="AB484" s="94"/>
    </row>
    <row r="485" spans="28:28" s="51" customFormat="1">
      <c r="AB485" s="94"/>
    </row>
    <row r="486" spans="28:28" s="51" customFormat="1">
      <c r="AB486" s="94"/>
    </row>
    <row r="487" spans="28:28" s="51" customFormat="1">
      <c r="AB487" s="94"/>
    </row>
    <row r="488" spans="28:28" s="51" customFormat="1">
      <c r="AB488" s="94"/>
    </row>
    <row r="489" spans="28:28" s="51" customFormat="1">
      <c r="AB489" s="94"/>
    </row>
    <row r="490" spans="28:28" s="51" customFormat="1">
      <c r="AB490" s="94"/>
    </row>
    <row r="491" spans="28:28" s="51" customFormat="1">
      <c r="AB491" s="94"/>
    </row>
    <row r="492" spans="28:28" s="51" customFormat="1">
      <c r="AB492" s="94"/>
    </row>
    <row r="493" spans="28:28" s="51" customFormat="1">
      <c r="AB493" s="94"/>
    </row>
    <row r="494" spans="28:28" s="51" customFormat="1">
      <c r="AB494" s="94"/>
    </row>
    <row r="495" spans="28:28" s="51" customFormat="1">
      <c r="AB495" s="94"/>
    </row>
    <row r="496" spans="28:28" s="51" customFormat="1">
      <c r="AB496" s="94"/>
    </row>
    <row r="497" spans="28:28" s="51" customFormat="1">
      <c r="AB497" s="94"/>
    </row>
    <row r="498" spans="28:28" s="51" customFormat="1">
      <c r="AB498" s="94"/>
    </row>
    <row r="499" spans="28:28" s="51" customFormat="1">
      <c r="AB499" s="94"/>
    </row>
    <row r="500" spans="28:28" s="51" customFormat="1">
      <c r="AB500" s="94"/>
    </row>
    <row r="501" spans="28:28" s="51" customFormat="1">
      <c r="AB501" s="94"/>
    </row>
    <row r="502" spans="28:28" s="51" customFormat="1">
      <c r="AB502" s="94"/>
    </row>
    <row r="503" spans="28:28" s="51" customFormat="1">
      <c r="AB503" s="94"/>
    </row>
    <row r="504" spans="28:28" s="51" customFormat="1">
      <c r="AB504" s="94"/>
    </row>
    <row r="505" spans="28:28" s="51" customFormat="1">
      <c r="AB505" s="94"/>
    </row>
    <row r="506" spans="28:28" s="51" customFormat="1">
      <c r="AB506" s="94"/>
    </row>
    <row r="507" spans="28:28" s="51" customFormat="1">
      <c r="AB507" s="94"/>
    </row>
    <row r="508" spans="28:28" s="51" customFormat="1">
      <c r="AB508" s="94"/>
    </row>
    <row r="509" spans="28:28" s="51" customFormat="1">
      <c r="AB509" s="94"/>
    </row>
    <row r="510" spans="28:28" s="51" customFormat="1">
      <c r="AB510" s="94"/>
    </row>
    <row r="511" spans="28:28" s="51" customFormat="1">
      <c r="AB511" s="94"/>
    </row>
    <row r="512" spans="28:28" s="51" customFormat="1">
      <c r="AB512" s="94"/>
    </row>
    <row r="513" spans="28:28" s="51" customFormat="1">
      <c r="AB513" s="94"/>
    </row>
    <row r="514" spans="28:28" s="51" customFormat="1">
      <c r="AB514" s="94"/>
    </row>
    <row r="515" spans="28:28" s="51" customFormat="1">
      <c r="AB515" s="94"/>
    </row>
    <row r="516" spans="28:28" s="51" customFormat="1">
      <c r="AB516" s="94"/>
    </row>
    <row r="517" spans="28:28" s="51" customFormat="1">
      <c r="AB517" s="94"/>
    </row>
    <row r="518" spans="28:28" s="51" customFormat="1">
      <c r="AB518" s="94"/>
    </row>
    <row r="519" spans="28:28" s="51" customFormat="1">
      <c r="AB519" s="94"/>
    </row>
    <row r="520" spans="28:28" s="51" customFormat="1">
      <c r="AB520" s="94"/>
    </row>
    <row r="521" spans="28:28" s="51" customFormat="1">
      <c r="AB521" s="94"/>
    </row>
    <row r="522" spans="28:28" s="51" customFormat="1">
      <c r="AB522" s="94"/>
    </row>
    <row r="523" spans="28:28" s="51" customFormat="1">
      <c r="AB523" s="94"/>
    </row>
    <row r="524" spans="28:28" s="51" customFormat="1">
      <c r="AB524" s="94"/>
    </row>
    <row r="525" spans="28:28" s="51" customFormat="1">
      <c r="AB525" s="94"/>
    </row>
    <row r="526" spans="28:28" s="51" customFormat="1">
      <c r="AB526" s="94"/>
    </row>
    <row r="527" spans="28:28" s="51" customFormat="1">
      <c r="AB527" s="94"/>
    </row>
    <row r="528" spans="28:28" s="51" customFormat="1">
      <c r="AB528" s="94"/>
    </row>
    <row r="529" spans="28:28" s="51" customFormat="1">
      <c r="AB529" s="94"/>
    </row>
    <row r="530" spans="28:28" s="51" customFormat="1">
      <c r="AB530" s="94"/>
    </row>
    <row r="531" spans="28:28" s="51" customFormat="1">
      <c r="AB531" s="94"/>
    </row>
    <row r="532" spans="28:28" s="51" customFormat="1">
      <c r="AB532" s="94"/>
    </row>
    <row r="533" spans="28:28" s="51" customFormat="1">
      <c r="AB533" s="94"/>
    </row>
    <row r="534" spans="28:28" s="51" customFormat="1">
      <c r="AB534" s="94"/>
    </row>
    <row r="535" spans="28:28" s="51" customFormat="1">
      <c r="AB535" s="94"/>
    </row>
    <row r="536" spans="28:28" s="51" customFormat="1">
      <c r="AB536" s="94"/>
    </row>
    <row r="537" spans="28:28" s="51" customFormat="1">
      <c r="AB537" s="94"/>
    </row>
    <row r="538" spans="28:28" s="51" customFormat="1">
      <c r="AB538" s="94"/>
    </row>
    <row r="539" spans="28:28" s="51" customFormat="1">
      <c r="AB539" s="94"/>
    </row>
    <row r="540" spans="28:28" s="51" customFormat="1">
      <c r="AB540" s="94"/>
    </row>
    <row r="541" spans="28:28" s="51" customFormat="1">
      <c r="AB541" s="94"/>
    </row>
    <row r="542" spans="28:28" s="51" customFormat="1">
      <c r="AB542" s="94"/>
    </row>
    <row r="543" spans="28:28" s="51" customFormat="1">
      <c r="AB543" s="94"/>
    </row>
    <row r="544" spans="28:28" s="51" customFormat="1">
      <c r="AB544" s="94"/>
    </row>
    <row r="545" spans="28:28" s="51" customFormat="1">
      <c r="AB545" s="94"/>
    </row>
    <row r="546" spans="28:28" s="51" customFormat="1">
      <c r="AB546" s="94"/>
    </row>
    <row r="547" spans="28:28" s="51" customFormat="1">
      <c r="AB547" s="94"/>
    </row>
    <row r="548" spans="28:28" s="51" customFormat="1">
      <c r="AB548" s="94"/>
    </row>
    <row r="549" spans="28:28" s="51" customFormat="1">
      <c r="AB549" s="94"/>
    </row>
    <row r="550" spans="28:28" s="51" customFormat="1">
      <c r="AB550" s="94"/>
    </row>
    <row r="551" spans="28:28" s="51" customFormat="1">
      <c r="AB551" s="94"/>
    </row>
    <row r="552" spans="28:28" s="51" customFormat="1">
      <c r="AB552" s="94"/>
    </row>
    <row r="553" spans="28:28" s="51" customFormat="1">
      <c r="AB553" s="94"/>
    </row>
    <row r="554" spans="28:28" s="51" customFormat="1">
      <c r="AB554" s="94"/>
    </row>
    <row r="555" spans="28:28" s="51" customFormat="1">
      <c r="AB555" s="94"/>
    </row>
    <row r="556" spans="28:28" s="51" customFormat="1">
      <c r="AB556" s="94"/>
    </row>
    <row r="557" spans="28:28" s="51" customFormat="1">
      <c r="AB557" s="94"/>
    </row>
    <row r="558" spans="28:28" s="51" customFormat="1">
      <c r="AB558" s="94"/>
    </row>
    <row r="559" spans="28:28" s="51" customFormat="1">
      <c r="AB559" s="94"/>
    </row>
    <row r="560" spans="28:28" s="51" customFormat="1">
      <c r="AB560" s="94"/>
    </row>
    <row r="561" spans="28:28" s="51" customFormat="1">
      <c r="AB561" s="94"/>
    </row>
    <row r="562" spans="28:28" s="51" customFormat="1">
      <c r="AB562" s="94"/>
    </row>
    <row r="563" spans="28:28" s="51" customFormat="1">
      <c r="AB563" s="94"/>
    </row>
    <row r="564" spans="28:28" s="51" customFormat="1">
      <c r="AB564" s="94"/>
    </row>
    <row r="565" spans="28:28" s="51" customFormat="1">
      <c r="AB565" s="94"/>
    </row>
    <row r="566" spans="28:28" s="51" customFormat="1">
      <c r="AB566" s="94"/>
    </row>
    <row r="567" spans="28:28" s="51" customFormat="1">
      <c r="AB567" s="94"/>
    </row>
    <row r="568" spans="28:28" s="51" customFormat="1">
      <c r="AB568" s="94"/>
    </row>
    <row r="569" spans="28:28" s="51" customFormat="1">
      <c r="AB569" s="94"/>
    </row>
    <row r="570" spans="28:28" s="51" customFormat="1">
      <c r="AB570" s="94"/>
    </row>
    <row r="571" spans="28:28" s="51" customFormat="1">
      <c r="AB571" s="94"/>
    </row>
    <row r="572" spans="28:28" s="51" customFormat="1">
      <c r="AB572" s="94"/>
    </row>
    <row r="573" spans="28:28" s="51" customFormat="1">
      <c r="AB573" s="94"/>
    </row>
    <row r="574" spans="28:28" s="51" customFormat="1">
      <c r="AB574" s="94"/>
    </row>
    <row r="575" spans="28:28" s="51" customFormat="1">
      <c r="AB575" s="94"/>
    </row>
    <row r="576" spans="28:28" s="51" customFormat="1">
      <c r="AB576" s="94"/>
    </row>
    <row r="577" spans="28:28" s="51" customFormat="1">
      <c r="AB577" s="94"/>
    </row>
    <row r="578" spans="28:28" s="51" customFormat="1">
      <c r="AB578" s="94"/>
    </row>
    <row r="579" spans="28:28" s="51" customFormat="1">
      <c r="AB579" s="94"/>
    </row>
    <row r="580" spans="28:28" s="51" customFormat="1">
      <c r="AB580" s="94"/>
    </row>
    <row r="581" spans="28:28" s="51" customFormat="1">
      <c r="AB581" s="94"/>
    </row>
    <row r="582" spans="28:28" s="51" customFormat="1">
      <c r="AB582" s="94"/>
    </row>
    <row r="583" spans="28:28" s="51" customFormat="1">
      <c r="AB583" s="94"/>
    </row>
    <row r="584" spans="28:28" s="51" customFormat="1">
      <c r="AB584" s="94"/>
    </row>
    <row r="585" spans="28:28" s="51" customFormat="1">
      <c r="AB585" s="94"/>
    </row>
    <row r="586" spans="28:28" s="51" customFormat="1">
      <c r="AB586" s="94"/>
    </row>
    <row r="587" spans="28:28" s="51" customFormat="1">
      <c r="AB587" s="94"/>
    </row>
    <row r="588" spans="28:28" s="51" customFormat="1">
      <c r="AB588" s="94"/>
    </row>
    <row r="589" spans="28:28" s="51" customFormat="1">
      <c r="AB589" s="94"/>
    </row>
    <row r="590" spans="28:28" s="51" customFormat="1">
      <c r="AB590" s="94"/>
    </row>
    <row r="591" spans="28:28" s="51" customFormat="1">
      <c r="AB591" s="94"/>
    </row>
    <row r="592" spans="28:28" s="51" customFormat="1">
      <c r="AB592" s="94"/>
    </row>
    <row r="593" spans="28:28" s="51" customFormat="1">
      <c r="AB593" s="94"/>
    </row>
    <row r="594" spans="28:28" s="51" customFormat="1">
      <c r="AB594" s="94"/>
    </row>
    <row r="595" spans="28:28" s="51" customFormat="1">
      <c r="AB595" s="94"/>
    </row>
    <row r="596" spans="28:28" s="51" customFormat="1">
      <c r="AB596" s="94"/>
    </row>
    <row r="597" spans="28:28" s="51" customFormat="1">
      <c r="AB597" s="94"/>
    </row>
    <row r="598" spans="28:28" s="51" customFormat="1">
      <c r="AB598" s="94"/>
    </row>
    <row r="599" spans="28:28" s="51" customFormat="1">
      <c r="AB599" s="94"/>
    </row>
    <row r="600" spans="28:28" s="51" customFormat="1">
      <c r="AB600" s="94"/>
    </row>
    <row r="601" spans="28:28" s="51" customFormat="1">
      <c r="AB601" s="94"/>
    </row>
    <row r="602" spans="28:28" s="51" customFormat="1">
      <c r="AB602" s="94"/>
    </row>
    <row r="603" spans="28:28" s="51" customFormat="1">
      <c r="AB603" s="94"/>
    </row>
    <row r="604" spans="28:28" s="51" customFormat="1">
      <c r="AB604" s="94"/>
    </row>
    <row r="605" spans="28:28" s="51" customFormat="1">
      <c r="AB605" s="94"/>
    </row>
    <row r="606" spans="28:28" s="51" customFormat="1">
      <c r="AB606" s="94"/>
    </row>
    <row r="607" spans="28:28" s="51" customFormat="1">
      <c r="AB607" s="94"/>
    </row>
    <row r="608" spans="28:28" s="51" customFormat="1">
      <c r="AB608" s="94"/>
    </row>
    <row r="609" spans="28:28" s="51" customFormat="1">
      <c r="AB609" s="94"/>
    </row>
    <row r="610" spans="28:28" s="51" customFormat="1">
      <c r="AB610" s="94"/>
    </row>
    <row r="611" spans="28:28" s="51" customFormat="1">
      <c r="AB611" s="94"/>
    </row>
    <row r="612" spans="28:28" s="51" customFormat="1">
      <c r="AB612" s="94"/>
    </row>
    <row r="613" spans="28:28" s="51" customFormat="1">
      <c r="AB613" s="94"/>
    </row>
    <row r="614" spans="28:28" s="51" customFormat="1">
      <c r="AB614" s="94"/>
    </row>
    <row r="615" spans="28:28" s="51" customFormat="1">
      <c r="AB615" s="94"/>
    </row>
    <row r="616" spans="28:28" s="51" customFormat="1">
      <c r="AB616" s="94"/>
    </row>
    <row r="617" spans="28:28" s="51" customFormat="1">
      <c r="AB617" s="94"/>
    </row>
    <row r="618" spans="28:28" s="51" customFormat="1">
      <c r="AB618" s="94"/>
    </row>
    <row r="619" spans="28:28" s="51" customFormat="1">
      <c r="AB619" s="94"/>
    </row>
    <row r="620" spans="28:28" s="51" customFormat="1">
      <c r="AB620" s="94"/>
    </row>
    <row r="621" spans="28:28" s="51" customFormat="1">
      <c r="AB621" s="94"/>
    </row>
    <row r="622" spans="28:28" s="51" customFormat="1">
      <c r="AB622" s="94"/>
    </row>
    <row r="623" spans="28:28" s="51" customFormat="1">
      <c r="AB623" s="94"/>
    </row>
    <row r="624" spans="28:28" s="51" customFormat="1">
      <c r="AB624" s="94"/>
    </row>
    <row r="625" spans="28:28" s="51" customFormat="1">
      <c r="AB625" s="94"/>
    </row>
    <row r="626" spans="28:28" s="51" customFormat="1">
      <c r="AB626" s="94"/>
    </row>
    <row r="627" spans="28:28" s="51" customFormat="1">
      <c r="AB627" s="94"/>
    </row>
    <row r="628" spans="28:28" s="51" customFormat="1">
      <c r="AB628" s="94"/>
    </row>
    <row r="629" spans="28:28" s="51" customFormat="1">
      <c r="AB629" s="94"/>
    </row>
    <row r="630" spans="28:28" s="51" customFormat="1">
      <c r="AB630" s="94"/>
    </row>
    <row r="631" spans="28:28" s="51" customFormat="1">
      <c r="AB631" s="94"/>
    </row>
    <row r="632" spans="28:28" s="51" customFormat="1">
      <c r="AB632" s="94"/>
    </row>
    <row r="633" spans="28:28" s="51" customFormat="1">
      <c r="AB633" s="94"/>
    </row>
    <row r="634" spans="28:28" s="51" customFormat="1">
      <c r="AB634" s="94"/>
    </row>
    <row r="635" spans="28:28" s="51" customFormat="1">
      <c r="AB635" s="94"/>
    </row>
    <row r="636" spans="28:28" s="51" customFormat="1">
      <c r="AB636" s="94"/>
    </row>
    <row r="637" spans="28:28" s="51" customFormat="1">
      <c r="AB637" s="94"/>
    </row>
    <row r="638" spans="28:28" s="51" customFormat="1">
      <c r="AB638" s="94"/>
    </row>
    <row r="639" spans="28:28" s="51" customFormat="1">
      <c r="AB639" s="94"/>
    </row>
    <row r="640" spans="28:28" s="51" customFormat="1">
      <c r="AB640" s="94"/>
    </row>
    <row r="641" spans="28:28" s="51" customFormat="1">
      <c r="AB641" s="94"/>
    </row>
    <row r="642" spans="28:28" s="51" customFormat="1">
      <c r="AB642" s="94"/>
    </row>
    <row r="643" spans="28:28" s="51" customFormat="1">
      <c r="AB643" s="94"/>
    </row>
    <row r="644" spans="28:28" s="51" customFormat="1">
      <c r="AB644" s="94"/>
    </row>
    <row r="645" spans="28:28" s="51" customFormat="1">
      <c r="AB645" s="94"/>
    </row>
    <row r="646" spans="28:28" s="51" customFormat="1">
      <c r="AB646" s="94"/>
    </row>
    <row r="647" spans="28:28" s="51" customFormat="1">
      <c r="AB647" s="94"/>
    </row>
    <row r="648" spans="28:28" s="51" customFormat="1">
      <c r="AB648" s="94"/>
    </row>
    <row r="649" spans="28:28" s="51" customFormat="1">
      <c r="AB649" s="94"/>
    </row>
    <row r="650" spans="28:28" s="51" customFormat="1">
      <c r="AB650" s="94"/>
    </row>
    <row r="651" spans="28:28" s="51" customFormat="1">
      <c r="AB651" s="94"/>
    </row>
    <row r="652" spans="28:28" s="51" customFormat="1">
      <c r="AB652" s="94"/>
    </row>
    <row r="653" spans="28:28" s="51" customFormat="1">
      <c r="AB653" s="94"/>
    </row>
    <row r="654" spans="28:28" s="51" customFormat="1">
      <c r="AB654" s="94"/>
    </row>
    <row r="655" spans="28:28" s="51" customFormat="1">
      <c r="AB655" s="94"/>
    </row>
    <row r="656" spans="28:28" s="51" customFormat="1">
      <c r="AB656" s="94"/>
    </row>
    <row r="657" spans="28:28" s="51" customFormat="1">
      <c r="AB657" s="94"/>
    </row>
    <row r="658" spans="28:28" s="51" customFormat="1">
      <c r="AB658" s="94"/>
    </row>
    <row r="659" spans="28:28" s="51" customFormat="1">
      <c r="AB659" s="94"/>
    </row>
    <row r="660" spans="28:28" s="51" customFormat="1">
      <c r="AB660" s="94"/>
    </row>
    <row r="661" spans="28:28" s="51" customFormat="1">
      <c r="AB661" s="94"/>
    </row>
    <row r="662" spans="28:28" s="51" customFormat="1">
      <c r="AB662" s="94"/>
    </row>
    <row r="663" spans="28:28" s="51" customFormat="1">
      <c r="AB663" s="94"/>
    </row>
    <row r="664" spans="28:28" s="51" customFormat="1">
      <c r="AB664" s="94"/>
    </row>
    <row r="665" spans="28:28" s="51" customFormat="1">
      <c r="AB665" s="94"/>
    </row>
    <row r="666" spans="28:28" s="51" customFormat="1">
      <c r="AB666" s="94"/>
    </row>
    <row r="667" spans="28:28" s="51" customFormat="1">
      <c r="AB667" s="94"/>
    </row>
    <row r="668" spans="28:28" s="51" customFormat="1">
      <c r="AB668" s="94"/>
    </row>
    <row r="669" spans="28:28" s="51" customFormat="1">
      <c r="AB669" s="94"/>
    </row>
    <row r="670" spans="28:28" s="51" customFormat="1">
      <c r="AB670" s="94"/>
    </row>
    <row r="671" spans="28:28" s="51" customFormat="1">
      <c r="AB671" s="94"/>
    </row>
    <row r="672" spans="28:28" s="51" customFormat="1">
      <c r="AB672" s="94"/>
    </row>
    <row r="673" spans="28:28" s="51" customFormat="1">
      <c r="AB673" s="94"/>
    </row>
    <row r="674" spans="28:28" s="51" customFormat="1">
      <c r="AB674" s="94"/>
    </row>
    <row r="675" spans="28:28" s="51" customFormat="1">
      <c r="AB675" s="94"/>
    </row>
    <row r="676" spans="28:28" s="51" customFormat="1">
      <c r="AB676" s="94"/>
    </row>
    <row r="677" spans="28:28" s="51" customFormat="1">
      <c r="AB677" s="94"/>
    </row>
    <row r="678" spans="28:28" s="51" customFormat="1">
      <c r="AB678" s="94"/>
    </row>
    <row r="679" spans="28:28" s="51" customFormat="1">
      <c r="AB679" s="94"/>
    </row>
    <row r="680" spans="28:28" s="51" customFormat="1">
      <c r="AB680" s="94"/>
    </row>
    <row r="681" spans="28:28" s="51" customFormat="1">
      <c r="AB681" s="94"/>
    </row>
    <row r="682" spans="28:28" s="51" customFormat="1">
      <c r="AB682" s="94"/>
    </row>
    <row r="683" spans="28:28" s="51" customFormat="1">
      <c r="AB683" s="94"/>
    </row>
    <row r="684" spans="28:28" s="51" customFormat="1">
      <c r="AB684" s="94"/>
    </row>
    <row r="685" spans="28:28" s="51" customFormat="1">
      <c r="AB685" s="94"/>
    </row>
    <row r="686" spans="28:28" s="51" customFormat="1">
      <c r="AB686" s="94"/>
    </row>
    <row r="687" spans="28:28" s="51" customFormat="1">
      <c r="AB687" s="94"/>
    </row>
    <row r="688" spans="28:28" s="51" customFormat="1">
      <c r="AB688" s="94"/>
    </row>
    <row r="689" spans="1:28" s="51" customFormat="1">
      <c r="AB689" s="94"/>
    </row>
    <row r="690" spans="1:28" s="51" customFormat="1">
      <c r="AB690" s="94"/>
    </row>
    <row r="691" spans="1:28" s="51" customFormat="1">
      <c r="AB691" s="94"/>
    </row>
    <row r="692" spans="1:28">
      <c r="A692" s="51"/>
      <c r="B692" s="51"/>
      <c r="C692" s="51"/>
      <c r="D692" s="51"/>
      <c r="E692" s="51"/>
      <c r="F692" s="51"/>
      <c r="G692" s="51"/>
      <c r="H692" s="51"/>
      <c r="I692" s="51"/>
      <c r="J692" s="51"/>
    </row>
    <row r="693" spans="1:28">
      <c r="A693" s="51"/>
      <c r="B693" s="51"/>
      <c r="C693" s="51"/>
      <c r="D693" s="51"/>
      <c r="E693" s="51"/>
      <c r="F693" s="51"/>
      <c r="G693" s="51"/>
      <c r="H693" s="51"/>
      <c r="I693" s="51"/>
      <c r="J693" s="51"/>
    </row>
    <row r="694" spans="1:28">
      <c r="A694" s="51"/>
      <c r="B694" s="51"/>
      <c r="C694" s="51"/>
      <c r="D694" s="51"/>
      <c r="E694" s="51"/>
      <c r="F694" s="51"/>
      <c r="G694" s="51"/>
      <c r="H694" s="51"/>
      <c r="I694" s="51"/>
      <c r="J694" s="51"/>
    </row>
    <row r="695" spans="1:28">
      <c r="J695" s="47"/>
    </row>
    <row r="696" spans="1:28">
      <c r="J696" s="47"/>
    </row>
    <row r="697" spans="1:28">
      <c r="J697" s="47"/>
    </row>
    <row r="698" spans="1:28">
      <c r="J698" s="47"/>
    </row>
    <row r="699" spans="1:28">
      <c r="J699" s="47"/>
    </row>
    <row r="700" spans="1:28">
      <c r="J700" s="47"/>
    </row>
    <row r="701" spans="1:28">
      <c r="J701" s="47"/>
    </row>
    <row r="702" spans="1:28">
      <c r="J702" s="47"/>
    </row>
    <row r="703" spans="1:28">
      <c r="J703" s="47"/>
    </row>
    <row r="704" spans="1:28">
      <c r="J704" s="47"/>
    </row>
    <row r="705" spans="10:10">
      <c r="J705" s="47"/>
    </row>
    <row r="706" spans="10:10">
      <c r="J706" s="47"/>
    </row>
    <row r="707" spans="10:10">
      <c r="J707" s="47"/>
    </row>
    <row r="708" spans="10:10">
      <c r="J708" s="47"/>
    </row>
    <row r="709" spans="10:10">
      <c r="J709" s="47"/>
    </row>
    <row r="710" spans="10:10">
      <c r="J710" s="47"/>
    </row>
    <row r="711" spans="10:10">
      <c r="J711" s="47"/>
    </row>
    <row r="712" spans="10:10">
      <c r="J712" s="47"/>
    </row>
    <row r="713" spans="10:10">
      <c r="J713" s="47"/>
    </row>
    <row r="714" spans="10:10">
      <c r="J714" s="47"/>
    </row>
    <row r="715" spans="10:10">
      <c r="J715" s="47"/>
    </row>
    <row r="716" spans="10:10">
      <c r="J716" s="47"/>
    </row>
    <row r="717" spans="10:10">
      <c r="J717" s="47"/>
    </row>
    <row r="718" spans="10:10">
      <c r="J718" s="47"/>
    </row>
    <row r="719" spans="10:10">
      <c r="J719" s="47"/>
    </row>
    <row r="720" spans="10:10">
      <c r="J720" s="47"/>
    </row>
    <row r="721" spans="10:10">
      <c r="J721" s="47"/>
    </row>
    <row r="722" spans="10:10">
      <c r="J722" s="47"/>
    </row>
    <row r="723" spans="10:10">
      <c r="J723" s="47"/>
    </row>
    <row r="724" spans="10:10">
      <c r="J724" s="47"/>
    </row>
    <row r="725" spans="10:10">
      <c r="J725" s="47"/>
    </row>
    <row r="726" spans="10:10">
      <c r="J726" s="47"/>
    </row>
    <row r="727" spans="10:10">
      <c r="J727" s="47"/>
    </row>
    <row r="728" spans="10:10">
      <c r="J728" s="47"/>
    </row>
    <row r="729" spans="10:10">
      <c r="J729" s="47"/>
    </row>
    <row r="730" spans="10:10">
      <c r="J730" s="47"/>
    </row>
    <row r="731" spans="10:10">
      <c r="J731" s="47"/>
    </row>
    <row r="732" spans="10:10">
      <c r="J732" s="47"/>
    </row>
    <row r="733" spans="10:10">
      <c r="J733" s="47"/>
    </row>
    <row r="734" spans="10:10">
      <c r="J734" s="47"/>
    </row>
    <row r="735" spans="10:10">
      <c r="J735" s="47"/>
    </row>
    <row r="736" spans="10:10">
      <c r="J736" s="47"/>
    </row>
    <row r="737" spans="10:10">
      <c r="J737" s="47"/>
    </row>
    <row r="738" spans="10:10">
      <c r="J738" s="47"/>
    </row>
    <row r="739" spans="10:10">
      <c r="J739" s="47"/>
    </row>
    <row r="740" spans="10:10">
      <c r="J740" s="47"/>
    </row>
    <row r="741" spans="10:10">
      <c r="J741" s="47"/>
    </row>
    <row r="742" spans="10:10">
      <c r="J742" s="47"/>
    </row>
    <row r="743" spans="10:10">
      <c r="J743" s="47"/>
    </row>
    <row r="744" spans="10:10">
      <c r="J744" s="47"/>
    </row>
    <row r="745" spans="10:10">
      <c r="J745" s="47"/>
    </row>
    <row r="746" spans="10:10">
      <c r="J746" s="47"/>
    </row>
    <row r="747" spans="10:10">
      <c r="J747" s="47"/>
    </row>
    <row r="748" spans="10:10">
      <c r="J748" s="47"/>
    </row>
    <row r="749" spans="10:10">
      <c r="J749" s="47"/>
    </row>
    <row r="750" spans="10:10">
      <c r="J750" s="47"/>
    </row>
    <row r="751" spans="10:10">
      <c r="J751" s="47"/>
    </row>
    <row r="752" spans="10:10">
      <c r="J752" s="47"/>
    </row>
    <row r="753" spans="10:10">
      <c r="J753" s="47"/>
    </row>
    <row r="754" spans="10:10">
      <c r="J754" s="47"/>
    </row>
    <row r="755" spans="10:10">
      <c r="J755" s="47"/>
    </row>
    <row r="756" spans="10:10">
      <c r="J756" s="47"/>
    </row>
    <row r="757" spans="10:10">
      <c r="J757" s="47"/>
    </row>
    <row r="758" spans="10:10">
      <c r="J758" s="47"/>
    </row>
    <row r="759" spans="10:10">
      <c r="J759" s="47"/>
    </row>
    <row r="760" spans="10:10">
      <c r="J760" s="47"/>
    </row>
    <row r="761" spans="10:10">
      <c r="J761" s="47"/>
    </row>
    <row r="762" spans="10:10">
      <c r="J762" s="47"/>
    </row>
    <row r="763" spans="10:10">
      <c r="J763" s="47"/>
    </row>
    <row r="764" spans="10:10">
      <c r="J764" s="47"/>
    </row>
    <row r="765" spans="10:10">
      <c r="J765" s="47"/>
    </row>
    <row r="766" spans="10:10">
      <c r="J766" s="47"/>
    </row>
    <row r="767" spans="10:10">
      <c r="J767" s="47"/>
    </row>
    <row r="768" spans="10:10">
      <c r="J768" s="47"/>
    </row>
    <row r="769" spans="10:10">
      <c r="J769" s="47"/>
    </row>
    <row r="770" spans="10:10">
      <c r="J770" s="47"/>
    </row>
    <row r="771" spans="10:10">
      <c r="J771" s="47"/>
    </row>
    <row r="772" spans="10:10">
      <c r="J772" s="47"/>
    </row>
    <row r="773" spans="10:10">
      <c r="J773" s="47"/>
    </row>
    <row r="774" spans="10:10">
      <c r="J774" s="47"/>
    </row>
    <row r="775" spans="10:10">
      <c r="J775" s="47"/>
    </row>
    <row r="776" spans="10:10">
      <c r="J776" s="47"/>
    </row>
    <row r="777" spans="10:10">
      <c r="J777" s="47"/>
    </row>
    <row r="778" spans="10:10">
      <c r="J778" s="47"/>
    </row>
    <row r="779" spans="10:10">
      <c r="J779" s="47"/>
    </row>
    <row r="780" spans="10:10">
      <c r="J780" s="47"/>
    </row>
    <row r="781" spans="10:10">
      <c r="J781" s="47"/>
    </row>
    <row r="782" spans="10:10">
      <c r="J782" s="47"/>
    </row>
    <row r="783" spans="10:10">
      <c r="J783" s="47"/>
    </row>
    <row r="784" spans="10:10">
      <c r="J784" s="47"/>
    </row>
    <row r="785" spans="10:10">
      <c r="J785" s="47"/>
    </row>
    <row r="786" spans="10:10">
      <c r="J786" s="47"/>
    </row>
    <row r="787" spans="10:10">
      <c r="J787" s="47"/>
    </row>
    <row r="788" spans="10:10">
      <c r="J788" s="47"/>
    </row>
    <row r="789" spans="10:10">
      <c r="J789" s="47"/>
    </row>
    <row r="790" spans="10:10">
      <c r="J790" s="47"/>
    </row>
    <row r="791" spans="10:10">
      <c r="J791" s="47"/>
    </row>
    <row r="792" spans="10:10">
      <c r="J792" s="47"/>
    </row>
    <row r="793" spans="10:10">
      <c r="J793" s="47"/>
    </row>
    <row r="794" spans="10:10">
      <c r="J794" s="47"/>
    </row>
    <row r="795" spans="10:10">
      <c r="J795" s="47"/>
    </row>
    <row r="796" spans="10:10">
      <c r="J796" s="47"/>
    </row>
    <row r="797" spans="10:10">
      <c r="J797" s="47"/>
    </row>
    <row r="798" spans="10:10">
      <c r="J798" s="47"/>
    </row>
    <row r="799" spans="10:10">
      <c r="J799" s="47"/>
    </row>
    <row r="800" spans="10:10">
      <c r="J800" s="47"/>
    </row>
    <row r="801" spans="10:10">
      <c r="J801" s="47"/>
    </row>
    <row r="802" spans="10:10">
      <c r="J802" s="47"/>
    </row>
    <row r="803" spans="10:10">
      <c r="J803" s="47"/>
    </row>
    <row r="804" spans="10:10">
      <c r="J804" s="47"/>
    </row>
    <row r="805" spans="10:10">
      <c r="J805" s="47"/>
    </row>
    <row r="806" spans="10:10">
      <c r="J806" s="47"/>
    </row>
    <row r="807" spans="10:10">
      <c r="J807" s="47"/>
    </row>
    <row r="808" spans="10:10">
      <c r="J808" s="47"/>
    </row>
    <row r="809" spans="10:10">
      <c r="J809" s="47"/>
    </row>
    <row r="810" spans="10:10">
      <c r="J810" s="47"/>
    </row>
    <row r="811" spans="10:10">
      <c r="J811" s="47"/>
    </row>
    <row r="812" spans="10:10">
      <c r="J812" s="47"/>
    </row>
    <row r="813" spans="10:10">
      <c r="J813" s="47"/>
    </row>
    <row r="814" spans="10:10">
      <c r="J814" s="47"/>
    </row>
    <row r="815" spans="10:10">
      <c r="J815" s="47"/>
    </row>
    <row r="816" spans="10:10">
      <c r="J816" s="47"/>
    </row>
    <row r="817" spans="10:10">
      <c r="J817" s="47"/>
    </row>
    <row r="818" spans="10:10">
      <c r="J818" s="47"/>
    </row>
    <row r="819" spans="10:10">
      <c r="J819" s="47"/>
    </row>
    <row r="820" spans="10:10">
      <c r="J820" s="47"/>
    </row>
    <row r="821" spans="10:10">
      <c r="J821" s="47"/>
    </row>
    <row r="822" spans="10:10">
      <c r="J822" s="47"/>
    </row>
  </sheetData>
  <dataConsolidate/>
  <mergeCells count="27">
    <mergeCell ref="H99:J99"/>
    <mergeCell ref="H100:J100"/>
    <mergeCell ref="H101:J101"/>
    <mergeCell ref="H93:J93"/>
    <mergeCell ref="H94:J94"/>
    <mergeCell ref="H95:J95"/>
    <mergeCell ref="H96:J96"/>
    <mergeCell ref="H97:J97"/>
    <mergeCell ref="H98:J98"/>
    <mergeCell ref="H92:J92"/>
    <mergeCell ref="H81:J81"/>
    <mergeCell ref="H82:J82"/>
    <mergeCell ref="H83:J83"/>
    <mergeCell ref="H84:J84"/>
    <mergeCell ref="H85:J85"/>
    <mergeCell ref="H86:J86"/>
    <mergeCell ref="H87:J87"/>
    <mergeCell ref="H88:J88"/>
    <mergeCell ref="H89:J89"/>
    <mergeCell ref="H90:J90"/>
    <mergeCell ref="H91:J91"/>
    <mergeCell ref="H80:J80"/>
    <mergeCell ref="N1:O1"/>
    <mergeCell ref="C6:E6"/>
    <mergeCell ref="D9:E9"/>
    <mergeCell ref="H78:J78"/>
    <mergeCell ref="H79:J79"/>
  </mergeCells>
  <phoneticPr fontId="4" type="noConversion"/>
  <pageMargins left="0.70866141732283472" right="0.27559055118110237" top="1.1811023622047245" bottom="0.78740157480314965" header="0.51181102362204722" footer="0.59055118110236227"/>
  <pageSetup paperSize="9" scale="90" orientation="portrait" r:id="rId1"/>
  <headerFooter alignWithMargins="0"/>
  <rowBreaks count="3" manualBreakCount="3">
    <brk id="32" max="9" man="1"/>
    <brk id="55" max="9" man="1"/>
    <brk id="77" max="9" man="1"/>
  </rowBreaks>
  <ignoredErrors>
    <ignoredError sqref="W3:W69 X3:X83 N18:N26 N27:N31" formula="1"/>
  </ignoredErrors>
  <drawing r:id="rId2"/>
  <legacyDrawing r:id="rId3"/>
  <controls>
    <mc:AlternateContent xmlns:mc="http://schemas.openxmlformats.org/markup-compatibility/2006">
      <mc:Choice Requires="x14">
        <control shapeId="6151" r:id="rId4" name="ComboBox1">
          <controlPr defaultSize="0" autoLine="0" autoPict="0" r:id="rId5">
            <anchor moveWithCells="1">
              <from>
                <xdr:col>17</xdr:col>
                <xdr:colOff>323850</xdr:colOff>
                <xdr:row>21</xdr:row>
                <xdr:rowOff>219075</xdr:rowOff>
              </from>
              <to>
                <xdr:col>20</xdr:col>
                <xdr:colOff>142875</xdr:colOff>
                <xdr:row>22</xdr:row>
                <xdr:rowOff>219075</xdr:rowOff>
              </to>
            </anchor>
          </controlPr>
        </control>
      </mc:Choice>
      <mc:Fallback>
        <control shapeId="6151" r:id="rId4" name="ComboBox1"/>
      </mc:Fallback>
    </mc:AlternateContent>
    <mc:AlternateContent xmlns:mc="http://schemas.openxmlformats.org/markup-compatibility/2006">
      <mc:Choice Requires="x14">
        <control shapeId="6150" r:id="rId6" name="CommandButton7">
          <controlPr defaultSize="0" autoLine="0" autoPict="0" r:id="rId7">
            <anchor moveWithCells="1">
              <from>
                <xdr:col>17</xdr:col>
                <xdr:colOff>323850</xdr:colOff>
                <xdr:row>19</xdr:row>
                <xdr:rowOff>133350</xdr:rowOff>
              </from>
              <to>
                <xdr:col>20</xdr:col>
                <xdr:colOff>142875</xdr:colOff>
                <xdr:row>21</xdr:row>
                <xdr:rowOff>9525</xdr:rowOff>
              </to>
            </anchor>
          </controlPr>
        </control>
      </mc:Choice>
      <mc:Fallback>
        <control shapeId="6150" r:id="rId6" name="CommandButton7"/>
      </mc:Fallback>
    </mc:AlternateContent>
    <mc:AlternateContent xmlns:mc="http://schemas.openxmlformats.org/markup-compatibility/2006">
      <mc:Choice Requires="x14">
        <control shapeId="6149" r:id="rId8" name="CommandButton6">
          <controlPr defaultSize="0" autoLine="0" autoPict="0" r:id="rId9">
            <anchor moveWithCells="1">
              <from>
                <xdr:col>11</xdr:col>
                <xdr:colOff>114300</xdr:colOff>
                <xdr:row>10</xdr:row>
                <xdr:rowOff>57150</xdr:rowOff>
              </from>
              <to>
                <xdr:col>12</xdr:col>
                <xdr:colOff>219075</xdr:colOff>
                <xdr:row>11</xdr:row>
                <xdr:rowOff>190500</xdr:rowOff>
              </to>
            </anchor>
          </controlPr>
        </control>
      </mc:Choice>
      <mc:Fallback>
        <control shapeId="6149" r:id="rId8" name="CommandButton6"/>
      </mc:Fallback>
    </mc:AlternateContent>
    <mc:AlternateContent xmlns:mc="http://schemas.openxmlformats.org/markup-compatibility/2006">
      <mc:Choice Requires="x14">
        <control shapeId="6147" r:id="rId10" name="CommandButton5">
          <controlPr defaultSize="0" autoLine="0" autoPict="0" r:id="rId11">
            <anchor moveWithCells="1">
              <from>
                <xdr:col>17</xdr:col>
                <xdr:colOff>323850</xdr:colOff>
                <xdr:row>16</xdr:row>
                <xdr:rowOff>9525</xdr:rowOff>
              </from>
              <to>
                <xdr:col>20</xdr:col>
                <xdr:colOff>142875</xdr:colOff>
                <xdr:row>17</xdr:row>
                <xdr:rowOff>152400</xdr:rowOff>
              </to>
            </anchor>
          </controlPr>
        </control>
      </mc:Choice>
      <mc:Fallback>
        <control shapeId="6147" r:id="rId10" name="CommandButton5"/>
      </mc:Fallback>
    </mc:AlternateContent>
    <mc:AlternateContent xmlns:mc="http://schemas.openxmlformats.org/markup-compatibility/2006">
      <mc:Choice Requires="x14">
        <control shapeId="6146" r:id="rId12" name="CommandButton4">
          <controlPr defaultSize="0" autoLine="0" autoPict="0" r:id="rId13">
            <anchor moveWithCells="1">
              <from>
                <xdr:col>17</xdr:col>
                <xdr:colOff>323850</xdr:colOff>
                <xdr:row>17</xdr:row>
                <xdr:rowOff>200025</xdr:rowOff>
              </from>
              <to>
                <xdr:col>20</xdr:col>
                <xdr:colOff>142875</xdr:colOff>
                <xdr:row>19</xdr:row>
                <xdr:rowOff>85725</xdr:rowOff>
              </to>
            </anchor>
          </controlPr>
        </control>
      </mc:Choice>
      <mc:Fallback>
        <control shapeId="6146" r:id="rId12" name="CommandButton4"/>
      </mc:Fallback>
    </mc:AlternateContent>
    <mc:AlternateContent xmlns:mc="http://schemas.openxmlformats.org/markup-compatibility/2006">
      <mc:Choice Requires="x14">
        <control shapeId="6145" r:id="rId14" name="CommandButton2">
          <controlPr defaultSize="0" autoLine="0" autoPict="0" r:id="rId15">
            <anchor moveWithCells="1">
              <from>
                <xdr:col>17</xdr:col>
                <xdr:colOff>323850</xdr:colOff>
                <xdr:row>23</xdr:row>
                <xdr:rowOff>0</xdr:rowOff>
              </from>
              <to>
                <xdr:col>20</xdr:col>
                <xdr:colOff>142875</xdr:colOff>
                <xdr:row>24</xdr:row>
                <xdr:rowOff>142875</xdr:rowOff>
              </to>
            </anchor>
          </controlPr>
        </control>
      </mc:Choice>
      <mc:Fallback>
        <control shapeId="6145" r:id="rId14" name="CommandButton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D17F0-7737-44C9-8EB9-7192F3C369C2}">
  <sheetPr codeName="sh01_StepSelect">
    <tabColor theme="2" tint="-9.9978637043366805E-2"/>
  </sheetPr>
  <dimension ref="A1:C135"/>
  <sheetViews>
    <sheetView workbookViewId="0"/>
  </sheetViews>
  <sheetFormatPr defaultColWidth="9" defaultRowHeight="16.5"/>
  <cols>
    <col min="1" max="1" width="9" style="97"/>
    <col min="2" max="3" width="9" style="98"/>
    <col min="4" max="16384" width="9" style="97"/>
  </cols>
  <sheetData>
    <row r="1" spans="1:3">
      <c r="B1" s="97"/>
    </row>
    <row r="2" spans="1:3">
      <c r="A2" s="113" t="s">
        <v>194</v>
      </c>
      <c r="B2" s="113"/>
      <c r="C2" s="114"/>
    </row>
    <row r="3" spans="1:3">
      <c r="A3" s="113">
        <v>2</v>
      </c>
      <c r="B3" s="113"/>
      <c r="C3" s="114"/>
    </row>
    <row r="4" spans="1:3">
      <c r="A4" s="113">
        <v>1</v>
      </c>
      <c r="B4" s="113"/>
      <c r="C4" s="114"/>
    </row>
    <row r="5" spans="1:3">
      <c r="A5" s="113">
        <v>6</v>
      </c>
      <c r="B5" s="113"/>
      <c r="C5" s="114"/>
    </row>
    <row r="6" spans="1:3">
      <c r="A6" s="113" t="s">
        <v>195</v>
      </c>
      <c r="B6" s="113"/>
      <c r="C6" s="114"/>
    </row>
    <row r="7" spans="1:3">
      <c r="A7" s="113">
        <f>Input!M46</f>
        <v>83</v>
      </c>
      <c r="B7" s="113"/>
      <c r="C7" s="114"/>
    </row>
    <row r="8" spans="1:3">
      <c r="A8" s="113" t="s">
        <v>196</v>
      </c>
      <c r="B8" s="113"/>
      <c r="C8" s="114"/>
    </row>
    <row r="9" spans="1:3">
      <c r="A9" s="113">
        <v>1</v>
      </c>
      <c r="B9" s="113"/>
      <c r="C9" s="114"/>
    </row>
    <row r="10" spans="1:3">
      <c r="A10" s="113" t="s">
        <v>197</v>
      </c>
      <c r="B10" s="113"/>
      <c r="C10" s="114"/>
    </row>
    <row r="11" spans="1:3">
      <c r="A11" s="113">
        <v>1</v>
      </c>
      <c r="B11" s="113"/>
      <c r="C11" s="114"/>
    </row>
    <row r="12" spans="1:3">
      <c r="A12" s="113" t="s">
        <v>198</v>
      </c>
      <c r="B12" s="113"/>
      <c r="C12" s="114"/>
    </row>
    <row r="13" spans="1:3">
      <c r="A13" s="113">
        <v>1</v>
      </c>
      <c r="B13" s="113"/>
      <c r="C13" s="114"/>
    </row>
    <row r="14" spans="1:3">
      <c r="A14" s="113" t="s">
        <v>199</v>
      </c>
      <c r="B14" s="113"/>
      <c r="C14" s="114"/>
    </row>
    <row r="15" spans="1:3">
      <c r="A15" s="113" t="str">
        <f>Input!I54</f>
        <v>W-1</v>
      </c>
      <c r="B15" s="113"/>
      <c r="C15" s="114"/>
    </row>
    <row r="16" spans="1:3">
      <c r="A16" s="113">
        <v>0</v>
      </c>
      <c r="B16" s="113"/>
      <c r="C16" s="114"/>
    </row>
    <row r="17" spans="1:3">
      <c r="A17" s="113">
        <v>0</v>
      </c>
      <c r="B17" s="113"/>
      <c r="C17" s="114"/>
    </row>
    <row r="18" spans="1:3">
      <c r="A18" s="113">
        <f>Input!N45/2/1000</f>
        <v>0.1</v>
      </c>
      <c r="B18" s="113"/>
      <c r="C18" s="114"/>
    </row>
    <row r="19" spans="1:3">
      <c r="A19" s="113">
        <f>Input!M44/2/1000</f>
        <v>0.1</v>
      </c>
      <c r="B19" s="113"/>
      <c r="C19" s="114"/>
    </row>
    <row r="20" spans="1:3">
      <c r="A20" s="113">
        <v>0</v>
      </c>
      <c r="B20" s="113"/>
      <c r="C20" s="114"/>
    </row>
    <row r="21" spans="1:3">
      <c r="A21" s="113">
        <v>0</v>
      </c>
      <c r="B21" s="113"/>
      <c r="C21" s="114"/>
    </row>
    <row r="22" spans="1:3">
      <c r="A22" s="113">
        <v>1</v>
      </c>
      <c r="B22" s="113"/>
      <c r="C22" s="114"/>
    </row>
    <row r="23" spans="1:3">
      <c r="A23" s="113">
        <v>5</v>
      </c>
      <c r="B23" s="113"/>
      <c r="C23" s="114"/>
    </row>
    <row r="24" spans="1:3">
      <c r="A24" s="115">
        <v>0</v>
      </c>
      <c r="B24" s="115">
        <f>Input!D3</f>
        <v>94</v>
      </c>
      <c r="C24" s="114"/>
    </row>
    <row r="25" spans="1:3">
      <c r="A25" s="115">
        <f>StepTest!D31</f>
        <v>120</v>
      </c>
      <c r="B25" s="115">
        <f>Input!D4</f>
        <v>120</v>
      </c>
      <c r="C25" s="114"/>
    </row>
    <row r="26" spans="1:3">
      <c r="A26" s="115">
        <f>StepTest!D36</f>
        <v>240</v>
      </c>
      <c r="B26" s="115">
        <f>Input!D5</f>
        <v>146.19999999999999</v>
      </c>
      <c r="C26" s="114"/>
    </row>
    <row r="27" spans="1:3">
      <c r="A27" s="115">
        <f>StepTest!D41</f>
        <v>360</v>
      </c>
      <c r="B27" s="115">
        <f>Input!D6</f>
        <v>172</v>
      </c>
      <c r="C27" s="114"/>
    </row>
    <row r="28" spans="1:3">
      <c r="A28" s="115">
        <f>StepTest!D46</f>
        <v>480</v>
      </c>
      <c r="B28" s="115">
        <f>Input!D7</f>
        <v>197.79999999999998</v>
      </c>
      <c r="C28" s="114"/>
    </row>
    <row r="29" spans="1:3">
      <c r="A29" s="113" t="s">
        <v>200</v>
      </c>
      <c r="B29" s="113"/>
      <c r="C29" s="114"/>
    </row>
    <row r="30" spans="1:3">
      <c r="A30" s="113" t="str">
        <f>A15</f>
        <v>W-1</v>
      </c>
      <c r="B30" s="113"/>
      <c r="C30" s="114"/>
    </row>
    <row r="31" spans="1:3">
      <c r="A31" s="116">
        <v>0</v>
      </c>
      <c r="B31" s="113"/>
      <c r="C31" s="114"/>
    </row>
    <row r="32" spans="1:3">
      <c r="A32" s="113">
        <v>0</v>
      </c>
      <c r="B32" s="113"/>
      <c r="C32" s="114"/>
    </row>
    <row r="33" spans="1:3">
      <c r="A33" s="113">
        <v>0</v>
      </c>
      <c r="B33" s="113"/>
      <c r="C33" s="114"/>
    </row>
    <row r="34" spans="1:3">
      <c r="A34" s="115">
        <f>SUM(C35:C134)</f>
        <v>100</v>
      </c>
      <c r="B34" s="113"/>
      <c r="C34" s="114"/>
    </row>
    <row r="35" spans="1:3">
      <c r="A35" s="113">
        <f>Sheet1!A1</f>
        <v>1</v>
      </c>
      <c r="B35" s="114">
        <f>Sheet1!B1</f>
        <v>1</v>
      </c>
      <c r="C35" s="115">
        <v>1</v>
      </c>
    </row>
    <row r="36" spans="1:3">
      <c r="A36" s="113">
        <f>Sheet1!A2</f>
        <v>2</v>
      </c>
      <c r="B36" s="114">
        <f>Sheet1!B2</f>
        <v>1.82</v>
      </c>
      <c r="C36" s="115">
        <v>1</v>
      </c>
    </row>
    <row r="37" spans="1:3">
      <c r="A37" s="113">
        <f>Sheet1!A3</f>
        <v>3</v>
      </c>
      <c r="B37" s="114">
        <f>Sheet1!B3</f>
        <v>2.2999999999999998</v>
      </c>
      <c r="C37" s="115">
        <v>1</v>
      </c>
    </row>
    <row r="38" spans="1:3">
      <c r="A38" s="113">
        <f>Sheet1!A4</f>
        <v>4</v>
      </c>
      <c r="B38" s="114">
        <f>Sheet1!B4</f>
        <v>2.63</v>
      </c>
      <c r="C38" s="115">
        <v>1</v>
      </c>
    </row>
    <row r="39" spans="1:3">
      <c r="A39" s="113">
        <f>Sheet1!A5</f>
        <v>5</v>
      </c>
      <c r="B39" s="114">
        <f>Sheet1!B5</f>
        <v>2.9</v>
      </c>
      <c r="C39" s="115">
        <v>1</v>
      </c>
    </row>
    <row r="40" spans="1:3">
      <c r="A40" s="113">
        <f>Sheet1!A6</f>
        <v>10</v>
      </c>
      <c r="B40" s="114">
        <f>Sheet1!B6</f>
        <v>3.71</v>
      </c>
      <c r="C40" s="115">
        <v>1</v>
      </c>
    </row>
    <row r="41" spans="1:3">
      <c r="A41" s="113">
        <f>Sheet1!A7</f>
        <v>15</v>
      </c>
      <c r="B41" s="114">
        <f>Sheet1!B7</f>
        <v>4.1900000000000004</v>
      </c>
      <c r="C41" s="115">
        <v>1</v>
      </c>
    </row>
    <row r="42" spans="1:3">
      <c r="A42" s="113">
        <f>Sheet1!A8</f>
        <v>20</v>
      </c>
      <c r="B42" s="114">
        <f>Sheet1!B8</f>
        <v>4.53</v>
      </c>
      <c r="C42" s="115">
        <v>1</v>
      </c>
    </row>
    <row r="43" spans="1:3">
      <c r="A43" s="113">
        <f>Sheet1!A9</f>
        <v>25</v>
      </c>
      <c r="B43" s="114">
        <f>Sheet1!B9</f>
        <v>4.79</v>
      </c>
      <c r="C43" s="115">
        <v>1</v>
      </c>
    </row>
    <row r="44" spans="1:3">
      <c r="A44" s="113">
        <f>Sheet1!A10</f>
        <v>30</v>
      </c>
      <c r="B44" s="114">
        <f>Sheet1!B10</f>
        <v>5</v>
      </c>
      <c r="C44" s="115">
        <v>1</v>
      </c>
    </row>
    <row r="45" spans="1:3">
      <c r="A45" s="113">
        <f>Sheet1!A11</f>
        <v>35</v>
      </c>
      <c r="B45" s="114">
        <f>Sheet1!B11</f>
        <v>5.19</v>
      </c>
      <c r="C45" s="115">
        <v>1</v>
      </c>
    </row>
    <row r="46" spans="1:3">
      <c r="A46" s="113">
        <f>Sheet1!A12</f>
        <v>40</v>
      </c>
      <c r="B46" s="114">
        <f>Sheet1!B12</f>
        <v>5.34</v>
      </c>
      <c r="C46" s="115">
        <v>1</v>
      </c>
    </row>
    <row r="47" spans="1:3">
      <c r="A47" s="113">
        <f>Sheet1!A13</f>
        <v>45</v>
      </c>
      <c r="B47" s="114">
        <f>Sheet1!B13</f>
        <v>5.48</v>
      </c>
      <c r="C47" s="115">
        <v>1</v>
      </c>
    </row>
    <row r="48" spans="1:3">
      <c r="A48" s="113">
        <f>Sheet1!A14</f>
        <v>50</v>
      </c>
      <c r="B48" s="114">
        <f>Sheet1!B14</f>
        <v>5.61</v>
      </c>
      <c r="C48" s="115">
        <v>1</v>
      </c>
    </row>
    <row r="49" spans="1:3">
      <c r="A49" s="113">
        <f>Sheet1!A15</f>
        <v>55</v>
      </c>
      <c r="B49" s="114">
        <f>Sheet1!B15</f>
        <v>5.72</v>
      </c>
      <c r="C49" s="115">
        <v>1</v>
      </c>
    </row>
    <row r="50" spans="1:3">
      <c r="A50" s="113">
        <f>Sheet1!A16</f>
        <v>60</v>
      </c>
      <c r="B50" s="114">
        <f>Sheet1!B16</f>
        <v>5.82</v>
      </c>
      <c r="C50" s="115">
        <v>1</v>
      </c>
    </row>
    <row r="51" spans="1:3">
      <c r="A51" s="113">
        <f>Sheet1!A17</f>
        <v>75</v>
      </c>
      <c r="B51" s="114">
        <f>Sheet1!B17</f>
        <v>6.08</v>
      </c>
      <c r="C51" s="115">
        <v>1</v>
      </c>
    </row>
    <row r="52" spans="1:3">
      <c r="A52" s="113">
        <f>Sheet1!A18</f>
        <v>90</v>
      </c>
      <c r="B52" s="114">
        <f>Sheet1!B18</f>
        <v>6.3</v>
      </c>
      <c r="C52" s="115">
        <v>1</v>
      </c>
    </row>
    <row r="53" spans="1:3">
      <c r="A53" s="113">
        <f>Sheet1!A19</f>
        <v>105</v>
      </c>
      <c r="B53" s="114">
        <f>Sheet1!B19</f>
        <v>6.48</v>
      </c>
      <c r="C53" s="115">
        <v>1</v>
      </c>
    </row>
    <row r="54" spans="1:3">
      <c r="A54" s="113">
        <f>Sheet1!A20</f>
        <v>120</v>
      </c>
      <c r="B54" s="114">
        <f>Sheet1!B20</f>
        <v>6.64</v>
      </c>
      <c r="C54" s="115">
        <v>1</v>
      </c>
    </row>
    <row r="55" spans="1:3">
      <c r="A55" s="113">
        <f>Sheet1!A21</f>
        <v>121</v>
      </c>
      <c r="B55" s="114">
        <f>Sheet1!B21</f>
        <v>6.8</v>
      </c>
      <c r="C55" s="115">
        <v>1</v>
      </c>
    </row>
    <row r="56" spans="1:3">
      <c r="A56" s="113">
        <f>Sheet1!A22</f>
        <v>122</v>
      </c>
      <c r="B56" s="114">
        <f>Sheet1!B22</f>
        <v>6.95</v>
      </c>
      <c r="C56" s="115">
        <v>1</v>
      </c>
    </row>
    <row r="57" spans="1:3">
      <c r="A57" s="113">
        <f>Sheet1!A23</f>
        <v>123</v>
      </c>
      <c r="B57" s="114">
        <f>Sheet1!B23</f>
        <v>7.09</v>
      </c>
      <c r="C57" s="115">
        <v>1</v>
      </c>
    </row>
    <row r="58" spans="1:3">
      <c r="A58" s="113">
        <f>Sheet1!A24</f>
        <v>124</v>
      </c>
      <c r="B58" s="114">
        <f>Sheet1!B24</f>
        <v>7.22</v>
      </c>
      <c r="C58" s="115">
        <v>1</v>
      </c>
    </row>
    <row r="59" spans="1:3">
      <c r="A59" s="113">
        <f>Sheet1!A25</f>
        <v>125</v>
      </c>
      <c r="B59" s="114">
        <f>Sheet1!B25</f>
        <v>7.35</v>
      </c>
      <c r="C59" s="115">
        <v>1</v>
      </c>
    </row>
    <row r="60" spans="1:3">
      <c r="A60" s="113">
        <f>Sheet1!A26</f>
        <v>130</v>
      </c>
      <c r="B60" s="114">
        <f>Sheet1!B26</f>
        <v>7.97</v>
      </c>
      <c r="C60" s="115">
        <v>1</v>
      </c>
    </row>
    <row r="61" spans="1:3">
      <c r="A61" s="113">
        <f>Sheet1!A27</f>
        <v>135</v>
      </c>
      <c r="B61" s="114">
        <f>Sheet1!B27</f>
        <v>8.08</v>
      </c>
      <c r="C61" s="115">
        <v>1</v>
      </c>
    </row>
    <row r="62" spans="1:3">
      <c r="A62" s="113">
        <f>Sheet1!A28</f>
        <v>140</v>
      </c>
      <c r="B62" s="114">
        <f>Sheet1!B28</f>
        <v>8.19</v>
      </c>
      <c r="C62" s="115">
        <v>1</v>
      </c>
    </row>
    <row r="63" spans="1:3">
      <c r="A63" s="113">
        <f>Sheet1!A29</f>
        <v>145</v>
      </c>
      <c r="B63" s="114">
        <f>Sheet1!B29</f>
        <v>8.2899999999999991</v>
      </c>
      <c r="C63" s="115">
        <v>1</v>
      </c>
    </row>
    <row r="64" spans="1:3">
      <c r="A64" s="113">
        <f>Sheet1!A30</f>
        <v>150</v>
      </c>
      <c r="B64" s="114">
        <f>Sheet1!B30</f>
        <v>8.41</v>
      </c>
      <c r="C64" s="115">
        <v>1</v>
      </c>
    </row>
    <row r="65" spans="1:3">
      <c r="A65" s="113">
        <f>Sheet1!A31</f>
        <v>155</v>
      </c>
      <c r="B65" s="114">
        <f>Sheet1!B31</f>
        <v>8.4700000000000006</v>
      </c>
      <c r="C65" s="115">
        <v>1</v>
      </c>
    </row>
    <row r="66" spans="1:3">
      <c r="A66" s="113">
        <f>Sheet1!A32</f>
        <v>160</v>
      </c>
      <c r="B66" s="114">
        <f>Sheet1!B32</f>
        <v>8.5200000000000014</v>
      </c>
      <c r="C66" s="115">
        <v>1</v>
      </c>
    </row>
    <row r="67" spans="1:3">
      <c r="A67" s="113">
        <f>Sheet1!A33</f>
        <v>165</v>
      </c>
      <c r="B67" s="114">
        <f>Sheet1!B33</f>
        <v>8.56</v>
      </c>
      <c r="C67" s="115">
        <v>1</v>
      </c>
    </row>
    <row r="68" spans="1:3">
      <c r="A68" s="113">
        <f>Sheet1!A34</f>
        <v>170</v>
      </c>
      <c r="B68" s="114">
        <f>Sheet1!B34</f>
        <v>8.59</v>
      </c>
      <c r="C68" s="115">
        <v>1</v>
      </c>
    </row>
    <row r="69" spans="1:3">
      <c r="A69" s="113">
        <f>Sheet1!A35</f>
        <v>175</v>
      </c>
      <c r="B69" s="114">
        <f>Sheet1!B35</f>
        <v>8.61</v>
      </c>
      <c r="C69" s="115">
        <v>1</v>
      </c>
    </row>
    <row r="70" spans="1:3">
      <c r="A70" s="113">
        <f>Sheet1!A36</f>
        <v>180</v>
      </c>
      <c r="B70" s="114">
        <f>Sheet1!B36</f>
        <v>8.6300000000000008</v>
      </c>
      <c r="C70" s="115">
        <v>1</v>
      </c>
    </row>
    <row r="71" spans="1:3">
      <c r="A71" s="113">
        <f>Sheet1!A37</f>
        <v>195</v>
      </c>
      <c r="B71" s="114">
        <f>Sheet1!B37</f>
        <v>8.7000000000000011</v>
      </c>
      <c r="C71" s="115">
        <v>1</v>
      </c>
    </row>
    <row r="72" spans="1:3">
      <c r="A72" s="113">
        <f>Sheet1!A38</f>
        <v>210</v>
      </c>
      <c r="B72" s="114">
        <f>Sheet1!B38</f>
        <v>8.7600000000000016</v>
      </c>
      <c r="C72" s="115">
        <v>1</v>
      </c>
    </row>
    <row r="73" spans="1:3">
      <c r="A73" s="113">
        <f>Sheet1!A39</f>
        <v>225</v>
      </c>
      <c r="B73" s="114">
        <f>Sheet1!B39</f>
        <v>8.8100000000000023</v>
      </c>
      <c r="C73" s="115">
        <v>1</v>
      </c>
    </row>
    <row r="74" spans="1:3">
      <c r="A74" s="113">
        <f>Sheet1!A40</f>
        <v>240</v>
      </c>
      <c r="B74" s="114">
        <f>Sheet1!B40</f>
        <v>8.86</v>
      </c>
      <c r="C74" s="115">
        <v>1</v>
      </c>
    </row>
    <row r="75" spans="1:3">
      <c r="A75" s="113">
        <f>Sheet1!A41</f>
        <v>241</v>
      </c>
      <c r="B75" s="114">
        <f>Sheet1!B41</f>
        <v>9.0399999999999991</v>
      </c>
      <c r="C75" s="115">
        <v>1</v>
      </c>
    </row>
    <row r="76" spans="1:3">
      <c r="A76" s="113">
        <f>Sheet1!A42</f>
        <v>242</v>
      </c>
      <c r="B76" s="114">
        <f>Sheet1!B42</f>
        <v>9.1999999999999993</v>
      </c>
      <c r="C76" s="115">
        <v>1</v>
      </c>
    </row>
    <row r="77" spans="1:3">
      <c r="A77" s="113">
        <f>Sheet1!A43</f>
        <v>243</v>
      </c>
      <c r="B77" s="114">
        <f>Sheet1!B43</f>
        <v>9.35</v>
      </c>
      <c r="C77" s="115">
        <v>1</v>
      </c>
    </row>
    <row r="78" spans="1:3">
      <c r="A78" s="113">
        <f>Sheet1!A44</f>
        <v>244</v>
      </c>
      <c r="B78" s="114">
        <f>Sheet1!B44</f>
        <v>9.49</v>
      </c>
      <c r="C78" s="115">
        <v>1</v>
      </c>
    </row>
    <row r="79" spans="1:3">
      <c r="A79" s="113">
        <f>Sheet1!A45</f>
        <v>245</v>
      </c>
      <c r="B79" s="114">
        <f>Sheet1!B45</f>
        <v>9.620000000000001</v>
      </c>
      <c r="C79" s="115">
        <v>1</v>
      </c>
    </row>
    <row r="80" spans="1:3">
      <c r="A80" s="113">
        <f>Sheet1!A46</f>
        <v>250</v>
      </c>
      <c r="B80" s="114">
        <f>Sheet1!B46</f>
        <v>10.35</v>
      </c>
      <c r="C80" s="115">
        <v>1</v>
      </c>
    </row>
    <row r="81" spans="1:3">
      <c r="A81" s="113">
        <f>Sheet1!A47</f>
        <v>255</v>
      </c>
      <c r="B81" s="114">
        <f>Sheet1!B47</f>
        <v>10.459999999999999</v>
      </c>
      <c r="C81" s="115">
        <v>1</v>
      </c>
    </row>
    <row r="82" spans="1:3">
      <c r="A82" s="113">
        <f>Sheet1!A48</f>
        <v>260</v>
      </c>
      <c r="B82" s="114">
        <f>Sheet1!B48</f>
        <v>10.6</v>
      </c>
      <c r="C82" s="115">
        <v>1</v>
      </c>
    </row>
    <row r="83" spans="1:3">
      <c r="A83" s="113">
        <f>Sheet1!A49</f>
        <v>265</v>
      </c>
      <c r="B83" s="114">
        <f>Sheet1!B49</f>
        <v>10.709999999999999</v>
      </c>
      <c r="C83" s="115">
        <v>1</v>
      </c>
    </row>
    <row r="84" spans="1:3">
      <c r="A84" s="113">
        <f>Sheet1!A50</f>
        <v>270</v>
      </c>
      <c r="B84" s="114">
        <f>Sheet1!B50</f>
        <v>10.85</v>
      </c>
      <c r="C84" s="115">
        <v>1</v>
      </c>
    </row>
    <row r="85" spans="1:3">
      <c r="A85" s="113">
        <f>Sheet1!A51</f>
        <v>275</v>
      </c>
      <c r="B85" s="114">
        <f>Sheet1!B51</f>
        <v>10.92</v>
      </c>
      <c r="C85" s="115">
        <v>1</v>
      </c>
    </row>
    <row r="86" spans="1:3">
      <c r="A86" s="113">
        <f>Sheet1!A52</f>
        <v>280</v>
      </c>
      <c r="B86" s="114">
        <f>Sheet1!B52</f>
        <v>10.97</v>
      </c>
      <c r="C86" s="115">
        <v>1</v>
      </c>
    </row>
    <row r="87" spans="1:3">
      <c r="A87" s="113">
        <f>Sheet1!A53</f>
        <v>285</v>
      </c>
      <c r="B87" s="114">
        <f>Sheet1!B53</f>
        <v>11.01</v>
      </c>
      <c r="C87" s="115">
        <v>1</v>
      </c>
    </row>
    <row r="88" spans="1:3">
      <c r="A88" s="113">
        <f>Sheet1!A54</f>
        <v>290</v>
      </c>
      <c r="B88" s="114">
        <f>Sheet1!B54</f>
        <v>11.04</v>
      </c>
      <c r="C88" s="115">
        <v>1</v>
      </c>
    </row>
    <row r="89" spans="1:3">
      <c r="A89" s="113">
        <f>Sheet1!A55</f>
        <v>295</v>
      </c>
      <c r="B89" s="114">
        <f>Sheet1!B55</f>
        <v>11.059999999999999</v>
      </c>
      <c r="C89" s="115">
        <v>1</v>
      </c>
    </row>
    <row r="90" spans="1:3">
      <c r="A90" s="113">
        <f>Sheet1!A56</f>
        <v>300</v>
      </c>
      <c r="B90" s="114">
        <f>Sheet1!B56</f>
        <v>11.1</v>
      </c>
      <c r="C90" s="115">
        <v>1</v>
      </c>
    </row>
    <row r="91" spans="1:3">
      <c r="A91" s="113">
        <f>Sheet1!A57</f>
        <v>315</v>
      </c>
      <c r="B91" s="114">
        <f>Sheet1!B57</f>
        <v>11.18</v>
      </c>
      <c r="C91" s="115">
        <v>1</v>
      </c>
    </row>
    <row r="92" spans="1:3">
      <c r="A92" s="113">
        <f>Sheet1!A58</f>
        <v>330</v>
      </c>
      <c r="B92" s="114">
        <f>Sheet1!B58</f>
        <v>11.24</v>
      </c>
      <c r="C92" s="115">
        <v>1</v>
      </c>
    </row>
    <row r="93" spans="1:3">
      <c r="A93" s="113">
        <f>Sheet1!A59</f>
        <v>345</v>
      </c>
      <c r="B93" s="114">
        <f>Sheet1!B59</f>
        <v>11.290000000000001</v>
      </c>
      <c r="C93" s="115">
        <v>1</v>
      </c>
    </row>
    <row r="94" spans="1:3">
      <c r="A94" s="113">
        <f>Sheet1!A60</f>
        <v>360</v>
      </c>
      <c r="B94" s="114">
        <f>Sheet1!B60</f>
        <v>11.35</v>
      </c>
      <c r="C94" s="115">
        <v>1</v>
      </c>
    </row>
    <row r="95" spans="1:3">
      <c r="A95" s="113">
        <f>Sheet1!A61</f>
        <v>361</v>
      </c>
      <c r="B95" s="114">
        <f>Sheet1!B61</f>
        <v>11.54</v>
      </c>
      <c r="C95" s="115">
        <v>1</v>
      </c>
    </row>
    <row r="96" spans="1:3">
      <c r="A96" s="113">
        <f>Sheet1!A62</f>
        <v>362</v>
      </c>
      <c r="B96" s="114">
        <f>Sheet1!B62</f>
        <v>11.709999999999999</v>
      </c>
      <c r="C96" s="115">
        <v>1</v>
      </c>
    </row>
    <row r="97" spans="1:3">
      <c r="A97" s="113">
        <f>Sheet1!A63</f>
        <v>363</v>
      </c>
      <c r="B97" s="114">
        <f>Sheet1!B63</f>
        <v>11.87</v>
      </c>
      <c r="C97" s="115">
        <v>1</v>
      </c>
    </row>
    <row r="98" spans="1:3">
      <c r="A98" s="113">
        <f>Sheet1!A64</f>
        <v>364</v>
      </c>
      <c r="B98" s="114">
        <f>Sheet1!B64</f>
        <v>12.02</v>
      </c>
      <c r="C98" s="115">
        <v>1</v>
      </c>
    </row>
    <row r="99" spans="1:3">
      <c r="A99" s="113">
        <f>Sheet1!A65</f>
        <v>365</v>
      </c>
      <c r="B99" s="114">
        <f>Sheet1!B65</f>
        <v>12.16</v>
      </c>
      <c r="C99" s="115">
        <v>1</v>
      </c>
    </row>
    <row r="100" spans="1:3">
      <c r="A100" s="113">
        <f>Sheet1!A66</f>
        <v>370</v>
      </c>
      <c r="B100" s="114">
        <f>Sheet1!B66</f>
        <v>13.01</v>
      </c>
      <c r="C100" s="115">
        <v>1</v>
      </c>
    </row>
    <row r="101" spans="1:3">
      <c r="A101" s="113">
        <f>Sheet1!A67</f>
        <v>375</v>
      </c>
      <c r="B101" s="114">
        <f>Sheet1!B67</f>
        <v>13.129999999999999</v>
      </c>
      <c r="C101" s="115">
        <v>1</v>
      </c>
    </row>
    <row r="102" spans="1:3">
      <c r="A102" s="113">
        <f>Sheet1!A68</f>
        <v>380</v>
      </c>
      <c r="B102" s="114">
        <f>Sheet1!B68</f>
        <v>13.29</v>
      </c>
      <c r="C102" s="115">
        <v>1</v>
      </c>
    </row>
    <row r="103" spans="1:3">
      <c r="A103" s="113">
        <f>Sheet1!A69</f>
        <v>385</v>
      </c>
      <c r="B103" s="114">
        <f>Sheet1!B69</f>
        <v>13.409999999999998</v>
      </c>
      <c r="C103" s="115">
        <v>1</v>
      </c>
    </row>
    <row r="104" spans="1:3">
      <c r="A104" s="113">
        <f>Sheet1!A70</f>
        <v>390</v>
      </c>
      <c r="B104" s="114">
        <f>Sheet1!B70</f>
        <v>13.57</v>
      </c>
      <c r="C104" s="115">
        <v>1</v>
      </c>
    </row>
    <row r="105" spans="1:3">
      <c r="A105" s="113">
        <f>Sheet1!A71</f>
        <v>395</v>
      </c>
      <c r="B105" s="114">
        <f>Sheet1!B71</f>
        <v>13.64</v>
      </c>
      <c r="C105" s="115">
        <v>1</v>
      </c>
    </row>
    <row r="106" spans="1:3">
      <c r="A106" s="113">
        <f>Sheet1!A72</f>
        <v>400</v>
      </c>
      <c r="B106" s="114">
        <f>Sheet1!B72</f>
        <v>13.690000000000001</v>
      </c>
      <c r="C106" s="115">
        <v>1</v>
      </c>
    </row>
    <row r="107" spans="1:3">
      <c r="A107" s="113">
        <f>Sheet1!A73</f>
        <v>405</v>
      </c>
      <c r="B107" s="114">
        <f>Sheet1!B73</f>
        <v>13.73</v>
      </c>
      <c r="C107" s="115">
        <v>1</v>
      </c>
    </row>
    <row r="108" spans="1:3">
      <c r="A108" s="113">
        <f>Sheet1!A74</f>
        <v>410</v>
      </c>
      <c r="B108" s="114">
        <f>Sheet1!B74</f>
        <v>13.76</v>
      </c>
      <c r="C108" s="115">
        <v>1</v>
      </c>
    </row>
    <row r="109" spans="1:3">
      <c r="A109" s="113">
        <f>Sheet1!A75</f>
        <v>415</v>
      </c>
      <c r="B109" s="114">
        <f>Sheet1!B75</f>
        <v>13.79</v>
      </c>
      <c r="C109" s="115">
        <v>1</v>
      </c>
    </row>
    <row r="110" spans="1:3">
      <c r="A110" s="113">
        <f>Sheet1!A76</f>
        <v>420</v>
      </c>
      <c r="B110" s="114">
        <f>Sheet1!B76</f>
        <v>13.85</v>
      </c>
      <c r="C110" s="115">
        <v>1</v>
      </c>
    </row>
    <row r="111" spans="1:3">
      <c r="A111" s="113">
        <f>Sheet1!A77</f>
        <v>435</v>
      </c>
      <c r="B111" s="114">
        <f>Sheet1!B77</f>
        <v>13.94</v>
      </c>
      <c r="C111" s="115">
        <v>1</v>
      </c>
    </row>
    <row r="112" spans="1:3">
      <c r="A112" s="113">
        <f>Sheet1!A78</f>
        <v>450</v>
      </c>
      <c r="B112" s="114">
        <f>Sheet1!B78</f>
        <v>14.01</v>
      </c>
      <c r="C112" s="115">
        <v>1</v>
      </c>
    </row>
    <row r="113" spans="1:3">
      <c r="A113" s="113">
        <f>Sheet1!A79</f>
        <v>465</v>
      </c>
      <c r="B113" s="114">
        <f>Sheet1!B79</f>
        <v>14.06</v>
      </c>
      <c r="C113" s="115">
        <v>1</v>
      </c>
    </row>
    <row r="114" spans="1:3">
      <c r="A114" s="113">
        <f>Sheet1!A80</f>
        <v>480</v>
      </c>
      <c r="B114" s="114">
        <f>Sheet1!B80</f>
        <v>14.13</v>
      </c>
      <c r="C114" s="115">
        <v>1</v>
      </c>
    </row>
    <row r="115" spans="1:3">
      <c r="A115" s="113">
        <f>Sheet1!A81</f>
        <v>481</v>
      </c>
      <c r="B115" s="114">
        <f>Sheet1!B81</f>
        <v>14.340000000000002</v>
      </c>
      <c r="C115" s="115">
        <v>1</v>
      </c>
    </row>
    <row r="116" spans="1:3">
      <c r="A116" s="113">
        <f>Sheet1!A82</f>
        <v>482</v>
      </c>
      <c r="B116" s="114">
        <f>Sheet1!B82</f>
        <v>14.530000000000001</v>
      </c>
      <c r="C116" s="115">
        <v>1</v>
      </c>
    </row>
    <row r="117" spans="1:3">
      <c r="A117" s="113">
        <f>Sheet1!A83</f>
        <v>483</v>
      </c>
      <c r="B117" s="114">
        <f>Sheet1!B83</f>
        <v>14.700000000000001</v>
      </c>
      <c r="C117" s="115">
        <v>1</v>
      </c>
    </row>
    <row r="118" spans="1:3">
      <c r="A118" s="113">
        <f>Sheet1!A84</f>
        <v>484</v>
      </c>
      <c r="B118" s="114">
        <f>Sheet1!B84</f>
        <v>14.860000000000001</v>
      </c>
      <c r="C118" s="115">
        <v>1</v>
      </c>
    </row>
    <row r="119" spans="1:3">
      <c r="A119" s="113">
        <f>Sheet1!A85</f>
        <v>485</v>
      </c>
      <c r="B119" s="114">
        <f>Sheet1!B85</f>
        <v>15.000000000000002</v>
      </c>
      <c r="C119" s="115">
        <v>1</v>
      </c>
    </row>
    <row r="120" spans="1:3">
      <c r="A120" s="113">
        <f>Sheet1!A86</f>
        <v>490</v>
      </c>
      <c r="B120" s="114">
        <f>Sheet1!B86</f>
        <v>15.82</v>
      </c>
      <c r="C120" s="115">
        <v>1</v>
      </c>
    </row>
    <row r="121" spans="1:3">
      <c r="A121" s="113">
        <f>Sheet1!A87</f>
        <v>495</v>
      </c>
      <c r="B121" s="114">
        <f>Sheet1!B87</f>
        <v>16.13</v>
      </c>
      <c r="C121" s="115">
        <v>1</v>
      </c>
    </row>
    <row r="122" spans="1:3">
      <c r="A122" s="113">
        <f>Sheet1!A88</f>
        <v>500</v>
      </c>
      <c r="B122" s="114">
        <f>Sheet1!B88</f>
        <v>16.45</v>
      </c>
      <c r="C122" s="115">
        <v>1</v>
      </c>
    </row>
    <row r="123" spans="1:3">
      <c r="A123" s="113">
        <f>Sheet1!A89</f>
        <v>505</v>
      </c>
      <c r="B123" s="114">
        <f>Sheet1!B89</f>
        <v>16.75</v>
      </c>
      <c r="C123" s="115">
        <v>1</v>
      </c>
    </row>
    <row r="124" spans="1:3">
      <c r="A124" s="113">
        <f>Sheet1!A90</f>
        <v>510</v>
      </c>
      <c r="B124" s="114">
        <f>Sheet1!B90</f>
        <v>17.09</v>
      </c>
      <c r="C124" s="115">
        <v>1</v>
      </c>
    </row>
    <row r="125" spans="1:3">
      <c r="A125" s="113">
        <f>Sheet1!A91</f>
        <v>515</v>
      </c>
      <c r="B125" s="114">
        <f>Sheet1!B91</f>
        <v>17.239999999999998</v>
      </c>
      <c r="C125" s="115">
        <v>1</v>
      </c>
    </row>
    <row r="126" spans="1:3">
      <c r="A126" s="113">
        <f>Sheet1!A92</f>
        <v>520</v>
      </c>
      <c r="B126" s="114">
        <f>Sheet1!B92</f>
        <v>17.369999999999997</v>
      </c>
      <c r="C126" s="115">
        <v>1</v>
      </c>
    </row>
    <row r="127" spans="1:3">
      <c r="A127" s="113">
        <f>Sheet1!A93</f>
        <v>525</v>
      </c>
      <c r="B127" s="114">
        <f>Sheet1!B93</f>
        <v>17.479999999999997</v>
      </c>
      <c r="C127" s="115">
        <v>1</v>
      </c>
    </row>
    <row r="128" spans="1:3">
      <c r="A128" s="113">
        <f>Sheet1!A94</f>
        <v>530</v>
      </c>
      <c r="B128" s="114">
        <f>Sheet1!B94</f>
        <v>17.559999999999995</v>
      </c>
      <c r="C128" s="115">
        <v>1</v>
      </c>
    </row>
    <row r="129" spans="1:3">
      <c r="A129" s="113">
        <f>Sheet1!A95</f>
        <v>535</v>
      </c>
      <c r="B129" s="114">
        <f>Sheet1!B95</f>
        <v>17.629999999999995</v>
      </c>
      <c r="C129" s="115">
        <v>1</v>
      </c>
    </row>
    <row r="130" spans="1:3">
      <c r="A130" s="113">
        <f>Sheet1!A96</f>
        <v>540</v>
      </c>
      <c r="B130" s="114">
        <f>Sheet1!B96</f>
        <v>17.72</v>
      </c>
      <c r="C130" s="115">
        <v>1</v>
      </c>
    </row>
    <row r="131" spans="1:3">
      <c r="A131" s="113">
        <f>Sheet1!A97</f>
        <v>555</v>
      </c>
      <c r="B131" s="114">
        <f>Sheet1!B97</f>
        <v>17.91</v>
      </c>
      <c r="C131" s="115">
        <v>1</v>
      </c>
    </row>
    <row r="132" spans="1:3">
      <c r="A132" s="113">
        <f>Sheet1!A98</f>
        <v>570</v>
      </c>
      <c r="B132" s="114">
        <f>Sheet1!B98</f>
        <v>18.07</v>
      </c>
      <c r="C132" s="115">
        <v>1</v>
      </c>
    </row>
    <row r="133" spans="1:3">
      <c r="A133" s="113">
        <f>Sheet1!A99</f>
        <v>585</v>
      </c>
      <c r="B133" s="114">
        <f>Sheet1!B99</f>
        <v>18.21</v>
      </c>
      <c r="C133" s="115">
        <v>1</v>
      </c>
    </row>
    <row r="134" spans="1:3">
      <c r="A134" s="113">
        <f>Sheet1!A100</f>
        <v>600</v>
      </c>
      <c r="B134" s="114">
        <f>Sheet1!B100</f>
        <v>18.36</v>
      </c>
      <c r="C134" s="115">
        <v>1</v>
      </c>
    </row>
    <row r="135" spans="1:3">
      <c r="A135" s="113" t="s">
        <v>201</v>
      </c>
      <c r="B135" s="114"/>
      <c r="C135" s="114"/>
    </row>
  </sheetData>
  <phoneticPr fontId="4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7170" r:id="rId4" name="CommandButton2">
          <controlPr defaultSize="0" autoLine="0" autoPict="0" r:id="rId5">
            <anchor moveWithCells="1">
              <from>
                <xdr:col>6</xdr:col>
                <xdr:colOff>57150</xdr:colOff>
                <xdr:row>3</xdr:row>
                <xdr:rowOff>123825</xdr:rowOff>
              </from>
              <to>
                <xdr:col>8</xdr:col>
                <xdr:colOff>476250</xdr:colOff>
                <xdr:row>5</xdr:row>
                <xdr:rowOff>104775</xdr:rowOff>
              </to>
            </anchor>
          </controlPr>
        </control>
      </mc:Choice>
      <mc:Fallback>
        <control shapeId="7170" r:id="rId4" name="CommandButton2"/>
      </mc:Fallback>
    </mc:AlternateContent>
    <mc:AlternateContent xmlns:mc="http://schemas.openxmlformats.org/markup-compatibility/2006">
      <mc:Choice Requires="x14">
        <control shapeId="7169" r:id="rId6" name="CommandButton1">
          <controlPr defaultSize="0" autoLine="0" autoPict="0" r:id="rId7">
            <anchor moveWithCells="1">
              <from>
                <xdr:col>6</xdr:col>
                <xdr:colOff>57150</xdr:colOff>
                <xdr:row>1</xdr:row>
                <xdr:rowOff>47625</xdr:rowOff>
              </from>
              <to>
                <xdr:col>8</xdr:col>
                <xdr:colOff>476250</xdr:colOff>
                <xdr:row>3</xdr:row>
                <xdr:rowOff>28575</xdr:rowOff>
              </to>
            </anchor>
          </controlPr>
        </control>
      </mc:Choice>
      <mc:Fallback>
        <control shapeId="7169" r:id="rId6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AD939-83FB-499C-8DFE-FA255A3787B2}">
  <sheetPr codeName="sh02_JanggiSelect">
    <tabColor theme="3" tint="0.79998168889431442"/>
  </sheetPr>
  <dimension ref="A1:C99"/>
  <sheetViews>
    <sheetView workbookViewId="0">
      <selection activeCell="I24" sqref="I24"/>
    </sheetView>
  </sheetViews>
  <sheetFormatPr defaultColWidth="9" defaultRowHeight="16.5"/>
  <cols>
    <col min="1" max="1" width="9" style="97"/>
    <col min="2" max="3" width="9" style="98"/>
    <col min="4" max="16384" width="9" style="97"/>
  </cols>
  <sheetData>
    <row r="1" spans="1:3">
      <c r="B1" s="97"/>
    </row>
    <row r="2" spans="1:3">
      <c r="A2" s="113" t="s">
        <v>194</v>
      </c>
      <c r="B2" s="113"/>
      <c r="C2" s="114"/>
    </row>
    <row r="3" spans="1:3">
      <c r="A3" s="113">
        <v>2</v>
      </c>
      <c r="B3" s="113"/>
      <c r="C3" s="114"/>
    </row>
    <row r="4" spans="1:3">
      <c r="A4" s="113">
        <v>1</v>
      </c>
      <c r="B4" s="113"/>
      <c r="C4" s="114"/>
    </row>
    <row r="5" spans="1:3">
      <c r="A5" s="113">
        <v>6</v>
      </c>
      <c r="B5" s="113"/>
      <c r="C5" s="114"/>
    </row>
    <row r="6" spans="1:3">
      <c r="A6" s="113" t="s">
        <v>195</v>
      </c>
      <c r="B6" s="113"/>
      <c r="C6" s="114"/>
    </row>
    <row r="7" spans="1:3">
      <c r="A7" s="113">
        <f>Step.Select!A7</f>
        <v>83</v>
      </c>
      <c r="B7" s="113"/>
      <c r="C7" s="114"/>
    </row>
    <row r="8" spans="1:3">
      <c r="A8" s="113" t="s">
        <v>196</v>
      </c>
      <c r="B8" s="113"/>
      <c r="C8" s="114"/>
    </row>
    <row r="9" spans="1:3">
      <c r="A9" s="113">
        <v>1</v>
      </c>
      <c r="B9" s="113"/>
      <c r="C9" s="114"/>
    </row>
    <row r="10" spans="1:3">
      <c r="A10" s="113" t="s">
        <v>197</v>
      </c>
      <c r="B10" s="113"/>
      <c r="C10" s="114"/>
    </row>
    <row r="11" spans="1:3">
      <c r="A11" s="113">
        <v>1</v>
      </c>
      <c r="B11" s="113"/>
      <c r="C11" s="114"/>
    </row>
    <row r="12" spans="1:3">
      <c r="A12" s="113" t="s">
        <v>198</v>
      </c>
      <c r="B12" s="113"/>
      <c r="C12" s="114"/>
    </row>
    <row r="13" spans="1:3">
      <c r="A13" s="113">
        <v>1</v>
      </c>
      <c r="B13" s="113"/>
      <c r="C13" s="114"/>
    </row>
    <row r="14" spans="1:3">
      <c r="A14" s="113" t="s">
        <v>199</v>
      </c>
      <c r="B14" s="113"/>
      <c r="C14" s="114"/>
    </row>
    <row r="15" spans="1:3">
      <c r="A15" s="113" t="str">
        <f>Input!I54</f>
        <v>W-1</v>
      </c>
      <c r="B15" s="113"/>
      <c r="C15" s="114"/>
    </row>
    <row r="16" spans="1:3">
      <c r="A16" s="113">
        <v>0</v>
      </c>
      <c r="B16" s="113"/>
      <c r="C16" s="114"/>
    </row>
    <row r="17" spans="1:3">
      <c r="A17" s="113">
        <v>0</v>
      </c>
      <c r="B17" s="113"/>
      <c r="C17" s="114"/>
    </row>
    <row r="18" spans="1:3">
      <c r="A18" s="113">
        <f>Step.Select!A18</f>
        <v>0.1</v>
      </c>
      <c r="B18" s="113"/>
      <c r="C18" s="114"/>
    </row>
    <row r="19" spans="1:3">
      <c r="A19" s="113">
        <f>Step.Select!A19</f>
        <v>0.1</v>
      </c>
      <c r="B19" s="113"/>
      <c r="C19" s="114"/>
    </row>
    <row r="20" spans="1:3">
      <c r="A20" s="113">
        <v>0</v>
      </c>
      <c r="B20" s="113"/>
      <c r="C20" s="114"/>
    </row>
    <row r="21" spans="1:3">
      <c r="A21" s="113">
        <v>0</v>
      </c>
      <c r="B21" s="113"/>
      <c r="C21" s="114"/>
    </row>
    <row r="22" spans="1:3">
      <c r="A22" s="113">
        <v>1</v>
      </c>
      <c r="B22" s="113"/>
      <c r="C22" s="114"/>
    </row>
    <row r="23" spans="1:3">
      <c r="A23" s="113">
        <v>1</v>
      </c>
      <c r="B23" s="113"/>
      <c r="C23" s="114"/>
    </row>
    <row r="24" spans="1:3">
      <c r="A24" s="115">
        <v>0</v>
      </c>
      <c r="B24" s="115">
        <f>Input!M51</f>
        <v>150</v>
      </c>
      <c r="C24" s="114"/>
    </row>
    <row r="25" spans="1:3">
      <c r="A25" s="113" t="s">
        <v>200</v>
      </c>
      <c r="B25" s="113"/>
      <c r="C25" s="114"/>
    </row>
    <row r="26" spans="1:3">
      <c r="A26" s="113" t="str">
        <f>A15</f>
        <v>W-1</v>
      </c>
      <c r="B26" s="113"/>
      <c r="C26" s="114"/>
    </row>
    <row r="27" spans="1:3">
      <c r="A27" s="116">
        <f>SkinFactor!C8</f>
        <v>2.0150000000000001</v>
      </c>
      <c r="B27" s="113"/>
      <c r="C27" s="114"/>
    </row>
    <row r="28" spans="1:3">
      <c r="A28" s="113">
        <v>0</v>
      </c>
      <c r="B28" s="113"/>
      <c r="C28" s="114"/>
    </row>
    <row r="29" spans="1:3">
      <c r="A29" s="113">
        <v>0</v>
      </c>
      <c r="B29" s="113"/>
      <c r="C29" s="114"/>
    </row>
    <row r="30" spans="1:3">
      <c r="A30" s="115">
        <f>SUM(C31:C98)</f>
        <v>68</v>
      </c>
      <c r="B30" s="113"/>
      <c r="C30" s="114"/>
    </row>
    <row r="31" spans="1:3">
      <c r="A31" s="113">
        <f>LongTest!D10</f>
        <v>1</v>
      </c>
      <c r="B31" s="117">
        <f>LongTest!G10</f>
        <v>3.3156559522114577</v>
      </c>
      <c r="C31" s="115">
        <v>1</v>
      </c>
    </row>
    <row r="32" spans="1:3">
      <c r="A32" s="113">
        <f>LongTest!D11</f>
        <v>2</v>
      </c>
      <c r="B32" s="117">
        <f>LongTest!G11</f>
        <v>4.6998797379046291</v>
      </c>
      <c r="C32" s="115">
        <v>1</v>
      </c>
    </row>
    <row r="33" spans="1:3">
      <c r="A33" s="113">
        <f>LongTest!D12</f>
        <v>3</v>
      </c>
      <c r="B33" s="117">
        <f>LongTest!G12</f>
        <v>5.5095987451414139</v>
      </c>
      <c r="C33" s="115">
        <v>1</v>
      </c>
    </row>
    <row r="34" spans="1:3">
      <c r="A34" s="113">
        <f>LongTest!D13</f>
        <v>4</v>
      </c>
      <c r="B34" s="117">
        <f>LongTest!G13</f>
        <v>6.084103523597804</v>
      </c>
      <c r="C34" s="115">
        <v>1</v>
      </c>
    </row>
    <row r="35" spans="1:3">
      <c r="A35" s="113">
        <f>LongTest!D14</f>
        <v>5</v>
      </c>
      <c r="B35" s="117">
        <f>LongTest!G14</f>
        <v>6.5297240498237805</v>
      </c>
      <c r="C35" s="115">
        <v>1</v>
      </c>
    </row>
    <row r="36" spans="1:3">
      <c r="A36" s="113">
        <f>LongTest!D15</f>
        <v>10</v>
      </c>
      <c r="B36" s="117">
        <f>LongTest!G15</f>
        <v>7.9139478355169501</v>
      </c>
      <c r="C36" s="115">
        <v>1</v>
      </c>
    </row>
    <row r="37" spans="1:3">
      <c r="A37" s="113">
        <f>LongTest!D16</f>
        <v>15</v>
      </c>
      <c r="B37" s="117">
        <f>LongTest!G16</f>
        <v>8.7236668427537367</v>
      </c>
      <c r="C37" s="115">
        <v>1</v>
      </c>
    </row>
    <row r="38" spans="1:3">
      <c r="A38" s="113">
        <f>LongTest!D17</f>
        <v>20</v>
      </c>
      <c r="B38" s="117">
        <f>LongTest!G17</f>
        <v>9.2981716212101269</v>
      </c>
      <c r="C38" s="115">
        <v>1</v>
      </c>
    </row>
    <row r="39" spans="1:3">
      <c r="A39" s="113">
        <f>LongTest!D18</f>
        <v>25</v>
      </c>
      <c r="B39" s="117">
        <f>LongTest!G18</f>
        <v>9.7437921474360998</v>
      </c>
      <c r="C39" s="115">
        <v>1</v>
      </c>
    </row>
    <row r="40" spans="1:3">
      <c r="A40" s="113">
        <f>LongTest!D19</f>
        <v>30</v>
      </c>
      <c r="B40" s="117">
        <f>LongTest!G19</f>
        <v>10.10789062844691</v>
      </c>
      <c r="C40" s="115">
        <v>1</v>
      </c>
    </row>
    <row r="41" spans="1:3">
      <c r="A41" s="113">
        <f>LongTest!D20</f>
        <v>35</v>
      </c>
      <c r="B41" s="117">
        <f>LongTest!G20</f>
        <v>10.41573150781872</v>
      </c>
      <c r="C41" s="115">
        <v>1</v>
      </c>
    </row>
    <row r="42" spans="1:3">
      <c r="A42" s="113">
        <f>LongTest!D21</f>
        <v>40</v>
      </c>
      <c r="B42" s="117">
        <f>LongTest!G21</f>
        <v>10.6823954069033</v>
      </c>
      <c r="C42" s="115">
        <v>1</v>
      </c>
    </row>
    <row r="43" spans="1:3">
      <c r="A43" s="113">
        <f>LongTest!D22</f>
        <v>45</v>
      </c>
      <c r="B43" s="117">
        <f>LongTest!G22</f>
        <v>10.917609635683696</v>
      </c>
      <c r="C43" s="115">
        <v>1</v>
      </c>
    </row>
    <row r="44" spans="1:3">
      <c r="A44" s="113">
        <f>LongTest!D23</f>
        <v>50</v>
      </c>
      <c r="B44" s="117">
        <f>LongTest!G23</f>
        <v>11.128015933129273</v>
      </c>
      <c r="C44" s="115">
        <v>1</v>
      </c>
    </row>
    <row r="45" spans="1:3">
      <c r="A45" s="113">
        <f>LongTest!D24</f>
        <v>55</v>
      </c>
      <c r="B45" s="117">
        <f>LongTest!G24</f>
        <v>11.318351581320563</v>
      </c>
      <c r="C45" s="115">
        <v>1</v>
      </c>
    </row>
    <row r="46" spans="1:3">
      <c r="A46" s="113">
        <f>LongTest!D25</f>
        <v>60</v>
      </c>
      <c r="B46" s="117">
        <f>LongTest!G25</f>
        <v>11.492114414140083</v>
      </c>
      <c r="C46" s="115">
        <v>1</v>
      </c>
    </row>
    <row r="47" spans="1:3">
      <c r="A47" s="113">
        <f>LongTest!D26</f>
        <v>75</v>
      </c>
      <c r="B47" s="117">
        <f>LongTest!G26</f>
        <v>11.93773494036606</v>
      </c>
      <c r="C47" s="115">
        <v>1</v>
      </c>
    </row>
    <row r="48" spans="1:3">
      <c r="A48" s="113">
        <f>LongTest!D27</f>
        <v>90</v>
      </c>
      <c r="B48" s="117">
        <f>LongTest!G27</f>
        <v>12.30183342137687</v>
      </c>
      <c r="C48" s="115">
        <v>1</v>
      </c>
    </row>
    <row r="49" spans="1:3">
      <c r="A49" s="113">
        <f>LongTest!D28</f>
        <v>105</v>
      </c>
      <c r="B49" s="117">
        <f>LongTest!G28</f>
        <v>12.609674300748676</v>
      </c>
      <c r="C49" s="115">
        <v>1</v>
      </c>
    </row>
    <row r="50" spans="1:3">
      <c r="A50" s="113">
        <f>LongTest!D29</f>
        <v>120</v>
      </c>
      <c r="B50" s="117">
        <f>LongTest!G29</f>
        <v>12.876338199833256</v>
      </c>
      <c r="C50" s="115">
        <v>1</v>
      </c>
    </row>
    <row r="51" spans="1:3">
      <c r="A51" s="113">
        <f>LongTest!D30</f>
        <v>140</v>
      </c>
      <c r="B51" s="117">
        <f>LongTest!G30</f>
        <v>13.184179079205066</v>
      </c>
      <c r="C51" s="115">
        <v>1</v>
      </c>
    </row>
    <row r="52" spans="1:3">
      <c r="A52" s="113">
        <f>LongTest!D31</f>
        <v>160</v>
      </c>
      <c r="B52" s="117">
        <f>LongTest!G31</f>
        <v>13.450842978289646</v>
      </c>
      <c r="C52" s="115">
        <v>1</v>
      </c>
    </row>
    <row r="53" spans="1:3">
      <c r="A53" s="113">
        <f>LongTest!D32</f>
        <v>180</v>
      </c>
      <c r="B53" s="117">
        <f>LongTest!G32</f>
        <v>13.686057207070043</v>
      </c>
      <c r="C53" s="115">
        <v>1</v>
      </c>
    </row>
    <row r="54" spans="1:3">
      <c r="A54" s="113">
        <f>LongTest!D33</f>
        <v>240</v>
      </c>
      <c r="B54" s="117">
        <f>LongTest!G33</f>
        <v>14.260561985526433</v>
      </c>
      <c r="C54" s="115">
        <v>1</v>
      </c>
    </row>
    <row r="55" spans="1:3">
      <c r="A55" s="113">
        <f>LongTest!D34</f>
        <v>300</v>
      </c>
      <c r="B55" s="117">
        <f>LongTest!G34</f>
        <v>14.706182511752406</v>
      </c>
      <c r="C55" s="115">
        <v>1</v>
      </c>
    </row>
    <row r="56" spans="1:3">
      <c r="A56" s="113">
        <f>LongTest!D35</f>
        <v>360</v>
      </c>
      <c r="B56" s="117">
        <f>LongTest!G35</f>
        <v>15.070280992763216</v>
      </c>
      <c r="C56" s="115">
        <v>1</v>
      </c>
    </row>
    <row r="57" spans="1:3">
      <c r="A57" s="113">
        <f>LongTest!D36</f>
        <v>420</v>
      </c>
      <c r="B57" s="117">
        <f>LongTest!G36</f>
        <v>15.378121872135026</v>
      </c>
      <c r="C57" s="115">
        <v>1</v>
      </c>
    </row>
    <row r="58" spans="1:3">
      <c r="A58" s="113">
        <f>LongTest!D37</f>
        <v>480</v>
      </c>
      <c r="B58" s="117">
        <f>LongTest!G37</f>
        <v>15.644785771219606</v>
      </c>
      <c r="C58" s="115">
        <v>1</v>
      </c>
    </row>
    <row r="59" spans="1:3">
      <c r="A59" s="113">
        <f>LongTest!D38</f>
        <v>540</v>
      </c>
      <c r="B59" s="117">
        <f>LongTest!G38</f>
        <v>15.880000000000003</v>
      </c>
      <c r="C59" s="115">
        <v>1</v>
      </c>
    </row>
    <row r="60" spans="1:3">
      <c r="A60" s="113">
        <f>LongTest!D39</f>
        <v>600</v>
      </c>
      <c r="B60" s="117">
        <f>LongTest!G39</f>
        <v>15.880000000000003</v>
      </c>
      <c r="C60" s="115">
        <v>1</v>
      </c>
    </row>
    <row r="61" spans="1:3">
      <c r="A61" s="113">
        <f>LongTest!D40</f>
        <v>660</v>
      </c>
      <c r="B61" s="117">
        <f>LongTest!G40</f>
        <v>15.880000000000003</v>
      </c>
      <c r="C61" s="115">
        <v>1</v>
      </c>
    </row>
    <row r="62" spans="1:3">
      <c r="A62" s="113">
        <f>LongTest!D41</f>
        <v>720</v>
      </c>
      <c r="B62" s="117">
        <f>LongTest!G41</f>
        <v>15.880000000000003</v>
      </c>
      <c r="C62" s="115">
        <v>1</v>
      </c>
    </row>
    <row r="63" spans="1:3">
      <c r="A63" s="113">
        <f>LongTest!D42</f>
        <v>780</v>
      </c>
      <c r="B63" s="117">
        <f>LongTest!G42</f>
        <v>15.880000000000003</v>
      </c>
      <c r="C63" s="115">
        <v>1</v>
      </c>
    </row>
    <row r="64" spans="1:3">
      <c r="A64" s="113">
        <f>LongTest!D43</f>
        <v>840</v>
      </c>
      <c r="B64" s="117">
        <f>LongTest!G43</f>
        <v>15.880000000000003</v>
      </c>
      <c r="C64" s="115">
        <v>1</v>
      </c>
    </row>
    <row r="65" spans="1:3">
      <c r="A65" s="113">
        <f>LongTest!D44</f>
        <v>900</v>
      </c>
      <c r="B65" s="117">
        <f>LongTest!G44</f>
        <v>15.880000000000003</v>
      </c>
      <c r="C65" s="115">
        <v>1</v>
      </c>
    </row>
    <row r="66" spans="1:3">
      <c r="A66" s="113">
        <f>LongTest!D45</f>
        <v>960</v>
      </c>
      <c r="B66" s="117">
        <f>LongTest!G45</f>
        <v>15.880000000000003</v>
      </c>
      <c r="C66" s="115">
        <v>1</v>
      </c>
    </row>
    <row r="67" spans="1:3">
      <c r="A67" s="113">
        <f>LongTest!D46</f>
        <v>1020</v>
      </c>
      <c r="B67" s="117">
        <f>LongTest!G46</f>
        <v>15.880000000000003</v>
      </c>
      <c r="C67" s="115">
        <v>1</v>
      </c>
    </row>
    <row r="68" spans="1:3">
      <c r="A68" s="113">
        <f>LongTest!D47</f>
        <v>1080</v>
      </c>
      <c r="B68" s="117">
        <f>LongTest!G47</f>
        <v>15.880000000000003</v>
      </c>
      <c r="C68" s="115">
        <v>1</v>
      </c>
    </row>
    <row r="69" spans="1:3">
      <c r="A69" s="113">
        <f>LongTest!D48</f>
        <v>1140</v>
      </c>
      <c r="B69" s="117">
        <f>LongTest!G48</f>
        <v>15.880000000000003</v>
      </c>
      <c r="C69" s="115">
        <v>1</v>
      </c>
    </row>
    <row r="70" spans="1:3">
      <c r="A70" s="113">
        <f>LongTest!D49</f>
        <v>1200</v>
      </c>
      <c r="B70" s="117">
        <f>LongTest!G49</f>
        <v>15.880000000000003</v>
      </c>
      <c r="C70" s="115">
        <v>1</v>
      </c>
    </row>
    <row r="71" spans="1:3">
      <c r="A71" s="113">
        <f>LongTest!D50</f>
        <v>1260</v>
      </c>
      <c r="B71" s="117">
        <f>LongTest!G50</f>
        <v>15.880000000000003</v>
      </c>
      <c r="C71" s="115">
        <v>1</v>
      </c>
    </row>
    <row r="72" spans="1:3">
      <c r="A72" s="113">
        <f>LongTest!D51</f>
        <v>1320</v>
      </c>
      <c r="B72" s="117">
        <f>LongTest!G51</f>
        <v>15.880000000000003</v>
      </c>
      <c r="C72" s="115">
        <v>1</v>
      </c>
    </row>
    <row r="73" spans="1:3">
      <c r="A73" s="113">
        <f>LongTest!D52</f>
        <v>1380</v>
      </c>
      <c r="B73" s="117">
        <f>LongTest!G52</f>
        <v>15.880000000000003</v>
      </c>
      <c r="C73" s="115">
        <v>1</v>
      </c>
    </row>
    <row r="74" spans="1:3">
      <c r="A74" s="113">
        <f>LongTest!D53</f>
        <v>1440</v>
      </c>
      <c r="B74" s="117">
        <f>LongTest!G53</f>
        <v>15.880000000000003</v>
      </c>
      <c r="C74" s="115">
        <v>1</v>
      </c>
    </row>
    <row r="75" spans="1:3">
      <c r="A75" s="113">
        <f>LongTest!D54</f>
        <v>1500</v>
      </c>
      <c r="B75" s="117">
        <f>LongTest!G54</f>
        <v>15.880000000000003</v>
      </c>
      <c r="C75" s="115">
        <v>1</v>
      </c>
    </row>
    <row r="76" spans="1:3">
      <c r="A76" s="113">
        <f>LongTest!D55</f>
        <v>1560</v>
      </c>
      <c r="B76" s="117">
        <f>LongTest!G55</f>
        <v>15.880000000000003</v>
      </c>
      <c r="C76" s="115">
        <v>1</v>
      </c>
    </row>
    <row r="77" spans="1:3">
      <c r="A77" s="113">
        <f>LongTest!D56</f>
        <v>1620</v>
      </c>
      <c r="B77" s="117">
        <f>LongTest!G56</f>
        <v>15.880000000000003</v>
      </c>
      <c r="C77" s="115">
        <v>1</v>
      </c>
    </row>
    <row r="78" spans="1:3">
      <c r="A78" s="113">
        <f>LongTest!D57</f>
        <v>1680</v>
      </c>
      <c r="B78" s="117">
        <f>LongTest!G57</f>
        <v>15.880000000000003</v>
      </c>
      <c r="C78" s="115">
        <v>1</v>
      </c>
    </row>
    <row r="79" spans="1:3">
      <c r="A79" s="113">
        <f>LongTest!D58</f>
        <v>1740</v>
      </c>
      <c r="B79" s="117">
        <f>LongTest!G58</f>
        <v>15.880000000000003</v>
      </c>
      <c r="C79" s="115">
        <v>1</v>
      </c>
    </row>
    <row r="80" spans="1:3">
      <c r="A80" s="113">
        <f>LongTest!D59</f>
        <v>1800</v>
      </c>
      <c r="B80" s="117">
        <f>LongTest!G59</f>
        <v>15.880000000000003</v>
      </c>
      <c r="C80" s="115">
        <v>1</v>
      </c>
    </row>
    <row r="81" spans="1:3">
      <c r="A81" s="113">
        <f>LongTest!D60</f>
        <v>1860</v>
      </c>
      <c r="B81" s="117">
        <f>LongTest!G60</f>
        <v>15.880000000000003</v>
      </c>
      <c r="C81" s="115">
        <v>1</v>
      </c>
    </row>
    <row r="82" spans="1:3">
      <c r="A82" s="113">
        <f>LongTest!D61</f>
        <v>1920</v>
      </c>
      <c r="B82" s="117">
        <f>LongTest!G61</f>
        <v>15.880000000000003</v>
      </c>
      <c r="C82" s="115">
        <v>1</v>
      </c>
    </row>
    <row r="83" spans="1:3">
      <c r="A83" s="113">
        <f>LongTest!D62</f>
        <v>1980</v>
      </c>
      <c r="B83" s="117">
        <f>LongTest!G62</f>
        <v>15.880000000000003</v>
      </c>
      <c r="C83" s="115">
        <v>1</v>
      </c>
    </row>
    <row r="84" spans="1:3">
      <c r="A84" s="113">
        <f>LongTest!D63</f>
        <v>2040</v>
      </c>
      <c r="B84" s="117">
        <f>LongTest!G63</f>
        <v>15.880000000000003</v>
      </c>
      <c r="C84" s="115">
        <v>1</v>
      </c>
    </row>
    <row r="85" spans="1:3">
      <c r="A85" s="113">
        <f>LongTest!D64</f>
        <v>2100</v>
      </c>
      <c r="B85" s="117">
        <f>LongTest!G64</f>
        <v>15.880000000000003</v>
      </c>
      <c r="C85" s="115">
        <v>1</v>
      </c>
    </row>
    <row r="86" spans="1:3">
      <c r="A86" s="113">
        <f>LongTest!D65</f>
        <v>2160</v>
      </c>
      <c r="B86" s="117">
        <f>LongTest!G65</f>
        <v>15.880000000000003</v>
      </c>
      <c r="C86" s="115">
        <v>1</v>
      </c>
    </row>
    <row r="87" spans="1:3">
      <c r="A87" s="113">
        <f>LongTest!D66</f>
        <v>2220</v>
      </c>
      <c r="B87" s="117">
        <f>LongTest!G66</f>
        <v>15.880000000000003</v>
      </c>
      <c r="C87" s="115">
        <v>1</v>
      </c>
    </row>
    <row r="88" spans="1:3">
      <c r="A88" s="113">
        <f>LongTest!D67</f>
        <v>2280</v>
      </c>
      <c r="B88" s="117">
        <f>LongTest!G67</f>
        <v>15.880000000000003</v>
      </c>
      <c r="C88" s="115">
        <v>1</v>
      </c>
    </row>
    <row r="89" spans="1:3">
      <c r="A89" s="113">
        <f>LongTest!D68</f>
        <v>2340</v>
      </c>
      <c r="B89" s="117">
        <f>LongTest!G68</f>
        <v>15.880000000000003</v>
      </c>
      <c r="C89" s="115">
        <v>1</v>
      </c>
    </row>
    <row r="90" spans="1:3">
      <c r="A90" s="113">
        <f>LongTest!D69</f>
        <v>2400</v>
      </c>
      <c r="B90" s="117">
        <f>LongTest!G69</f>
        <v>15.880000000000003</v>
      </c>
      <c r="C90" s="115">
        <v>1</v>
      </c>
    </row>
    <row r="91" spans="1:3">
      <c r="A91" s="113">
        <f>LongTest!D70</f>
        <v>2460</v>
      </c>
      <c r="B91" s="117">
        <f>LongTest!G70</f>
        <v>15.880000000000003</v>
      </c>
      <c r="C91" s="115">
        <v>1</v>
      </c>
    </row>
    <row r="92" spans="1:3">
      <c r="A92" s="113">
        <f>LongTest!D71</f>
        <v>2520</v>
      </c>
      <c r="B92" s="117">
        <f>LongTest!G71</f>
        <v>15.880000000000003</v>
      </c>
      <c r="C92" s="115">
        <v>1</v>
      </c>
    </row>
    <row r="93" spans="1:3">
      <c r="A93" s="113">
        <f>LongTest!D72</f>
        <v>2580</v>
      </c>
      <c r="B93" s="117">
        <f>LongTest!G72</f>
        <v>15.880000000000003</v>
      </c>
      <c r="C93" s="115">
        <v>1</v>
      </c>
    </row>
    <row r="94" spans="1:3">
      <c r="A94" s="113">
        <f>LongTest!D73</f>
        <v>2640</v>
      </c>
      <c r="B94" s="117">
        <f>LongTest!G73</f>
        <v>15.880000000000003</v>
      </c>
      <c r="C94" s="115">
        <v>1</v>
      </c>
    </row>
    <row r="95" spans="1:3">
      <c r="A95" s="113">
        <f>LongTest!D74</f>
        <v>2700</v>
      </c>
      <c r="B95" s="117">
        <f>LongTest!G74</f>
        <v>15.880000000000003</v>
      </c>
      <c r="C95" s="115">
        <v>1</v>
      </c>
    </row>
    <row r="96" spans="1:3">
      <c r="A96" s="113">
        <f>LongTest!D75</f>
        <v>2760</v>
      </c>
      <c r="B96" s="117">
        <f>LongTest!G75</f>
        <v>15.880000000000003</v>
      </c>
      <c r="C96" s="115">
        <v>1</v>
      </c>
    </row>
    <row r="97" spans="1:3">
      <c r="A97" s="113">
        <f>LongTest!D76</f>
        <v>2820</v>
      </c>
      <c r="B97" s="117">
        <f>LongTest!G76</f>
        <v>15.880000000000003</v>
      </c>
      <c r="C97" s="115">
        <v>1</v>
      </c>
    </row>
    <row r="98" spans="1:3">
      <c r="A98" s="113">
        <f>LongTest!D77</f>
        <v>2880</v>
      </c>
      <c r="B98" s="117">
        <f>LongTest!G77</f>
        <v>15.880000000000003</v>
      </c>
      <c r="C98" s="115">
        <v>1</v>
      </c>
    </row>
    <row r="99" spans="1:3">
      <c r="A99" s="113" t="s">
        <v>201</v>
      </c>
      <c r="B99" s="114"/>
      <c r="C99" s="114"/>
    </row>
  </sheetData>
  <phoneticPr fontId="4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8196" r:id="rId4" name="CommandButton4">
          <controlPr defaultSize="0" autoLine="0" autoPict="0" r:id="rId5">
            <anchor moveWithCells="1">
              <from>
                <xdr:col>6</xdr:col>
                <xdr:colOff>114300</xdr:colOff>
                <xdr:row>8</xdr:row>
                <xdr:rowOff>0</xdr:rowOff>
              </from>
              <to>
                <xdr:col>8</xdr:col>
                <xdr:colOff>533400</xdr:colOff>
                <xdr:row>9</xdr:row>
                <xdr:rowOff>190500</xdr:rowOff>
              </to>
            </anchor>
          </controlPr>
        </control>
      </mc:Choice>
      <mc:Fallback>
        <control shapeId="8196" r:id="rId4" name="CommandButton4"/>
      </mc:Fallback>
    </mc:AlternateContent>
    <mc:AlternateContent xmlns:mc="http://schemas.openxmlformats.org/markup-compatibility/2006">
      <mc:Choice Requires="x14">
        <control shapeId="8195" r:id="rId6" name="CommandButton3">
          <controlPr defaultSize="0" autoLine="0" autoPict="0" r:id="rId7">
            <anchor moveWithCells="1">
              <from>
                <xdr:col>6</xdr:col>
                <xdr:colOff>104775</xdr:colOff>
                <xdr:row>5</xdr:row>
                <xdr:rowOff>152400</xdr:rowOff>
              </from>
              <to>
                <xdr:col>8</xdr:col>
                <xdr:colOff>523875</xdr:colOff>
                <xdr:row>7</xdr:row>
                <xdr:rowOff>133350</xdr:rowOff>
              </to>
            </anchor>
          </controlPr>
        </control>
      </mc:Choice>
      <mc:Fallback>
        <control shapeId="8195" r:id="rId6" name="CommandButton3"/>
      </mc:Fallback>
    </mc:AlternateContent>
    <mc:AlternateContent xmlns:mc="http://schemas.openxmlformats.org/markup-compatibility/2006">
      <mc:Choice Requires="x14">
        <control shapeId="8194" r:id="rId8" name="CommandButton2">
          <controlPr defaultSize="0" autoLine="0" autoPict="0" r:id="rId9">
            <anchor moveWithCells="1">
              <from>
                <xdr:col>6</xdr:col>
                <xdr:colOff>104775</xdr:colOff>
                <xdr:row>3</xdr:row>
                <xdr:rowOff>104775</xdr:rowOff>
              </from>
              <to>
                <xdr:col>8</xdr:col>
                <xdr:colOff>523875</xdr:colOff>
                <xdr:row>5</xdr:row>
                <xdr:rowOff>76200</xdr:rowOff>
              </to>
            </anchor>
          </controlPr>
        </control>
      </mc:Choice>
      <mc:Fallback>
        <control shapeId="8194" r:id="rId8" name="CommandButton2"/>
      </mc:Fallback>
    </mc:AlternateContent>
    <mc:AlternateContent xmlns:mc="http://schemas.openxmlformats.org/markup-compatibility/2006">
      <mc:Choice Requires="x14">
        <control shapeId="8193" r:id="rId10" name="CommandButton1">
          <controlPr defaultSize="0" autoLine="0" autoPict="0" r:id="rId11">
            <anchor moveWithCells="1">
              <from>
                <xdr:col>6</xdr:col>
                <xdr:colOff>104775</xdr:colOff>
                <xdr:row>1</xdr:row>
                <xdr:rowOff>47625</xdr:rowOff>
              </from>
              <to>
                <xdr:col>8</xdr:col>
                <xdr:colOff>523875</xdr:colOff>
                <xdr:row>3</xdr:row>
                <xdr:rowOff>28575</xdr:rowOff>
              </to>
            </anchor>
          </controlPr>
        </control>
      </mc:Choice>
      <mc:Fallback>
        <control shapeId="8193" r:id="rId10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AB1B0-DF22-47CB-B80F-CA324ED664AA}">
  <sheetPr codeName="sh03_RecoverSelect">
    <tabColor theme="2" tint="-9.9978637043366805E-2"/>
  </sheetPr>
  <dimension ref="A1:N57"/>
  <sheetViews>
    <sheetView workbookViewId="0">
      <selection activeCell="F22" sqref="F22"/>
    </sheetView>
  </sheetViews>
  <sheetFormatPr defaultColWidth="9" defaultRowHeight="16.5"/>
  <cols>
    <col min="1" max="1" width="9" style="97"/>
    <col min="2" max="3" width="9" style="98"/>
    <col min="4" max="16384" width="9" style="97"/>
  </cols>
  <sheetData>
    <row r="1" spans="1:14">
      <c r="B1" s="97"/>
    </row>
    <row r="2" spans="1:14">
      <c r="A2" s="113" t="s">
        <v>194</v>
      </c>
      <c r="B2" s="113"/>
      <c r="C2" s="114"/>
    </row>
    <row r="3" spans="1:14">
      <c r="A3" s="113">
        <v>2</v>
      </c>
      <c r="B3" s="113"/>
      <c r="C3" s="114"/>
    </row>
    <row r="4" spans="1:14">
      <c r="A4" s="113">
        <v>1</v>
      </c>
      <c r="B4" s="113"/>
      <c r="C4" s="114"/>
    </row>
    <row r="5" spans="1:14">
      <c r="A5" s="113">
        <v>6</v>
      </c>
      <c r="B5" s="113"/>
      <c r="C5" s="114"/>
    </row>
    <row r="6" spans="1:14">
      <c r="A6" s="113" t="s">
        <v>195</v>
      </c>
      <c r="B6" s="113"/>
      <c r="C6" s="114"/>
      <c r="L6" s="528"/>
      <c r="M6" s="528"/>
      <c r="N6" s="528"/>
    </row>
    <row r="7" spans="1:14">
      <c r="A7" s="113">
        <f>Step.Select!A7</f>
        <v>83</v>
      </c>
      <c r="B7" s="113"/>
      <c r="C7" s="114"/>
    </row>
    <row r="8" spans="1:14">
      <c r="A8" s="113" t="s">
        <v>196</v>
      </c>
      <c r="B8" s="113"/>
      <c r="C8" s="114"/>
    </row>
    <row r="9" spans="1:14">
      <c r="A9" s="113">
        <v>1</v>
      </c>
      <c r="B9" s="113"/>
      <c r="C9" s="114"/>
    </row>
    <row r="10" spans="1:14">
      <c r="A10" s="113" t="s">
        <v>197</v>
      </c>
      <c r="B10" s="113"/>
      <c r="C10" s="114"/>
    </row>
    <row r="11" spans="1:14">
      <c r="A11" s="113">
        <v>1</v>
      </c>
      <c r="B11" s="113"/>
      <c r="C11" s="114"/>
    </row>
    <row r="12" spans="1:14">
      <c r="A12" s="113" t="s">
        <v>198</v>
      </c>
      <c r="B12" s="113"/>
      <c r="C12" s="114"/>
    </row>
    <row r="13" spans="1:14">
      <c r="A13" s="113">
        <v>1</v>
      </c>
      <c r="B13" s="113"/>
      <c r="C13" s="114"/>
    </row>
    <row r="14" spans="1:14">
      <c r="A14" s="113" t="s">
        <v>199</v>
      </c>
      <c r="B14" s="113"/>
      <c r="C14" s="114"/>
    </row>
    <row r="15" spans="1:14">
      <c r="A15" s="113" t="str">
        <f>Input!I54</f>
        <v>W-1</v>
      </c>
      <c r="B15" s="113"/>
      <c r="C15" s="114"/>
    </row>
    <row r="16" spans="1:14">
      <c r="A16" s="113">
        <v>0</v>
      </c>
      <c r="B16" s="113"/>
      <c r="C16" s="114"/>
    </row>
    <row r="17" spans="1:3">
      <c r="A17" s="113">
        <v>0</v>
      </c>
      <c r="B17" s="113"/>
      <c r="C17" s="114"/>
    </row>
    <row r="18" spans="1:3">
      <c r="A18" s="113">
        <f>Step.Select!A18</f>
        <v>0.1</v>
      </c>
      <c r="B18" s="113"/>
      <c r="C18" s="114"/>
    </row>
    <row r="19" spans="1:3">
      <c r="A19" s="113">
        <f>Step.Select!A19</f>
        <v>0.1</v>
      </c>
      <c r="B19" s="113"/>
      <c r="C19" s="114"/>
    </row>
    <row r="20" spans="1:3">
      <c r="A20" s="113">
        <v>0</v>
      </c>
      <c r="B20" s="113"/>
      <c r="C20" s="114"/>
    </row>
    <row r="21" spans="1:3">
      <c r="A21" s="113">
        <v>0</v>
      </c>
      <c r="B21" s="113"/>
      <c r="C21" s="114"/>
    </row>
    <row r="22" spans="1:3">
      <c r="A22" s="113">
        <v>1</v>
      </c>
      <c r="B22" s="113"/>
      <c r="C22" s="114"/>
    </row>
    <row r="23" spans="1:3">
      <c r="A23" s="113">
        <v>2</v>
      </c>
      <c r="B23" s="113"/>
      <c r="C23" s="114"/>
    </row>
    <row r="24" spans="1:3">
      <c r="A24" s="115">
        <v>0</v>
      </c>
      <c r="B24" s="115">
        <f>Input!M51</f>
        <v>150</v>
      </c>
      <c r="C24" s="114"/>
    </row>
    <row r="25" spans="1:3">
      <c r="A25" s="115">
        <v>2880</v>
      </c>
      <c r="B25" s="115">
        <v>0</v>
      </c>
      <c r="C25" s="114"/>
    </row>
    <row r="26" spans="1:3">
      <c r="A26" s="113" t="s">
        <v>200</v>
      </c>
      <c r="B26" s="113"/>
      <c r="C26" s="114"/>
    </row>
    <row r="27" spans="1:3">
      <c r="A27" s="113" t="str">
        <f>A15</f>
        <v>W-1</v>
      </c>
      <c r="B27" s="113"/>
      <c r="C27" s="114"/>
    </row>
    <row r="28" spans="1:3">
      <c r="A28" s="116">
        <f>SkinFactor!C8</f>
        <v>2.0150000000000001</v>
      </c>
      <c r="B28" s="113"/>
      <c r="C28" s="114"/>
    </row>
    <row r="29" spans="1:3">
      <c r="A29" s="113">
        <v>0</v>
      </c>
      <c r="B29" s="113"/>
      <c r="C29" s="114"/>
    </row>
    <row r="30" spans="1:3">
      <c r="A30" s="113">
        <v>0</v>
      </c>
      <c r="B30" s="113"/>
      <c r="C30" s="114"/>
    </row>
    <row r="31" spans="1:3">
      <c r="A31" s="115">
        <f>SUM(C32:C56)</f>
        <v>25</v>
      </c>
      <c r="B31" s="113"/>
      <c r="C31" s="114"/>
    </row>
    <row r="32" spans="1:3">
      <c r="A32" s="113">
        <f>LongTest!D77</f>
        <v>2880</v>
      </c>
      <c r="B32" s="114">
        <f>LongTest!G77</f>
        <v>15.880000000000003</v>
      </c>
      <c r="C32" s="115">
        <v>1</v>
      </c>
    </row>
    <row r="33" spans="1:3">
      <c r="A33" s="113">
        <f>$A$32+LongTest!D78</f>
        <v>2881</v>
      </c>
      <c r="B33" s="114">
        <f>LongTest!G78</f>
        <v>10.782796980712918</v>
      </c>
      <c r="C33" s="115">
        <v>1</v>
      </c>
    </row>
    <row r="34" spans="1:3">
      <c r="A34" s="113">
        <f>$A$32+LongTest!D79</f>
        <v>2882</v>
      </c>
      <c r="B34" s="114">
        <f>LongTest!G79</f>
        <v>9.9244377821078142</v>
      </c>
      <c r="C34" s="115">
        <v>1</v>
      </c>
    </row>
    <row r="35" spans="1:3">
      <c r="A35" s="113">
        <f>$A$32+LongTest!D80</f>
        <v>2883</v>
      </c>
      <c r="B35" s="114">
        <f>LongTest!G80</f>
        <v>9.1344078412220089</v>
      </c>
      <c r="C35" s="115">
        <v>1</v>
      </c>
    </row>
    <row r="36" spans="1:3">
      <c r="A36" s="113">
        <f>$A$32+LongTest!D81</f>
        <v>2884</v>
      </c>
      <c r="B36" s="114">
        <f>LongTest!G81</f>
        <v>8.4072678414290092</v>
      </c>
      <c r="C36" s="115">
        <v>1</v>
      </c>
    </row>
    <row r="37" spans="1:3">
      <c r="A37" s="113">
        <f>$A$32+LongTest!D82</f>
        <v>2885</v>
      </c>
      <c r="B37" s="114">
        <f>LongTest!G82</f>
        <v>7.7380114602010686</v>
      </c>
      <c r="C37" s="115">
        <v>1</v>
      </c>
    </row>
    <row r="38" spans="1:3">
      <c r="A38" s="113">
        <f>$A$32+LongTest!D83</f>
        <v>2890</v>
      </c>
      <c r="B38" s="114">
        <f>LongTest!G83</f>
        <v>6.0332708686180201</v>
      </c>
      <c r="C38" s="115">
        <v>1</v>
      </c>
    </row>
    <row r="39" spans="1:3">
      <c r="A39" s="113">
        <f>$A$32+LongTest!D84</f>
        <v>2895</v>
      </c>
      <c r="B39" s="114">
        <f>LongTest!G84</f>
        <v>5.7086815048240274</v>
      </c>
      <c r="C39" s="115">
        <v>1</v>
      </c>
    </row>
    <row r="40" spans="1:3">
      <c r="A40" s="113">
        <f>$A$32+LongTest!D85</f>
        <v>2900</v>
      </c>
      <c r="B40" s="114">
        <f>LongTest!G85</f>
        <v>4.8359832049120115</v>
      </c>
      <c r="C40" s="115">
        <v>1</v>
      </c>
    </row>
    <row r="41" spans="1:3">
      <c r="A41" s="113">
        <f>$A$32+LongTest!D86</f>
        <v>2905</v>
      </c>
      <c r="B41" s="114">
        <f>LongTest!G86</f>
        <v>4.4510171635721916</v>
      </c>
      <c r="C41" s="115">
        <v>1</v>
      </c>
    </row>
    <row r="42" spans="1:3">
      <c r="A42" s="113">
        <f>$A$32+LongTest!D87</f>
        <v>2910</v>
      </c>
      <c r="B42" s="114">
        <f>LongTest!G87</f>
        <v>4.0966961527681098</v>
      </c>
      <c r="C42" s="115">
        <v>1</v>
      </c>
    </row>
    <row r="43" spans="1:3">
      <c r="A43" s="113">
        <f>$A$32+LongTest!D88</f>
        <v>2915</v>
      </c>
      <c r="B43" s="114">
        <f>LongTest!G88</f>
        <v>3.9849717690342552</v>
      </c>
      <c r="C43" s="115">
        <v>1</v>
      </c>
    </row>
    <row r="44" spans="1:3">
      <c r="A44" s="113">
        <f>$A$32+LongTest!D89</f>
        <v>2920</v>
      </c>
      <c r="B44" s="114">
        <f>LongTest!G89</f>
        <v>3.8762943132284762</v>
      </c>
      <c r="C44" s="115">
        <v>1</v>
      </c>
    </row>
    <row r="45" spans="1:3">
      <c r="A45" s="113">
        <f>$A$32+LongTest!D90</f>
        <v>2925</v>
      </c>
      <c r="B45" s="114">
        <f>LongTest!G90</f>
        <v>3.7705806900631673</v>
      </c>
      <c r="C45" s="115">
        <v>1</v>
      </c>
    </row>
    <row r="46" spans="1:3">
      <c r="A46" s="113">
        <f>$A$32+LongTest!D91</f>
        <v>2930</v>
      </c>
      <c r="B46" s="114">
        <f>LongTest!G91</f>
        <v>3.6677500704109298</v>
      </c>
      <c r="C46" s="115">
        <v>1</v>
      </c>
    </row>
    <row r="47" spans="1:3">
      <c r="A47" s="113">
        <f>$A$32+LongTest!D92</f>
        <v>2935</v>
      </c>
      <c r="B47" s="114">
        <f>LongTest!G92</f>
        <v>3.5677238295022455</v>
      </c>
      <c r="C47" s="115">
        <v>1</v>
      </c>
    </row>
    <row r="48" spans="1:3">
      <c r="A48" s="113">
        <f>$A$32+LongTest!D93</f>
        <v>2940</v>
      </c>
      <c r="B48" s="114">
        <f>LongTest!G93</f>
        <v>3.4704254868086104</v>
      </c>
      <c r="C48" s="115">
        <v>1</v>
      </c>
    </row>
    <row r="49" spans="1:3">
      <c r="A49" s="113">
        <f>$A$32+LongTest!D94</f>
        <v>2955</v>
      </c>
      <c r="B49" s="114">
        <f>LongTest!G94</f>
        <v>3.3757806475651706</v>
      </c>
      <c r="C49" s="115">
        <v>1</v>
      </c>
    </row>
    <row r="50" spans="1:3">
      <c r="A50" s="113">
        <f>$A$32+LongTest!D95</f>
        <v>2970</v>
      </c>
      <c r="B50" s="114">
        <f>LongTest!G95</f>
        <v>3.2837169458881377</v>
      </c>
      <c r="C50" s="115">
        <v>1</v>
      </c>
    </row>
    <row r="51" spans="1:3">
      <c r="A51" s="113">
        <f>$A$32+LongTest!D96</f>
        <v>2985</v>
      </c>
      <c r="B51" s="114">
        <f>LongTest!G96</f>
        <v>3.194163989443497</v>
      </c>
      <c r="C51" s="115">
        <v>1</v>
      </c>
    </row>
    <row r="52" spans="1:3">
      <c r="A52" s="113">
        <f>$A$32+LongTest!D97</f>
        <v>3000</v>
      </c>
      <c r="B52" s="114">
        <f>LongTest!G97</f>
        <v>2.9398941513767949</v>
      </c>
      <c r="C52" s="115">
        <v>1</v>
      </c>
    </row>
    <row r="53" spans="1:3">
      <c r="A53" s="113">
        <f>$A$32+LongTest!D98</f>
        <v>3060</v>
      </c>
      <c r="B53" s="114">
        <f>LongTest!G98</f>
        <v>2.859717870281747</v>
      </c>
      <c r="C53" s="115">
        <v>1</v>
      </c>
    </row>
    <row r="54" spans="1:3">
      <c r="A54" s="113">
        <f>$A$32+LongTest!D99</f>
        <v>3120</v>
      </c>
      <c r="B54" s="114">
        <f>LongTest!G99</f>
        <v>2.4225467088648833</v>
      </c>
      <c r="C54" s="115">
        <v>1</v>
      </c>
    </row>
    <row r="55" spans="1:3">
      <c r="A55" s="113">
        <f>$A$32+LongTest!D100</f>
        <v>3180</v>
      </c>
      <c r="B55" s="114">
        <f>LongTest!G100</f>
        <v>2.0522068339748056</v>
      </c>
      <c r="C55" s="115">
        <v>1</v>
      </c>
    </row>
    <row r="56" spans="1:3">
      <c r="A56" s="113">
        <f>$A$32+LongTest!D101</f>
        <v>3240</v>
      </c>
      <c r="B56" s="114">
        <f>LongTest!G101</f>
        <v>1.7384816045038303</v>
      </c>
      <c r="C56" s="115">
        <v>1</v>
      </c>
    </row>
    <row r="57" spans="1:3">
      <c r="A57" s="113" t="s">
        <v>202</v>
      </c>
      <c r="B57" s="114"/>
      <c r="C57" s="114"/>
    </row>
  </sheetData>
  <mergeCells count="1">
    <mergeCell ref="L6:N6"/>
  </mergeCells>
  <phoneticPr fontId="4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9221" r:id="rId4" name="CommandButton4">
          <controlPr defaultSize="0" autoLine="0" r:id="rId5">
            <anchor moveWithCells="1">
              <from>
                <xdr:col>6</xdr:col>
                <xdr:colOff>85725</xdr:colOff>
                <xdr:row>8</xdr:row>
                <xdr:rowOff>123825</xdr:rowOff>
              </from>
              <to>
                <xdr:col>8</xdr:col>
                <xdr:colOff>590550</xdr:colOff>
                <xdr:row>10</xdr:row>
                <xdr:rowOff>104775</xdr:rowOff>
              </to>
            </anchor>
          </controlPr>
        </control>
      </mc:Choice>
      <mc:Fallback>
        <control shapeId="9221" r:id="rId4" name="CommandButton4"/>
      </mc:Fallback>
    </mc:AlternateContent>
    <mc:AlternateContent xmlns:mc="http://schemas.openxmlformats.org/markup-compatibility/2006">
      <mc:Choice Requires="x14">
        <control shapeId="9219" r:id="rId6" name="CommandButton3">
          <controlPr defaultSize="0" autoLine="0" r:id="rId7">
            <anchor moveWithCells="1">
              <from>
                <xdr:col>6</xdr:col>
                <xdr:colOff>95250</xdr:colOff>
                <xdr:row>6</xdr:row>
                <xdr:rowOff>76200</xdr:rowOff>
              </from>
              <to>
                <xdr:col>8</xdr:col>
                <xdr:colOff>600075</xdr:colOff>
                <xdr:row>8</xdr:row>
                <xdr:rowOff>57150</xdr:rowOff>
              </to>
            </anchor>
          </controlPr>
        </control>
      </mc:Choice>
      <mc:Fallback>
        <control shapeId="9219" r:id="rId6" name="CommandButton3"/>
      </mc:Fallback>
    </mc:AlternateContent>
    <mc:AlternateContent xmlns:mc="http://schemas.openxmlformats.org/markup-compatibility/2006">
      <mc:Choice Requires="x14">
        <control shapeId="9218" r:id="rId8" name="CommandButton2">
          <controlPr defaultSize="0" autoLine="0" autoPict="0" r:id="rId9">
            <anchor moveWithCells="1">
              <from>
                <xdr:col>6</xdr:col>
                <xdr:colOff>66675</xdr:colOff>
                <xdr:row>3</xdr:row>
                <xdr:rowOff>104775</xdr:rowOff>
              </from>
              <to>
                <xdr:col>8</xdr:col>
                <xdr:colOff>571500</xdr:colOff>
                <xdr:row>5</xdr:row>
                <xdr:rowOff>85725</xdr:rowOff>
              </to>
            </anchor>
          </controlPr>
        </control>
      </mc:Choice>
      <mc:Fallback>
        <control shapeId="9218" r:id="rId8" name="CommandButton2"/>
      </mc:Fallback>
    </mc:AlternateContent>
    <mc:AlternateContent xmlns:mc="http://schemas.openxmlformats.org/markup-compatibility/2006">
      <mc:Choice Requires="x14">
        <control shapeId="9217" r:id="rId10" name="CommandButton1">
          <controlPr defaultSize="0" autoLine="0" autoPict="0" r:id="rId11">
            <anchor moveWithCells="1">
              <from>
                <xdr:col>6</xdr:col>
                <xdr:colOff>57150</xdr:colOff>
                <xdr:row>1</xdr:row>
                <xdr:rowOff>57150</xdr:rowOff>
              </from>
              <to>
                <xdr:col>8</xdr:col>
                <xdr:colOff>561975</xdr:colOff>
                <xdr:row>3</xdr:row>
                <xdr:rowOff>38100</xdr:rowOff>
              </to>
            </anchor>
          </controlPr>
        </control>
      </mc:Choice>
      <mc:Fallback>
        <control shapeId="9217" r:id="rId10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68A2AB-C4A7-4E56-97CB-8AB623823A0D}">
  <sheetPr codeName="Sheet3">
    <tabColor theme="5" tint="-0.249977111117893"/>
  </sheetPr>
  <dimension ref="A1:J110"/>
  <sheetViews>
    <sheetView showGridLines="0" view="pageBreakPreview" zoomScaleNormal="130" zoomScaleSheetLayoutView="100" workbookViewId="0">
      <selection activeCell="O100" sqref="O100"/>
    </sheetView>
  </sheetViews>
  <sheetFormatPr defaultRowHeight="16.5"/>
  <cols>
    <col min="1" max="2" width="9" style="448"/>
    <col min="3" max="3" width="11.375" style="448" customWidth="1"/>
    <col min="4" max="4" width="6.75" style="448" customWidth="1"/>
    <col min="5" max="5" width="7.25" style="448" customWidth="1"/>
    <col min="6" max="6" width="13.875" style="448" bestFit="1" customWidth="1"/>
    <col min="7" max="7" width="12.125" style="448" customWidth="1"/>
    <col min="8" max="16384" width="9" style="448"/>
  </cols>
  <sheetData>
    <row r="1" spans="1:10" ht="45" customHeight="1" thickBot="1">
      <c r="A1" s="541" t="s">
        <v>316</v>
      </c>
      <c r="B1" s="541"/>
      <c r="C1" s="541"/>
      <c r="D1" s="541"/>
      <c r="E1" s="541"/>
      <c r="F1" s="541"/>
      <c r="G1" s="541"/>
      <c r="H1" s="541"/>
      <c r="I1" s="541"/>
      <c r="J1" s="541"/>
    </row>
    <row r="2" spans="1:10" ht="24.95" customHeight="1">
      <c r="A2" s="542" t="s">
        <v>295</v>
      </c>
      <c r="B2" s="543"/>
      <c r="C2" s="544" t="str">
        <f>LongTest!C2</f>
        <v>순성중명아파트 이용허가 유효기간의 연장을 위한 지하수영향조사보고서</v>
      </c>
      <c r="D2" s="545"/>
      <c r="E2" s="545"/>
      <c r="F2" s="545"/>
      <c r="G2" s="545"/>
      <c r="H2" s="545"/>
      <c r="I2" s="545"/>
      <c r="J2" s="546"/>
    </row>
    <row r="3" spans="1:10" ht="24.95" customHeight="1">
      <c r="A3" s="547" t="s">
        <v>296</v>
      </c>
      <c r="B3" s="548"/>
      <c r="C3" s="552" t="str">
        <f>LongTest!C4</f>
        <v>충청남도 당진시 순성면 순성로 453-30번지</v>
      </c>
      <c r="D3" s="553"/>
      <c r="E3" s="553"/>
      <c r="F3" s="553"/>
      <c r="G3" s="553"/>
      <c r="H3" s="554"/>
      <c r="I3" s="424" t="str">
        <f>Input!I54</f>
        <v>W-1</v>
      </c>
      <c r="J3" s="425" t="s">
        <v>322</v>
      </c>
    </row>
    <row r="4" spans="1:10" ht="24.95" customHeight="1">
      <c r="A4" s="547" t="s">
        <v>297</v>
      </c>
      <c r="B4" s="548"/>
      <c r="C4" s="549">
        <f>LongTest!C10</f>
        <v>45454.472222222219</v>
      </c>
      <c r="D4" s="550"/>
      <c r="E4" s="550"/>
      <c r="F4" s="550"/>
      <c r="G4" s="550"/>
      <c r="H4" s="550"/>
      <c r="I4" s="550"/>
      <c r="J4" s="551"/>
    </row>
    <row r="5" spans="1:10" ht="24.95" customHeight="1">
      <c r="A5" s="547" t="s">
        <v>298</v>
      </c>
      <c r="B5" s="548"/>
      <c r="C5" s="549">
        <f>C103</f>
        <v>45456.722222222219</v>
      </c>
      <c r="D5" s="550"/>
      <c r="E5" s="550"/>
      <c r="F5" s="550"/>
      <c r="G5" s="550"/>
      <c r="H5" s="550"/>
      <c r="I5" s="550"/>
      <c r="J5" s="551"/>
    </row>
    <row r="6" spans="1:10" ht="24.95" customHeight="1">
      <c r="A6" s="547" t="s">
        <v>294</v>
      </c>
      <c r="B6" s="548"/>
      <c r="C6" s="555" t="str">
        <f>LongTest!C5</f>
        <v>주식회사 한일지하수</v>
      </c>
      <c r="D6" s="556"/>
      <c r="E6" s="556"/>
      <c r="F6" s="556"/>
      <c r="G6" s="556"/>
      <c r="H6" s="556"/>
      <c r="I6" s="556"/>
      <c r="J6" s="557"/>
    </row>
    <row r="7" spans="1:10" ht="24.95" customHeight="1">
      <c r="A7" s="547" t="s">
        <v>299</v>
      </c>
      <c r="B7" s="548"/>
      <c r="C7" s="531" t="s">
        <v>326</v>
      </c>
      <c r="D7" s="548"/>
      <c r="E7" s="426">
        <f>LongTest!C6</f>
        <v>5</v>
      </c>
      <c r="F7" s="426" t="s">
        <v>300</v>
      </c>
      <c r="G7" s="426" t="s">
        <v>328</v>
      </c>
      <c r="H7" s="531">
        <f>Input!I50</f>
        <v>50</v>
      </c>
      <c r="I7" s="548"/>
      <c r="J7" s="427" t="s">
        <v>301</v>
      </c>
    </row>
    <row r="8" spans="1:10" ht="24.95" customHeight="1">
      <c r="A8" s="547" t="s">
        <v>302</v>
      </c>
      <c r="B8" s="548"/>
      <c r="C8" s="531" t="s">
        <v>327</v>
      </c>
      <c r="D8" s="548"/>
      <c r="E8" s="426">
        <f>LongTest!D7</f>
        <v>200</v>
      </c>
      <c r="F8" s="426" t="s">
        <v>303</v>
      </c>
      <c r="G8" s="426" t="s">
        <v>304</v>
      </c>
      <c r="H8" s="531">
        <f>LongTest!G7</f>
        <v>100</v>
      </c>
      <c r="I8" s="548"/>
      <c r="J8" s="427" t="s">
        <v>301</v>
      </c>
    </row>
    <row r="9" spans="1:10" ht="24.95" customHeight="1">
      <c r="A9" s="547" t="s">
        <v>305</v>
      </c>
      <c r="B9" s="548"/>
      <c r="C9" s="531" t="s">
        <v>325</v>
      </c>
      <c r="D9" s="548"/>
      <c r="E9" s="426">
        <f>LongTest!D8</f>
        <v>9.4499999999999993</v>
      </c>
      <c r="F9" s="426" t="s">
        <v>301</v>
      </c>
      <c r="G9" s="426" t="s">
        <v>306</v>
      </c>
      <c r="H9" s="531">
        <f>LongTest!G8</f>
        <v>25.330000000000002</v>
      </c>
      <c r="I9" s="548"/>
      <c r="J9" s="427" t="s">
        <v>301</v>
      </c>
    </row>
    <row r="10" spans="1:10" ht="24.95" customHeight="1">
      <c r="A10" s="539" t="s">
        <v>307</v>
      </c>
      <c r="B10" s="440" t="s">
        <v>308</v>
      </c>
      <c r="C10" s="540" t="s">
        <v>190</v>
      </c>
      <c r="D10" s="540" t="s">
        <v>310</v>
      </c>
      <c r="E10" s="540"/>
      <c r="F10" s="440" t="s">
        <v>311</v>
      </c>
      <c r="G10" s="440" t="s">
        <v>313</v>
      </c>
      <c r="H10" s="440" t="s">
        <v>314</v>
      </c>
      <c r="I10" s="440" t="s">
        <v>315</v>
      </c>
      <c r="J10" s="441" t="s">
        <v>318</v>
      </c>
    </row>
    <row r="11" spans="1:10" ht="24.95" customHeight="1">
      <c r="A11" s="539"/>
      <c r="B11" s="440" t="s">
        <v>331</v>
      </c>
      <c r="C11" s="540"/>
      <c r="D11" s="540" t="s">
        <v>332</v>
      </c>
      <c r="E11" s="540"/>
      <c r="F11" s="440" t="s">
        <v>312</v>
      </c>
      <c r="G11" s="440" t="s">
        <v>312</v>
      </c>
      <c r="H11" s="440" t="s">
        <v>333</v>
      </c>
      <c r="I11" s="466" t="s">
        <v>334</v>
      </c>
      <c r="J11" s="442"/>
    </row>
    <row r="12" spans="1:10" ht="24.95" customHeight="1">
      <c r="A12" s="428">
        <v>1</v>
      </c>
      <c r="B12" s="426">
        <v>173</v>
      </c>
      <c r="C12" s="430">
        <f t="shared" ref="C12:C43" si="0">$C$4+D12/1440</f>
        <v>45454.472916666666</v>
      </c>
      <c r="D12" s="538">
        <v>1</v>
      </c>
      <c r="E12" s="538"/>
      <c r="F12" s="431">
        <f>LongTest!F10</f>
        <v>12.765655952211457</v>
      </c>
      <c r="G12" s="431">
        <f>LongTest!G10</f>
        <v>3.3156559522114577</v>
      </c>
      <c r="H12" s="334"/>
      <c r="I12" s="334"/>
      <c r="J12" s="449"/>
    </row>
    <row r="13" spans="1:10" ht="24.95" customHeight="1">
      <c r="A13" s="428"/>
      <c r="B13" s="426"/>
      <c r="C13" s="430">
        <f t="shared" si="0"/>
        <v>45454.473611111105</v>
      </c>
      <c r="D13" s="538">
        <v>2</v>
      </c>
      <c r="E13" s="538"/>
      <c r="F13" s="431">
        <f>LongTest!F11</f>
        <v>14.149879737904628</v>
      </c>
      <c r="G13" s="431">
        <f>LongTest!G11</f>
        <v>4.6998797379046291</v>
      </c>
      <c r="H13" s="334"/>
      <c r="I13" s="334"/>
      <c r="J13" s="449"/>
    </row>
    <row r="14" spans="1:10" ht="24.95" customHeight="1">
      <c r="A14" s="428"/>
      <c r="B14" s="426"/>
      <c r="C14" s="430">
        <f t="shared" si="0"/>
        <v>45454.474305555552</v>
      </c>
      <c r="D14" s="538">
        <v>3</v>
      </c>
      <c r="E14" s="538"/>
      <c r="F14" s="431">
        <f>LongTest!F12</f>
        <v>14.959598745141413</v>
      </c>
      <c r="G14" s="431">
        <f>LongTest!G12</f>
        <v>5.5095987451414139</v>
      </c>
      <c r="H14" s="334"/>
      <c r="I14" s="334"/>
      <c r="J14" s="449"/>
    </row>
    <row r="15" spans="1:10" ht="24.95" customHeight="1">
      <c r="A15" s="428"/>
      <c r="B15" s="426"/>
      <c r="C15" s="430">
        <f t="shared" si="0"/>
        <v>45454.474999999999</v>
      </c>
      <c r="D15" s="538">
        <v>4</v>
      </c>
      <c r="E15" s="538"/>
      <c r="F15" s="431">
        <f>LongTest!F13</f>
        <v>15.534103523597803</v>
      </c>
      <c r="G15" s="431">
        <f>LongTest!G13</f>
        <v>6.084103523597804</v>
      </c>
      <c r="H15" s="334"/>
      <c r="I15" s="334"/>
      <c r="J15" s="449"/>
    </row>
    <row r="16" spans="1:10" ht="24.95" customHeight="1">
      <c r="A16" s="428"/>
      <c r="B16" s="426"/>
      <c r="C16" s="430">
        <f t="shared" si="0"/>
        <v>45454.475694444438</v>
      </c>
      <c r="D16" s="538">
        <v>5</v>
      </c>
      <c r="E16" s="538"/>
      <c r="F16" s="431">
        <f>LongTest!F14</f>
        <v>15.97972404982378</v>
      </c>
      <c r="G16" s="431">
        <f>LongTest!G14</f>
        <v>6.5297240498237805</v>
      </c>
      <c r="H16" s="426">
        <f>'w1'!D14</f>
        <v>15.5</v>
      </c>
      <c r="I16" s="426">
        <f>'w1'!E14</f>
        <v>202</v>
      </c>
      <c r="J16" s="427">
        <f>'w1'!F14</f>
        <v>6.38</v>
      </c>
    </row>
    <row r="17" spans="1:10" ht="24.95" customHeight="1">
      <c r="A17" s="428"/>
      <c r="B17" s="426"/>
      <c r="C17" s="430">
        <f t="shared" si="0"/>
        <v>45454.479166666664</v>
      </c>
      <c r="D17" s="538">
        <v>10</v>
      </c>
      <c r="E17" s="538"/>
      <c r="F17" s="431">
        <f>LongTest!F15</f>
        <v>17.363947835516949</v>
      </c>
      <c r="G17" s="431">
        <f>LongTest!G15</f>
        <v>7.9139478355169501</v>
      </c>
      <c r="H17" s="426"/>
      <c r="I17" s="426"/>
      <c r="J17" s="427"/>
    </row>
    <row r="18" spans="1:10" ht="24.95" customHeight="1">
      <c r="A18" s="428"/>
      <c r="B18" s="426"/>
      <c r="C18" s="430">
        <f t="shared" si="0"/>
        <v>45454.482638888883</v>
      </c>
      <c r="D18" s="538">
        <v>15</v>
      </c>
      <c r="E18" s="538"/>
      <c r="F18" s="431">
        <f>LongTest!F16</f>
        <v>18.173666842753736</v>
      </c>
      <c r="G18" s="431">
        <f>LongTest!G16</f>
        <v>8.7236668427537367</v>
      </c>
      <c r="H18" s="426"/>
      <c r="I18" s="426"/>
      <c r="J18" s="427"/>
    </row>
    <row r="19" spans="1:10" ht="24.95" customHeight="1">
      <c r="A19" s="428"/>
      <c r="B19" s="426"/>
      <c r="C19" s="430">
        <f t="shared" si="0"/>
        <v>45454.486111111109</v>
      </c>
      <c r="D19" s="538">
        <v>20</v>
      </c>
      <c r="E19" s="538"/>
      <c r="F19" s="431">
        <f>LongTest!F17</f>
        <v>18.748171621210126</v>
      </c>
      <c r="G19" s="431">
        <f>LongTest!G17</f>
        <v>9.2981716212101269</v>
      </c>
      <c r="H19" s="426"/>
      <c r="I19" s="426"/>
      <c r="J19" s="427"/>
    </row>
    <row r="20" spans="1:10" ht="24.95" customHeight="1">
      <c r="A20" s="428"/>
      <c r="B20" s="426"/>
      <c r="C20" s="430">
        <f t="shared" si="0"/>
        <v>45454.489583333328</v>
      </c>
      <c r="D20" s="538">
        <v>25</v>
      </c>
      <c r="E20" s="538"/>
      <c r="F20" s="431">
        <f>LongTest!F18</f>
        <v>19.193792147436099</v>
      </c>
      <c r="G20" s="431">
        <f>LongTest!G18</f>
        <v>9.7437921474360998</v>
      </c>
      <c r="H20" s="426"/>
      <c r="I20" s="426"/>
      <c r="J20" s="427"/>
    </row>
    <row r="21" spans="1:10" ht="24.95" customHeight="1">
      <c r="A21" s="428"/>
      <c r="B21" s="426"/>
      <c r="C21" s="430">
        <f t="shared" si="0"/>
        <v>45454.493055555555</v>
      </c>
      <c r="D21" s="538">
        <v>30</v>
      </c>
      <c r="E21" s="538"/>
      <c r="F21" s="431">
        <f>LongTest!F19</f>
        <v>19.557890628446909</v>
      </c>
      <c r="G21" s="431">
        <f>LongTest!G19</f>
        <v>10.10789062844691</v>
      </c>
      <c r="H21" s="426">
        <f>'w1'!D15</f>
        <v>15.200000000000001</v>
      </c>
      <c r="I21" s="426">
        <f>'w1'!E15</f>
        <v>207</v>
      </c>
      <c r="J21" s="427">
        <f>'w1'!F15</f>
        <v>6.62</v>
      </c>
    </row>
    <row r="22" spans="1:10" ht="24.95" customHeight="1">
      <c r="A22" s="428"/>
      <c r="B22" s="426"/>
      <c r="C22" s="430">
        <f t="shared" si="0"/>
        <v>45454.496527777774</v>
      </c>
      <c r="D22" s="538">
        <v>35</v>
      </c>
      <c r="E22" s="538"/>
      <c r="F22" s="431">
        <f>LongTest!F20</f>
        <v>19.865731507818719</v>
      </c>
      <c r="G22" s="431">
        <f>LongTest!G20</f>
        <v>10.41573150781872</v>
      </c>
      <c r="H22" s="426"/>
      <c r="I22" s="426"/>
      <c r="J22" s="427"/>
    </row>
    <row r="23" spans="1:10" ht="24.95" customHeight="1">
      <c r="A23" s="428"/>
      <c r="B23" s="426"/>
      <c r="C23" s="430">
        <f t="shared" si="0"/>
        <v>45454.5</v>
      </c>
      <c r="D23" s="538">
        <v>40</v>
      </c>
      <c r="E23" s="538"/>
      <c r="F23" s="431">
        <f>LongTest!F21</f>
        <v>20.132395406903299</v>
      </c>
      <c r="G23" s="431">
        <f>LongTest!G21</f>
        <v>10.6823954069033</v>
      </c>
      <c r="H23" s="426"/>
      <c r="I23" s="426"/>
      <c r="J23" s="427"/>
    </row>
    <row r="24" spans="1:10" ht="24.95" customHeight="1">
      <c r="A24" s="428"/>
      <c r="B24" s="426"/>
      <c r="C24" s="430">
        <f t="shared" si="0"/>
        <v>45454.503472222219</v>
      </c>
      <c r="D24" s="538">
        <v>45</v>
      </c>
      <c r="E24" s="538"/>
      <c r="F24" s="431">
        <f>LongTest!F22</f>
        <v>20.367609635683696</v>
      </c>
      <c r="G24" s="431">
        <f>LongTest!G22</f>
        <v>10.917609635683696</v>
      </c>
      <c r="H24" s="426"/>
      <c r="I24" s="426"/>
      <c r="J24" s="427"/>
    </row>
    <row r="25" spans="1:10" ht="24.95" customHeight="1">
      <c r="A25" s="428"/>
      <c r="B25" s="426"/>
      <c r="C25" s="430">
        <f t="shared" si="0"/>
        <v>45454.506944444438</v>
      </c>
      <c r="D25" s="538">
        <v>50</v>
      </c>
      <c r="E25" s="538"/>
      <c r="F25" s="431">
        <f>LongTest!F23</f>
        <v>20.578015933129272</v>
      </c>
      <c r="G25" s="431">
        <f>LongTest!G23</f>
        <v>11.128015933129273</v>
      </c>
      <c r="H25" s="426"/>
      <c r="I25" s="426"/>
      <c r="J25" s="427"/>
    </row>
    <row r="26" spans="1:10" ht="24.95" customHeight="1">
      <c r="A26" s="428"/>
      <c r="B26" s="426"/>
      <c r="C26" s="430">
        <f t="shared" si="0"/>
        <v>45454.510416666664</v>
      </c>
      <c r="D26" s="538">
        <v>55</v>
      </c>
      <c r="E26" s="538"/>
      <c r="F26" s="431">
        <f>LongTest!F24</f>
        <v>20.768351581320562</v>
      </c>
      <c r="G26" s="431">
        <f>LongTest!G24</f>
        <v>11.318351581320563</v>
      </c>
      <c r="H26" s="426"/>
      <c r="I26" s="426"/>
      <c r="J26" s="427"/>
    </row>
    <row r="27" spans="1:10" ht="24.95" customHeight="1">
      <c r="A27" s="428"/>
      <c r="B27" s="426"/>
      <c r="C27" s="430">
        <f t="shared" si="0"/>
        <v>45454.513888888883</v>
      </c>
      <c r="D27" s="538">
        <v>60</v>
      </c>
      <c r="E27" s="538"/>
      <c r="F27" s="431">
        <f>LongTest!F25</f>
        <v>20.942114414140082</v>
      </c>
      <c r="G27" s="431">
        <f>LongTest!G25</f>
        <v>11.492114414140083</v>
      </c>
      <c r="H27" s="426">
        <f>'w1'!D16</f>
        <v>15.4</v>
      </c>
      <c r="I27" s="426">
        <f>'w1'!E16</f>
        <v>202</v>
      </c>
      <c r="J27" s="427">
        <f>'w1'!F16</f>
        <v>6.41</v>
      </c>
    </row>
    <row r="28" spans="1:10" ht="24.95" customHeight="1">
      <c r="A28" s="428"/>
      <c r="B28" s="426"/>
      <c r="C28" s="430">
        <f t="shared" si="0"/>
        <v>45454.524305555555</v>
      </c>
      <c r="D28" s="538">
        <v>75</v>
      </c>
      <c r="E28" s="538"/>
      <c r="F28" s="431">
        <f>LongTest!F26</f>
        <v>21.387734940366059</v>
      </c>
      <c r="G28" s="431">
        <f>LongTest!G26</f>
        <v>11.93773494036606</v>
      </c>
      <c r="H28" s="426"/>
      <c r="I28" s="426"/>
      <c r="J28" s="427"/>
    </row>
    <row r="29" spans="1:10" ht="24.95" customHeight="1">
      <c r="A29" s="428"/>
      <c r="B29" s="426"/>
      <c r="C29" s="430">
        <f t="shared" si="0"/>
        <v>45454.534722222219</v>
      </c>
      <c r="D29" s="538">
        <v>90</v>
      </c>
      <c r="E29" s="538"/>
      <c r="F29" s="431">
        <f>LongTest!F27</f>
        <v>21.751833421376869</v>
      </c>
      <c r="G29" s="431">
        <f>LongTest!G27</f>
        <v>12.30183342137687</v>
      </c>
      <c r="H29" s="426"/>
      <c r="I29" s="426"/>
      <c r="J29" s="427"/>
    </row>
    <row r="30" spans="1:10" ht="24.95" customHeight="1">
      <c r="A30" s="428"/>
      <c r="B30" s="426"/>
      <c r="C30" s="430">
        <f t="shared" si="0"/>
        <v>45454.545138888883</v>
      </c>
      <c r="D30" s="538">
        <v>105</v>
      </c>
      <c r="E30" s="538"/>
      <c r="F30" s="431">
        <f>LongTest!F28</f>
        <v>22.059674300748675</v>
      </c>
      <c r="G30" s="431">
        <f>LongTest!G28</f>
        <v>12.609674300748676</v>
      </c>
      <c r="H30" s="426"/>
      <c r="I30" s="426"/>
      <c r="J30" s="427"/>
    </row>
    <row r="31" spans="1:10" ht="24.95" customHeight="1">
      <c r="A31" s="428"/>
      <c r="B31" s="426"/>
      <c r="C31" s="430">
        <f t="shared" si="0"/>
        <v>45454.555555555555</v>
      </c>
      <c r="D31" s="538">
        <v>120</v>
      </c>
      <c r="E31" s="538"/>
      <c r="F31" s="431">
        <f>LongTest!F29</f>
        <v>22.326338199833256</v>
      </c>
      <c r="G31" s="431">
        <f>LongTest!G29</f>
        <v>12.876338199833256</v>
      </c>
      <c r="H31" s="426">
        <f>'w1'!D17</f>
        <v>15</v>
      </c>
      <c r="I31" s="426">
        <f>'w1'!E17</f>
        <v>201</v>
      </c>
      <c r="J31" s="427">
        <f>'w1'!F17</f>
        <v>6.37</v>
      </c>
    </row>
    <row r="32" spans="1:10" ht="24.95" customHeight="1">
      <c r="A32" s="428"/>
      <c r="B32" s="450"/>
      <c r="C32" s="430">
        <f t="shared" si="0"/>
        <v>45454.569444444438</v>
      </c>
      <c r="D32" s="538">
        <v>140</v>
      </c>
      <c r="E32" s="538"/>
      <c r="F32" s="431">
        <f>LongTest!F30</f>
        <v>22.634179079205065</v>
      </c>
      <c r="G32" s="431">
        <f>LongTest!G30</f>
        <v>13.184179079205066</v>
      </c>
      <c r="H32" s="426"/>
      <c r="I32" s="426"/>
      <c r="J32" s="427"/>
    </row>
    <row r="33" spans="1:10" ht="24.95" customHeight="1">
      <c r="A33" s="428"/>
      <c r="B33" s="426"/>
      <c r="C33" s="430">
        <f t="shared" si="0"/>
        <v>45454.583333333328</v>
      </c>
      <c r="D33" s="538">
        <v>160</v>
      </c>
      <c r="E33" s="538"/>
      <c r="F33" s="431">
        <f>LongTest!F31</f>
        <v>22.900842978289646</v>
      </c>
      <c r="G33" s="431">
        <f>LongTest!G31</f>
        <v>13.450842978289646</v>
      </c>
      <c r="H33" s="426"/>
      <c r="I33" s="426"/>
      <c r="J33" s="427"/>
    </row>
    <row r="34" spans="1:10" ht="24.95" customHeight="1">
      <c r="A34" s="428"/>
      <c r="B34" s="426"/>
      <c r="C34" s="430">
        <f t="shared" si="0"/>
        <v>45454.597222222219</v>
      </c>
      <c r="D34" s="538">
        <v>180</v>
      </c>
      <c r="E34" s="538"/>
      <c r="F34" s="431">
        <f>LongTest!F32</f>
        <v>23.136057207070042</v>
      </c>
      <c r="G34" s="431">
        <f>LongTest!G32</f>
        <v>13.686057207070043</v>
      </c>
      <c r="H34" s="426"/>
      <c r="I34" s="426"/>
      <c r="J34" s="427"/>
    </row>
    <row r="35" spans="1:10" ht="24.95" customHeight="1">
      <c r="A35" s="428"/>
      <c r="B35" s="426"/>
      <c r="C35" s="430">
        <f t="shared" si="0"/>
        <v>45454.638888888883</v>
      </c>
      <c r="D35" s="538">
        <v>240</v>
      </c>
      <c r="E35" s="538"/>
      <c r="F35" s="431">
        <f>LongTest!F33</f>
        <v>23.710561985526432</v>
      </c>
      <c r="G35" s="431">
        <f>LongTest!G33</f>
        <v>14.260561985526433</v>
      </c>
      <c r="H35" s="426">
        <f>'w1'!D18</f>
        <v>15</v>
      </c>
      <c r="I35" s="426">
        <f>'w1'!E18</f>
        <v>206</v>
      </c>
      <c r="J35" s="427">
        <f>'w1'!F18</f>
        <v>6.59</v>
      </c>
    </row>
    <row r="36" spans="1:10" ht="24.95" customHeight="1">
      <c r="A36" s="428"/>
      <c r="B36" s="426"/>
      <c r="C36" s="430">
        <f t="shared" si="0"/>
        <v>45454.680555555555</v>
      </c>
      <c r="D36" s="538">
        <v>300</v>
      </c>
      <c r="E36" s="538"/>
      <c r="F36" s="431">
        <f>LongTest!F34</f>
        <v>24.156182511752405</v>
      </c>
      <c r="G36" s="431">
        <f>LongTest!G34</f>
        <v>14.706182511752406</v>
      </c>
      <c r="H36" s="426"/>
      <c r="I36" s="426"/>
      <c r="J36" s="427"/>
    </row>
    <row r="37" spans="1:10" ht="24.95" customHeight="1">
      <c r="A37" s="451"/>
      <c r="B37" s="452"/>
      <c r="C37" s="430">
        <f t="shared" si="0"/>
        <v>45454.722222222219</v>
      </c>
      <c r="D37" s="538">
        <v>360</v>
      </c>
      <c r="E37" s="538"/>
      <c r="F37" s="431">
        <f>LongTest!F35</f>
        <v>24.520280992763215</v>
      </c>
      <c r="G37" s="431">
        <f>LongTest!G35</f>
        <v>15.070280992763216</v>
      </c>
      <c r="H37" s="426"/>
      <c r="I37" s="426"/>
      <c r="J37" s="427"/>
    </row>
    <row r="38" spans="1:10" ht="24.95" customHeight="1">
      <c r="A38" s="428"/>
      <c r="B38" s="426"/>
      <c r="C38" s="430">
        <f t="shared" si="0"/>
        <v>45454.763888888883</v>
      </c>
      <c r="D38" s="538">
        <v>420</v>
      </c>
      <c r="E38" s="538"/>
      <c r="F38" s="431">
        <f>LongTest!F36</f>
        <v>24.828121872135025</v>
      </c>
      <c r="G38" s="431">
        <f>LongTest!G36</f>
        <v>15.378121872135026</v>
      </c>
      <c r="H38" s="426"/>
      <c r="I38" s="426"/>
      <c r="J38" s="427"/>
    </row>
    <row r="39" spans="1:10" ht="24.95" customHeight="1">
      <c r="A39" s="428"/>
      <c r="B39" s="426"/>
      <c r="C39" s="430">
        <f t="shared" si="0"/>
        <v>45454.805555555555</v>
      </c>
      <c r="D39" s="538">
        <v>480</v>
      </c>
      <c r="E39" s="538"/>
      <c r="F39" s="431">
        <f>LongTest!F37</f>
        <v>25.094785771219605</v>
      </c>
      <c r="G39" s="431">
        <f>LongTest!G37</f>
        <v>15.644785771219606</v>
      </c>
      <c r="H39" s="426">
        <f>'w1'!D19</f>
        <v>15.600000000000001</v>
      </c>
      <c r="I39" s="426">
        <f>'w1'!E19</f>
        <v>203</v>
      </c>
      <c r="J39" s="427">
        <f>'w1'!F19</f>
        <v>6.39</v>
      </c>
    </row>
    <row r="40" spans="1:10" ht="24.95" customHeight="1">
      <c r="A40" s="428"/>
      <c r="B40" s="426"/>
      <c r="C40" s="430">
        <f t="shared" si="0"/>
        <v>45454.847222222219</v>
      </c>
      <c r="D40" s="538">
        <v>540</v>
      </c>
      <c r="E40" s="538"/>
      <c r="F40" s="431">
        <f>LongTest!F38</f>
        <v>25.330000000000002</v>
      </c>
      <c r="G40" s="431">
        <f>LongTest!G38</f>
        <v>15.880000000000003</v>
      </c>
      <c r="H40" s="426"/>
      <c r="I40" s="426"/>
      <c r="J40" s="427"/>
    </row>
    <row r="41" spans="1:10" ht="24.95" customHeight="1">
      <c r="A41" s="428"/>
      <c r="B41" s="426"/>
      <c r="C41" s="430">
        <f t="shared" si="0"/>
        <v>45454.888888888883</v>
      </c>
      <c r="D41" s="538">
        <v>600</v>
      </c>
      <c r="E41" s="538"/>
      <c r="F41" s="431">
        <f>LongTest!F39</f>
        <v>25.330000000000002</v>
      </c>
      <c r="G41" s="431">
        <f>LongTest!G39</f>
        <v>15.880000000000003</v>
      </c>
      <c r="H41" s="426"/>
      <c r="I41" s="426"/>
      <c r="J41" s="427"/>
    </row>
    <row r="42" spans="1:10" ht="24.95" customHeight="1">
      <c r="A42" s="451"/>
      <c r="B42" s="452"/>
      <c r="C42" s="430">
        <f t="shared" si="0"/>
        <v>45454.930555555555</v>
      </c>
      <c r="D42" s="538">
        <v>660</v>
      </c>
      <c r="E42" s="538"/>
      <c r="F42" s="431">
        <f>LongTest!F40</f>
        <v>25.330000000000002</v>
      </c>
      <c r="G42" s="431">
        <f>LongTest!G40</f>
        <v>15.880000000000003</v>
      </c>
      <c r="H42" s="426"/>
      <c r="I42" s="426"/>
      <c r="J42" s="427"/>
    </row>
    <row r="43" spans="1:10" ht="24.95" customHeight="1">
      <c r="A43" s="428"/>
      <c r="B43" s="426"/>
      <c r="C43" s="430">
        <f t="shared" si="0"/>
        <v>45454.972222222219</v>
      </c>
      <c r="D43" s="538">
        <v>720</v>
      </c>
      <c r="E43" s="538"/>
      <c r="F43" s="431">
        <f>LongTest!F41</f>
        <v>25.330000000000002</v>
      </c>
      <c r="G43" s="431">
        <f>LongTest!G41</f>
        <v>15.880000000000003</v>
      </c>
      <c r="H43" s="426"/>
      <c r="I43" s="426"/>
      <c r="J43" s="427"/>
    </row>
    <row r="44" spans="1:10" ht="24.95" customHeight="1">
      <c r="A44" s="428"/>
      <c r="B44" s="426"/>
      <c r="C44" s="430">
        <f t="shared" ref="C44:C75" si="1">$C$4+D44/1440</f>
        <v>45455.013888888883</v>
      </c>
      <c r="D44" s="538">
        <v>780</v>
      </c>
      <c r="E44" s="538"/>
      <c r="F44" s="426">
        <f>LongTest!F42</f>
        <v>25.330000000000002</v>
      </c>
      <c r="G44" s="426">
        <f>LongTest!G42</f>
        <v>15.880000000000003</v>
      </c>
      <c r="H44" s="426"/>
      <c r="I44" s="426"/>
      <c r="J44" s="427"/>
    </row>
    <row r="45" spans="1:10" ht="24.95" customHeight="1">
      <c r="A45" s="428"/>
      <c r="B45" s="426"/>
      <c r="C45" s="430">
        <f t="shared" si="1"/>
        <v>45455.055555555555</v>
      </c>
      <c r="D45" s="538">
        <v>840</v>
      </c>
      <c r="E45" s="538"/>
      <c r="F45" s="426">
        <f>LongTest!F43</f>
        <v>25.330000000000002</v>
      </c>
      <c r="G45" s="426">
        <f>LongTest!G43</f>
        <v>15.880000000000003</v>
      </c>
      <c r="H45" s="426"/>
      <c r="I45" s="426"/>
      <c r="J45" s="427"/>
    </row>
    <row r="46" spans="1:10" ht="24.95" customHeight="1">
      <c r="A46" s="428"/>
      <c r="B46" s="426"/>
      <c r="C46" s="430">
        <f t="shared" si="1"/>
        <v>45455.097222222219</v>
      </c>
      <c r="D46" s="538">
        <v>900</v>
      </c>
      <c r="E46" s="538"/>
      <c r="F46" s="426">
        <f>LongTest!F44</f>
        <v>25.330000000000002</v>
      </c>
      <c r="G46" s="426">
        <f>LongTest!G44</f>
        <v>15.880000000000003</v>
      </c>
      <c r="H46" s="426"/>
      <c r="I46" s="426"/>
      <c r="J46" s="427"/>
    </row>
    <row r="47" spans="1:10" ht="24.95" customHeight="1">
      <c r="A47" s="451"/>
      <c r="B47" s="452"/>
      <c r="C47" s="430">
        <f t="shared" si="1"/>
        <v>45455.138888888883</v>
      </c>
      <c r="D47" s="538">
        <v>960</v>
      </c>
      <c r="E47" s="538"/>
      <c r="F47" s="426">
        <f>LongTest!F45</f>
        <v>25.330000000000002</v>
      </c>
      <c r="G47" s="426">
        <f>LongTest!G45</f>
        <v>15.880000000000003</v>
      </c>
      <c r="H47" s="426"/>
      <c r="I47" s="426"/>
      <c r="J47" s="427"/>
    </row>
    <row r="48" spans="1:10" ht="24.95" customHeight="1">
      <c r="A48" s="428"/>
      <c r="B48" s="426"/>
      <c r="C48" s="430">
        <f t="shared" si="1"/>
        <v>45455.180555555555</v>
      </c>
      <c r="D48" s="538">
        <v>1020</v>
      </c>
      <c r="E48" s="538"/>
      <c r="F48" s="426">
        <f>LongTest!F46</f>
        <v>25.330000000000002</v>
      </c>
      <c r="G48" s="426">
        <f>LongTest!G46</f>
        <v>15.880000000000003</v>
      </c>
      <c r="H48" s="426"/>
      <c r="I48" s="426"/>
      <c r="J48" s="427"/>
    </row>
    <row r="49" spans="1:10" ht="24.95" customHeight="1">
      <c r="A49" s="428"/>
      <c r="B49" s="426"/>
      <c r="C49" s="430">
        <f t="shared" si="1"/>
        <v>45455.222222222219</v>
      </c>
      <c r="D49" s="538">
        <v>1080</v>
      </c>
      <c r="E49" s="538"/>
      <c r="F49" s="426">
        <f>LongTest!F47</f>
        <v>25.330000000000002</v>
      </c>
      <c r="G49" s="426">
        <f>LongTest!G47</f>
        <v>15.880000000000003</v>
      </c>
      <c r="H49" s="426"/>
      <c r="I49" s="426"/>
      <c r="J49" s="427"/>
    </row>
    <row r="50" spans="1:10" ht="24.95" customHeight="1">
      <c r="A50" s="428"/>
      <c r="B50" s="426"/>
      <c r="C50" s="430">
        <f t="shared" si="1"/>
        <v>45455.263888888883</v>
      </c>
      <c r="D50" s="538">
        <v>1140</v>
      </c>
      <c r="E50" s="538"/>
      <c r="F50" s="426">
        <f>LongTest!F48</f>
        <v>25.330000000000002</v>
      </c>
      <c r="G50" s="426">
        <f>LongTest!G48</f>
        <v>15.880000000000003</v>
      </c>
      <c r="H50" s="426"/>
      <c r="I50" s="426"/>
      <c r="J50" s="427"/>
    </row>
    <row r="51" spans="1:10" ht="24.95" customHeight="1">
      <c r="A51" s="428"/>
      <c r="B51" s="426"/>
      <c r="C51" s="430">
        <f t="shared" si="1"/>
        <v>45455.305555555555</v>
      </c>
      <c r="D51" s="538">
        <v>1200</v>
      </c>
      <c r="E51" s="538"/>
      <c r="F51" s="426">
        <f>LongTest!F49</f>
        <v>25.330000000000002</v>
      </c>
      <c r="G51" s="426">
        <f>LongTest!G49</f>
        <v>15.880000000000003</v>
      </c>
      <c r="H51" s="426"/>
      <c r="I51" s="426"/>
      <c r="J51" s="427"/>
    </row>
    <row r="52" spans="1:10" ht="24.95" customHeight="1">
      <c r="A52" s="428"/>
      <c r="B52" s="426"/>
      <c r="C52" s="430">
        <f t="shared" si="1"/>
        <v>45455.347222222219</v>
      </c>
      <c r="D52" s="538">
        <v>1260</v>
      </c>
      <c r="E52" s="538"/>
      <c r="F52" s="426">
        <f>LongTest!F50</f>
        <v>25.330000000000002</v>
      </c>
      <c r="G52" s="426">
        <f>LongTest!G50</f>
        <v>15.880000000000003</v>
      </c>
      <c r="H52" s="426"/>
      <c r="I52" s="426"/>
      <c r="J52" s="427"/>
    </row>
    <row r="53" spans="1:10" ht="24.95" customHeight="1">
      <c r="A53" s="428"/>
      <c r="B53" s="426"/>
      <c r="C53" s="430">
        <f t="shared" si="1"/>
        <v>45455.388888888883</v>
      </c>
      <c r="D53" s="538">
        <v>1320</v>
      </c>
      <c r="E53" s="538"/>
      <c r="F53" s="426">
        <f>LongTest!F51</f>
        <v>25.330000000000002</v>
      </c>
      <c r="G53" s="426">
        <f>LongTest!G51</f>
        <v>15.880000000000003</v>
      </c>
      <c r="H53" s="426"/>
      <c r="I53" s="426"/>
      <c r="J53" s="427"/>
    </row>
    <row r="54" spans="1:10" ht="24.95" customHeight="1">
      <c r="A54" s="428"/>
      <c r="B54" s="426"/>
      <c r="C54" s="430">
        <f t="shared" si="1"/>
        <v>45455.430555555555</v>
      </c>
      <c r="D54" s="538">
        <v>1380</v>
      </c>
      <c r="E54" s="538"/>
      <c r="F54" s="426">
        <f>LongTest!F52</f>
        <v>25.330000000000002</v>
      </c>
      <c r="G54" s="426">
        <f>LongTest!G52</f>
        <v>15.880000000000003</v>
      </c>
      <c r="H54" s="426"/>
      <c r="I54" s="426"/>
      <c r="J54" s="427"/>
    </row>
    <row r="55" spans="1:10" ht="24.95" customHeight="1">
      <c r="A55" s="428"/>
      <c r="B55" s="426"/>
      <c r="C55" s="430">
        <f t="shared" si="1"/>
        <v>45455.472222222219</v>
      </c>
      <c r="D55" s="538">
        <v>1440</v>
      </c>
      <c r="E55" s="538"/>
      <c r="F55" s="426">
        <f>LongTest!F53</f>
        <v>25.330000000000002</v>
      </c>
      <c r="G55" s="426">
        <f>LongTest!G53</f>
        <v>15.880000000000003</v>
      </c>
      <c r="H55" s="426">
        <f>'w1'!D20</f>
        <v>15.200000000000001</v>
      </c>
      <c r="I55" s="426">
        <f>'w1'!E20</f>
        <v>205</v>
      </c>
      <c r="J55" s="427">
        <f>'w1'!F20</f>
        <v>6.37</v>
      </c>
    </row>
    <row r="56" spans="1:10" ht="24.95" customHeight="1">
      <c r="A56" s="453"/>
      <c r="B56" s="430"/>
      <c r="C56" s="430">
        <f t="shared" si="1"/>
        <v>45455.513888888883</v>
      </c>
      <c r="D56" s="529">
        <v>1500</v>
      </c>
      <c r="E56" s="530"/>
      <c r="F56" s="426">
        <f>LongTest!F54</f>
        <v>25.330000000000002</v>
      </c>
      <c r="G56" s="426">
        <f>LongTest!G54</f>
        <v>15.880000000000003</v>
      </c>
      <c r="H56" s="426"/>
      <c r="I56" s="426"/>
      <c r="J56" s="427"/>
    </row>
    <row r="57" spans="1:10" ht="24.95" customHeight="1">
      <c r="A57" s="453"/>
      <c r="B57" s="430"/>
      <c r="C57" s="430">
        <f t="shared" si="1"/>
        <v>45455.555555555555</v>
      </c>
      <c r="D57" s="529">
        <v>1560</v>
      </c>
      <c r="E57" s="530"/>
      <c r="F57" s="426">
        <f>LongTest!F55</f>
        <v>25.330000000000002</v>
      </c>
      <c r="G57" s="426">
        <f>LongTest!G55</f>
        <v>15.880000000000003</v>
      </c>
      <c r="H57" s="426"/>
      <c r="I57" s="426"/>
      <c r="J57" s="427"/>
    </row>
    <row r="58" spans="1:10" ht="24.95" customHeight="1">
      <c r="A58" s="453"/>
      <c r="B58" s="430"/>
      <c r="C58" s="430">
        <f t="shared" si="1"/>
        <v>45455.597222222219</v>
      </c>
      <c r="D58" s="529">
        <v>1620</v>
      </c>
      <c r="E58" s="530"/>
      <c r="F58" s="426">
        <f>LongTest!F56</f>
        <v>25.330000000000002</v>
      </c>
      <c r="G58" s="426">
        <f>LongTest!G56</f>
        <v>15.880000000000003</v>
      </c>
      <c r="H58" s="426"/>
      <c r="I58" s="426"/>
      <c r="J58" s="427"/>
    </row>
    <row r="59" spans="1:10" ht="24.95" customHeight="1">
      <c r="A59" s="453"/>
      <c r="B59" s="430"/>
      <c r="C59" s="430">
        <f t="shared" si="1"/>
        <v>45455.638888888883</v>
      </c>
      <c r="D59" s="529">
        <v>1680</v>
      </c>
      <c r="E59" s="530"/>
      <c r="F59" s="426">
        <f>LongTest!F57</f>
        <v>25.330000000000002</v>
      </c>
      <c r="G59" s="426">
        <f>LongTest!G57</f>
        <v>15.880000000000003</v>
      </c>
      <c r="H59" s="426">
        <f>H55</f>
        <v>15.200000000000001</v>
      </c>
      <c r="I59" s="426">
        <f t="shared" ref="I59:J59" si="2">I55</f>
        <v>205</v>
      </c>
      <c r="J59" s="427">
        <f t="shared" si="2"/>
        <v>6.37</v>
      </c>
    </row>
    <row r="60" spans="1:10" ht="24.95" customHeight="1">
      <c r="A60" s="453"/>
      <c r="B60" s="430"/>
      <c r="C60" s="430">
        <f t="shared" si="1"/>
        <v>45455.680555555555</v>
      </c>
      <c r="D60" s="529">
        <v>1740</v>
      </c>
      <c r="E60" s="530"/>
      <c r="F60" s="426">
        <f>LongTest!F58</f>
        <v>25.330000000000002</v>
      </c>
      <c r="G60" s="426">
        <f>LongTest!G58</f>
        <v>15.880000000000003</v>
      </c>
      <c r="H60" s="426"/>
      <c r="I60" s="426"/>
      <c r="J60" s="427"/>
    </row>
    <row r="61" spans="1:10" ht="24.95" customHeight="1">
      <c r="A61" s="453"/>
      <c r="B61" s="430"/>
      <c r="C61" s="430">
        <f t="shared" si="1"/>
        <v>45455.722222222219</v>
      </c>
      <c r="D61" s="529">
        <v>1800</v>
      </c>
      <c r="E61" s="530"/>
      <c r="F61" s="426">
        <f>LongTest!F59</f>
        <v>25.330000000000002</v>
      </c>
      <c r="G61" s="426">
        <f>LongTest!G59</f>
        <v>15.880000000000003</v>
      </c>
      <c r="H61" s="426"/>
      <c r="I61" s="426"/>
      <c r="J61" s="427"/>
    </row>
    <row r="62" spans="1:10" ht="24.95" customHeight="1">
      <c r="A62" s="453"/>
      <c r="B62" s="430"/>
      <c r="C62" s="430">
        <f t="shared" si="1"/>
        <v>45455.763888888883</v>
      </c>
      <c r="D62" s="529">
        <v>1860</v>
      </c>
      <c r="E62" s="530"/>
      <c r="F62" s="426">
        <f>LongTest!F60</f>
        <v>25.330000000000002</v>
      </c>
      <c r="G62" s="426">
        <f>LongTest!G60</f>
        <v>15.880000000000003</v>
      </c>
      <c r="H62" s="426"/>
      <c r="I62" s="426"/>
      <c r="J62" s="427"/>
    </row>
    <row r="63" spans="1:10" ht="24.95" customHeight="1">
      <c r="A63" s="453"/>
      <c r="B63" s="430"/>
      <c r="C63" s="430">
        <f t="shared" si="1"/>
        <v>45455.805555555555</v>
      </c>
      <c r="D63" s="529">
        <v>1920</v>
      </c>
      <c r="E63" s="530"/>
      <c r="F63" s="426">
        <f>LongTest!F61</f>
        <v>25.330000000000002</v>
      </c>
      <c r="G63" s="426">
        <f>LongTest!G61</f>
        <v>15.880000000000003</v>
      </c>
      <c r="H63" s="426">
        <f>H59</f>
        <v>15.200000000000001</v>
      </c>
      <c r="I63" s="426">
        <f t="shared" ref="I63:J63" si="3">I59</f>
        <v>205</v>
      </c>
      <c r="J63" s="427">
        <f t="shared" si="3"/>
        <v>6.37</v>
      </c>
    </row>
    <row r="64" spans="1:10" ht="24.95" customHeight="1">
      <c r="A64" s="453"/>
      <c r="B64" s="430"/>
      <c r="C64" s="430">
        <f t="shared" si="1"/>
        <v>45455.847222222219</v>
      </c>
      <c r="D64" s="529">
        <v>1980</v>
      </c>
      <c r="E64" s="530"/>
      <c r="F64" s="426">
        <f>LongTest!F62</f>
        <v>25.330000000000002</v>
      </c>
      <c r="G64" s="426">
        <f>LongTest!G62</f>
        <v>15.880000000000003</v>
      </c>
      <c r="H64" s="426"/>
      <c r="I64" s="426"/>
      <c r="J64" s="427"/>
    </row>
    <row r="65" spans="1:10" ht="24.95" customHeight="1">
      <c r="A65" s="453"/>
      <c r="B65" s="430"/>
      <c r="C65" s="430">
        <f t="shared" si="1"/>
        <v>45455.888888888883</v>
      </c>
      <c r="D65" s="529">
        <v>2040</v>
      </c>
      <c r="E65" s="530"/>
      <c r="F65" s="426">
        <f>LongTest!F63</f>
        <v>25.330000000000002</v>
      </c>
      <c r="G65" s="426">
        <f>LongTest!G63</f>
        <v>15.880000000000003</v>
      </c>
      <c r="H65" s="426"/>
      <c r="I65" s="426"/>
      <c r="J65" s="427"/>
    </row>
    <row r="66" spans="1:10" ht="24.95" customHeight="1">
      <c r="A66" s="453"/>
      <c r="B66" s="430"/>
      <c r="C66" s="430">
        <f t="shared" si="1"/>
        <v>45455.930555555555</v>
      </c>
      <c r="D66" s="529">
        <v>2100</v>
      </c>
      <c r="E66" s="530"/>
      <c r="F66" s="426">
        <f>LongTest!F64</f>
        <v>25.330000000000002</v>
      </c>
      <c r="G66" s="426">
        <f>LongTest!G64</f>
        <v>15.880000000000003</v>
      </c>
      <c r="H66" s="426"/>
      <c r="I66" s="426"/>
      <c r="J66" s="427"/>
    </row>
    <row r="67" spans="1:10" ht="24.95" customHeight="1">
      <c r="A67" s="453"/>
      <c r="B67" s="430"/>
      <c r="C67" s="430">
        <f t="shared" si="1"/>
        <v>45455.972222222219</v>
      </c>
      <c r="D67" s="529">
        <v>2160</v>
      </c>
      <c r="E67" s="530"/>
      <c r="F67" s="426">
        <f>LongTest!F65</f>
        <v>25.330000000000002</v>
      </c>
      <c r="G67" s="426">
        <f>LongTest!G65</f>
        <v>15.880000000000003</v>
      </c>
      <c r="H67" s="426"/>
      <c r="I67" s="426"/>
      <c r="J67" s="427"/>
    </row>
    <row r="68" spans="1:10" ht="24.95" customHeight="1">
      <c r="A68" s="453"/>
      <c r="B68" s="430"/>
      <c r="C68" s="430">
        <f t="shared" si="1"/>
        <v>45456.013888888883</v>
      </c>
      <c r="D68" s="529">
        <v>2220</v>
      </c>
      <c r="E68" s="530"/>
      <c r="F68" s="426">
        <f>LongTest!F66</f>
        <v>25.330000000000002</v>
      </c>
      <c r="G68" s="426">
        <f>LongTest!G66</f>
        <v>15.880000000000003</v>
      </c>
      <c r="H68" s="426"/>
      <c r="I68" s="426"/>
      <c r="J68" s="427"/>
    </row>
    <row r="69" spans="1:10" ht="24.95" customHeight="1">
      <c r="A69" s="453"/>
      <c r="B69" s="430"/>
      <c r="C69" s="430">
        <f t="shared" si="1"/>
        <v>45456.055555555555</v>
      </c>
      <c r="D69" s="529">
        <v>2280</v>
      </c>
      <c r="E69" s="530"/>
      <c r="F69" s="426">
        <f>LongTest!F67</f>
        <v>25.330000000000002</v>
      </c>
      <c r="G69" s="426">
        <f>LongTest!G67</f>
        <v>15.880000000000003</v>
      </c>
      <c r="H69" s="426"/>
      <c r="I69" s="426"/>
      <c r="J69" s="427"/>
    </row>
    <row r="70" spans="1:10" ht="24.95" customHeight="1">
      <c r="A70" s="453"/>
      <c r="B70" s="430"/>
      <c r="C70" s="430">
        <f t="shared" si="1"/>
        <v>45456.097222222219</v>
      </c>
      <c r="D70" s="529">
        <v>2340</v>
      </c>
      <c r="E70" s="530"/>
      <c r="F70" s="426">
        <f>LongTest!F68</f>
        <v>25.330000000000002</v>
      </c>
      <c r="G70" s="426">
        <f>LongTest!G68</f>
        <v>15.880000000000003</v>
      </c>
      <c r="H70" s="426"/>
      <c r="I70" s="426"/>
      <c r="J70" s="427"/>
    </row>
    <row r="71" spans="1:10" ht="24.95" customHeight="1">
      <c r="A71" s="453"/>
      <c r="B71" s="430"/>
      <c r="C71" s="430">
        <f t="shared" si="1"/>
        <v>45456.138888888883</v>
      </c>
      <c r="D71" s="529">
        <v>2400</v>
      </c>
      <c r="E71" s="530"/>
      <c r="F71" s="426">
        <f>LongTest!F69</f>
        <v>25.330000000000002</v>
      </c>
      <c r="G71" s="426">
        <f>LongTest!G69</f>
        <v>15.880000000000003</v>
      </c>
      <c r="H71" s="426"/>
      <c r="I71" s="426"/>
      <c r="J71" s="427"/>
    </row>
    <row r="72" spans="1:10" ht="24.95" customHeight="1">
      <c r="A72" s="453"/>
      <c r="B72" s="430"/>
      <c r="C72" s="430">
        <f t="shared" si="1"/>
        <v>45456.180555555555</v>
      </c>
      <c r="D72" s="529">
        <v>2460</v>
      </c>
      <c r="E72" s="530"/>
      <c r="F72" s="426">
        <f>LongTest!F70</f>
        <v>25.330000000000002</v>
      </c>
      <c r="G72" s="426">
        <f>LongTest!G70</f>
        <v>15.880000000000003</v>
      </c>
      <c r="H72" s="426"/>
      <c r="I72" s="426"/>
      <c r="J72" s="427"/>
    </row>
    <row r="73" spans="1:10" ht="24.95" customHeight="1">
      <c r="A73" s="453"/>
      <c r="B73" s="430"/>
      <c r="C73" s="430">
        <f t="shared" si="1"/>
        <v>45456.222222222219</v>
      </c>
      <c r="D73" s="529">
        <v>2520</v>
      </c>
      <c r="E73" s="530"/>
      <c r="F73" s="426">
        <f>LongTest!F71</f>
        <v>25.330000000000002</v>
      </c>
      <c r="G73" s="426">
        <f>LongTest!G71</f>
        <v>15.880000000000003</v>
      </c>
      <c r="H73" s="426"/>
      <c r="I73" s="426"/>
      <c r="J73" s="427"/>
    </row>
    <row r="74" spans="1:10" ht="24.95" customHeight="1">
      <c r="A74" s="453"/>
      <c r="B74" s="430"/>
      <c r="C74" s="430">
        <f t="shared" si="1"/>
        <v>45456.263888888883</v>
      </c>
      <c r="D74" s="529">
        <v>2580</v>
      </c>
      <c r="E74" s="530"/>
      <c r="F74" s="426">
        <f>LongTest!F72</f>
        <v>25.330000000000002</v>
      </c>
      <c r="G74" s="426">
        <f>LongTest!G72</f>
        <v>15.880000000000003</v>
      </c>
      <c r="H74" s="426"/>
      <c r="I74" s="426"/>
      <c r="J74" s="427"/>
    </row>
    <row r="75" spans="1:10" ht="24.95" customHeight="1">
      <c r="A75" s="453"/>
      <c r="B75" s="430"/>
      <c r="C75" s="430">
        <f t="shared" si="1"/>
        <v>45456.305555555555</v>
      </c>
      <c r="D75" s="529">
        <v>2640</v>
      </c>
      <c r="E75" s="530"/>
      <c r="F75" s="426">
        <f>LongTest!F73</f>
        <v>25.330000000000002</v>
      </c>
      <c r="G75" s="426">
        <f>LongTest!G73</f>
        <v>15.880000000000003</v>
      </c>
      <c r="H75" s="426"/>
      <c r="I75" s="426"/>
      <c r="J75" s="427"/>
    </row>
    <row r="76" spans="1:10" ht="24.95" customHeight="1">
      <c r="A76" s="453"/>
      <c r="B76" s="430"/>
      <c r="C76" s="430">
        <f t="shared" ref="C76:C79" si="4">$C$4+D76/1440</f>
        <v>45456.347222222219</v>
      </c>
      <c r="D76" s="529">
        <v>2700</v>
      </c>
      <c r="E76" s="530"/>
      <c r="F76" s="426">
        <f>LongTest!F74</f>
        <v>25.330000000000002</v>
      </c>
      <c r="G76" s="426">
        <f>LongTest!G74</f>
        <v>15.880000000000003</v>
      </c>
      <c r="H76" s="426"/>
      <c r="I76" s="426"/>
      <c r="J76" s="427"/>
    </row>
    <row r="77" spans="1:10" ht="24.95" customHeight="1">
      <c r="A77" s="453"/>
      <c r="B77" s="430"/>
      <c r="C77" s="430">
        <f t="shared" si="4"/>
        <v>45456.388888888883</v>
      </c>
      <c r="D77" s="529">
        <v>2760</v>
      </c>
      <c r="E77" s="530"/>
      <c r="F77" s="426">
        <f>LongTest!F75</f>
        <v>25.330000000000002</v>
      </c>
      <c r="G77" s="426">
        <f>LongTest!G75</f>
        <v>15.880000000000003</v>
      </c>
      <c r="H77" s="426"/>
      <c r="I77" s="426"/>
      <c r="J77" s="427"/>
    </row>
    <row r="78" spans="1:10" ht="24.95" customHeight="1">
      <c r="A78" s="453"/>
      <c r="B78" s="430"/>
      <c r="C78" s="430">
        <f t="shared" si="4"/>
        <v>45456.430555555555</v>
      </c>
      <c r="D78" s="529">
        <v>2820</v>
      </c>
      <c r="E78" s="530"/>
      <c r="F78" s="426">
        <f>LongTest!F76</f>
        <v>25.330000000000002</v>
      </c>
      <c r="G78" s="426">
        <f>LongTest!G76</f>
        <v>15.880000000000003</v>
      </c>
      <c r="H78" s="426"/>
      <c r="I78" s="426"/>
      <c r="J78" s="427"/>
    </row>
    <row r="79" spans="1:10" ht="24.95" customHeight="1">
      <c r="A79" s="453"/>
      <c r="B79" s="430"/>
      <c r="C79" s="430">
        <f t="shared" si="4"/>
        <v>45456.472222222219</v>
      </c>
      <c r="D79" s="529">
        <v>2880</v>
      </c>
      <c r="E79" s="530"/>
      <c r="F79" s="426">
        <f>LongTest!F77</f>
        <v>25.330000000000002</v>
      </c>
      <c r="G79" s="426">
        <f>LongTest!G77</f>
        <v>15.880000000000003</v>
      </c>
      <c r="H79" s="426">
        <f>H63</f>
        <v>15.200000000000001</v>
      </c>
      <c r="I79" s="426">
        <f t="shared" ref="I79:J79" si="5">I63</f>
        <v>205</v>
      </c>
      <c r="J79" s="427">
        <f t="shared" si="5"/>
        <v>6.37</v>
      </c>
    </row>
    <row r="80" spans="1:10" ht="24.95" customHeight="1">
      <c r="A80" s="453"/>
      <c r="B80" s="426">
        <v>0</v>
      </c>
      <c r="C80" s="430">
        <f>$C$4+(D80+2880)/1440</f>
        <v>45456.472916666666</v>
      </c>
      <c r="D80" s="529">
        <v>1</v>
      </c>
      <c r="E80" s="530"/>
      <c r="F80" s="431">
        <f>LongTest!F78</f>
        <v>20.232796980712919</v>
      </c>
      <c r="G80" s="431">
        <f>LongTest!G78</f>
        <v>10.782796980712918</v>
      </c>
      <c r="H80" s="531" t="s">
        <v>191</v>
      </c>
      <c r="I80" s="532"/>
      <c r="J80" s="533"/>
    </row>
    <row r="81" spans="1:10" ht="24.95" customHeight="1">
      <c r="A81" s="453"/>
      <c r="B81" s="430"/>
      <c r="C81" s="430">
        <f t="shared" ref="C81:C103" si="6">$C$4+(D81+2880)/1440</f>
        <v>45456.473611111105</v>
      </c>
      <c r="D81" s="529">
        <v>2</v>
      </c>
      <c r="E81" s="530"/>
      <c r="F81" s="431">
        <f>LongTest!F79</f>
        <v>19.374437782107812</v>
      </c>
      <c r="G81" s="431">
        <f>LongTest!G79</f>
        <v>9.9244377821078142</v>
      </c>
      <c r="H81" s="529"/>
      <c r="I81" s="534"/>
      <c r="J81" s="535"/>
    </row>
    <row r="82" spans="1:10" ht="24.95" customHeight="1">
      <c r="A82" s="453"/>
      <c r="B82" s="430"/>
      <c r="C82" s="430">
        <f t="shared" si="6"/>
        <v>45456.474305555552</v>
      </c>
      <c r="D82" s="529">
        <v>3</v>
      </c>
      <c r="E82" s="530"/>
      <c r="F82" s="431">
        <f>LongTest!F80</f>
        <v>18.58440784122201</v>
      </c>
      <c r="G82" s="431">
        <f>LongTest!G80</f>
        <v>9.1344078412220089</v>
      </c>
      <c r="H82" s="529"/>
      <c r="I82" s="534"/>
      <c r="J82" s="535"/>
    </row>
    <row r="83" spans="1:10" ht="24.95" customHeight="1">
      <c r="A83" s="453"/>
      <c r="B83" s="430"/>
      <c r="C83" s="430">
        <f t="shared" si="6"/>
        <v>45456.474999999999</v>
      </c>
      <c r="D83" s="529">
        <v>4</v>
      </c>
      <c r="E83" s="530"/>
      <c r="F83" s="431">
        <f>LongTest!F81</f>
        <v>17.857267841429007</v>
      </c>
      <c r="G83" s="431">
        <f>LongTest!G81</f>
        <v>8.4072678414290092</v>
      </c>
      <c r="H83" s="529"/>
      <c r="I83" s="534"/>
      <c r="J83" s="535"/>
    </row>
    <row r="84" spans="1:10" ht="24.95" customHeight="1">
      <c r="A84" s="453"/>
      <c r="B84" s="430"/>
      <c r="C84" s="430">
        <f t="shared" si="6"/>
        <v>45456.475694444438</v>
      </c>
      <c r="D84" s="529">
        <v>5</v>
      </c>
      <c r="E84" s="530"/>
      <c r="F84" s="431">
        <f>LongTest!F82</f>
        <v>17.188011460201068</v>
      </c>
      <c r="G84" s="431">
        <f>LongTest!G82</f>
        <v>7.7380114602010686</v>
      </c>
      <c r="H84" s="529"/>
      <c r="I84" s="534"/>
      <c r="J84" s="535"/>
    </row>
    <row r="85" spans="1:10" ht="24.95" customHeight="1">
      <c r="A85" s="453"/>
      <c r="B85" s="430"/>
      <c r="C85" s="430">
        <f t="shared" si="6"/>
        <v>45456.479166666664</v>
      </c>
      <c r="D85" s="529">
        <v>10</v>
      </c>
      <c r="E85" s="530"/>
      <c r="F85" s="431">
        <f>LongTest!F83</f>
        <v>15.483270868618019</v>
      </c>
      <c r="G85" s="431">
        <f>LongTest!G83</f>
        <v>6.0332708686180201</v>
      </c>
      <c r="H85" s="529"/>
      <c r="I85" s="534"/>
      <c r="J85" s="535"/>
    </row>
    <row r="86" spans="1:10" ht="24.95" customHeight="1">
      <c r="A86" s="453"/>
      <c r="B86" s="430"/>
      <c r="C86" s="430">
        <f t="shared" si="6"/>
        <v>45456.482638888883</v>
      </c>
      <c r="D86" s="529">
        <v>15</v>
      </c>
      <c r="E86" s="530"/>
      <c r="F86" s="431">
        <f>LongTest!F84</f>
        <v>15.158681504824028</v>
      </c>
      <c r="G86" s="431">
        <f>LongTest!G84</f>
        <v>5.7086815048240274</v>
      </c>
      <c r="H86" s="529"/>
      <c r="I86" s="534"/>
      <c r="J86" s="535"/>
    </row>
    <row r="87" spans="1:10" ht="24.95" customHeight="1">
      <c r="A87" s="453"/>
      <c r="B87" s="430"/>
      <c r="C87" s="430">
        <f t="shared" si="6"/>
        <v>45456.486111111109</v>
      </c>
      <c r="D87" s="529">
        <v>20</v>
      </c>
      <c r="E87" s="530"/>
      <c r="F87" s="431">
        <f>LongTest!F85</f>
        <v>14.285983204912011</v>
      </c>
      <c r="G87" s="431">
        <f>LongTest!G85</f>
        <v>4.8359832049120115</v>
      </c>
      <c r="H87" s="529"/>
      <c r="I87" s="534"/>
      <c r="J87" s="535"/>
    </row>
    <row r="88" spans="1:10" ht="24.95" customHeight="1">
      <c r="A88" s="453"/>
      <c r="B88" s="430"/>
      <c r="C88" s="430">
        <f t="shared" si="6"/>
        <v>45456.489583333328</v>
      </c>
      <c r="D88" s="529">
        <v>25</v>
      </c>
      <c r="E88" s="530"/>
      <c r="F88" s="431">
        <f>LongTest!F86</f>
        <v>13.901017163572192</v>
      </c>
      <c r="G88" s="431">
        <f>LongTest!G86</f>
        <v>4.4510171635721916</v>
      </c>
      <c r="H88" s="529"/>
      <c r="I88" s="534"/>
      <c r="J88" s="535"/>
    </row>
    <row r="89" spans="1:10" ht="24.95" customHeight="1">
      <c r="A89" s="453"/>
      <c r="B89" s="430"/>
      <c r="C89" s="430">
        <f t="shared" si="6"/>
        <v>45456.493055555555</v>
      </c>
      <c r="D89" s="529">
        <v>30</v>
      </c>
      <c r="E89" s="530"/>
      <c r="F89" s="431">
        <f>LongTest!F87</f>
        <v>13.54669615276811</v>
      </c>
      <c r="G89" s="431">
        <f>LongTest!G87</f>
        <v>4.0966961527681098</v>
      </c>
      <c r="H89" s="529"/>
      <c r="I89" s="534"/>
      <c r="J89" s="535"/>
    </row>
    <row r="90" spans="1:10" ht="24.95" customHeight="1">
      <c r="A90" s="453"/>
      <c r="B90" s="430"/>
      <c r="C90" s="430">
        <f t="shared" si="6"/>
        <v>45456.496527777774</v>
      </c>
      <c r="D90" s="529">
        <v>35</v>
      </c>
      <c r="E90" s="530"/>
      <c r="F90" s="431">
        <f>LongTest!F88</f>
        <v>13.434971769034254</v>
      </c>
      <c r="G90" s="431">
        <f>LongTest!G88</f>
        <v>3.9849717690342552</v>
      </c>
      <c r="H90" s="529"/>
      <c r="I90" s="534"/>
      <c r="J90" s="535"/>
    </row>
    <row r="91" spans="1:10" ht="24.95" customHeight="1">
      <c r="A91" s="453"/>
      <c r="B91" s="430"/>
      <c r="C91" s="430">
        <f t="shared" si="6"/>
        <v>45456.5</v>
      </c>
      <c r="D91" s="529">
        <v>40</v>
      </c>
      <c r="E91" s="530"/>
      <c r="F91" s="431">
        <f>LongTest!F89</f>
        <v>13.326294313228475</v>
      </c>
      <c r="G91" s="431">
        <f>LongTest!G89</f>
        <v>3.8762943132284762</v>
      </c>
      <c r="H91" s="529"/>
      <c r="I91" s="534"/>
      <c r="J91" s="535"/>
    </row>
    <row r="92" spans="1:10" ht="24.95" customHeight="1">
      <c r="A92" s="453"/>
      <c r="B92" s="430"/>
      <c r="C92" s="430">
        <f t="shared" si="6"/>
        <v>45456.503472222219</v>
      </c>
      <c r="D92" s="529">
        <v>45</v>
      </c>
      <c r="E92" s="530"/>
      <c r="F92" s="431">
        <f>LongTest!F90</f>
        <v>13.220580690063166</v>
      </c>
      <c r="G92" s="431">
        <f>LongTest!G90</f>
        <v>3.7705806900631673</v>
      </c>
      <c r="H92" s="529"/>
      <c r="I92" s="534"/>
      <c r="J92" s="535"/>
    </row>
    <row r="93" spans="1:10" ht="24.95" customHeight="1">
      <c r="A93" s="453"/>
      <c r="B93" s="430"/>
      <c r="C93" s="430">
        <f t="shared" si="6"/>
        <v>45456.506944444438</v>
      </c>
      <c r="D93" s="529">
        <v>50</v>
      </c>
      <c r="E93" s="530"/>
      <c r="F93" s="431">
        <f>LongTest!F91</f>
        <v>13.11775007041093</v>
      </c>
      <c r="G93" s="431">
        <f>LongTest!G91</f>
        <v>3.6677500704109298</v>
      </c>
      <c r="H93" s="529"/>
      <c r="I93" s="534"/>
      <c r="J93" s="535"/>
    </row>
    <row r="94" spans="1:10" ht="24.95" customHeight="1">
      <c r="A94" s="453"/>
      <c r="B94" s="430"/>
      <c r="C94" s="430">
        <f t="shared" si="6"/>
        <v>45456.510416666664</v>
      </c>
      <c r="D94" s="529">
        <v>55</v>
      </c>
      <c r="E94" s="530"/>
      <c r="F94" s="431">
        <f>LongTest!F92</f>
        <v>13.017723829502245</v>
      </c>
      <c r="G94" s="431">
        <f>LongTest!G92</f>
        <v>3.5677238295022455</v>
      </c>
      <c r="H94" s="529"/>
      <c r="I94" s="534"/>
      <c r="J94" s="535"/>
    </row>
    <row r="95" spans="1:10" ht="24.95" customHeight="1">
      <c r="A95" s="453"/>
      <c r="B95" s="430"/>
      <c r="C95" s="430">
        <f t="shared" si="6"/>
        <v>45456.513888888883</v>
      </c>
      <c r="D95" s="529">
        <v>60</v>
      </c>
      <c r="E95" s="530"/>
      <c r="F95" s="431">
        <f>LongTest!F93</f>
        <v>12.920425486808609</v>
      </c>
      <c r="G95" s="431">
        <f>LongTest!G93</f>
        <v>3.4704254868086104</v>
      </c>
      <c r="H95" s="529"/>
      <c r="I95" s="534"/>
      <c r="J95" s="535"/>
    </row>
    <row r="96" spans="1:10" ht="24.95" customHeight="1">
      <c r="A96" s="453"/>
      <c r="B96" s="430"/>
      <c r="C96" s="430">
        <f t="shared" si="6"/>
        <v>45456.524305555555</v>
      </c>
      <c r="D96" s="529">
        <v>75</v>
      </c>
      <c r="E96" s="530"/>
      <c r="F96" s="431">
        <f>LongTest!F94</f>
        <v>12.825780647565169</v>
      </c>
      <c r="G96" s="431">
        <f>LongTest!G94</f>
        <v>3.3757806475651706</v>
      </c>
      <c r="H96" s="529"/>
      <c r="I96" s="534"/>
      <c r="J96" s="535"/>
    </row>
    <row r="97" spans="1:10" ht="24.95" customHeight="1">
      <c r="A97" s="453"/>
      <c r="B97" s="430"/>
      <c r="C97" s="430">
        <f t="shared" si="6"/>
        <v>45456.534722222219</v>
      </c>
      <c r="D97" s="529">
        <v>90</v>
      </c>
      <c r="E97" s="530"/>
      <c r="F97" s="431">
        <f>LongTest!F95</f>
        <v>12.733716945888137</v>
      </c>
      <c r="G97" s="431">
        <f>LongTest!G95</f>
        <v>3.2837169458881377</v>
      </c>
      <c r="H97" s="529"/>
      <c r="I97" s="534"/>
      <c r="J97" s="535"/>
    </row>
    <row r="98" spans="1:10" ht="24.95" customHeight="1">
      <c r="A98" s="453"/>
      <c r="B98" s="430"/>
      <c r="C98" s="430">
        <f t="shared" si="6"/>
        <v>45456.545138888883</v>
      </c>
      <c r="D98" s="529">
        <v>105</v>
      </c>
      <c r="E98" s="530"/>
      <c r="F98" s="431">
        <f>LongTest!F96</f>
        <v>12.644163989443497</v>
      </c>
      <c r="G98" s="431">
        <f>LongTest!G96</f>
        <v>3.194163989443497</v>
      </c>
      <c r="H98" s="529"/>
      <c r="I98" s="534"/>
      <c r="J98" s="535"/>
    </row>
    <row r="99" spans="1:10" ht="24.95" customHeight="1">
      <c r="A99" s="453"/>
      <c r="B99" s="430"/>
      <c r="C99" s="430">
        <f t="shared" si="6"/>
        <v>45456.555555555555</v>
      </c>
      <c r="D99" s="529">
        <v>120</v>
      </c>
      <c r="E99" s="530"/>
      <c r="F99" s="431">
        <f>LongTest!F97</f>
        <v>12.389894151376794</v>
      </c>
      <c r="G99" s="431">
        <f>LongTest!G97</f>
        <v>2.9398941513767949</v>
      </c>
      <c r="H99" s="529"/>
      <c r="I99" s="534"/>
      <c r="J99" s="535"/>
    </row>
    <row r="100" spans="1:10" ht="24.95" customHeight="1">
      <c r="A100" s="453"/>
      <c r="B100" s="430"/>
      <c r="C100" s="430">
        <f t="shared" si="6"/>
        <v>45456.597222222219</v>
      </c>
      <c r="D100" s="529">
        <v>180</v>
      </c>
      <c r="E100" s="530"/>
      <c r="F100" s="431">
        <f>LongTest!F98</f>
        <v>12.309717870281746</v>
      </c>
      <c r="G100" s="431">
        <f>LongTest!G98</f>
        <v>2.859717870281747</v>
      </c>
      <c r="H100" s="529"/>
      <c r="I100" s="534"/>
      <c r="J100" s="535"/>
    </row>
    <row r="101" spans="1:10" ht="24.95" customHeight="1">
      <c r="A101" s="453"/>
      <c r="B101" s="430"/>
      <c r="C101" s="430">
        <f t="shared" si="6"/>
        <v>45456.638888888883</v>
      </c>
      <c r="D101" s="529">
        <v>240</v>
      </c>
      <c r="E101" s="530"/>
      <c r="F101" s="431">
        <f>LongTest!F99</f>
        <v>11.872546708864883</v>
      </c>
      <c r="G101" s="431">
        <f>LongTest!G99</f>
        <v>2.4225467088648833</v>
      </c>
      <c r="H101" s="529"/>
      <c r="I101" s="534"/>
      <c r="J101" s="535"/>
    </row>
    <row r="102" spans="1:10" ht="24.95" customHeight="1">
      <c r="A102" s="453"/>
      <c r="B102" s="430"/>
      <c r="C102" s="430">
        <f t="shared" si="6"/>
        <v>45456.680555555555</v>
      </c>
      <c r="D102" s="529">
        <v>300</v>
      </c>
      <c r="E102" s="530"/>
      <c r="F102" s="431">
        <f>LongTest!F100</f>
        <v>11.502206833974805</v>
      </c>
      <c r="G102" s="431">
        <f>LongTest!G100</f>
        <v>2.0522068339748056</v>
      </c>
      <c r="H102" s="529"/>
      <c r="I102" s="534"/>
      <c r="J102" s="535"/>
    </row>
    <row r="103" spans="1:10" ht="24.95" customHeight="1" thickBot="1">
      <c r="A103" s="457"/>
      <c r="B103" s="458"/>
      <c r="C103" s="430">
        <f t="shared" si="6"/>
        <v>45456.722222222219</v>
      </c>
      <c r="D103" s="536">
        <v>360</v>
      </c>
      <c r="E103" s="537"/>
      <c r="F103" s="459">
        <f>LongTest!F101</f>
        <v>11.18848160450383</v>
      </c>
      <c r="G103" s="459">
        <f>LongTest!G101</f>
        <v>1.7384816045038303</v>
      </c>
      <c r="H103" s="536" t="s">
        <v>323</v>
      </c>
      <c r="I103" s="558"/>
      <c r="J103" s="559"/>
    </row>
    <row r="104" spans="1:10" ht="24.95" customHeight="1"/>
    <row r="105" spans="1:10" ht="24.95" customHeight="1"/>
    <row r="106" spans="1:10" ht="24.95" customHeight="1"/>
    <row r="107" spans="1:10" ht="24.95" customHeight="1"/>
    <row r="108" spans="1:10" ht="24.95" customHeight="1"/>
    <row r="109" spans="1:10" ht="21" customHeight="1"/>
    <row r="110" spans="1:10" ht="21" customHeight="1"/>
  </sheetData>
  <mergeCells count="140">
    <mergeCell ref="H91:J91"/>
    <mergeCell ref="H101:J101"/>
    <mergeCell ref="H102:J102"/>
    <mergeCell ref="H103:J103"/>
    <mergeCell ref="H92:J92"/>
    <mergeCell ref="H93:J93"/>
    <mergeCell ref="H94:J94"/>
    <mergeCell ref="H95:J95"/>
    <mergeCell ref="H96:J96"/>
    <mergeCell ref="H97:J97"/>
    <mergeCell ref="H98:J98"/>
    <mergeCell ref="H99:J99"/>
    <mergeCell ref="H100:J100"/>
    <mergeCell ref="A1:J1"/>
    <mergeCell ref="A2:B2"/>
    <mergeCell ref="C2:J2"/>
    <mergeCell ref="A3:B3"/>
    <mergeCell ref="A4:B4"/>
    <mergeCell ref="C4:J4"/>
    <mergeCell ref="C3:H3"/>
    <mergeCell ref="H81:J81"/>
    <mergeCell ref="H82:J82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D14:E14"/>
    <mergeCell ref="D15:E1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D26:E26"/>
    <mergeCell ref="D27:E27"/>
    <mergeCell ref="D28:E28"/>
    <mergeCell ref="D29:E29"/>
    <mergeCell ref="D30:E30"/>
    <mergeCell ref="D31:E31"/>
    <mergeCell ref="D20:E20"/>
    <mergeCell ref="D21:E21"/>
    <mergeCell ref="D22:E22"/>
    <mergeCell ref="D23:E23"/>
    <mergeCell ref="D24:E24"/>
    <mergeCell ref="D25:E25"/>
    <mergeCell ref="D38:E38"/>
    <mergeCell ref="D39:E39"/>
    <mergeCell ref="D40:E40"/>
    <mergeCell ref="D41:E41"/>
    <mergeCell ref="D42:E42"/>
    <mergeCell ref="D43:E43"/>
    <mergeCell ref="D32:E32"/>
    <mergeCell ref="D33:E33"/>
    <mergeCell ref="D34:E34"/>
    <mergeCell ref="D35:E35"/>
    <mergeCell ref="D36:E36"/>
    <mergeCell ref="D37:E37"/>
    <mergeCell ref="D50:E50"/>
    <mergeCell ref="D51:E51"/>
    <mergeCell ref="D52:E52"/>
    <mergeCell ref="D53:E53"/>
    <mergeCell ref="D54:E54"/>
    <mergeCell ref="D55:E55"/>
    <mergeCell ref="D44:E44"/>
    <mergeCell ref="D45:E45"/>
    <mergeCell ref="D46:E46"/>
    <mergeCell ref="D47:E47"/>
    <mergeCell ref="D48:E48"/>
    <mergeCell ref="D49:E49"/>
    <mergeCell ref="D62:E62"/>
    <mergeCell ref="D63:E63"/>
    <mergeCell ref="D64:E64"/>
    <mergeCell ref="D65:E65"/>
    <mergeCell ref="D66:E66"/>
    <mergeCell ref="D67:E67"/>
    <mergeCell ref="D56:E56"/>
    <mergeCell ref="D57:E57"/>
    <mergeCell ref="D58:E58"/>
    <mergeCell ref="D59:E59"/>
    <mergeCell ref="D60:E60"/>
    <mergeCell ref="D61:E61"/>
    <mergeCell ref="D74:E74"/>
    <mergeCell ref="D75:E75"/>
    <mergeCell ref="D76:E76"/>
    <mergeCell ref="D77:E77"/>
    <mergeCell ref="D78:E78"/>
    <mergeCell ref="D79:E79"/>
    <mergeCell ref="D68:E68"/>
    <mergeCell ref="D69:E69"/>
    <mergeCell ref="D70:E70"/>
    <mergeCell ref="D71:E71"/>
    <mergeCell ref="D72:E72"/>
    <mergeCell ref="D73:E73"/>
    <mergeCell ref="D103:E103"/>
    <mergeCell ref="D97:E97"/>
    <mergeCell ref="D98:E98"/>
    <mergeCell ref="D99:E99"/>
    <mergeCell ref="D100:E100"/>
    <mergeCell ref="D101:E101"/>
    <mergeCell ref="D102:E102"/>
    <mergeCell ref="D91:E91"/>
    <mergeCell ref="D92:E92"/>
    <mergeCell ref="D93:E93"/>
    <mergeCell ref="D94:E94"/>
    <mergeCell ref="D95:E95"/>
    <mergeCell ref="D96:E96"/>
    <mergeCell ref="D85:E85"/>
    <mergeCell ref="D86:E86"/>
    <mergeCell ref="D87:E87"/>
    <mergeCell ref="D88:E88"/>
    <mergeCell ref="D89:E89"/>
    <mergeCell ref="D90:E90"/>
    <mergeCell ref="D80:E80"/>
    <mergeCell ref="H80:J80"/>
    <mergeCell ref="D81:E81"/>
    <mergeCell ref="D82:E82"/>
    <mergeCell ref="D83:E83"/>
    <mergeCell ref="D84:E84"/>
    <mergeCell ref="H83:J83"/>
    <mergeCell ref="H84:J84"/>
    <mergeCell ref="H85:J85"/>
    <mergeCell ref="H86:J86"/>
    <mergeCell ref="H87:J87"/>
    <mergeCell ref="H88:J88"/>
    <mergeCell ref="H89:J89"/>
    <mergeCell ref="H90:J90"/>
  </mergeCells>
  <phoneticPr fontId="4" type="noConversion"/>
  <pageMargins left="0.70866141732283472" right="0.70866141732283472" top="0.74803149606299213" bottom="0.74803149606299213" header="0.31496062992125984" footer="0.31496062992125984"/>
  <pageSetup paperSize="9" scale="81" orientation="portrait" r:id="rId1"/>
  <rowBreaks count="3" manualBreakCount="3">
    <brk id="34" max="9" man="1"/>
    <brk id="57" max="16383" man="1"/>
    <brk id="79" max="16383" man="1"/>
  </rowBreak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FA0063-8A08-43BA-8DD4-A33E4F628E48}">
  <sheetPr codeName="Sheet8">
    <tabColor theme="5" tint="-0.249977111117893"/>
  </sheetPr>
  <dimension ref="A1:J88"/>
  <sheetViews>
    <sheetView showGridLines="0" view="pageBreakPreview" topLeftCell="A61" zoomScaleNormal="130" zoomScaleSheetLayoutView="100" workbookViewId="0">
      <selection activeCell="M19" sqref="M19"/>
    </sheetView>
  </sheetViews>
  <sheetFormatPr defaultRowHeight="16.5"/>
  <cols>
    <col min="1" max="2" width="9" style="448"/>
    <col min="3" max="3" width="11.375" style="448" customWidth="1"/>
    <col min="4" max="4" width="6.75" style="448" customWidth="1"/>
    <col min="5" max="5" width="7.25" style="448" customWidth="1"/>
    <col min="6" max="6" width="13.875" style="448" bestFit="1" customWidth="1"/>
    <col min="7" max="7" width="12.125" style="448" customWidth="1"/>
    <col min="8" max="16384" width="9" style="448"/>
  </cols>
  <sheetData>
    <row r="1" spans="1:10" ht="45" customHeight="1" thickBot="1">
      <c r="A1" s="541" t="s">
        <v>316</v>
      </c>
      <c r="B1" s="541"/>
      <c r="C1" s="541"/>
      <c r="D1" s="541"/>
      <c r="E1" s="541"/>
      <c r="F1" s="541"/>
      <c r="G1" s="541"/>
      <c r="H1" s="541"/>
      <c r="I1" s="541"/>
      <c r="J1" s="541"/>
    </row>
    <row r="2" spans="1:10" ht="24.95" customHeight="1">
      <c r="A2" s="542" t="s">
        <v>295</v>
      </c>
      <c r="B2" s="543"/>
      <c r="C2" s="544" t="str">
        <f>LongTest!C2</f>
        <v>순성중명아파트 이용허가 유효기간의 연장을 위한 지하수영향조사보고서</v>
      </c>
      <c r="D2" s="545"/>
      <c r="E2" s="545"/>
      <c r="F2" s="545"/>
      <c r="G2" s="545"/>
      <c r="H2" s="545"/>
      <c r="I2" s="545"/>
      <c r="J2" s="546"/>
    </row>
    <row r="3" spans="1:10" ht="24.95" customHeight="1">
      <c r="A3" s="547" t="s">
        <v>296</v>
      </c>
      <c r="B3" s="548"/>
      <c r="C3" s="552" t="str">
        <f>LongTest!C4</f>
        <v>충청남도 당진시 순성면 순성로 453-30번지</v>
      </c>
      <c r="D3" s="553"/>
      <c r="E3" s="553"/>
      <c r="F3" s="553"/>
      <c r="G3" s="553"/>
      <c r="H3" s="554"/>
      <c r="I3" s="424" t="str">
        <f>Input!I54</f>
        <v>W-1</v>
      </c>
      <c r="J3" s="425" t="s">
        <v>322</v>
      </c>
    </row>
    <row r="4" spans="1:10" ht="24.95" customHeight="1">
      <c r="A4" s="547" t="s">
        <v>297</v>
      </c>
      <c r="B4" s="548"/>
      <c r="C4" s="549">
        <f>LongTest!C10</f>
        <v>45454.472222222219</v>
      </c>
      <c r="D4" s="550"/>
      <c r="E4" s="550"/>
      <c r="F4" s="550"/>
      <c r="G4" s="550"/>
      <c r="H4" s="550"/>
      <c r="I4" s="550"/>
      <c r="J4" s="551"/>
    </row>
    <row r="5" spans="1:10" ht="24.95" customHeight="1">
      <c r="A5" s="547" t="s">
        <v>298</v>
      </c>
      <c r="B5" s="548"/>
      <c r="C5" s="549">
        <f>C77</f>
        <v>45455.555555555555</v>
      </c>
      <c r="D5" s="550"/>
      <c r="E5" s="550"/>
      <c r="F5" s="550"/>
      <c r="G5" s="550"/>
      <c r="H5" s="550"/>
      <c r="I5" s="550"/>
      <c r="J5" s="551"/>
    </row>
    <row r="6" spans="1:10" ht="24.95" customHeight="1">
      <c r="A6" s="547" t="s">
        <v>294</v>
      </c>
      <c r="B6" s="548"/>
      <c r="C6" s="555" t="str">
        <f>LongTest!C5</f>
        <v>주식회사 한일지하수</v>
      </c>
      <c r="D6" s="556"/>
      <c r="E6" s="556"/>
      <c r="F6" s="556"/>
      <c r="G6" s="556"/>
      <c r="H6" s="556"/>
      <c r="I6" s="556"/>
      <c r="J6" s="557"/>
    </row>
    <row r="7" spans="1:10" ht="24.95" customHeight="1">
      <c r="A7" s="547" t="s">
        <v>299</v>
      </c>
      <c r="B7" s="548"/>
      <c r="C7" s="531" t="s">
        <v>326</v>
      </c>
      <c r="D7" s="548"/>
      <c r="E7" s="426">
        <f>LongTest!C6</f>
        <v>5</v>
      </c>
      <c r="F7" s="426" t="s">
        <v>300</v>
      </c>
      <c r="G7" s="426" t="s">
        <v>328</v>
      </c>
      <c r="H7" s="531">
        <f>Input!I50</f>
        <v>50</v>
      </c>
      <c r="I7" s="548"/>
      <c r="J7" s="427" t="s">
        <v>301</v>
      </c>
    </row>
    <row r="8" spans="1:10" ht="24.95" customHeight="1">
      <c r="A8" s="547" t="s">
        <v>302</v>
      </c>
      <c r="B8" s="548"/>
      <c r="C8" s="531" t="s">
        <v>327</v>
      </c>
      <c r="D8" s="548"/>
      <c r="E8" s="426">
        <f>LongTest!D7</f>
        <v>200</v>
      </c>
      <c r="F8" s="426" t="s">
        <v>303</v>
      </c>
      <c r="G8" s="426" t="s">
        <v>304</v>
      </c>
      <c r="H8" s="531">
        <f>LongTest!G7</f>
        <v>100</v>
      </c>
      <c r="I8" s="548"/>
      <c r="J8" s="427" t="s">
        <v>301</v>
      </c>
    </row>
    <row r="9" spans="1:10" ht="24.95" customHeight="1">
      <c r="A9" s="547" t="s">
        <v>305</v>
      </c>
      <c r="B9" s="548"/>
      <c r="C9" s="531" t="s">
        <v>325</v>
      </c>
      <c r="D9" s="548"/>
      <c r="E9" s="426">
        <f>LongTest!D8</f>
        <v>9.4499999999999993</v>
      </c>
      <c r="F9" s="426" t="s">
        <v>301</v>
      </c>
      <c r="G9" s="426" t="s">
        <v>306</v>
      </c>
      <c r="H9" s="531">
        <f>LongTest!G8</f>
        <v>25.330000000000002</v>
      </c>
      <c r="I9" s="548"/>
      <c r="J9" s="427" t="s">
        <v>301</v>
      </c>
    </row>
    <row r="10" spans="1:10" ht="24.95" customHeight="1">
      <c r="A10" s="539" t="s">
        <v>307</v>
      </c>
      <c r="B10" s="440" t="s">
        <v>308</v>
      </c>
      <c r="C10" s="540" t="s">
        <v>190</v>
      </c>
      <c r="D10" s="540" t="s">
        <v>310</v>
      </c>
      <c r="E10" s="540"/>
      <c r="F10" s="440" t="s">
        <v>311</v>
      </c>
      <c r="G10" s="440" t="s">
        <v>313</v>
      </c>
      <c r="H10" s="440" t="s">
        <v>314</v>
      </c>
      <c r="I10" s="440" t="s">
        <v>315</v>
      </c>
      <c r="J10" s="441" t="s">
        <v>318</v>
      </c>
    </row>
    <row r="11" spans="1:10" ht="24.95" customHeight="1">
      <c r="A11" s="539"/>
      <c r="B11" s="440" t="s">
        <v>331</v>
      </c>
      <c r="C11" s="540"/>
      <c r="D11" s="540" t="s">
        <v>332</v>
      </c>
      <c r="E11" s="540"/>
      <c r="F11" s="440" t="s">
        <v>312</v>
      </c>
      <c r="G11" s="440" t="s">
        <v>312</v>
      </c>
      <c r="H11" s="440" t="s">
        <v>333</v>
      </c>
      <c r="I11" s="466" t="s">
        <v>334</v>
      </c>
      <c r="J11" s="442"/>
    </row>
    <row r="12" spans="1:10" ht="24.95" customHeight="1">
      <c r="A12" s="428">
        <v>1</v>
      </c>
      <c r="B12" s="426">
        <v>173</v>
      </c>
      <c r="C12" s="430">
        <f t="shared" ref="C12:C55" si="0">$C$4+D12/1440</f>
        <v>45454.472916666666</v>
      </c>
      <c r="D12" s="538">
        <v>1</v>
      </c>
      <c r="E12" s="538"/>
      <c r="F12" s="431">
        <f>LongTest!F10</f>
        <v>12.765655952211457</v>
      </c>
      <c r="G12" s="431">
        <f>LongTest!G10</f>
        <v>3.3156559522114577</v>
      </c>
      <c r="H12" s="334"/>
      <c r="I12" s="334"/>
      <c r="J12" s="449"/>
    </row>
    <row r="13" spans="1:10" ht="24.95" customHeight="1">
      <c r="A13" s="428"/>
      <c r="B13" s="426"/>
      <c r="C13" s="430">
        <f t="shared" si="0"/>
        <v>45454.473611111105</v>
      </c>
      <c r="D13" s="538">
        <v>2</v>
      </c>
      <c r="E13" s="538"/>
      <c r="F13" s="431">
        <f>LongTest!F11</f>
        <v>14.149879737904628</v>
      </c>
      <c r="G13" s="431">
        <f>LongTest!G11</f>
        <v>4.6998797379046291</v>
      </c>
      <c r="H13" s="334"/>
      <c r="I13" s="334"/>
      <c r="J13" s="449"/>
    </row>
    <row r="14" spans="1:10" ht="24.95" customHeight="1">
      <c r="A14" s="428"/>
      <c r="B14" s="426"/>
      <c r="C14" s="430">
        <f t="shared" si="0"/>
        <v>45454.474305555552</v>
      </c>
      <c r="D14" s="538">
        <v>3</v>
      </c>
      <c r="E14" s="538"/>
      <c r="F14" s="431">
        <f>LongTest!F12</f>
        <v>14.959598745141413</v>
      </c>
      <c r="G14" s="431">
        <f>LongTest!G12</f>
        <v>5.5095987451414139</v>
      </c>
      <c r="H14" s="334"/>
      <c r="I14" s="334"/>
      <c r="J14" s="449"/>
    </row>
    <row r="15" spans="1:10" ht="24.95" customHeight="1">
      <c r="A15" s="428"/>
      <c r="B15" s="426"/>
      <c r="C15" s="430">
        <f t="shared" si="0"/>
        <v>45454.474999999999</v>
      </c>
      <c r="D15" s="538">
        <v>4</v>
      </c>
      <c r="E15" s="538"/>
      <c r="F15" s="431">
        <f>LongTest!F13</f>
        <v>15.534103523597803</v>
      </c>
      <c r="G15" s="431">
        <f>LongTest!G13</f>
        <v>6.084103523597804</v>
      </c>
      <c r="H15" s="334"/>
      <c r="I15" s="334"/>
      <c r="J15" s="449"/>
    </row>
    <row r="16" spans="1:10" ht="24.95" customHeight="1">
      <c r="A16" s="428"/>
      <c r="B16" s="426"/>
      <c r="C16" s="430">
        <f t="shared" si="0"/>
        <v>45454.475694444438</v>
      </c>
      <c r="D16" s="538">
        <v>5</v>
      </c>
      <c r="E16" s="538"/>
      <c r="F16" s="431">
        <f>LongTest!F14</f>
        <v>15.97972404982378</v>
      </c>
      <c r="G16" s="431">
        <f>LongTest!G14</f>
        <v>6.5297240498237805</v>
      </c>
      <c r="H16" s="426">
        <f>'w1'!D14</f>
        <v>15.5</v>
      </c>
      <c r="I16" s="426">
        <f>'w1'!E14</f>
        <v>202</v>
      </c>
      <c r="J16" s="427">
        <f>'w1'!F14</f>
        <v>6.38</v>
      </c>
    </row>
    <row r="17" spans="1:10" ht="24.95" customHeight="1">
      <c r="A17" s="428"/>
      <c r="B17" s="426"/>
      <c r="C17" s="430">
        <f t="shared" si="0"/>
        <v>45454.479166666664</v>
      </c>
      <c r="D17" s="538">
        <v>10</v>
      </c>
      <c r="E17" s="538"/>
      <c r="F17" s="431">
        <f>LongTest!F15</f>
        <v>17.363947835516949</v>
      </c>
      <c r="G17" s="431">
        <f>LongTest!G15</f>
        <v>7.9139478355169501</v>
      </c>
      <c r="H17" s="426"/>
      <c r="I17" s="426"/>
      <c r="J17" s="427"/>
    </row>
    <row r="18" spans="1:10" ht="24.95" customHeight="1">
      <c r="A18" s="428"/>
      <c r="B18" s="426"/>
      <c r="C18" s="430">
        <f t="shared" si="0"/>
        <v>45454.482638888883</v>
      </c>
      <c r="D18" s="538">
        <v>15</v>
      </c>
      <c r="E18" s="538"/>
      <c r="F18" s="431">
        <f>LongTest!F16</f>
        <v>18.173666842753736</v>
      </c>
      <c r="G18" s="431">
        <f>LongTest!G16</f>
        <v>8.7236668427537367</v>
      </c>
      <c r="H18" s="426"/>
      <c r="I18" s="426"/>
      <c r="J18" s="427"/>
    </row>
    <row r="19" spans="1:10" ht="24.95" customHeight="1">
      <c r="A19" s="428"/>
      <c r="B19" s="426"/>
      <c r="C19" s="430">
        <f t="shared" si="0"/>
        <v>45454.486111111109</v>
      </c>
      <c r="D19" s="538">
        <v>20</v>
      </c>
      <c r="E19" s="538"/>
      <c r="F19" s="431">
        <f>LongTest!F17</f>
        <v>18.748171621210126</v>
      </c>
      <c r="G19" s="431">
        <f>LongTest!G17</f>
        <v>9.2981716212101269</v>
      </c>
      <c r="H19" s="426"/>
      <c r="I19" s="426"/>
      <c r="J19" s="427"/>
    </row>
    <row r="20" spans="1:10" ht="24.95" customHeight="1">
      <c r="A20" s="428"/>
      <c r="B20" s="426"/>
      <c r="C20" s="430">
        <f t="shared" si="0"/>
        <v>45454.489583333328</v>
      </c>
      <c r="D20" s="538">
        <v>25</v>
      </c>
      <c r="E20" s="538"/>
      <c r="F20" s="431">
        <f>LongTest!F18</f>
        <v>19.193792147436099</v>
      </c>
      <c r="G20" s="431">
        <f>LongTest!G18</f>
        <v>9.7437921474360998</v>
      </c>
      <c r="H20" s="426"/>
      <c r="I20" s="426"/>
      <c r="J20" s="427"/>
    </row>
    <row r="21" spans="1:10" ht="24.95" customHeight="1">
      <c r="A21" s="428"/>
      <c r="B21" s="426"/>
      <c r="C21" s="430">
        <f t="shared" si="0"/>
        <v>45454.493055555555</v>
      </c>
      <c r="D21" s="538">
        <v>30</v>
      </c>
      <c r="E21" s="538"/>
      <c r="F21" s="431">
        <f>LongTest!F19</f>
        <v>19.557890628446909</v>
      </c>
      <c r="G21" s="431">
        <f>LongTest!G19</f>
        <v>10.10789062844691</v>
      </c>
      <c r="H21" s="426">
        <f>'w1'!D15</f>
        <v>15.200000000000001</v>
      </c>
      <c r="I21" s="426">
        <f>'w1'!E15</f>
        <v>207</v>
      </c>
      <c r="J21" s="427">
        <f>'w1'!F15</f>
        <v>6.62</v>
      </c>
    </row>
    <row r="22" spans="1:10" ht="24.95" customHeight="1">
      <c r="A22" s="428"/>
      <c r="B22" s="426"/>
      <c r="C22" s="430">
        <f t="shared" si="0"/>
        <v>45454.496527777774</v>
      </c>
      <c r="D22" s="538">
        <v>35</v>
      </c>
      <c r="E22" s="538"/>
      <c r="F22" s="431">
        <f>LongTest!F20</f>
        <v>19.865731507818719</v>
      </c>
      <c r="G22" s="431">
        <f>LongTest!G20</f>
        <v>10.41573150781872</v>
      </c>
      <c r="H22" s="426"/>
      <c r="I22" s="426"/>
      <c r="J22" s="427"/>
    </row>
    <row r="23" spans="1:10" ht="24.95" customHeight="1">
      <c r="A23" s="428"/>
      <c r="B23" s="426"/>
      <c r="C23" s="430">
        <f t="shared" si="0"/>
        <v>45454.5</v>
      </c>
      <c r="D23" s="538">
        <v>40</v>
      </c>
      <c r="E23" s="538"/>
      <c r="F23" s="431">
        <f>LongTest!F21</f>
        <v>20.132395406903299</v>
      </c>
      <c r="G23" s="431">
        <f>LongTest!G21</f>
        <v>10.6823954069033</v>
      </c>
      <c r="H23" s="426"/>
      <c r="I23" s="426"/>
      <c r="J23" s="427"/>
    </row>
    <row r="24" spans="1:10" ht="24.95" customHeight="1">
      <c r="A24" s="428"/>
      <c r="B24" s="426"/>
      <c r="C24" s="430">
        <f t="shared" si="0"/>
        <v>45454.503472222219</v>
      </c>
      <c r="D24" s="538">
        <v>45</v>
      </c>
      <c r="E24" s="538"/>
      <c r="F24" s="431">
        <f>LongTest!F22</f>
        <v>20.367609635683696</v>
      </c>
      <c r="G24" s="431">
        <f>LongTest!G22</f>
        <v>10.917609635683696</v>
      </c>
      <c r="H24" s="426"/>
      <c r="I24" s="426"/>
      <c r="J24" s="427"/>
    </row>
    <row r="25" spans="1:10" ht="24.95" customHeight="1">
      <c r="A25" s="428"/>
      <c r="B25" s="426"/>
      <c r="C25" s="430">
        <f t="shared" si="0"/>
        <v>45454.506944444438</v>
      </c>
      <c r="D25" s="538">
        <v>50</v>
      </c>
      <c r="E25" s="538"/>
      <c r="F25" s="431">
        <f>LongTest!F23</f>
        <v>20.578015933129272</v>
      </c>
      <c r="G25" s="431">
        <f>LongTest!G23</f>
        <v>11.128015933129273</v>
      </c>
      <c r="H25" s="426"/>
      <c r="I25" s="426"/>
      <c r="J25" s="427"/>
    </row>
    <row r="26" spans="1:10" ht="24.95" customHeight="1">
      <c r="A26" s="428"/>
      <c r="B26" s="426"/>
      <c r="C26" s="430">
        <f t="shared" si="0"/>
        <v>45454.510416666664</v>
      </c>
      <c r="D26" s="538">
        <v>55</v>
      </c>
      <c r="E26" s="538"/>
      <c r="F26" s="431">
        <f>LongTest!F24</f>
        <v>20.768351581320562</v>
      </c>
      <c r="G26" s="431">
        <f>LongTest!G24</f>
        <v>11.318351581320563</v>
      </c>
      <c r="H26" s="426"/>
      <c r="I26" s="426"/>
      <c r="J26" s="427"/>
    </row>
    <row r="27" spans="1:10" ht="24.95" customHeight="1">
      <c r="A27" s="428"/>
      <c r="B27" s="426"/>
      <c r="C27" s="430">
        <f t="shared" si="0"/>
        <v>45454.513888888883</v>
      </c>
      <c r="D27" s="538">
        <v>60</v>
      </c>
      <c r="E27" s="538"/>
      <c r="F27" s="431">
        <f>LongTest!F25</f>
        <v>20.942114414140082</v>
      </c>
      <c r="G27" s="431">
        <f>LongTest!G25</f>
        <v>11.492114414140083</v>
      </c>
      <c r="H27" s="426">
        <f>'w1'!D16</f>
        <v>15.4</v>
      </c>
      <c r="I27" s="426">
        <f>'w1'!E16</f>
        <v>202</v>
      </c>
      <c r="J27" s="427">
        <f>'w1'!F16</f>
        <v>6.41</v>
      </c>
    </row>
    <row r="28" spans="1:10" ht="24.95" customHeight="1">
      <c r="A28" s="428"/>
      <c r="B28" s="426"/>
      <c r="C28" s="430">
        <f t="shared" si="0"/>
        <v>45454.524305555555</v>
      </c>
      <c r="D28" s="538">
        <v>75</v>
      </c>
      <c r="E28" s="538"/>
      <c r="F28" s="431">
        <f>LongTest!F26</f>
        <v>21.387734940366059</v>
      </c>
      <c r="G28" s="431">
        <f>LongTest!G26</f>
        <v>11.93773494036606</v>
      </c>
      <c r="H28" s="426"/>
      <c r="I28" s="426"/>
      <c r="J28" s="427"/>
    </row>
    <row r="29" spans="1:10" ht="24.95" customHeight="1">
      <c r="A29" s="428"/>
      <c r="B29" s="426"/>
      <c r="C29" s="430">
        <f t="shared" si="0"/>
        <v>45454.534722222219</v>
      </c>
      <c r="D29" s="538">
        <v>90</v>
      </c>
      <c r="E29" s="538"/>
      <c r="F29" s="431">
        <f>LongTest!F27</f>
        <v>21.751833421376869</v>
      </c>
      <c r="G29" s="431">
        <f>LongTest!G27</f>
        <v>12.30183342137687</v>
      </c>
      <c r="H29" s="426"/>
      <c r="I29" s="426"/>
      <c r="J29" s="427"/>
    </row>
    <row r="30" spans="1:10" ht="24.95" customHeight="1">
      <c r="A30" s="428"/>
      <c r="B30" s="426"/>
      <c r="C30" s="430">
        <f t="shared" si="0"/>
        <v>45454.545138888883</v>
      </c>
      <c r="D30" s="538">
        <v>105</v>
      </c>
      <c r="E30" s="538"/>
      <c r="F30" s="431">
        <f>LongTest!F28</f>
        <v>22.059674300748675</v>
      </c>
      <c r="G30" s="431">
        <f>LongTest!G28</f>
        <v>12.609674300748676</v>
      </c>
      <c r="H30" s="426"/>
      <c r="I30" s="426"/>
      <c r="J30" s="427"/>
    </row>
    <row r="31" spans="1:10" ht="24.95" customHeight="1">
      <c r="A31" s="428"/>
      <c r="B31" s="426"/>
      <c r="C31" s="430">
        <f t="shared" si="0"/>
        <v>45454.555555555555</v>
      </c>
      <c r="D31" s="538">
        <v>120</v>
      </c>
      <c r="E31" s="538"/>
      <c r="F31" s="431">
        <f>LongTest!F29</f>
        <v>22.326338199833256</v>
      </c>
      <c r="G31" s="431">
        <f>LongTest!G29</f>
        <v>12.876338199833256</v>
      </c>
      <c r="H31" s="426">
        <f>'w1'!D17</f>
        <v>15</v>
      </c>
      <c r="I31" s="426">
        <f>'w1'!E17</f>
        <v>201</v>
      </c>
      <c r="J31" s="427">
        <f>'w1'!F17</f>
        <v>6.37</v>
      </c>
    </row>
    <row r="32" spans="1:10" ht="24.95" customHeight="1">
      <c r="A32" s="428"/>
      <c r="B32" s="450"/>
      <c r="C32" s="430">
        <f t="shared" si="0"/>
        <v>45454.569444444438</v>
      </c>
      <c r="D32" s="538">
        <v>140</v>
      </c>
      <c r="E32" s="538"/>
      <c r="F32" s="431">
        <f>LongTest!F30</f>
        <v>22.634179079205065</v>
      </c>
      <c r="G32" s="431">
        <f>LongTest!G30</f>
        <v>13.184179079205066</v>
      </c>
      <c r="H32" s="426"/>
      <c r="I32" s="426"/>
      <c r="J32" s="427"/>
    </row>
    <row r="33" spans="1:10" ht="24.95" customHeight="1">
      <c r="A33" s="428"/>
      <c r="B33" s="426"/>
      <c r="C33" s="430">
        <f t="shared" si="0"/>
        <v>45454.583333333328</v>
      </c>
      <c r="D33" s="538">
        <v>160</v>
      </c>
      <c r="E33" s="538"/>
      <c r="F33" s="431">
        <f>LongTest!F31</f>
        <v>22.900842978289646</v>
      </c>
      <c r="G33" s="431">
        <f>LongTest!G31</f>
        <v>13.450842978289646</v>
      </c>
      <c r="H33" s="426"/>
      <c r="I33" s="426"/>
      <c r="J33" s="427"/>
    </row>
    <row r="34" spans="1:10" ht="24.95" customHeight="1">
      <c r="A34" s="428"/>
      <c r="B34" s="426"/>
      <c r="C34" s="430">
        <f t="shared" si="0"/>
        <v>45454.597222222219</v>
      </c>
      <c r="D34" s="538">
        <v>180</v>
      </c>
      <c r="E34" s="538"/>
      <c r="F34" s="431">
        <f>LongTest!F32</f>
        <v>23.136057207070042</v>
      </c>
      <c r="G34" s="431">
        <f>LongTest!G32</f>
        <v>13.686057207070043</v>
      </c>
      <c r="H34" s="426"/>
      <c r="I34" s="426"/>
      <c r="J34" s="427"/>
    </row>
    <row r="35" spans="1:10" ht="24.95" customHeight="1">
      <c r="A35" s="428"/>
      <c r="B35" s="426"/>
      <c r="C35" s="430">
        <f t="shared" si="0"/>
        <v>45454.638888888883</v>
      </c>
      <c r="D35" s="538">
        <v>240</v>
      </c>
      <c r="E35" s="538"/>
      <c r="F35" s="431">
        <f>LongTest!F33</f>
        <v>23.710561985526432</v>
      </c>
      <c r="G35" s="431">
        <f>LongTest!G33</f>
        <v>14.260561985526433</v>
      </c>
      <c r="H35" s="426">
        <f>'w1'!D18</f>
        <v>15</v>
      </c>
      <c r="I35" s="426">
        <f>'w1'!E18</f>
        <v>206</v>
      </c>
      <c r="J35" s="427">
        <f>'w1'!F18</f>
        <v>6.59</v>
      </c>
    </row>
    <row r="36" spans="1:10" ht="24.95" customHeight="1">
      <c r="A36" s="428"/>
      <c r="B36" s="426"/>
      <c r="C36" s="430">
        <f t="shared" si="0"/>
        <v>45454.680555555555</v>
      </c>
      <c r="D36" s="538">
        <v>300</v>
      </c>
      <c r="E36" s="538"/>
      <c r="F36" s="431">
        <f>LongTest!F34</f>
        <v>24.156182511752405</v>
      </c>
      <c r="G36" s="431">
        <f>LongTest!G34</f>
        <v>14.706182511752406</v>
      </c>
      <c r="H36" s="426"/>
      <c r="I36" s="426"/>
      <c r="J36" s="427"/>
    </row>
    <row r="37" spans="1:10" ht="24.95" customHeight="1">
      <c r="A37" s="451"/>
      <c r="B37" s="452"/>
      <c r="C37" s="430">
        <f t="shared" si="0"/>
        <v>45454.722222222219</v>
      </c>
      <c r="D37" s="538">
        <v>360</v>
      </c>
      <c r="E37" s="538"/>
      <c r="F37" s="431">
        <f>LongTest!F35</f>
        <v>24.520280992763215</v>
      </c>
      <c r="G37" s="431">
        <f>LongTest!G35</f>
        <v>15.070280992763216</v>
      </c>
      <c r="H37" s="426"/>
      <c r="I37" s="426"/>
      <c r="J37" s="427"/>
    </row>
    <row r="38" spans="1:10" ht="24.95" customHeight="1">
      <c r="A38" s="428"/>
      <c r="B38" s="426"/>
      <c r="C38" s="430">
        <f t="shared" si="0"/>
        <v>45454.763888888883</v>
      </c>
      <c r="D38" s="538">
        <v>420</v>
      </c>
      <c r="E38" s="538"/>
      <c r="F38" s="431">
        <f>LongTest!F36</f>
        <v>24.828121872135025</v>
      </c>
      <c r="G38" s="431">
        <f>LongTest!G36</f>
        <v>15.378121872135026</v>
      </c>
      <c r="H38" s="426"/>
      <c r="I38" s="426"/>
      <c r="J38" s="427"/>
    </row>
    <row r="39" spans="1:10" ht="24.95" customHeight="1">
      <c r="A39" s="428"/>
      <c r="B39" s="426"/>
      <c r="C39" s="430">
        <f t="shared" si="0"/>
        <v>45454.805555555555</v>
      </c>
      <c r="D39" s="538">
        <v>480</v>
      </c>
      <c r="E39" s="538"/>
      <c r="F39" s="431">
        <f>LongTest!F37</f>
        <v>25.094785771219605</v>
      </c>
      <c r="G39" s="431">
        <f>LongTest!G37</f>
        <v>15.644785771219606</v>
      </c>
      <c r="H39" s="426">
        <f>'w1'!D19</f>
        <v>15.600000000000001</v>
      </c>
      <c r="I39" s="426">
        <f>'w1'!E19</f>
        <v>203</v>
      </c>
      <c r="J39" s="427">
        <f>'w1'!F19</f>
        <v>6.39</v>
      </c>
    </row>
    <row r="40" spans="1:10" ht="24.95" customHeight="1">
      <c r="A40" s="428"/>
      <c r="B40" s="426"/>
      <c r="C40" s="430">
        <f t="shared" si="0"/>
        <v>45454.847222222219</v>
      </c>
      <c r="D40" s="538">
        <v>540</v>
      </c>
      <c r="E40" s="538"/>
      <c r="F40" s="431">
        <f>LongTest!F38</f>
        <v>25.330000000000002</v>
      </c>
      <c r="G40" s="431">
        <f>LongTest!G38</f>
        <v>15.880000000000003</v>
      </c>
      <c r="H40" s="426"/>
      <c r="I40" s="426"/>
      <c r="J40" s="427"/>
    </row>
    <row r="41" spans="1:10" ht="24.95" customHeight="1">
      <c r="A41" s="428"/>
      <c r="B41" s="426"/>
      <c r="C41" s="430">
        <f t="shared" si="0"/>
        <v>45454.888888888883</v>
      </c>
      <c r="D41" s="538">
        <v>600</v>
      </c>
      <c r="E41" s="538"/>
      <c r="F41" s="431">
        <f>LongTest!F39</f>
        <v>25.330000000000002</v>
      </c>
      <c r="G41" s="431">
        <f>LongTest!G39</f>
        <v>15.880000000000003</v>
      </c>
      <c r="H41" s="426"/>
      <c r="I41" s="426"/>
      <c r="J41" s="427"/>
    </row>
    <row r="42" spans="1:10" ht="24.95" customHeight="1">
      <c r="A42" s="451"/>
      <c r="B42" s="452"/>
      <c r="C42" s="430">
        <f t="shared" si="0"/>
        <v>45454.930555555555</v>
      </c>
      <c r="D42" s="538">
        <v>660</v>
      </c>
      <c r="E42" s="538"/>
      <c r="F42" s="431">
        <f>LongTest!F40</f>
        <v>25.330000000000002</v>
      </c>
      <c r="G42" s="431">
        <f>LongTest!G40</f>
        <v>15.880000000000003</v>
      </c>
      <c r="H42" s="426"/>
      <c r="I42" s="426"/>
      <c r="J42" s="427"/>
    </row>
    <row r="43" spans="1:10" ht="24.95" customHeight="1">
      <c r="A43" s="428"/>
      <c r="B43" s="426"/>
      <c r="C43" s="430">
        <f t="shared" si="0"/>
        <v>45454.972222222219</v>
      </c>
      <c r="D43" s="538">
        <v>720</v>
      </c>
      <c r="E43" s="538"/>
      <c r="F43" s="431">
        <f>LongTest!F41</f>
        <v>25.330000000000002</v>
      </c>
      <c r="G43" s="431">
        <f>LongTest!G41</f>
        <v>15.880000000000003</v>
      </c>
      <c r="H43" s="426"/>
      <c r="I43" s="426"/>
      <c r="J43" s="427"/>
    </row>
    <row r="44" spans="1:10" ht="24.95" customHeight="1">
      <c r="A44" s="428"/>
      <c r="B44" s="426"/>
      <c r="C44" s="430">
        <f t="shared" si="0"/>
        <v>45455.013888888883</v>
      </c>
      <c r="D44" s="538">
        <v>780</v>
      </c>
      <c r="E44" s="538"/>
      <c r="F44" s="426">
        <f>LongTest!F42</f>
        <v>25.330000000000002</v>
      </c>
      <c r="G44" s="426">
        <f>LongTest!G42</f>
        <v>15.880000000000003</v>
      </c>
      <c r="H44" s="426"/>
      <c r="I44" s="426"/>
      <c r="J44" s="427"/>
    </row>
    <row r="45" spans="1:10" ht="24.95" customHeight="1">
      <c r="A45" s="428"/>
      <c r="B45" s="426"/>
      <c r="C45" s="430">
        <f t="shared" si="0"/>
        <v>45455.055555555555</v>
      </c>
      <c r="D45" s="538">
        <v>840</v>
      </c>
      <c r="E45" s="538"/>
      <c r="F45" s="426">
        <f>LongTest!F43</f>
        <v>25.330000000000002</v>
      </c>
      <c r="G45" s="426">
        <f>LongTest!G43</f>
        <v>15.880000000000003</v>
      </c>
      <c r="H45" s="426"/>
      <c r="I45" s="426"/>
      <c r="J45" s="427"/>
    </row>
    <row r="46" spans="1:10" ht="24.95" customHeight="1">
      <c r="A46" s="428"/>
      <c r="B46" s="426"/>
      <c r="C46" s="430">
        <f t="shared" si="0"/>
        <v>45455.097222222219</v>
      </c>
      <c r="D46" s="538">
        <v>900</v>
      </c>
      <c r="E46" s="538"/>
      <c r="F46" s="426">
        <f>LongTest!F44</f>
        <v>25.330000000000002</v>
      </c>
      <c r="G46" s="426">
        <f>LongTest!G44</f>
        <v>15.880000000000003</v>
      </c>
      <c r="H46" s="426"/>
      <c r="I46" s="426"/>
      <c r="J46" s="427"/>
    </row>
    <row r="47" spans="1:10" ht="24.95" customHeight="1">
      <c r="A47" s="451"/>
      <c r="B47" s="452"/>
      <c r="C47" s="430">
        <f t="shared" si="0"/>
        <v>45455.138888888883</v>
      </c>
      <c r="D47" s="538">
        <v>960</v>
      </c>
      <c r="E47" s="538"/>
      <c r="F47" s="426">
        <f>LongTest!F45</f>
        <v>25.330000000000002</v>
      </c>
      <c r="G47" s="426">
        <f>LongTest!G45</f>
        <v>15.880000000000003</v>
      </c>
      <c r="H47" s="426"/>
      <c r="I47" s="426"/>
      <c r="J47" s="427"/>
    </row>
    <row r="48" spans="1:10" ht="24.95" customHeight="1">
      <c r="A48" s="428"/>
      <c r="B48" s="426"/>
      <c r="C48" s="430">
        <f t="shared" si="0"/>
        <v>45455.180555555555</v>
      </c>
      <c r="D48" s="538">
        <v>1020</v>
      </c>
      <c r="E48" s="538"/>
      <c r="F48" s="426">
        <f>LongTest!F46</f>
        <v>25.330000000000002</v>
      </c>
      <c r="G48" s="426">
        <f>LongTest!G46</f>
        <v>15.880000000000003</v>
      </c>
      <c r="H48" s="426"/>
      <c r="I48" s="426"/>
      <c r="J48" s="427"/>
    </row>
    <row r="49" spans="1:10" ht="24.95" customHeight="1">
      <c r="A49" s="428"/>
      <c r="B49" s="426"/>
      <c r="C49" s="430">
        <f t="shared" si="0"/>
        <v>45455.222222222219</v>
      </c>
      <c r="D49" s="538">
        <v>1080</v>
      </c>
      <c r="E49" s="538"/>
      <c r="F49" s="426">
        <f>LongTest!F47</f>
        <v>25.330000000000002</v>
      </c>
      <c r="G49" s="426">
        <f>LongTest!G47</f>
        <v>15.880000000000003</v>
      </c>
      <c r="H49" s="426"/>
      <c r="I49" s="426"/>
      <c r="J49" s="427"/>
    </row>
    <row r="50" spans="1:10" ht="24.95" customHeight="1">
      <c r="A50" s="428"/>
      <c r="B50" s="426"/>
      <c r="C50" s="430">
        <f t="shared" si="0"/>
        <v>45455.263888888883</v>
      </c>
      <c r="D50" s="538">
        <v>1140</v>
      </c>
      <c r="E50" s="538"/>
      <c r="F50" s="426">
        <f>LongTest!F48</f>
        <v>25.330000000000002</v>
      </c>
      <c r="G50" s="426">
        <f>LongTest!G48</f>
        <v>15.880000000000003</v>
      </c>
      <c r="H50" s="426"/>
      <c r="I50" s="426"/>
      <c r="J50" s="427"/>
    </row>
    <row r="51" spans="1:10" ht="24.95" customHeight="1">
      <c r="A51" s="428"/>
      <c r="B51" s="426"/>
      <c r="C51" s="430">
        <f t="shared" si="0"/>
        <v>45455.305555555555</v>
      </c>
      <c r="D51" s="538">
        <v>1200</v>
      </c>
      <c r="E51" s="538"/>
      <c r="F51" s="426">
        <f>LongTest!F49</f>
        <v>25.330000000000002</v>
      </c>
      <c r="G51" s="426">
        <f>LongTest!G49</f>
        <v>15.880000000000003</v>
      </c>
      <c r="H51" s="426"/>
      <c r="I51" s="426"/>
      <c r="J51" s="427"/>
    </row>
    <row r="52" spans="1:10" ht="24.95" customHeight="1">
      <c r="A52" s="428"/>
      <c r="B52" s="426"/>
      <c r="C52" s="430">
        <f t="shared" si="0"/>
        <v>45455.347222222219</v>
      </c>
      <c r="D52" s="538">
        <v>1260</v>
      </c>
      <c r="E52" s="538"/>
      <c r="F52" s="426">
        <f>LongTest!F50</f>
        <v>25.330000000000002</v>
      </c>
      <c r="G52" s="426">
        <f>LongTest!G50</f>
        <v>15.880000000000003</v>
      </c>
      <c r="H52" s="426"/>
      <c r="I52" s="426"/>
      <c r="J52" s="427"/>
    </row>
    <row r="53" spans="1:10" ht="24.95" customHeight="1">
      <c r="A53" s="428"/>
      <c r="B53" s="426"/>
      <c r="C53" s="430">
        <f t="shared" si="0"/>
        <v>45455.388888888883</v>
      </c>
      <c r="D53" s="538">
        <v>1320</v>
      </c>
      <c r="E53" s="538"/>
      <c r="F53" s="426">
        <f>LongTest!F51</f>
        <v>25.330000000000002</v>
      </c>
      <c r="G53" s="426">
        <f>LongTest!G51</f>
        <v>15.880000000000003</v>
      </c>
      <c r="H53" s="426"/>
      <c r="I53" s="426"/>
      <c r="J53" s="427"/>
    </row>
    <row r="54" spans="1:10" ht="24.95" customHeight="1">
      <c r="A54" s="428"/>
      <c r="B54" s="426"/>
      <c r="C54" s="430">
        <f t="shared" si="0"/>
        <v>45455.430555555555</v>
      </c>
      <c r="D54" s="538">
        <v>1380</v>
      </c>
      <c r="E54" s="538"/>
      <c r="F54" s="426">
        <f>LongTest!F52</f>
        <v>25.330000000000002</v>
      </c>
      <c r="G54" s="426">
        <f>LongTest!G52</f>
        <v>15.880000000000003</v>
      </c>
      <c r="H54" s="426"/>
      <c r="I54" s="426"/>
      <c r="J54" s="427"/>
    </row>
    <row r="55" spans="1:10" ht="24.95" customHeight="1">
      <c r="A55" s="428"/>
      <c r="B55" s="426"/>
      <c r="C55" s="430">
        <f t="shared" si="0"/>
        <v>45455.472222222219</v>
      </c>
      <c r="D55" s="538">
        <v>1440</v>
      </c>
      <c r="E55" s="538"/>
      <c r="F55" s="426">
        <f>LongTest!F53</f>
        <v>25.330000000000002</v>
      </c>
      <c r="G55" s="426">
        <f>LongTest!G53</f>
        <v>15.880000000000003</v>
      </c>
      <c r="H55" s="426">
        <f>'w1'!D20</f>
        <v>15.200000000000001</v>
      </c>
      <c r="I55" s="426">
        <f>'w1'!E20</f>
        <v>205</v>
      </c>
      <c r="J55" s="427">
        <f>'w1'!F20</f>
        <v>6.37</v>
      </c>
    </row>
    <row r="56" spans="1:10" ht="24.95" customHeight="1">
      <c r="A56" s="453"/>
      <c r="B56" s="430"/>
      <c r="C56" s="430"/>
      <c r="D56" s="529"/>
      <c r="E56" s="530"/>
      <c r="F56" s="426"/>
      <c r="G56" s="426"/>
      <c r="H56" s="426"/>
      <c r="I56" s="426"/>
      <c r="J56" s="427"/>
    </row>
    <row r="57" spans="1:10" ht="24.95" customHeight="1">
      <c r="A57" s="453"/>
      <c r="B57" s="430"/>
      <c r="C57" s="430"/>
      <c r="D57" s="529"/>
      <c r="E57" s="530"/>
      <c r="F57" s="426"/>
      <c r="G57" s="426"/>
      <c r="H57" s="426"/>
      <c r="I57" s="426"/>
      <c r="J57" s="427"/>
    </row>
    <row r="58" spans="1:10" ht="24.95" customHeight="1">
      <c r="A58" s="453"/>
      <c r="B58" s="426">
        <v>0</v>
      </c>
      <c r="C58" s="430">
        <f>$C$4+(D58+1440)/1440</f>
        <v>45455.472916666666</v>
      </c>
      <c r="D58" s="529">
        <v>1</v>
      </c>
      <c r="E58" s="530"/>
      <c r="F58" s="431">
        <f>LongTest!F78</f>
        <v>20.232796980712919</v>
      </c>
      <c r="G58" s="431">
        <f>LongTest!G78</f>
        <v>10.782796980712918</v>
      </c>
      <c r="H58" s="531" t="s">
        <v>191</v>
      </c>
      <c r="I58" s="532"/>
      <c r="J58" s="533"/>
    </row>
    <row r="59" spans="1:10" ht="24.95" customHeight="1">
      <c r="A59" s="453"/>
      <c r="B59" s="430"/>
      <c r="C59" s="430">
        <f t="shared" ref="C59:C77" si="1">$C$4+(D59+1440)/1440</f>
        <v>45455.473611111105</v>
      </c>
      <c r="D59" s="529">
        <v>2</v>
      </c>
      <c r="E59" s="530"/>
      <c r="F59" s="431">
        <f>LongTest!F79</f>
        <v>19.374437782107812</v>
      </c>
      <c r="G59" s="431">
        <f>LongTest!G79</f>
        <v>9.9244377821078142</v>
      </c>
      <c r="H59" s="529"/>
      <c r="I59" s="534"/>
      <c r="J59" s="535"/>
    </row>
    <row r="60" spans="1:10" ht="24.95" customHeight="1">
      <c r="A60" s="453"/>
      <c r="B60" s="430"/>
      <c r="C60" s="430">
        <f t="shared" si="1"/>
        <v>45455.474305555552</v>
      </c>
      <c r="D60" s="529">
        <v>3</v>
      </c>
      <c r="E60" s="530"/>
      <c r="F60" s="431">
        <f>LongTest!F80</f>
        <v>18.58440784122201</v>
      </c>
      <c r="G60" s="431">
        <f>LongTest!G80</f>
        <v>9.1344078412220089</v>
      </c>
      <c r="H60" s="529"/>
      <c r="I60" s="534"/>
      <c r="J60" s="535"/>
    </row>
    <row r="61" spans="1:10" ht="24.95" customHeight="1">
      <c r="A61" s="453"/>
      <c r="B61" s="430"/>
      <c r="C61" s="430">
        <f t="shared" si="1"/>
        <v>45455.474999999999</v>
      </c>
      <c r="D61" s="529">
        <v>4</v>
      </c>
      <c r="E61" s="530"/>
      <c r="F61" s="431">
        <f>LongTest!F81</f>
        <v>17.857267841429007</v>
      </c>
      <c r="G61" s="431">
        <f>LongTest!G81</f>
        <v>8.4072678414290092</v>
      </c>
      <c r="H61" s="529"/>
      <c r="I61" s="534"/>
      <c r="J61" s="535"/>
    </row>
    <row r="62" spans="1:10" ht="24.95" customHeight="1">
      <c r="A62" s="453"/>
      <c r="B62" s="430"/>
      <c r="C62" s="430">
        <f t="shared" si="1"/>
        <v>45455.475694444438</v>
      </c>
      <c r="D62" s="529">
        <v>5</v>
      </c>
      <c r="E62" s="530"/>
      <c r="F62" s="431">
        <f>LongTest!F82</f>
        <v>17.188011460201068</v>
      </c>
      <c r="G62" s="431">
        <f>LongTest!G82</f>
        <v>7.7380114602010686</v>
      </c>
      <c r="H62" s="529"/>
      <c r="I62" s="534"/>
      <c r="J62" s="535"/>
    </row>
    <row r="63" spans="1:10" ht="24.95" customHeight="1">
      <c r="A63" s="453"/>
      <c r="B63" s="430"/>
      <c r="C63" s="430">
        <f t="shared" si="1"/>
        <v>45455.479166666664</v>
      </c>
      <c r="D63" s="529">
        <v>10</v>
      </c>
      <c r="E63" s="530"/>
      <c r="F63" s="431">
        <f>LongTest!F83</f>
        <v>15.483270868618019</v>
      </c>
      <c r="G63" s="431">
        <f>LongTest!G83</f>
        <v>6.0332708686180201</v>
      </c>
      <c r="H63" s="529"/>
      <c r="I63" s="534"/>
      <c r="J63" s="535"/>
    </row>
    <row r="64" spans="1:10" ht="24.95" customHeight="1">
      <c r="A64" s="453"/>
      <c r="B64" s="430"/>
      <c r="C64" s="430">
        <f t="shared" si="1"/>
        <v>45455.482638888883</v>
      </c>
      <c r="D64" s="529">
        <v>15</v>
      </c>
      <c r="E64" s="530"/>
      <c r="F64" s="431">
        <f>LongTest!F84</f>
        <v>15.158681504824028</v>
      </c>
      <c r="G64" s="431">
        <f>LongTest!G84</f>
        <v>5.7086815048240274</v>
      </c>
      <c r="H64" s="529"/>
      <c r="I64" s="534"/>
      <c r="J64" s="535"/>
    </row>
    <row r="65" spans="1:10" ht="24.95" customHeight="1">
      <c r="A65" s="453"/>
      <c r="B65" s="430"/>
      <c r="C65" s="430">
        <f t="shared" si="1"/>
        <v>45455.486111111109</v>
      </c>
      <c r="D65" s="529">
        <v>20</v>
      </c>
      <c r="E65" s="530"/>
      <c r="F65" s="431">
        <f>LongTest!F85</f>
        <v>14.285983204912011</v>
      </c>
      <c r="G65" s="431">
        <f>LongTest!G85</f>
        <v>4.8359832049120115</v>
      </c>
      <c r="H65" s="529"/>
      <c r="I65" s="534"/>
      <c r="J65" s="535"/>
    </row>
    <row r="66" spans="1:10" ht="24.95" customHeight="1">
      <c r="A66" s="453"/>
      <c r="B66" s="430"/>
      <c r="C66" s="430">
        <f t="shared" si="1"/>
        <v>45455.489583333328</v>
      </c>
      <c r="D66" s="529">
        <v>25</v>
      </c>
      <c r="E66" s="530"/>
      <c r="F66" s="431">
        <f>LongTest!F86</f>
        <v>13.901017163572192</v>
      </c>
      <c r="G66" s="431">
        <f>LongTest!G86</f>
        <v>4.4510171635721916</v>
      </c>
      <c r="H66" s="529"/>
      <c r="I66" s="534"/>
      <c r="J66" s="535"/>
    </row>
    <row r="67" spans="1:10" ht="24.95" customHeight="1">
      <c r="A67" s="453"/>
      <c r="B67" s="430"/>
      <c r="C67" s="430">
        <f t="shared" si="1"/>
        <v>45455.493055555555</v>
      </c>
      <c r="D67" s="529">
        <v>30</v>
      </c>
      <c r="E67" s="530"/>
      <c r="F67" s="431">
        <f>LongTest!F87</f>
        <v>13.54669615276811</v>
      </c>
      <c r="G67" s="431">
        <f>LongTest!G87</f>
        <v>4.0966961527681098</v>
      </c>
      <c r="H67" s="529"/>
      <c r="I67" s="534"/>
      <c r="J67" s="535"/>
    </row>
    <row r="68" spans="1:10" ht="24.95" customHeight="1">
      <c r="A68" s="453"/>
      <c r="B68" s="430"/>
      <c r="C68" s="430">
        <f t="shared" si="1"/>
        <v>45455.496527777774</v>
      </c>
      <c r="D68" s="529">
        <v>35</v>
      </c>
      <c r="E68" s="530"/>
      <c r="F68" s="431">
        <f>LongTest!F88</f>
        <v>13.434971769034254</v>
      </c>
      <c r="G68" s="431">
        <f>LongTest!G88</f>
        <v>3.9849717690342552</v>
      </c>
      <c r="H68" s="529"/>
      <c r="I68" s="534"/>
      <c r="J68" s="535"/>
    </row>
    <row r="69" spans="1:10" ht="24.95" customHeight="1">
      <c r="A69" s="453"/>
      <c r="B69" s="430"/>
      <c r="C69" s="430">
        <f t="shared" si="1"/>
        <v>45455.5</v>
      </c>
      <c r="D69" s="529">
        <v>40</v>
      </c>
      <c r="E69" s="530"/>
      <c r="F69" s="431">
        <f>LongTest!F89</f>
        <v>13.326294313228475</v>
      </c>
      <c r="G69" s="431">
        <f>LongTest!G89</f>
        <v>3.8762943132284762</v>
      </c>
      <c r="H69" s="529"/>
      <c r="I69" s="534"/>
      <c r="J69" s="535"/>
    </row>
    <row r="70" spans="1:10" ht="24.95" customHeight="1">
      <c r="A70" s="453"/>
      <c r="B70" s="430"/>
      <c r="C70" s="430">
        <f t="shared" si="1"/>
        <v>45455.503472222219</v>
      </c>
      <c r="D70" s="529">
        <v>45</v>
      </c>
      <c r="E70" s="530"/>
      <c r="F70" s="431">
        <f>LongTest!F90</f>
        <v>13.220580690063166</v>
      </c>
      <c r="G70" s="431">
        <f>LongTest!G90</f>
        <v>3.7705806900631673</v>
      </c>
      <c r="H70" s="529"/>
      <c r="I70" s="534"/>
      <c r="J70" s="535"/>
    </row>
    <row r="71" spans="1:10" ht="24.95" customHeight="1">
      <c r="A71" s="453"/>
      <c r="B71" s="430"/>
      <c r="C71" s="430">
        <f t="shared" si="1"/>
        <v>45455.506944444438</v>
      </c>
      <c r="D71" s="529">
        <v>50</v>
      </c>
      <c r="E71" s="530"/>
      <c r="F71" s="431">
        <f>LongTest!F91</f>
        <v>13.11775007041093</v>
      </c>
      <c r="G71" s="431">
        <f>LongTest!G91</f>
        <v>3.6677500704109298</v>
      </c>
      <c r="H71" s="529"/>
      <c r="I71" s="534"/>
      <c r="J71" s="535"/>
    </row>
    <row r="72" spans="1:10" ht="24.95" customHeight="1">
      <c r="A72" s="453"/>
      <c r="B72" s="430"/>
      <c r="C72" s="430">
        <f t="shared" si="1"/>
        <v>45455.510416666664</v>
      </c>
      <c r="D72" s="529">
        <v>55</v>
      </c>
      <c r="E72" s="530"/>
      <c r="F72" s="431">
        <f>LongTest!F92</f>
        <v>13.017723829502245</v>
      </c>
      <c r="G72" s="431">
        <f>LongTest!G92</f>
        <v>3.5677238295022455</v>
      </c>
      <c r="H72" s="529"/>
      <c r="I72" s="534"/>
      <c r="J72" s="535"/>
    </row>
    <row r="73" spans="1:10" ht="24.95" customHeight="1">
      <c r="A73" s="453"/>
      <c r="B73" s="430"/>
      <c r="C73" s="430">
        <f t="shared" si="1"/>
        <v>45455.513888888883</v>
      </c>
      <c r="D73" s="529">
        <v>60</v>
      </c>
      <c r="E73" s="530"/>
      <c r="F73" s="431">
        <f>LongTest!F93</f>
        <v>12.920425486808609</v>
      </c>
      <c r="G73" s="431">
        <f>LongTest!G93</f>
        <v>3.4704254868086104</v>
      </c>
      <c r="H73" s="529"/>
      <c r="I73" s="534"/>
      <c r="J73" s="535"/>
    </row>
    <row r="74" spans="1:10" ht="24.95" customHeight="1">
      <c r="A74" s="453"/>
      <c r="B74" s="430"/>
      <c r="C74" s="430">
        <f t="shared" si="1"/>
        <v>45455.524305555555</v>
      </c>
      <c r="D74" s="529">
        <v>75</v>
      </c>
      <c r="E74" s="530"/>
      <c r="F74" s="431">
        <f>LongTest!F94</f>
        <v>12.825780647565169</v>
      </c>
      <c r="G74" s="431">
        <f>LongTest!G94</f>
        <v>3.3757806475651706</v>
      </c>
      <c r="H74" s="529"/>
      <c r="I74" s="534"/>
      <c r="J74" s="535"/>
    </row>
    <row r="75" spans="1:10" ht="24.95" customHeight="1">
      <c r="A75" s="453"/>
      <c r="B75" s="430"/>
      <c r="C75" s="430">
        <f t="shared" si="1"/>
        <v>45455.534722222219</v>
      </c>
      <c r="D75" s="529">
        <v>90</v>
      </c>
      <c r="E75" s="530"/>
      <c r="F75" s="431">
        <f>LongTest!F95</f>
        <v>12.733716945888137</v>
      </c>
      <c r="G75" s="431">
        <f>LongTest!G95</f>
        <v>3.2837169458881377</v>
      </c>
      <c r="H75" s="529"/>
      <c r="I75" s="534"/>
      <c r="J75" s="535"/>
    </row>
    <row r="76" spans="1:10" ht="24.95" customHeight="1">
      <c r="A76" s="453"/>
      <c r="B76" s="430"/>
      <c r="C76" s="430">
        <f t="shared" si="1"/>
        <v>45455.545138888883</v>
      </c>
      <c r="D76" s="529">
        <v>105</v>
      </c>
      <c r="E76" s="530"/>
      <c r="F76" s="431">
        <f>LongTest!F96</f>
        <v>12.644163989443497</v>
      </c>
      <c r="G76" s="431">
        <f>LongTest!G96</f>
        <v>3.194163989443497</v>
      </c>
      <c r="H76" s="529"/>
      <c r="I76" s="534"/>
      <c r="J76" s="535"/>
    </row>
    <row r="77" spans="1:10" ht="24.95" customHeight="1">
      <c r="A77" s="453"/>
      <c r="B77" s="430"/>
      <c r="C77" s="430">
        <f t="shared" si="1"/>
        <v>45455.555555555555</v>
      </c>
      <c r="D77" s="529">
        <v>120</v>
      </c>
      <c r="E77" s="530"/>
      <c r="F77" s="431">
        <f>LongTest!F97</f>
        <v>12.389894151376794</v>
      </c>
      <c r="G77" s="431">
        <f>LongTest!G97</f>
        <v>2.9398941513767949</v>
      </c>
      <c r="H77" s="529" t="s">
        <v>329</v>
      </c>
      <c r="I77" s="534"/>
      <c r="J77" s="535"/>
    </row>
    <row r="78" spans="1:10" ht="24.95" customHeight="1">
      <c r="A78" s="453"/>
      <c r="B78" s="430"/>
      <c r="C78" s="430"/>
      <c r="D78" s="529"/>
      <c r="E78" s="530"/>
      <c r="F78" s="431"/>
      <c r="G78" s="431"/>
      <c r="H78" s="529"/>
      <c r="I78" s="534"/>
      <c r="J78" s="535"/>
    </row>
    <row r="79" spans="1:10" ht="24.95" customHeight="1">
      <c r="A79" s="453"/>
      <c r="B79" s="430"/>
      <c r="C79" s="430"/>
      <c r="D79" s="529"/>
      <c r="E79" s="530"/>
      <c r="F79" s="431"/>
      <c r="G79" s="431"/>
      <c r="H79" s="529"/>
      <c r="I79" s="534"/>
      <c r="J79" s="535"/>
    </row>
    <row r="80" spans="1:10" ht="24.95" customHeight="1">
      <c r="A80" s="453"/>
      <c r="B80" s="430"/>
      <c r="C80" s="430"/>
      <c r="D80" s="529"/>
      <c r="E80" s="530"/>
      <c r="F80" s="431"/>
      <c r="G80" s="431"/>
      <c r="H80" s="529"/>
      <c r="I80" s="534"/>
      <c r="J80" s="535"/>
    </row>
    <row r="81" spans="1:10" ht="24.95" customHeight="1" thickBot="1">
      <c r="A81" s="457"/>
      <c r="B81" s="458"/>
      <c r="C81" s="458"/>
      <c r="D81" s="536"/>
      <c r="E81" s="537"/>
      <c r="F81" s="459"/>
      <c r="G81" s="459"/>
      <c r="H81" s="536"/>
      <c r="I81" s="558"/>
      <c r="J81" s="559"/>
    </row>
    <row r="82" spans="1:10" ht="24.95" customHeight="1"/>
    <row r="83" spans="1:10" ht="24.95" customHeight="1"/>
    <row r="84" spans="1:10" ht="24.95" customHeight="1"/>
    <row r="85" spans="1:10" ht="24.95" customHeight="1"/>
    <row r="86" spans="1:10" ht="24.95" customHeight="1"/>
    <row r="87" spans="1:10" ht="21" customHeight="1"/>
    <row r="88" spans="1:10" ht="21" customHeight="1"/>
  </sheetData>
  <mergeCells count="118">
    <mergeCell ref="D79:E79"/>
    <mergeCell ref="H79:J79"/>
    <mergeCell ref="D80:E80"/>
    <mergeCell ref="H80:J80"/>
    <mergeCell ref="D81:E81"/>
    <mergeCell ref="H81:J81"/>
    <mergeCell ref="D76:E76"/>
    <mergeCell ref="H76:J76"/>
    <mergeCell ref="D77:E77"/>
    <mergeCell ref="H77:J77"/>
    <mergeCell ref="D78:E78"/>
    <mergeCell ref="H78:J78"/>
    <mergeCell ref="D73:E73"/>
    <mergeCell ref="H73:J73"/>
    <mergeCell ref="D74:E74"/>
    <mergeCell ref="H74:J74"/>
    <mergeCell ref="D75:E75"/>
    <mergeCell ref="H75:J75"/>
    <mergeCell ref="D70:E70"/>
    <mergeCell ref="H70:J70"/>
    <mergeCell ref="D71:E71"/>
    <mergeCell ref="H71:J71"/>
    <mergeCell ref="D72:E72"/>
    <mergeCell ref="H72:J72"/>
    <mergeCell ref="D67:E67"/>
    <mergeCell ref="H67:J67"/>
    <mergeCell ref="D68:E68"/>
    <mergeCell ref="H68:J68"/>
    <mergeCell ref="D69:E69"/>
    <mergeCell ref="H69:J69"/>
    <mergeCell ref="D64:E64"/>
    <mergeCell ref="H64:J64"/>
    <mergeCell ref="D65:E65"/>
    <mergeCell ref="H65:J65"/>
    <mergeCell ref="D66:E66"/>
    <mergeCell ref="H66:J66"/>
    <mergeCell ref="D61:E61"/>
    <mergeCell ref="H61:J61"/>
    <mergeCell ref="D62:E62"/>
    <mergeCell ref="H62:J62"/>
    <mergeCell ref="D63:E63"/>
    <mergeCell ref="H63:J63"/>
    <mergeCell ref="D58:E58"/>
    <mergeCell ref="H58:J58"/>
    <mergeCell ref="D59:E59"/>
    <mergeCell ref="H59:J59"/>
    <mergeCell ref="D60:E60"/>
    <mergeCell ref="H60:J60"/>
    <mergeCell ref="D56:E56"/>
    <mergeCell ref="D57:E57"/>
    <mergeCell ref="D50:E50"/>
    <mergeCell ref="D51:E51"/>
    <mergeCell ref="D52:E52"/>
    <mergeCell ref="D53:E53"/>
    <mergeCell ref="D54:E54"/>
    <mergeCell ref="D55:E55"/>
    <mergeCell ref="D44:E44"/>
    <mergeCell ref="D45:E45"/>
    <mergeCell ref="D46:E46"/>
    <mergeCell ref="D47:E47"/>
    <mergeCell ref="D48:E48"/>
    <mergeCell ref="D49:E49"/>
    <mergeCell ref="D38:E38"/>
    <mergeCell ref="D39:E39"/>
    <mergeCell ref="D40:E40"/>
    <mergeCell ref="D41:E41"/>
    <mergeCell ref="D42:E42"/>
    <mergeCell ref="D43:E43"/>
    <mergeCell ref="D32:E32"/>
    <mergeCell ref="D33:E33"/>
    <mergeCell ref="D34:E34"/>
    <mergeCell ref="D35:E35"/>
    <mergeCell ref="D36:E36"/>
    <mergeCell ref="D37:E37"/>
    <mergeCell ref="D26:E26"/>
    <mergeCell ref="D27:E27"/>
    <mergeCell ref="D28:E28"/>
    <mergeCell ref="D29:E29"/>
    <mergeCell ref="D30:E30"/>
    <mergeCell ref="D31:E31"/>
    <mergeCell ref="D20:E20"/>
    <mergeCell ref="D21:E21"/>
    <mergeCell ref="D22:E22"/>
    <mergeCell ref="D23:E23"/>
    <mergeCell ref="D24:E24"/>
    <mergeCell ref="D25:E25"/>
    <mergeCell ref="D14:E14"/>
    <mergeCell ref="D15:E1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A1:J1"/>
    <mergeCell ref="A2:B2"/>
    <mergeCell ref="C2:J2"/>
    <mergeCell ref="A3:B3"/>
    <mergeCell ref="C3:H3"/>
    <mergeCell ref="A4:B4"/>
    <mergeCell ref="C4:J4"/>
    <mergeCell ref="A8:B8"/>
    <mergeCell ref="C8:D8"/>
    <mergeCell ref="H8:I8"/>
  </mergeCells>
  <phoneticPr fontId="4" type="noConversion"/>
  <pageMargins left="0.70866141732283472" right="0.70866141732283472" top="0.74803149606299213" bottom="0.74803149606299213" header="0.31496062992125984" footer="0.31496062992125984"/>
  <pageSetup paperSize="9" scale="81" orientation="portrait" r:id="rId1"/>
  <rowBreaks count="2" manualBreakCount="2">
    <brk id="34" max="9" man="1"/>
    <brk id="57" max="16383" man="1"/>
  </row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3E705E-D72B-483A-A8C5-A989B7082925}">
  <sheetPr codeName="Sheet5">
    <tabColor rgb="FF7030A0"/>
  </sheetPr>
  <dimension ref="A1:K58"/>
  <sheetViews>
    <sheetView showGridLines="0" showWhiteSpace="0" view="pageBreakPreview" zoomScaleNormal="130" zoomScaleSheetLayoutView="100" workbookViewId="0">
      <selection activeCell="L13" sqref="L13"/>
    </sheetView>
  </sheetViews>
  <sheetFormatPr defaultRowHeight="16.5"/>
  <cols>
    <col min="1" max="2" width="9" style="448"/>
    <col min="3" max="3" width="11.375" style="448" customWidth="1"/>
    <col min="4" max="4" width="6.75" style="448" customWidth="1"/>
    <col min="5" max="5" width="7.25" style="448" customWidth="1"/>
    <col min="6" max="6" width="13.875" style="448" bestFit="1" customWidth="1"/>
    <col min="7" max="7" width="12.125" style="448" customWidth="1"/>
    <col min="8" max="16384" width="9" style="448"/>
  </cols>
  <sheetData>
    <row r="1" spans="1:11" ht="45" customHeight="1" thickBot="1">
      <c r="A1" s="541" t="s">
        <v>320</v>
      </c>
      <c r="B1" s="541"/>
      <c r="C1" s="541"/>
      <c r="D1" s="541"/>
      <c r="E1" s="541"/>
      <c r="F1" s="541"/>
      <c r="G1" s="541"/>
      <c r="H1" s="541"/>
      <c r="I1" s="541"/>
      <c r="J1" s="541"/>
    </row>
    <row r="2" spans="1:11" ht="24.95" customHeight="1">
      <c r="A2" s="542" t="s">
        <v>295</v>
      </c>
      <c r="B2" s="543"/>
      <c r="C2" s="544" t="str">
        <f>LongTest!C2</f>
        <v>순성중명아파트 이용허가 유효기간의 연장을 위한 지하수영향조사보고서</v>
      </c>
      <c r="D2" s="545"/>
      <c r="E2" s="545"/>
      <c r="F2" s="545"/>
      <c r="G2" s="545"/>
      <c r="H2" s="545"/>
      <c r="I2" s="545"/>
      <c r="J2" s="546"/>
    </row>
    <row r="3" spans="1:11" ht="24.95" customHeight="1">
      <c r="A3" s="547" t="s">
        <v>296</v>
      </c>
      <c r="B3" s="548"/>
      <c r="C3" s="552" t="str">
        <f>LongTest!C4</f>
        <v>충청남도 당진시 순성면 순성로 453-30번지</v>
      </c>
      <c r="D3" s="553"/>
      <c r="E3" s="553"/>
      <c r="F3" s="553"/>
      <c r="G3" s="553"/>
      <c r="H3" s="554"/>
      <c r="I3" s="424" t="str">
        <f>Input!I54</f>
        <v>W-1</v>
      </c>
      <c r="J3" s="425" t="s">
        <v>322</v>
      </c>
    </row>
    <row r="4" spans="1:11" ht="24.95" customHeight="1">
      <c r="A4" s="547" t="s">
        <v>297</v>
      </c>
      <c r="B4" s="548"/>
      <c r="C4" s="549">
        <f>StepTest!C12</f>
        <v>45489.458333333336</v>
      </c>
      <c r="D4" s="550"/>
      <c r="E4" s="550"/>
      <c r="F4" s="550"/>
      <c r="G4" s="550"/>
      <c r="H4" s="550"/>
      <c r="I4" s="550"/>
      <c r="J4" s="551"/>
    </row>
    <row r="5" spans="1:11" ht="24.95" customHeight="1">
      <c r="A5" s="547" t="s">
        <v>298</v>
      </c>
      <c r="B5" s="548"/>
      <c r="C5" s="549">
        <f>StepTest!C51</f>
        <v>45489.875</v>
      </c>
      <c r="D5" s="550"/>
      <c r="E5" s="550"/>
      <c r="F5" s="550"/>
      <c r="G5" s="550"/>
      <c r="H5" s="550"/>
      <c r="I5" s="550"/>
      <c r="J5" s="551"/>
    </row>
    <row r="6" spans="1:11" ht="24.95" customHeight="1">
      <c r="A6" s="547" t="s">
        <v>294</v>
      </c>
      <c r="B6" s="548"/>
      <c r="C6" s="555" t="str">
        <f>LongTest!C5</f>
        <v>주식회사 한일지하수</v>
      </c>
      <c r="D6" s="556"/>
      <c r="E6" s="556"/>
      <c r="F6" s="556"/>
      <c r="G6" s="556"/>
      <c r="H6" s="556"/>
      <c r="I6" s="556"/>
      <c r="J6" s="557"/>
    </row>
    <row r="7" spans="1:11" ht="24.95" customHeight="1">
      <c r="A7" s="547" t="s">
        <v>299</v>
      </c>
      <c r="B7" s="548"/>
      <c r="C7" s="531" t="s">
        <v>326</v>
      </c>
      <c r="D7" s="548"/>
      <c r="E7" s="426">
        <f>LongTest!C6</f>
        <v>5</v>
      </c>
      <c r="F7" s="426" t="s">
        <v>300</v>
      </c>
      <c r="G7" s="529"/>
      <c r="H7" s="534"/>
      <c r="I7" s="534"/>
      <c r="J7" s="535"/>
    </row>
    <row r="8" spans="1:11" ht="24.95" customHeight="1">
      <c r="A8" s="547" t="s">
        <v>302</v>
      </c>
      <c r="B8" s="548"/>
      <c r="C8" s="531" t="s">
        <v>327</v>
      </c>
      <c r="D8" s="548"/>
      <c r="E8" s="426">
        <f>LongTest!D7</f>
        <v>200</v>
      </c>
      <c r="F8" s="426" t="s">
        <v>303</v>
      </c>
      <c r="G8" s="426" t="s">
        <v>328</v>
      </c>
      <c r="H8" s="531">
        <f>LongTest!G7</f>
        <v>100</v>
      </c>
      <c r="I8" s="548"/>
      <c r="J8" s="427" t="s">
        <v>301</v>
      </c>
    </row>
    <row r="9" spans="1:11" ht="24.95" customHeight="1">
      <c r="A9" s="547" t="s">
        <v>305</v>
      </c>
      <c r="B9" s="548"/>
      <c r="C9" s="531" t="s">
        <v>325</v>
      </c>
      <c r="D9" s="548"/>
      <c r="E9" s="426">
        <f>LongTest!D8</f>
        <v>9.4499999999999993</v>
      </c>
      <c r="F9" s="426" t="s">
        <v>301</v>
      </c>
      <c r="G9" s="426" t="s">
        <v>321</v>
      </c>
      <c r="H9" s="531">
        <f>Input!M51</f>
        <v>150</v>
      </c>
      <c r="I9" s="548"/>
      <c r="J9" s="427" t="s">
        <v>309</v>
      </c>
    </row>
    <row r="10" spans="1:11" ht="24.95" customHeight="1">
      <c r="A10" s="539" t="s">
        <v>307</v>
      </c>
      <c r="B10" s="440" t="s">
        <v>308</v>
      </c>
      <c r="C10" s="540" t="s">
        <v>190</v>
      </c>
      <c r="D10" s="540" t="s">
        <v>310</v>
      </c>
      <c r="E10" s="540"/>
      <c r="F10" s="440" t="s">
        <v>311</v>
      </c>
      <c r="G10" s="440" t="s">
        <v>313</v>
      </c>
      <c r="H10" s="440" t="s">
        <v>314</v>
      </c>
      <c r="I10" s="440" t="s">
        <v>315</v>
      </c>
      <c r="J10" s="441" t="s">
        <v>318</v>
      </c>
    </row>
    <row r="11" spans="1:11" ht="24.95" customHeight="1">
      <c r="A11" s="539"/>
      <c r="B11" s="440" t="s">
        <v>331</v>
      </c>
      <c r="C11" s="540"/>
      <c r="D11" s="540" t="s">
        <v>332</v>
      </c>
      <c r="E11" s="540"/>
      <c r="F11" s="440" t="s">
        <v>312</v>
      </c>
      <c r="G11" s="440" t="s">
        <v>312</v>
      </c>
      <c r="H11" s="440" t="s">
        <v>333</v>
      </c>
      <c r="I11" s="466" t="s">
        <v>334</v>
      </c>
      <c r="J11" s="442"/>
      <c r="K11" s="460"/>
    </row>
    <row r="12" spans="1:11" ht="24.95" customHeight="1">
      <c r="A12" s="428">
        <v>1</v>
      </c>
      <c r="B12" s="429">
        <f>Input!D20</f>
        <v>94</v>
      </c>
      <c r="C12" s="430">
        <f t="shared" ref="C12:C51" si="0">$C$4+D12/1440</f>
        <v>45489.459027777782</v>
      </c>
      <c r="D12" s="538">
        <v>1</v>
      </c>
      <c r="E12" s="538"/>
      <c r="F12" s="431">
        <f>StepTest!F12</f>
        <v>10.45</v>
      </c>
      <c r="G12" s="431">
        <f>StepTest!G12</f>
        <v>1</v>
      </c>
      <c r="H12" s="562"/>
      <c r="I12" s="563"/>
      <c r="J12" s="564"/>
    </row>
    <row r="13" spans="1:11" ht="24.95" customHeight="1">
      <c r="A13" s="428"/>
      <c r="B13" s="426"/>
      <c r="C13" s="430">
        <f t="shared" si="0"/>
        <v>45489.459722222222</v>
      </c>
      <c r="D13" s="538">
        <v>2</v>
      </c>
      <c r="E13" s="538"/>
      <c r="F13" s="431">
        <f>StepTest!F13</f>
        <v>11.27</v>
      </c>
      <c r="G13" s="431">
        <f>StepTest!G13</f>
        <v>1.82</v>
      </c>
      <c r="H13" s="562"/>
      <c r="I13" s="563"/>
      <c r="J13" s="564"/>
    </row>
    <row r="14" spans="1:11" ht="24.95" customHeight="1">
      <c r="A14" s="428"/>
      <c r="B14" s="426"/>
      <c r="C14" s="430">
        <f t="shared" si="0"/>
        <v>45489.460416666669</v>
      </c>
      <c r="D14" s="538">
        <v>3</v>
      </c>
      <c r="E14" s="538"/>
      <c r="F14" s="431">
        <f>StepTest!F14</f>
        <v>11.75</v>
      </c>
      <c r="G14" s="431">
        <f>StepTest!G14</f>
        <v>2.2999999999999998</v>
      </c>
      <c r="H14" s="562"/>
      <c r="I14" s="563"/>
      <c r="J14" s="564"/>
    </row>
    <row r="15" spans="1:11" ht="24.95" customHeight="1">
      <c r="A15" s="428"/>
      <c r="B15" s="426"/>
      <c r="C15" s="430">
        <f t="shared" si="0"/>
        <v>45489.461111111115</v>
      </c>
      <c r="D15" s="538">
        <v>4</v>
      </c>
      <c r="E15" s="538"/>
      <c r="F15" s="431">
        <f>StepTest!F15</f>
        <v>12.079999999999998</v>
      </c>
      <c r="G15" s="431">
        <f>StepTest!G15</f>
        <v>2.63</v>
      </c>
      <c r="H15" s="562"/>
      <c r="I15" s="563"/>
      <c r="J15" s="564"/>
    </row>
    <row r="16" spans="1:11" ht="24.95" customHeight="1">
      <c r="A16" s="428"/>
      <c r="B16" s="426"/>
      <c r="C16" s="430">
        <f t="shared" si="0"/>
        <v>45489.461805555555</v>
      </c>
      <c r="D16" s="538">
        <v>5</v>
      </c>
      <c r="E16" s="538"/>
      <c r="F16" s="431">
        <f>StepTest!F16</f>
        <v>12.35</v>
      </c>
      <c r="G16" s="431">
        <f>StepTest!G16</f>
        <v>2.9</v>
      </c>
      <c r="H16" s="529"/>
      <c r="I16" s="534"/>
      <c r="J16" s="535"/>
    </row>
    <row r="17" spans="1:10" ht="24.95" customHeight="1">
      <c r="A17" s="428"/>
      <c r="B17" s="426"/>
      <c r="C17" s="430">
        <f t="shared" si="0"/>
        <v>45489.465277777781</v>
      </c>
      <c r="D17" s="538">
        <v>10</v>
      </c>
      <c r="E17" s="538"/>
      <c r="F17" s="431">
        <f>StepTest!F17</f>
        <v>13.16</v>
      </c>
      <c r="G17" s="431">
        <f>StepTest!G17</f>
        <v>3.71</v>
      </c>
      <c r="H17" s="529"/>
      <c r="I17" s="534"/>
      <c r="J17" s="535"/>
    </row>
    <row r="18" spans="1:10" ht="24.95" customHeight="1">
      <c r="A18" s="428"/>
      <c r="B18" s="426"/>
      <c r="C18" s="430">
        <f t="shared" si="0"/>
        <v>45489.46875</v>
      </c>
      <c r="D18" s="538">
        <v>15</v>
      </c>
      <c r="E18" s="538"/>
      <c r="F18" s="431">
        <f>StepTest!F18</f>
        <v>13.64</v>
      </c>
      <c r="G18" s="431">
        <f>StepTest!G18</f>
        <v>4.1900000000000004</v>
      </c>
      <c r="H18" s="529"/>
      <c r="I18" s="534"/>
      <c r="J18" s="535"/>
    </row>
    <row r="19" spans="1:10" ht="24.95" customHeight="1">
      <c r="A19" s="428"/>
      <c r="B19" s="426"/>
      <c r="C19" s="430">
        <f t="shared" si="0"/>
        <v>45489.472222222226</v>
      </c>
      <c r="D19" s="538">
        <v>20</v>
      </c>
      <c r="E19" s="538"/>
      <c r="F19" s="431">
        <f>StepTest!F19</f>
        <v>13.98</v>
      </c>
      <c r="G19" s="431">
        <f>StepTest!G19</f>
        <v>4.53</v>
      </c>
      <c r="H19" s="529"/>
      <c r="I19" s="534"/>
      <c r="J19" s="535"/>
    </row>
    <row r="20" spans="1:10" ht="24.95" customHeight="1">
      <c r="A20" s="428"/>
      <c r="B20" s="426"/>
      <c r="C20" s="430">
        <f t="shared" si="0"/>
        <v>45489.475694444445</v>
      </c>
      <c r="D20" s="538">
        <v>25</v>
      </c>
      <c r="E20" s="538"/>
      <c r="F20" s="431">
        <f>StepTest!F20</f>
        <v>14.239999999999998</v>
      </c>
      <c r="G20" s="431">
        <f>StepTest!G20</f>
        <v>4.79</v>
      </c>
      <c r="H20" s="529"/>
      <c r="I20" s="534"/>
      <c r="J20" s="535"/>
    </row>
    <row r="21" spans="1:10" ht="24.95" customHeight="1">
      <c r="A21" s="428"/>
      <c r="B21" s="426"/>
      <c r="C21" s="430">
        <f t="shared" si="0"/>
        <v>45489.479166666672</v>
      </c>
      <c r="D21" s="538">
        <v>30</v>
      </c>
      <c r="E21" s="538"/>
      <c r="F21" s="431">
        <f>StepTest!F21</f>
        <v>14.45</v>
      </c>
      <c r="G21" s="431">
        <f>StepTest!G21</f>
        <v>5</v>
      </c>
      <c r="H21" s="529"/>
      <c r="I21" s="534"/>
      <c r="J21" s="535"/>
    </row>
    <row r="22" spans="1:10" ht="24.95" customHeight="1">
      <c r="A22" s="428"/>
      <c r="B22" s="426"/>
      <c r="C22" s="430">
        <f t="shared" si="0"/>
        <v>45489.482638888891</v>
      </c>
      <c r="D22" s="538">
        <v>35</v>
      </c>
      <c r="E22" s="538"/>
      <c r="F22" s="431">
        <f>StepTest!F22</f>
        <v>14.64</v>
      </c>
      <c r="G22" s="431">
        <f>StepTest!G22</f>
        <v>5.19</v>
      </c>
      <c r="H22" s="529"/>
      <c r="I22" s="534"/>
      <c r="J22" s="535"/>
    </row>
    <row r="23" spans="1:10" ht="24.95" customHeight="1">
      <c r="A23" s="428"/>
      <c r="B23" s="426"/>
      <c r="C23" s="430">
        <f t="shared" si="0"/>
        <v>45489.486111111117</v>
      </c>
      <c r="D23" s="538">
        <v>40</v>
      </c>
      <c r="E23" s="538"/>
      <c r="F23" s="431">
        <f>StepTest!F23</f>
        <v>14.79</v>
      </c>
      <c r="G23" s="431">
        <f>StepTest!G23</f>
        <v>5.34</v>
      </c>
      <c r="H23" s="529"/>
      <c r="I23" s="534"/>
      <c r="J23" s="535"/>
    </row>
    <row r="24" spans="1:10" ht="24.95" customHeight="1">
      <c r="A24" s="428"/>
      <c r="B24" s="426"/>
      <c r="C24" s="430">
        <f t="shared" si="0"/>
        <v>45489.489583333336</v>
      </c>
      <c r="D24" s="538">
        <v>45</v>
      </c>
      <c r="E24" s="538"/>
      <c r="F24" s="431">
        <f>StepTest!F24</f>
        <v>14.93</v>
      </c>
      <c r="G24" s="431">
        <f>StepTest!G24</f>
        <v>5.48</v>
      </c>
      <c r="H24" s="529"/>
      <c r="I24" s="534"/>
      <c r="J24" s="535"/>
    </row>
    <row r="25" spans="1:10" ht="24.95" customHeight="1">
      <c r="A25" s="428"/>
      <c r="B25" s="426"/>
      <c r="C25" s="430">
        <f t="shared" si="0"/>
        <v>45489.493055555555</v>
      </c>
      <c r="D25" s="538">
        <v>50</v>
      </c>
      <c r="E25" s="538"/>
      <c r="F25" s="431">
        <f>StepTest!F25</f>
        <v>15.059999999999999</v>
      </c>
      <c r="G25" s="431">
        <f>StepTest!G25</f>
        <v>5.61</v>
      </c>
      <c r="H25" s="529"/>
      <c r="I25" s="534"/>
      <c r="J25" s="535"/>
    </row>
    <row r="26" spans="1:10" ht="24.95" customHeight="1">
      <c r="A26" s="428"/>
      <c r="B26" s="426"/>
      <c r="C26" s="430">
        <f t="shared" si="0"/>
        <v>45489.496527777781</v>
      </c>
      <c r="D26" s="538">
        <v>55</v>
      </c>
      <c r="E26" s="538"/>
      <c r="F26" s="431">
        <f>StepTest!F26</f>
        <v>15.169999999999998</v>
      </c>
      <c r="G26" s="431">
        <f>StepTest!G26</f>
        <v>5.72</v>
      </c>
      <c r="H26" s="529"/>
      <c r="I26" s="534"/>
      <c r="J26" s="535"/>
    </row>
    <row r="27" spans="1:10" ht="24.95" customHeight="1">
      <c r="A27" s="428"/>
      <c r="B27" s="426"/>
      <c r="C27" s="430">
        <f t="shared" si="0"/>
        <v>45489.5</v>
      </c>
      <c r="D27" s="538">
        <v>60</v>
      </c>
      <c r="E27" s="538"/>
      <c r="F27" s="431">
        <f>StepTest!F27</f>
        <v>15.27</v>
      </c>
      <c r="G27" s="431">
        <f>StepTest!G27</f>
        <v>5.82</v>
      </c>
      <c r="H27" s="529"/>
      <c r="I27" s="534"/>
      <c r="J27" s="535"/>
    </row>
    <row r="28" spans="1:10" ht="24.95" customHeight="1">
      <c r="A28" s="428"/>
      <c r="B28" s="426"/>
      <c r="C28" s="430">
        <f t="shared" si="0"/>
        <v>45489.510416666672</v>
      </c>
      <c r="D28" s="538">
        <v>75</v>
      </c>
      <c r="E28" s="538"/>
      <c r="F28" s="431">
        <f>StepTest!F28</f>
        <v>15.53</v>
      </c>
      <c r="G28" s="431">
        <f>StepTest!G28</f>
        <v>6.08</v>
      </c>
      <c r="H28" s="529"/>
      <c r="I28" s="534"/>
      <c r="J28" s="535"/>
    </row>
    <row r="29" spans="1:10" ht="24.95" customHeight="1">
      <c r="A29" s="428"/>
      <c r="B29" s="426"/>
      <c r="C29" s="430">
        <f t="shared" si="0"/>
        <v>45489.520833333336</v>
      </c>
      <c r="D29" s="538">
        <v>90</v>
      </c>
      <c r="E29" s="538"/>
      <c r="F29" s="431">
        <f>StepTest!F29</f>
        <v>15.75</v>
      </c>
      <c r="G29" s="431">
        <f>StepTest!G29</f>
        <v>6.3</v>
      </c>
      <c r="H29" s="529"/>
      <c r="I29" s="534"/>
      <c r="J29" s="535"/>
    </row>
    <row r="30" spans="1:10" ht="24.95" customHeight="1">
      <c r="A30" s="428"/>
      <c r="B30" s="426"/>
      <c r="C30" s="430">
        <f t="shared" si="0"/>
        <v>45489.53125</v>
      </c>
      <c r="D30" s="538">
        <v>105</v>
      </c>
      <c r="E30" s="538"/>
      <c r="F30" s="431">
        <f>StepTest!F30</f>
        <v>15.93</v>
      </c>
      <c r="G30" s="431">
        <f>StepTest!G30</f>
        <v>6.48</v>
      </c>
      <c r="H30" s="529"/>
      <c r="I30" s="534"/>
      <c r="J30" s="535"/>
    </row>
    <row r="31" spans="1:10" ht="24.95" customHeight="1">
      <c r="A31" s="428"/>
      <c r="B31" s="426"/>
      <c r="C31" s="430">
        <f t="shared" si="0"/>
        <v>45489.541666666672</v>
      </c>
      <c r="D31" s="538">
        <v>120</v>
      </c>
      <c r="E31" s="538"/>
      <c r="F31" s="431">
        <f>StepTest!F31</f>
        <v>16.09</v>
      </c>
      <c r="G31" s="431">
        <f>StepTest!G31</f>
        <v>6.64</v>
      </c>
      <c r="H31" s="529"/>
      <c r="I31" s="534"/>
      <c r="J31" s="535"/>
    </row>
    <row r="32" spans="1:10" ht="24.95" customHeight="1">
      <c r="A32" s="432">
        <v>2</v>
      </c>
      <c r="B32" s="429">
        <f>Input!D21</f>
        <v>120</v>
      </c>
      <c r="C32" s="430">
        <f t="shared" si="0"/>
        <v>45489.548611111117</v>
      </c>
      <c r="D32" s="538">
        <v>130</v>
      </c>
      <c r="E32" s="538"/>
      <c r="F32" s="431">
        <f>StepTest!F32</f>
        <v>17.419999999999998</v>
      </c>
      <c r="G32" s="431">
        <f>StepTest!G32</f>
        <v>7.97</v>
      </c>
      <c r="H32" s="529"/>
      <c r="I32" s="534"/>
      <c r="J32" s="535"/>
    </row>
    <row r="33" spans="1:10" ht="24.95" customHeight="1">
      <c r="A33" s="432"/>
      <c r="B33" s="429"/>
      <c r="C33" s="430">
        <f t="shared" si="0"/>
        <v>45489.555555555555</v>
      </c>
      <c r="D33" s="538">
        <v>140</v>
      </c>
      <c r="E33" s="538"/>
      <c r="F33" s="431">
        <f>StepTest!F33</f>
        <v>17.64</v>
      </c>
      <c r="G33" s="431">
        <f>StepTest!G33</f>
        <v>8.19</v>
      </c>
      <c r="H33" s="529"/>
      <c r="I33" s="534"/>
      <c r="J33" s="535"/>
    </row>
    <row r="34" spans="1:10" ht="24.95" customHeight="1">
      <c r="A34" s="432"/>
      <c r="B34" s="429"/>
      <c r="C34" s="430">
        <f t="shared" si="0"/>
        <v>45489.5625</v>
      </c>
      <c r="D34" s="538">
        <v>150</v>
      </c>
      <c r="E34" s="538"/>
      <c r="F34" s="431">
        <f>StepTest!F34</f>
        <v>17.86</v>
      </c>
      <c r="G34" s="431">
        <f>StepTest!G34</f>
        <v>8.41</v>
      </c>
      <c r="H34" s="529"/>
      <c r="I34" s="534"/>
      <c r="J34" s="535"/>
    </row>
    <row r="35" spans="1:10" ht="24.95" customHeight="1">
      <c r="A35" s="432"/>
      <c r="B35" s="429"/>
      <c r="C35" s="430">
        <f t="shared" si="0"/>
        <v>45489.583333333336</v>
      </c>
      <c r="D35" s="538">
        <v>180</v>
      </c>
      <c r="E35" s="538"/>
      <c r="F35" s="431">
        <f>StepTest!F35</f>
        <v>18.079999999999998</v>
      </c>
      <c r="G35" s="431">
        <f>StepTest!G35</f>
        <v>8.6300000000000008</v>
      </c>
      <c r="H35" s="529"/>
      <c r="I35" s="534"/>
      <c r="J35" s="535"/>
    </row>
    <row r="36" spans="1:10" ht="24.95" customHeight="1">
      <c r="A36" s="432"/>
      <c r="B36" s="429"/>
      <c r="C36" s="430">
        <f t="shared" si="0"/>
        <v>45489.625</v>
      </c>
      <c r="D36" s="538">
        <v>240</v>
      </c>
      <c r="E36" s="538"/>
      <c r="F36" s="431">
        <f>StepTest!F36</f>
        <v>18.309999999999999</v>
      </c>
      <c r="G36" s="431">
        <f>StepTest!G36</f>
        <v>8.86</v>
      </c>
      <c r="H36" s="529"/>
      <c r="I36" s="534"/>
      <c r="J36" s="535"/>
    </row>
    <row r="37" spans="1:10" ht="24.95" customHeight="1">
      <c r="A37" s="432">
        <v>3</v>
      </c>
      <c r="B37" s="429">
        <f>Input!D22</f>
        <v>146.19999999999999</v>
      </c>
      <c r="C37" s="430">
        <f t="shared" si="0"/>
        <v>45489.631944444445</v>
      </c>
      <c r="D37" s="538">
        <v>250</v>
      </c>
      <c r="E37" s="538"/>
      <c r="F37" s="431">
        <f>StepTest!F37</f>
        <v>19.799999999999997</v>
      </c>
      <c r="G37" s="431">
        <f>StepTest!G37</f>
        <v>10.35</v>
      </c>
      <c r="H37" s="529"/>
      <c r="I37" s="534"/>
      <c r="J37" s="535"/>
    </row>
    <row r="38" spans="1:10" ht="24.95" customHeight="1">
      <c r="A38" s="432"/>
      <c r="B38" s="429"/>
      <c r="C38" s="430">
        <f t="shared" si="0"/>
        <v>45489.638888888891</v>
      </c>
      <c r="D38" s="538">
        <v>260</v>
      </c>
      <c r="E38" s="538"/>
      <c r="F38" s="431">
        <f>StepTest!F38</f>
        <v>20.049999999999997</v>
      </c>
      <c r="G38" s="431">
        <f>StepTest!G38</f>
        <v>10.6</v>
      </c>
      <c r="H38" s="529"/>
      <c r="I38" s="534"/>
      <c r="J38" s="535"/>
    </row>
    <row r="39" spans="1:10" ht="24.95" customHeight="1">
      <c r="A39" s="432"/>
      <c r="B39" s="429"/>
      <c r="C39" s="430">
        <f t="shared" si="0"/>
        <v>45489.645833333336</v>
      </c>
      <c r="D39" s="538">
        <v>270</v>
      </c>
      <c r="E39" s="538"/>
      <c r="F39" s="431">
        <f>StepTest!F39</f>
        <v>20.299999999999997</v>
      </c>
      <c r="G39" s="431">
        <f>StepTest!G39</f>
        <v>10.85</v>
      </c>
      <c r="H39" s="529"/>
      <c r="I39" s="534"/>
      <c r="J39" s="535"/>
    </row>
    <row r="40" spans="1:10" ht="24.95" customHeight="1">
      <c r="A40" s="432"/>
      <c r="B40" s="429"/>
      <c r="C40" s="430">
        <f t="shared" si="0"/>
        <v>45489.666666666672</v>
      </c>
      <c r="D40" s="538">
        <v>300</v>
      </c>
      <c r="E40" s="538"/>
      <c r="F40" s="431">
        <f>StepTest!F40</f>
        <v>20.549999999999997</v>
      </c>
      <c r="G40" s="431">
        <f>StepTest!G40</f>
        <v>11.1</v>
      </c>
      <c r="H40" s="529"/>
      <c r="I40" s="534"/>
      <c r="J40" s="535"/>
    </row>
    <row r="41" spans="1:10" ht="24.95" customHeight="1">
      <c r="A41" s="432"/>
      <c r="B41" s="429"/>
      <c r="C41" s="430">
        <f t="shared" si="0"/>
        <v>45489.708333333336</v>
      </c>
      <c r="D41" s="538">
        <v>360</v>
      </c>
      <c r="E41" s="538"/>
      <c r="F41" s="431">
        <f>StepTest!F41</f>
        <v>20.799999999999997</v>
      </c>
      <c r="G41" s="431">
        <f>StepTest!G41</f>
        <v>11.35</v>
      </c>
      <c r="H41" s="529"/>
      <c r="I41" s="534"/>
      <c r="J41" s="535"/>
    </row>
    <row r="42" spans="1:10" ht="24.95" customHeight="1">
      <c r="A42" s="432">
        <v>4</v>
      </c>
      <c r="B42" s="429">
        <f>Input!D23</f>
        <v>172</v>
      </c>
      <c r="C42" s="430">
        <f t="shared" si="0"/>
        <v>45489.715277777781</v>
      </c>
      <c r="D42" s="531">
        <v>370</v>
      </c>
      <c r="E42" s="548"/>
      <c r="F42" s="431">
        <f>StepTest!F42</f>
        <v>22.46</v>
      </c>
      <c r="G42" s="431">
        <f>StepTest!G42</f>
        <v>13.01</v>
      </c>
      <c r="H42" s="529"/>
      <c r="I42" s="534"/>
      <c r="J42" s="535"/>
    </row>
    <row r="43" spans="1:10" ht="24.95" customHeight="1">
      <c r="A43" s="432"/>
      <c r="B43" s="429"/>
      <c r="C43" s="430">
        <f t="shared" si="0"/>
        <v>45489.722222222226</v>
      </c>
      <c r="D43" s="531">
        <v>380</v>
      </c>
      <c r="E43" s="548"/>
      <c r="F43" s="431">
        <f>StepTest!F43</f>
        <v>22.74</v>
      </c>
      <c r="G43" s="431">
        <f>StepTest!G43</f>
        <v>13.29</v>
      </c>
      <c r="H43" s="529"/>
      <c r="I43" s="534"/>
      <c r="J43" s="535"/>
    </row>
    <row r="44" spans="1:10" ht="24.95" customHeight="1">
      <c r="A44" s="432"/>
      <c r="B44" s="429"/>
      <c r="C44" s="430">
        <f t="shared" si="0"/>
        <v>45489.729166666672</v>
      </c>
      <c r="D44" s="531">
        <v>390</v>
      </c>
      <c r="E44" s="548"/>
      <c r="F44" s="431">
        <f>StepTest!F44</f>
        <v>23.02</v>
      </c>
      <c r="G44" s="431">
        <f>StepTest!G44</f>
        <v>13.57</v>
      </c>
      <c r="H44" s="529"/>
      <c r="I44" s="534"/>
      <c r="J44" s="535"/>
    </row>
    <row r="45" spans="1:10" ht="24.95" customHeight="1">
      <c r="A45" s="432"/>
      <c r="B45" s="429"/>
      <c r="C45" s="430">
        <f t="shared" si="0"/>
        <v>45489.75</v>
      </c>
      <c r="D45" s="531">
        <v>420</v>
      </c>
      <c r="E45" s="548"/>
      <c r="F45" s="431">
        <f>StepTest!F45</f>
        <v>23.299999999999997</v>
      </c>
      <c r="G45" s="431">
        <f>StepTest!G45</f>
        <v>13.85</v>
      </c>
      <c r="H45" s="529"/>
      <c r="I45" s="534"/>
      <c r="J45" s="535"/>
    </row>
    <row r="46" spans="1:10" ht="24.95" customHeight="1">
      <c r="A46" s="432"/>
      <c r="B46" s="429"/>
      <c r="C46" s="430">
        <f t="shared" si="0"/>
        <v>45489.791666666672</v>
      </c>
      <c r="D46" s="531">
        <v>480</v>
      </c>
      <c r="E46" s="548"/>
      <c r="F46" s="431">
        <f>StepTest!F46</f>
        <v>23.58</v>
      </c>
      <c r="G46" s="431">
        <f>StepTest!G46</f>
        <v>14.13</v>
      </c>
      <c r="H46" s="529"/>
      <c r="I46" s="534"/>
      <c r="J46" s="535"/>
    </row>
    <row r="47" spans="1:10" ht="24.95" customHeight="1">
      <c r="A47" s="432">
        <v>5</v>
      </c>
      <c r="B47" s="429">
        <f>Input!D24</f>
        <v>197.79999999999998</v>
      </c>
      <c r="C47" s="430">
        <f t="shared" si="0"/>
        <v>45489.798611111117</v>
      </c>
      <c r="D47" s="531">
        <v>490</v>
      </c>
      <c r="E47" s="548"/>
      <c r="F47" s="431">
        <f>StepTest!F47</f>
        <v>25.27</v>
      </c>
      <c r="G47" s="431">
        <f>StepTest!G47</f>
        <v>15.82</v>
      </c>
      <c r="H47" s="529"/>
      <c r="I47" s="534"/>
      <c r="J47" s="535"/>
    </row>
    <row r="48" spans="1:10" ht="24.95" customHeight="1">
      <c r="A48" s="432"/>
      <c r="B48" s="429"/>
      <c r="C48" s="430">
        <f t="shared" si="0"/>
        <v>45489.805555555555</v>
      </c>
      <c r="D48" s="531">
        <v>500</v>
      </c>
      <c r="E48" s="548"/>
      <c r="F48" s="431">
        <f>StepTest!F48</f>
        <v>25.9</v>
      </c>
      <c r="G48" s="431">
        <f>StepTest!G48</f>
        <v>16.45</v>
      </c>
      <c r="H48" s="529"/>
      <c r="I48" s="534"/>
      <c r="J48" s="535"/>
    </row>
    <row r="49" spans="1:10" ht="24.95" customHeight="1">
      <c r="A49" s="432"/>
      <c r="B49" s="429"/>
      <c r="C49" s="430">
        <f t="shared" si="0"/>
        <v>45489.8125</v>
      </c>
      <c r="D49" s="531">
        <v>510</v>
      </c>
      <c r="E49" s="548"/>
      <c r="F49" s="431">
        <f>StepTest!F49</f>
        <v>26.54</v>
      </c>
      <c r="G49" s="431">
        <f>StepTest!G49</f>
        <v>17.09</v>
      </c>
      <c r="H49" s="529"/>
      <c r="I49" s="534"/>
      <c r="J49" s="535"/>
    </row>
    <row r="50" spans="1:10" ht="24.95" customHeight="1">
      <c r="A50" s="432"/>
      <c r="B50" s="429"/>
      <c r="C50" s="430">
        <f t="shared" si="0"/>
        <v>45489.833333333336</v>
      </c>
      <c r="D50" s="531">
        <v>540</v>
      </c>
      <c r="E50" s="548"/>
      <c r="F50" s="431">
        <f>StepTest!F50</f>
        <v>27.169999999999998</v>
      </c>
      <c r="G50" s="431">
        <f>StepTest!G50</f>
        <v>17.72</v>
      </c>
      <c r="H50" s="529"/>
      <c r="I50" s="534"/>
      <c r="J50" s="535"/>
    </row>
    <row r="51" spans="1:10" ht="24.95" customHeight="1">
      <c r="A51" s="433"/>
      <c r="B51" s="434"/>
      <c r="C51" s="435">
        <f t="shared" si="0"/>
        <v>45489.875</v>
      </c>
      <c r="D51" s="560">
        <v>600</v>
      </c>
      <c r="E51" s="561"/>
      <c r="F51" s="436">
        <f>StepTest!F51</f>
        <v>27.81</v>
      </c>
      <c r="G51" s="436">
        <f>StepTest!G51</f>
        <v>18.36</v>
      </c>
      <c r="H51" s="565"/>
      <c r="I51" s="566"/>
      <c r="J51" s="567"/>
    </row>
    <row r="52" spans="1:10" ht="24.95" customHeight="1">
      <c r="A52" s="453"/>
      <c r="B52" s="461"/>
      <c r="C52" s="461"/>
      <c r="D52" s="568"/>
      <c r="E52" s="574"/>
      <c r="F52" s="461"/>
      <c r="G52" s="461"/>
      <c r="H52" s="568"/>
      <c r="I52" s="569"/>
      <c r="J52" s="570"/>
    </row>
    <row r="53" spans="1:10" ht="24.95" customHeight="1">
      <c r="A53" s="453"/>
      <c r="B53" s="461"/>
      <c r="C53" s="461"/>
      <c r="D53" s="568"/>
      <c r="E53" s="574"/>
      <c r="F53" s="461"/>
      <c r="G53" s="461"/>
      <c r="H53" s="568"/>
      <c r="I53" s="569"/>
      <c r="J53" s="570"/>
    </row>
    <row r="54" spans="1:10" ht="24.95" customHeight="1">
      <c r="A54" s="453"/>
      <c r="B54" s="461"/>
      <c r="C54" s="461"/>
      <c r="D54" s="568"/>
      <c r="E54" s="574"/>
      <c r="F54" s="461"/>
      <c r="G54" s="461"/>
      <c r="H54" s="568"/>
      <c r="I54" s="569"/>
      <c r="J54" s="570"/>
    </row>
    <row r="55" spans="1:10" ht="24.95" customHeight="1">
      <c r="A55" s="453"/>
      <c r="B55" s="461"/>
      <c r="C55" s="461"/>
      <c r="D55" s="568"/>
      <c r="E55" s="574"/>
      <c r="F55" s="461"/>
      <c r="G55" s="461"/>
      <c r="H55" s="568"/>
      <c r="I55" s="569"/>
      <c r="J55" s="570"/>
    </row>
    <row r="56" spans="1:10" ht="24.95" customHeight="1">
      <c r="A56" s="453"/>
      <c r="B56" s="461"/>
      <c r="C56" s="461"/>
      <c r="D56" s="568"/>
      <c r="E56" s="574"/>
      <c r="F56" s="461"/>
      <c r="G56" s="461"/>
      <c r="H56" s="568"/>
      <c r="I56" s="569"/>
      <c r="J56" s="570"/>
    </row>
    <row r="57" spans="1:10" ht="24.95" customHeight="1" thickBot="1">
      <c r="A57" s="457"/>
      <c r="B57" s="462"/>
      <c r="C57" s="462"/>
      <c r="D57" s="571"/>
      <c r="E57" s="575"/>
      <c r="F57" s="462"/>
      <c r="G57" s="462"/>
      <c r="H57" s="571"/>
      <c r="I57" s="572"/>
      <c r="J57" s="573"/>
    </row>
    <row r="58" spans="1:10" ht="21" customHeight="1"/>
  </sheetData>
  <mergeCells count="116">
    <mergeCell ref="H55:J55"/>
    <mergeCell ref="H56:J56"/>
    <mergeCell ref="H57:J57"/>
    <mergeCell ref="D52:E52"/>
    <mergeCell ref="D53:E53"/>
    <mergeCell ref="D54:E54"/>
    <mergeCell ref="D55:E55"/>
    <mergeCell ref="D56:E56"/>
    <mergeCell ref="D57:E57"/>
    <mergeCell ref="H36:J36"/>
    <mergeCell ref="H37:J37"/>
    <mergeCell ref="H38:J38"/>
    <mergeCell ref="H27:J27"/>
    <mergeCell ref="H28:J28"/>
    <mergeCell ref="H29:J29"/>
    <mergeCell ref="H52:J52"/>
    <mergeCell ref="H53:J53"/>
    <mergeCell ref="H54:J54"/>
    <mergeCell ref="H32:J32"/>
    <mergeCell ref="H21:J21"/>
    <mergeCell ref="H22:J22"/>
    <mergeCell ref="H23:J23"/>
    <mergeCell ref="H24:J24"/>
    <mergeCell ref="H25:J25"/>
    <mergeCell ref="H26:J26"/>
    <mergeCell ref="H51:J51"/>
    <mergeCell ref="G7:J7"/>
    <mergeCell ref="H45:J45"/>
    <mergeCell ref="H46:J46"/>
    <mergeCell ref="H47:J47"/>
    <mergeCell ref="H48:J48"/>
    <mergeCell ref="H49:J49"/>
    <mergeCell ref="H50:J50"/>
    <mergeCell ref="H39:J39"/>
    <mergeCell ref="H40:J40"/>
    <mergeCell ref="H41:J41"/>
    <mergeCell ref="H42:J42"/>
    <mergeCell ref="H43:J43"/>
    <mergeCell ref="H44:J44"/>
    <mergeCell ref="H33:J33"/>
    <mergeCell ref="H34:J34"/>
    <mergeCell ref="H35:J35"/>
    <mergeCell ref="H15:J15"/>
    <mergeCell ref="H16:J16"/>
    <mergeCell ref="H17:J17"/>
    <mergeCell ref="H18:J18"/>
    <mergeCell ref="H19:J19"/>
    <mergeCell ref="H20:J20"/>
    <mergeCell ref="D43:E43"/>
    <mergeCell ref="D42:E42"/>
    <mergeCell ref="H12:J12"/>
    <mergeCell ref="H13:J13"/>
    <mergeCell ref="H14:J14"/>
    <mergeCell ref="D32:E32"/>
    <mergeCell ref="D33:E33"/>
    <mergeCell ref="D34:E34"/>
    <mergeCell ref="D35:E35"/>
    <mergeCell ref="D36:E36"/>
    <mergeCell ref="D37:E37"/>
    <mergeCell ref="D26:E26"/>
    <mergeCell ref="D27:E27"/>
    <mergeCell ref="D28:E28"/>
    <mergeCell ref="D29:E29"/>
    <mergeCell ref="D30:E30"/>
    <mergeCell ref="H30:J30"/>
    <mergeCell ref="H31:J31"/>
    <mergeCell ref="D31:E31"/>
    <mergeCell ref="D50:E50"/>
    <mergeCell ref="D51:E51"/>
    <mergeCell ref="D44:E44"/>
    <mergeCell ref="D45:E45"/>
    <mergeCell ref="D46:E46"/>
    <mergeCell ref="D47:E47"/>
    <mergeCell ref="D48:E48"/>
    <mergeCell ref="D49:E49"/>
    <mergeCell ref="D38:E38"/>
    <mergeCell ref="D39:E39"/>
    <mergeCell ref="D40:E40"/>
    <mergeCell ref="D41:E41"/>
    <mergeCell ref="D20:E20"/>
    <mergeCell ref="D21:E21"/>
    <mergeCell ref="D22:E22"/>
    <mergeCell ref="D23:E23"/>
    <mergeCell ref="D24:E24"/>
    <mergeCell ref="D25:E25"/>
    <mergeCell ref="D14:E14"/>
    <mergeCell ref="D15:E1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A1:J1"/>
    <mergeCell ref="A2:B2"/>
    <mergeCell ref="C2:J2"/>
    <mergeCell ref="A3:B3"/>
    <mergeCell ref="A4:B4"/>
    <mergeCell ref="C4:J4"/>
    <mergeCell ref="C3:H3"/>
  </mergeCells>
  <phoneticPr fontId="4" type="noConversion"/>
  <pageMargins left="0.70866141732283472" right="0.70866141732283472" top="0.74803149606299213" bottom="0.74803149606299213" header="0.31496062992125984" footer="0.31496062992125984"/>
  <pageSetup paperSize="9" scale="82" orientation="portrait" r:id="rId1"/>
  <rowBreaks count="1" manualBreakCount="1">
    <brk id="34" max="16383" man="1"/>
  </row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9F1FFE-895A-46A2-B744-A8067F7E99DC}">
  <sheetPr codeName="Sheet4">
    <tabColor rgb="FF7030A0"/>
  </sheetPr>
  <dimension ref="A1:J86"/>
  <sheetViews>
    <sheetView showGridLines="0" view="pageBreakPreview" topLeftCell="A61" zoomScaleNormal="130" zoomScaleSheetLayoutView="100" workbookViewId="0">
      <selection activeCell="M17" sqref="M17"/>
    </sheetView>
  </sheetViews>
  <sheetFormatPr defaultRowHeight="16.5"/>
  <cols>
    <col min="1" max="2" width="9" style="448"/>
    <col min="3" max="3" width="11.375" style="448" customWidth="1"/>
    <col min="4" max="4" width="6.75" style="448" customWidth="1"/>
    <col min="5" max="5" width="7.25" style="448" customWidth="1"/>
    <col min="6" max="6" width="13.875" style="448" bestFit="1" customWidth="1"/>
    <col min="7" max="7" width="12.125" style="448" customWidth="1"/>
    <col min="8" max="16384" width="9" style="448"/>
  </cols>
  <sheetData>
    <row r="1" spans="1:10" ht="45.75" customHeight="1" thickBot="1">
      <c r="A1" s="541" t="s">
        <v>319</v>
      </c>
      <c r="B1" s="541"/>
      <c r="C1" s="541"/>
      <c r="D1" s="541"/>
      <c r="E1" s="541"/>
      <c r="F1" s="541"/>
      <c r="G1" s="541"/>
      <c r="H1" s="541"/>
      <c r="I1" s="541"/>
      <c r="J1" s="541"/>
    </row>
    <row r="2" spans="1:10" ht="24.95" customHeight="1">
      <c r="A2" s="542" t="s">
        <v>295</v>
      </c>
      <c r="B2" s="543"/>
      <c r="C2" s="544" t="str">
        <f>LongTest!C2</f>
        <v>순성중명아파트 이용허가 유효기간의 연장을 위한 지하수영향조사보고서</v>
      </c>
      <c r="D2" s="545"/>
      <c r="E2" s="545"/>
      <c r="F2" s="545"/>
      <c r="G2" s="545"/>
      <c r="H2" s="545"/>
      <c r="I2" s="545"/>
      <c r="J2" s="546"/>
    </row>
    <row r="3" spans="1:10" ht="24.95" customHeight="1">
      <c r="A3" s="547" t="s">
        <v>296</v>
      </c>
      <c r="B3" s="548"/>
      <c r="C3" s="552" t="str">
        <f>LongTest!C4</f>
        <v>충청남도 당진시 순성면 순성로 453-30번지</v>
      </c>
      <c r="D3" s="553"/>
      <c r="E3" s="553"/>
      <c r="F3" s="553"/>
      <c r="G3" s="553"/>
      <c r="H3" s="554"/>
      <c r="I3" s="424" t="str">
        <f>Input!I54</f>
        <v>W-1</v>
      </c>
      <c r="J3" s="425" t="s">
        <v>322</v>
      </c>
    </row>
    <row r="4" spans="1:10" ht="24.95" customHeight="1">
      <c r="A4" s="547" t="s">
        <v>297</v>
      </c>
      <c r="B4" s="548"/>
      <c r="C4" s="549">
        <f>LongTest!C10</f>
        <v>45454.472222222219</v>
      </c>
      <c r="D4" s="550"/>
      <c r="E4" s="550"/>
      <c r="F4" s="550"/>
      <c r="G4" s="550"/>
      <c r="H4" s="550"/>
      <c r="I4" s="550"/>
      <c r="J4" s="551"/>
    </row>
    <row r="5" spans="1:10" ht="24.95" customHeight="1">
      <c r="A5" s="547" t="s">
        <v>298</v>
      </c>
      <c r="B5" s="548"/>
      <c r="C5" s="549">
        <f>LongTest!C77</f>
        <v>45456.472222222219</v>
      </c>
      <c r="D5" s="550"/>
      <c r="E5" s="550"/>
      <c r="F5" s="550"/>
      <c r="G5" s="550"/>
      <c r="H5" s="550"/>
      <c r="I5" s="550"/>
      <c r="J5" s="551"/>
    </row>
    <row r="6" spans="1:10" ht="24.95" customHeight="1">
      <c r="A6" s="547" t="s">
        <v>294</v>
      </c>
      <c r="B6" s="548"/>
      <c r="C6" s="555" t="str">
        <f>LongTest!C5</f>
        <v>주식회사 한일지하수</v>
      </c>
      <c r="D6" s="556"/>
      <c r="E6" s="556"/>
      <c r="F6" s="556"/>
      <c r="G6" s="556"/>
      <c r="H6" s="556"/>
      <c r="I6" s="556"/>
      <c r="J6" s="557"/>
    </row>
    <row r="7" spans="1:10" ht="24.95" customHeight="1">
      <c r="A7" s="547" t="s">
        <v>299</v>
      </c>
      <c r="B7" s="548"/>
      <c r="C7" s="531" t="s">
        <v>326</v>
      </c>
      <c r="D7" s="548"/>
      <c r="E7" s="426">
        <f>LongTest!C6</f>
        <v>5</v>
      </c>
      <c r="F7" s="426" t="s">
        <v>300</v>
      </c>
      <c r="G7" s="426" t="s">
        <v>328</v>
      </c>
      <c r="H7" s="531">
        <f>Input!I50</f>
        <v>50</v>
      </c>
      <c r="I7" s="548"/>
      <c r="J7" s="427" t="s">
        <v>301</v>
      </c>
    </row>
    <row r="8" spans="1:10" ht="24.95" customHeight="1">
      <c r="A8" s="547" t="s">
        <v>302</v>
      </c>
      <c r="B8" s="548"/>
      <c r="C8" s="531" t="s">
        <v>327</v>
      </c>
      <c r="D8" s="548"/>
      <c r="E8" s="426">
        <f>LongTest!D7</f>
        <v>200</v>
      </c>
      <c r="F8" s="426" t="s">
        <v>303</v>
      </c>
      <c r="G8" s="426" t="s">
        <v>304</v>
      </c>
      <c r="H8" s="531">
        <f>LongTest!G7</f>
        <v>100</v>
      </c>
      <c r="I8" s="548"/>
      <c r="J8" s="427" t="s">
        <v>301</v>
      </c>
    </row>
    <row r="9" spans="1:10" ht="24.95" customHeight="1">
      <c r="A9" s="547" t="s">
        <v>305</v>
      </c>
      <c r="B9" s="548"/>
      <c r="C9" s="531" t="s">
        <v>325</v>
      </c>
      <c r="D9" s="548"/>
      <c r="E9" s="426">
        <f>LongTest!D8</f>
        <v>9.4499999999999993</v>
      </c>
      <c r="F9" s="426" t="s">
        <v>301</v>
      </c>
      <c r="G9" s="426" t="s">
        <v>306</v>
      </c>
      <c r="H9" s="531">
        <f>LongTest!G8</f>
        <v>25.330000000000002</v>
      </c>
      <c r="I9" s="548"/>
      <c r="J9" s="427" t="s">
        <v>301</v>
      </c>
    </row>
    <row r="10" spans="1:10" ht="24.95" customHeight="1">
      <c r="A10" s="539" t="s">
        <v>307</v>
      </c>
      <c r="B10" s="440" t="s">
        <v>308</v>
      </c>
      <c r="C10" s="540" t="s">
        <v>190</v>
      </c>
      <c r="D10" s="540" t="s">
        <v>310</v>
      </c>
      <c r="E10" s="540"/>
      <c r="F10" s="440" t="s">
        <v>311</v>
      </c>
      <c r="G10" s="440" t="s">
        <v>313</v>
      </c>
      <c r="H10" s="440" t="s">
        <v>314</v>
      </c>
      <c r="I10" s="440" t="s">
        <v>315</v>
      </c>
      <c r="J10" s="441" t="s">
        <v>318</v>
      </c>
    </row>
    <row r="11" spans="1:10" ht="24.95" customHeight="1">
      <c r="A11" s="539"/>
      <c r="B11" s="440" t="s">
        <v>331</v>
      </c>
      <c r="C11" s="540"/>
      <c r="D11" s="540" t="s">
        <v>332</v>
      </c>
      <c r="E11" s="540"/>
      <c r="F11" s="440" t="s">
        <v>312</v>
      </c>
      <c r="G11" s="440" t="s">
        <v>312</v>
      </c>
      <c r="H11" s="440" t="s">
        <v>333</v>
      </c>
      <c r="I11" s="466" t="s">
        <v>334</v>
      </c>
      <c r="J11" s="442"/>
    </row>
    <row r="12" spans="1:10" ht="24.95" customHeight="1">
      <c r="A12" s="428">
        <v>1</v>
      </c>
      <c r="B12" s="426">
        <v>173</v>
      </c>
      <c r="C12" s="430">
        <f t="shared" ref="C12:C43" si="0">$C$4+D12/1440</f>
        <v>45454.472916666666</v>
      </c>
      <c r="D12" s="538">
        <v>1</v>
      </c>
      <c r="E12" s="538"/>
      <c r="F12" s="431">
        <f>LongTest!F10</f>
        <v>12.765655952211457</v>
      </c>
      <c r="G12" s="431">
        <f>LongTest!G10</f>
        <v>3.3156559522114577</v>
      </c>
      <c r="H12" s="334"/>
      <c r="I12" s="334"/>
      <c r="J12" s="449"/>
    </row>
    <row r="13" spans="1:10" ht="24.95" customHeight="1">
      <c r="A13" s="428"/>
      <c r="B13" s="426"/>
      <c r="C13" s="430">
        <f t="shared" si="0"/>
        <v>45454.473611111105</v>
      </c>
      <c r="D13" s="538">
        <v>2</v>
      </c>
      <c r="E13" s="538"/>
      <c r="F13" s="431">
        <f>LongTest!F11</f>
        <v>14.149879737904628</v>
      </c>
      <c r="G13" s="431">
        <f>LongTest!G11</f>
        <v>4.6998797379046291</v>
      </c>
      <c r="H13" s="334"/>
      <c r="I13" s="334"/>
      <c r="J13" s="449"/>
    </row>
    <row r="14" spans="1:10" ht="24.95" customHeight="1">
      <c r="A14" s="428"/>
      <c r="B14" s="426"/>
      <c r="C14" s="430">
        <f t="shared" si="0"/>
        <v>45454.474305555552</v>
      </c>
      <c r="D14" s="538">
        <v>3</v>
      </c>
      <c r="E14" s="538"/>
      <c r="F14" s="431">
        <f>LongTest!F12</f>
        <v>14.959598745141413</v>
      </c>
      <c r="G14" s="431">
        <f>LongTest!G12</f>
        <v>5.5095987451414139</v>
      </c>
      <c r="H14" s="334"/>
      <c r="I14" s="334"/>
      <c r="J14" s="449"/>
    </row>
    <row r="15" spans="1:10" ht="24.95" customHeight="1">
      <c r="A15" s="428"/>
      <c r="B15" s="426"/>
      <c r="C15" s="430">
        <f t="shared" si="0"/>
        <v>45454.474999999999</v>
      </c>
      <c r="D15" s="538">
        <v>4</v>
      </c>
      <c r="E15" s="538"/>
      <c r="F15" s="431">
        <f>LongTest!F13</f>
        <v>15.534103523597803</v>
      </c>
      <c r="G15" s="431">
        <f>LongTest!G13</f>
        <v>6.084103523597804</v>
      </c>
      <c r="H15" s="334"/>
      <c r="I15" s="334"/>
      <c r="J15" s="449"/>
    </row>
    <row r="16" spans="1:10" ht="24.95" customHeight="1">
      <c r="A16" s="428"/>
      <c r="B16" s="426"/>
      <c r="C16" s="430">
        <f t="shared" si="0"/>
        <v>45454.475694444438</v>
      </c>
      <c r="D16" s="538">
        <v>5</v>
      </c>
      <c r="E16" s="538"/>
      <c r="F16" s="431">
        <f>LongTest!F14</f>
        <v>15.97972404982378</v>
      </c>
      <c r="G16" s="431">
        <f>LongTest!G14</f>
        <v>6.5297240498237805</v>
      </c>
      <c r="H16" s="426">
        <f>'w1'!D14</f>
        <v>15.5</v>
      </c>
      <c r="I16" s="426">
        <f>'w1'!E14</f>
        <v>202</v>
      </c>
      <c r="J16" s="427">
        <f>'w1'!F14</f>
        <v>6.38</v>
      </c>
    </row>
    <row r="17" spans="1:10" ht="24.95" customHeight="1">
      <c r="A17" s="428"/>
      <c r="B17" s="426"/>
      <c r="C17" s="430">
        <f t="shared" si="0"/>
        <v>45454.479166666664</v>
      </c>
      <c r="D17" s="538">
        <v>10</v>
      </c>
      <c r="E17" s="538"/>
      <c r="F17" s="431">
        <f>LongTest!F15</f>
        <v>17.363947835516949</v>
      </c>
      <c r="G17" s="431">
        <f>LongTest!G15</f>
        <v>7.9139478355169501</v>
      </c>
      <c r="H17" s="426"/>
      <c r="I17" s="426"/>
      <c r="J17" s="427"/>
    </row>
    <row r="18" spans="1:10" ht="24.95" customHeight="1">
      <c r="A18" s="428"/>
      <c r="B18" s="426"/>
      <c r="C18" s="430">
        <f t="shared" si="0"/>
        <v>45454.482638888883</v>
      </c>
      <c r="D18" s="538">
        <v>15</v>
      </c>
      <c r="E18" s="538"/>
      <c r="F18" s="431">
        <f>LongTest!F16</f>
        <v>18.173666842753736</v>
      </c>
      <c r="G18" s="431">
        <f>LongTest!G16</f>
        <v>8.7236668427537367</v>
      </c>
      <c r="H18" s="426"/>
      <c r="I18" s="426"/>
      <c r="J18" s="427"/>
    </row>
    <row r="19" spans="1:10" ht="24.95" customHeight="1">
      <c r="A19" s="428"/>
      <c r="B19" s="426"/>
      <c r="C19" s="430">
        <f t="shared" si="0"/>
        <v>45454.486111111109</v>
      </c>
      <c r="D19" s="538">
        <v>20</v>
      </c>
      <c r="E19" s="538"/>
      <c r="F19" s="431">
        <f>LongTest!F17</f>
        <v>18.748171621210126</v>
      </c>
      <c r="G19" s="431">
        <f>LongTest!G17</f>
        <v>9.2981716212101269</v>
      </c>
      <c r="H19" s="426"/>
      <c r="I19" s="426"/>
      <c r="J19" s="427"/>
    </row>
    <row r="20" spans="1:10" ht="24.95" customHeight="1">
      <c r="A20" s="428"/>
      <c r="B20" s="426"/>
      <c r="C20" s="430">
        <f t="shared" si="0"/>
        <v>45454.489583333328</v>
      </c>
      <c r="D20" s="538">
        <v>25</v>
      </c>
      <c r="E20" s="538"/>
      <c r="F20" s="431">
        <f>LongTest!F18</f>
        <v>19.193792147436099</v>
      </c>
      <c r="G20" s="431">
        <f>LongTest!G18</f>
        <v>9.7437921474360998</v>
      </c>
      <c r="H20" s="426"/>
      <c r="I20" s="426"/>
      <c r="J20" s="427"/>
    </row>
    <row r="21" spans="1:10" ht="24.95" customHeight="1">
      <c r="A21" s="428"/>
      <c r="B21" s="426"/>
      <c r="C21" s="430">
        <f t="shared" si="0"/>
        <v>45454.493055555555</v>
      </c>
      <c r="D21" s="538">
        <v>30</v>
      </c>
      <c r="E21" s="538"/>
      <c r="F21" s="431">
        <f>LongTest!F19</f>
        <v>19.557890628446909</v>
      </c>
      <c r="G21" s="431">
        <f>LongTest!G19</f>
        <v>10.10789062844691</v>
      </c>
      <c r="H21" s="426">
        <f>'w1'!D15</f>
        <v>15.200000000000001</v>
      </c>
      <c r="I21" s="426">
        <f>'w1'!E15</f>
        <v>207</v>
      </c>
      <c r="J21" s="427">
        <f>'w1'!F15</f>
        <v>6.62</v>
      </c>
    </row>
    <row r="22" spans="1:10" ht="24.95" customHeight="1">
      <c r="A22" s="428"/>
      <c r="B22" s="426"/>
      <c r="C22" s="430">
        <f t="shared" si="0"/>
        <v>45454.496527777774</v>
      </c>
      <c r="D22" s="538">
        <v>35</v>
      </c>
      <c r="E22" s="538"/>
      <c r="F22" s="431">
        <f>LongTest!F20</f>
        <v>19.865731507818719</v>
      </c>
      <c r="G22" s="431">
        <f>LongTest!G20</f>
        <v>10.41573150781872</v>
      </c>
      <c r="H22" s="426"/>
      <c r="I22" s="426"/>
      <c r="J22" s="427"/>
    </row>
    <row r="23" spans="1:10" ht="24.95" customHeight="1">
      <c r="A23" s="428"/>
      <c r="B23" s="426"/>
      <c r="C23" s="430">
        <f t="shared" si="0"/>
        <v>45454.5</v>
      </c>
      <c r="D23" s="538">
        <v>40</v>
      </c>
      <c r="E23" s="538"/>
      <c r="F23" s="431">
        <f>LongTest!F21</f>
        <v>20.132395406903299</v>
      </c>
      <c r="G23" s="431">
        <f>LongTest!G21</f>
        <v>10.6823954069033</v>
      </c>
      <c r="H23" s="426"/>
      <c r="I23" s="426"/>
      <c r="J23" s="427"/>
    </row>
    <row r="24" spans="1:10" ht="24.95" customHeight="1">
      <c r="A24" s="428"/>
      <c r="B24" s="426"/>
      <c r="C24" s="430">
        <f t="shared" si="0"/>
        <v>45454.503472222219</v>
      </c>
      <c r="D24" s="538">
        <v>45</v>
      </c>
      <c r="E24" s="538"/>
      <c r="F24" s="431">
        <f>LongTest!F22</f>
        <v>20.367609635683696</v>
      </c>
      <c r="G24" s="431">
        <f>LongTest!G22</f>
        <v>10.917609635683696</v>
      </c>
      <c r="H24" s="426"/>
      <c r="I24" s="426"/>
      <c r="J24" s="427"/>
    </row>
    <row r="25" spans="1:10" ht="24.95" customHeight="1">
      <c r="A25" s="428"/>
      <c r="B25" s="426"/>
      <c r="C25" s="430">
        <f t="shared" si="0"/>
        <v>45454.506944444438</v>
      </c>
      <c r="D25" s="538">
        <v>50</v>
      </c>
      <c r="E25" s="538"/>
      <c r="F25" s="431">
        <f>LongTest!F23</f>
        <v>20.578015933129272</v>
      </c>
      <c r="G25" s="431">
        <f>LongTest!G23</f>
        <v>11.128015933129273</v>
      </c>
      <c r="H25" s="426"/>
      <c r="I25" s="426"/>
      <c r="J25" s="427"/>
    </row>
    <row r="26" spans="1:10" ht="24.95" customHeight="1">
      <c r="A26" s="428"/>
      <c r="B26" s="426"/>
      <c r="C26" s="430">
        <f t="shared" si="0"/>
        <v>45454.510416666664</v>
      </c>
      <c r="D26" s="538">
        <v>55</v>
      </c>
      <c r="E26" s="538"/>
      <c r="F26" s="431">
        <f>LongTest!F24</f>
        <v>20.768351581320562</v>
      </c>
      <c r="G26" s="431">
        <f>LongTest!G24</f>
        <v>11.318351581320563</v>
      </c>
      <c r="H26" s="426"/>
      <c r="I26" s="426"/>
      <c r="J26" s="427"/>
    </row>
    <row r="27" spans="1:10" ht="24.95" customHeight="1">
      <c r="A27" s="428"/>
      <c r="B27" s="426"/>
      <c r="C27" s="430">
        <f t="shared" si="0"/>
        <v>45454.513888888883</v>
      </c>
      <c r="D27" s="538">
        <v>60</v>
      </c>
      <c r="E27" s="538"/>
      <c r="F27" s="431">
        <f>LongTest!F25</f>
        <v>20.942114414140082</v>
      </c>
      <c r="G27" s="431">
        <f>LongTest!G25</f>
        <v>11.492114414140083</v>
      </c>
      <c r="H27" s="426">
        <f>'w1'!D16</f>
        <v>15.4</v>
      </c>
      <c r="I27" s="426">
        <f>'w1'!E16</f>
        <v>202</v>
      </c>
      <c r="J27" s="427">
        <f>'w1'!F16</f>
        <v>6.41</v>
      </c>
    </row>
    <row r="28" spans="1:10" ht="24.95" customHeight="1">
      <c r="A28" s="428"/>
      <c r="B28" s="426"/>
      <c r="C28" s="430">
        <f t="shared" si="0"/>
        <v>45454.524305555555</v>
      </c>
      <c r="D28" s="538">
        <v>75</v>
      </c>
      <c r="E28" s="538"/>
      <c r="F28" s="431">
        <f>LongTest!F26</f>
        <v>21.387734940366059</v>
      </c>
      <c r="G28" s="431">
        <f>LongTest!G26</f>
        <v>11.93773494036606</v>
      </c>
      <c r="H28" s="426"/>
      <c r="I28" s="426"/>
      <c r="J28" s="427"/>
    </row>
    <row r="29" spans="1:10" ht="24.95" customHeight="1">
      <c r="A29" s="428"/>
      <c r="B29" s="426"/>
      <c r="C29" s="430">
        <f t="shared" si="0"/>
        <v>45454.534722222219</v>
      </c>
      <c r="D29" s="538">
        <v>90</v>
      </c>
      <c r="E29" s="538"/>
      <c r="F29" s="431">
        <f>LongTest!F27</f>
        <v>21.751833421376869</v>
      </c>
      <c r="G29" s="431">
        <f>LongTest!G27</f>
        <v>12.30183342137687</v>
      </c>
      <c r="H29" s="426"/>
      <c r="I29" s="426"/>
      <c r="J29" s="427"/>
    </row>
    <row r="30" spans="1:10" ht="24.95" customHeight="1">
      <c r="A30" s="428"/>
      <c r="B30" s="426"/>
      <c r="C30" s="430">
        <f t="shared" si="0"/>
        <v>45454.545138888883</v>
      </c>
      <c r="D30" s="538">
        <v>105</v>
      </c>
      <c r="E30" s="538"/>
      <c r="F30" s="431">
        <f>LongTest!F28</f>
        <v>22.059674300748675</v>
      </c>
      <c r="G30" s="431">
        <f>LongTest!G28</f>
        <v>12.609674300748676</v>
      </c>
      <c r="H30" s="426"/>
      <c r="I30" s="426"/>
      <c r="J30" s="427"/>
    </row>
    <row r="31" spans="1:10" ht="24.95" customHeight="1">
      <c r="A31" s="428"/>
      <c r="B31" s="426"/>
      <c r="C31" s="430">
        <f t="shared" si="0"/>
        <v>45454.555555555555</v>
      </c>
      <c r="D31" s="538">
        <v>120</v>
      </c>
      <c r="E31" s="538"/>
      <c r="F31" s="431">
        <f>LongTest!F29</f>
        <v>22.326338199833256</v>
      </c>
      <c r="G31" s="431">
        <f>LongTest!G29</f>
        <v>12.876338199833256</v>
      </c>
      <c r="H31" s="426">
        <f>'w1'!D17</f>
        <v>15</v>
      </c>
      <c r="I31" s="426">
        <f>'w1'!E17</f>
        <v>201</v>
      </c>
      <c r="J31" s="427">
        <f>'w1'!F17</f>
        <v>6.37</v>
      </c>
    </row>
    <row r="32" spans="1:10" ht="24.95" customHeight="1">
      <c r="A32" s="428"/>
      <c r="B32" s="450"/>
      <c r="C32" s="430">
        <f t="shared" si="0"/>
        <v>45454.569444444438</v>
      </c>
      <c r="D32" s="538">
        <v>140</v>
      </c>
      <c r="E32" s="538"/>
      <c r="F32" s="431">
        <f>LongTest!F30</f>
        <v>22.634179079205065</v>
      </c>
      <c r="G32" s="431">
        <f>LongTest!G30</f>
        <v>13.184179079205066</v>
      </c>
      <c r="H32" s="426"/>
      <c r="I32" s="426"/>
      <c r="J32" s="427"/>
    </row>
    <row r="33" spans="1:10" ht="24.95" customHeight="1">
      <c r="A33" s="428"/>
      <c r="B33" s="426"/>
      <c r="C33" s="430">
        <f t="shared" si="0"/>
        <v>45454.583333333328</v>
      </c>
      <c r="D33" s="538">
        <v>160</v>
      </c>
      <c r="E33" s="538"/>
      <c r="F33" s="431">
        <f>LongTest!F31</f>
        <v>22.900842978289646</v>
      </c>
      <c r="G33" s="431">
        <f>LongTest!G31</f>
        <v>13.450842978289646</v>
      </c>
      <c r="H33" s="426"/>
      <c r="I33" s="426"/>
      <c r="J33" s="427"/>
    </row>
    <row r="34" spans="1:10" ht="24.95" customHeight="1">
      <c r="A34" s="428"/>
      <c r="B34" s="426"/>
      <c r="C34" s="430">
        <f t="shared" si="0"/>
        <v>45454.597222222219</v>
      </c>
      <c r="D34" s="538">
        <v>180</v>
      </c>
      <c r="E34" s="538"/>
      <c r="F34" s="431">
        <f>LongTest!F32</f>
        <v>23.136057207070042</v>
      </c>
      <c r="G34" s="431">
        <f>LongTest!G32</f>
        <v>13.686057207070043</v>
      </c>
      <c r="H34" s="426"/>
      <c r="I34" s="426"/>
      <c r="J34" s="427"/>
    </row>
    <row r="35" spans="1:10" ht="24.95" customHeight="1">
      <c r="A35" s="428"/>
      <c r="B35" s="426"/>
      <c r="C35" s="430">
        <f t="shared" si="0"/>
        <v>45454.638888888883</v>
      </c>
      <c r="D35" s="538">
        <v>240</v>
      </c>
      <c r="E35" s="538"/>
      <c r="F35" s="431">
        <f>LongTest!F33</f>
        <v>23.710561985526432</v>
      </c>
      <c r="G35" s="431">
        <f>LongTest!G33</f>
        <v>14.260561985526433</v>
      </c>
      <c r="H35" s="426">
        <f>'w1'!D18</f>
        <v>15</v>
      </c>
      <c r="I35" s="426">
        <f>'w1'!E18</f>
        <v>206</v>
      </c>
      <c r="J35" s="427">
        <f>'w1'!F18</f>
        <v>6.59</v>
      </c>
    </row>
    <row r="36" spans="1:10" ht="24.95" customHeight="1">
      <c r="A36" s="428"/>
      <c r="B36" s="426"/>
      <c r="C36" s="430">
        <f t="shared" si="0"/>
        <v>45454.680555555555</v>
      </c>
      <c r="D36" s="538">
        <v>300</v>
      </c>
      <c r="E36" s="538"/>
      <c r="F36" s="431">
        <f>LongTest!F34</f>
        <v>24.156182511752405</v>
      </c>
      <c r="G36" s="431">
        <f>LongTest!G34</f>
        <v>14.706182511752406</v>
      </c>
      <c r="H36" s="426"/>
      <c r="I36" s="426"/>
      <c r="J36" s="427"/>
    </row>
    <row r="37" spans="1:10" ht="24.95" customHeight="1">
      <c r="A37" s="451"/>
      <c r="B37" s="452"/>
      <c r="C37" s="430">
        <f t="shared" si="0"/>
        <v>45454.722222222219</v>
      </c>
      <c r="D37" s="538">
        <v>360</v>
      </c>
      <c r="E37" s="538"/>
      <c r="F37" s="431">
        <f>LongTest!F35</f>
        <v>24.520280992763215</v>
      </c>
      <c r="G37" s="431">
        <f>LongTest!G35</f>
        <v>15.070280992763216</v>
      </c>
      <c r="H37" s="426"/>
      <c r="I37" s="426"/>
      <c r="J37" s="427"/>
    </row>
    <row r="38" spans="1:10" ht="24.95" customHeight="1">
      <c r="A38" s="428"/>
      <c r="B38" s="426"/>
      <c r="C38" s="430">
        <f t="shared" si="0"/>
        <v>45454.763888888883</v>
      </c>
      <c r="D38" s="538">
        <v>420</v>
      </c>
      <c r="E38" s="538"/>
      <c r="F38" s="431">
        <f>LongTest!F36</f>
        <v>24.828121872135025</v>
      </c>
      <c r="G38" s="431">
        <f>LongTest!G36</f>
        <v>15.378121872135026</v>
      </c>
      <c r="H38" s="426"/>
      <c r="I38" s="426"/>
      <c r="J38" s="427"/>
    </row>
    <row r="39" spans="1:10" ht="24.95" customHeight="1">
      <c r="A39" s="428"/>
      <c r="B39" s="426"/>
      <c r="C39" s="430">
        <f t="shared" si="0"/>
        <v>45454.805555555555</v>
      </c>
      <c r="D39" s="538">
        <v>480</v>
      </c>
      <c r="E39" s="538"/>
      <c r="F39" s="431">
        <f>LongTest!F37</f>
        <v>25.094785771219605</v>
      </c>
      <c r="G39" s="431">
        <f>LongTest!G37</f>
        <v>15.644785771219606</v>
      </c>
      <c r="H39" s="426">
        <f>'w1'!D19</f>
        <v>15.600000000000001</v>
      </c>
      <c r="I39" s="426">
        <f>'w1'!E19</f>
        <v>203</v>
      </c>
      <c r="J39" s="427">
        <f>'w1'!F19</f>
        <v>6.39</v>
      </c>
    </row>
    <row r="40" spans="1:10" ht="24.95" customHeight="1">
      <c r="A40" s="428"/>
      <c r="B40" s="426"/>
      <c r="C40" s="430">
        <f t="shared" si="0"/>
        <v>45454.847222222219</v>
      </c>
      <c r="D40" s="538">
        <v>540</v>
      </c>
      <c r="E40" s="538"/>
      <c r="F40" s="431">
        <f>LongTest!F38</f>
        <v>25.330000000000002</v>
      </c>
      <c r="G40" s="431">
        <f>LongTest!G38</f>
        <v>15.880000000000003</v>
      </c>
      <c r="H40" s="426"/>
      <c r="I40" s="426"/>
      <c r="J40" s="427"/>
    </row>
    <row r="41" spans="1:10" ht="24.95" customHeight="1">
      <c r="A41" s="428"/>
      <c r="B41" s="426"/>
      <c r="C41" s="430">
        <f t="shared" si="0"/>
        <v>45454.888888888883</v>
      </c>
      <c r="D41" s="538">
        <v>600</v>
      </c>
      <c r="E41" s="538"/>
      <c r="F41" s="431">
        <f>LongTest!F39</f>
        <v>25.330000000000002</v>
      </c>
      <c r="G41" s="431">
        <f>LongTest!G39</f>
        <v>15.880000000000003</v>
      </c>
      <c r="H41" s="426"/>
      <c r="I41" s="426"/>
      <c r="J41" s="427"/>
    </row>
    <row r="42" spans="1:10" ht="24.95" customHeight="1">
      <c r="A42" s="451"/>
      <c r="B42" s="452"/>
      <c r="C42" s="430">
        <f t="shared" si="0"/>
        <v>45454.930555555555</v>
      </c>
      <c r="D42" s="538">
        <v>660</v>
      </c>
      <c r="E42" s="538"/>
      <c r="F42" s="431">
        <f>LongTest!F40</f>
        <v>25.330000000000002</v>
      </c>
      <c r="G42" s="431">
        <f>LongTest!G40</f>
        <v>15.880000000000003</v>
      </c>
      <c r="H42" s="426"/>
      <c r="I42" s="426"/>
      <c r="J42" s="427"/>
    </row>
    <row r="43" spans="1:10" ht="24.95" customHeight="1">
      <c r="A43" s="428"/>
      <c r="B43" s="426"/>
      <c r="C43" s="430">
        <f t="shared" si="0"/>
        <v>45454.972222222219</v>
      </c>
      <c r="D43" s="538">
        <v>720</v>
      </c>
      <c r="E43" s="538"/>
      <c r="F43" s="431">
        <f>LongTest!F41</f>
        <v>25.330000000000002</v>
      </c>
      <c r="G43" s="431">
        <f>LongTest!G41</f>
        <v>15.880000000000003</v>
      </c>
      <c r="H43" s="426"/>
      <c r="I43" s="426"/>
      <c r="J43" s="427"/>
    </row>
    <row r="44" spans="1:10" ht="24.95" customHeight="1">
      <c r="A44" s="428"/>
      <c r="B44" s="426"/>
      <c r="C44" s="430">
        <f t="shared" ref="C44:C75" si="1">$C$4+D44/1440</f>
        <v>45455.013888888883</v>
      </c>
      <c r="D44" s="538">
        <v>780</v>
      </c>
      <c r="E44" s="538"/>
      <c r="F44" s="426">
        <f>LongTest!F42</f>
        <v>25.330000000000002</v>
      </c>
      <c r="G44" s="426">
        <f>LongTest!G42</f>
        <v>15.880000000000003</v>
      </c>
      <c r="H44" s="426"/>
      <c r="I44" s="426"/>
      <c r="J44" s="427"/>
    </row>
    <row r="45" spans="1:10" ht="24.95" customHeight="1">
      <c r="A45" s="428"/>
      <c r="B45" s="426"/>
      <c r="C45" s="430">
        <f t="shared" si="1"/>
        <v>45455.055555555555</v>
      </c>
      <c r="D45" s="538">
        <v>840</v>
      </c>
      <c r="E45" s="538"/>
      <c r="F45" s="426">
        <f>LongTest!F43</f>
        <v>25.330000000000002</v>
      </c>
      <c r="G45" s="426">
        <f>LongTest!G43</f>
        <v>15.880000000000003</v>
      </c>
      <c r="H45" s="426"/>
      <c r="I45" s="426"/>
      <c r="J45" s="427"/>
    </row>
    <row r="46" spans="1:10" ht="24.95" customHeight="1">
      <c r="A46" s="428"/>
      <c r="B46" s="426"/>
      <c r="C46" s="430">
        <f t="shared" si="1"/>
        <v>45455.097222222219</v>
      </c>
      <c r="D46" s="538">
        <v>900</v>
      </c>
      <c r="E46" s="538"/>
      <c r="F46" s="426">
        <f>LongTest!F44</f>
        <v>25.330000000000002</v>
      </c>
      <c r="G46" s="426">
        <f>LongTest!G44</f>
        <v>15.880000000000003</v>
      </c>
      <c r="H46" s="426"/>
      <c r="I46" s="426"/>
      <c r="J46" s="427"/>
    </row>
    <row r="47" spans="1:10" ht="24.95" customHeight="1">
      <c r="A47" s="451"/>
      <c r="B47" s="452"/>
      <c r="C47" s="430">
        <f t="shared" si="1"/>
        <v>45455.138888888883</v>
      </c>
      <c r="D47" s="538">
        <v>960</v>
      </c>
      <c r="E47" s="538"/>
      <c r="F47" s="426">
        <f>LongTest!F45</f>
        <v>25.330000000000002</v>
      </c>
      <c r="G47" s="426">
        <f>LongTest!G45</f>
        <v>15.880000000000003</v>
      </c>
      <c r="H47" s="426"/>
      <c r="I47" s="426"/>
      <c r="J47" s="427"/>
    </row>
    <row r="48" spans="1:10" ht="24.95" customHeight="1">
      <c r="A48" s="428"/>
      <c r="B48" s="426"/>
      <c r="C48" s="430">
        <f t="shared" si="1"/>
        <v>45455.180555555555</v>
      </c>
      <c r="D48" s="538">
        <v>1020</v>
      </c>
      <c r="E48" s="538"/>
      <c r="F48" s="426">
        <f>LongTest!F46</f>
        <v>25.330000000000002</v>
      </c>
      <c r="G48" s="426">
        <f>LongTest!G46</f>
        <v>15.880000000000003</v>
      </c>
      <c r="H48" s="426"/>
      <c r="I48" s="426"/>
      <c r="J48" s="427"/>
    </row>
    <row r="49" spans="1:10" ht="24.95" customHeight="1">
      <c r="A49" s="428"/>
      <c r="B49" s="426"/>
      <c r="C49" s="430">
        <f t="shared" si="1"/>
        <v>45455.222222222219</v>
      </c>
      <c r="D49" s="538">
        <v>1080</v>
      </c>
      <c r="E49" s="538"/>
      <c r="F49" s="426">
        <f>LongTest!F47</f>
        <v>25.330000000000002</v>
      </c>
      <c r="G49" s="426">
        <f>LongTest!G47</f>
        <v>15.880000000000003</v>
      </c>
      <c r="H49" s="426"/>
      <c r="I49" s="426"/>
      <c r="J49" s="427"/>
    </row>
    <row r="50" spans="1:10" ht="24.95" customHeight="1">
      <c r="A50" s="428"/>
      <c r="B50" s="426"/>
      <c r="C50" s="430">
        <f t="shared" si="1"/>
        <v>45455.263888888883</v>
      </c>
      <c r="D50" s="538">
        <v>1140</v>
      </c>
      <c r="E50" s="538"/>
      <c r="F50" s="426">
        <f>LongTest!F48</f>
        <v>25.330000000000002</v>
      </c>
      <c r="G50" s="426">
        <f>LongTest!G48</f>
        <v>15.880000000000003</v>
      </c>
      <c r="H50" s="426"/>
      <c r="I50" s="426"/>
      <c r="J50" s="427"/>
    </row>
    <row r="51" spans="1:10" ht="24.95" customHeight="1">
      <c r="A51" s="428"/>
      <c r="B51" s="426"/>
      <c r="C51" s="430">
        <f t="shared" si="1"/>
        <v>45455.305555555555</v>
      </c>
      <c r="D51" s="538">
        <v>1200</v>
      </c>
      <c r="E51" s="538"/>
      <c r="F51" s="426">
        <f>LongTest!F49</f>
        <v>25.330000000000002</v>
      </c>
      <c r="G51" s="426">
        <f>LongTest!G49</f>
        <v>15.880000000000003</v>
      </c>
      <c r="H51" s="426"/>
      <c r="I51" s="426"/>
      <c r="J51" s="427"/>
    </row>
    <row r="52" spans="1:10" ht="24.95" customHeight="1">
      <c r="A52" s="428"/>
      <c r="B52" s="426"/>
      <c r="C52" s="430">
        <f t="shared" si="1"/>
        <v>45455.347222222219</v>
      </c>
      <c r="D52" s="538">
        <v>1260</v>
      </c>
      <c r="E52" s="538"/>
      <c r="F52" s="426">
        <f>LongTest!F50</f>
        <v>25.330000000000002</v>
      </c>
      <c r="G52" s="426">
        <f>LongTest!G50</f>
        <v>15.880000000000003</v>
      </c>
      <c r="H52" s="426"/>
      <c r="I52" s="426"/>
      <c r="J52" s="427"/>
    </row>
    <row r="53" spans="1:10" ht="24.95" customHeight="1">
      <c r="A53" s="428"/>
      <c r="B53" s="426"/>
      <c r="C53" s="430">
        <f t="shared" si="1"/>
        <v>45455.388888888883</v>
      </c>
      <c r="D53" s="538">
        <v>1320</v>
      </c>
      <c r="E53" s="538"/>
      <c r="F53" s="426">
        <f>LongTest!F51</f>
        <v>25.330000000000002</v>
      </c>
      <c r="G53" s="426">
        <f>LongTest!G51</f>
        <v>15.880000000000003</v>
      </c>
      <c r="H53" s="426"/>
      <c r="I53" s="426"/>
      <c r="J53" s="427"/>
    </row>
    <row r="54" spans="1:10" ht="24.95" customHeight="1">
      <c r="A54" s="428"/>
      <c r="B54" s="426"/>
      <c r="C54" s="430">
        <f t="shared" si="1"/>
        <v>45455.430555555555</v>
      </c>
      <c r="D54" s="538">
        <v>1380</v>
      </c>
      <c r="E54" s="538"/>
      <c r="F54" s="426">
        <f>LongTest!F52</f>
        <v>25.330000000000002</v>
      </c>
      <c r="G54" s="426">
        <f>LongTest!G52</f>
        <v>15.880000000000003</v>
      </c>
      <c r="H54" s="426"/>
      <c r="I54" s="426"/>
      <c r="J54" s="427"/>
    </row>
    <row r="55" spans="1:10" ht="24.95" customHeight="1">
      <c r="A55" s="428"/>
      <c r="B55" s="426"/>
      <c r="C55" s="430">
        <f t="shared" si="1"/>
        <v>45455.472222222219</v>
      </c>
      <c r="D55" s="538">
        <v>1440</v>
      </c>
      <c r="E55" s="538"/>
      <c r="F55" s="426">
        <f>LongTest!F53</f>
        <v>25.330000000000002</v>
      </c>
      <c r="G55" s="426">
        <f>LongTest!G53</f>
        <v>15.880000000000003</v>
      </c>
      <c r="H55" s="426">
        <f>'w1'!D20</f>
        <v>15.200000000000001</v>
      </c>
      <c r="I55" s="426">
        <f>'w1'!E20</f>
        <v>205</v>
      </c>
      <c r="J55" s="427">
        <f>'w1'!F20</f>
        <v>6.37</v>
      </c>
    </row>
    <row r="56" spans="1:10" ht="24.95" customHeight="1">
      <c r="A56" s="453"/>
      <c r="B56" s="430"/>
      <c r="C56" s="430">
        <f t="shared" si="1"/>
        <v>45455.513888888883</v>
      </c>
      <c r="D56" s="529">
        <v>1500</v>
      </c>
      <c r="E56" s="530"/>
      <c r="F56" s="426">
        <f>LongTest!F54</f>
        <v>25.330000000000002</v>
      </c>
      <c r="G56" s="426">
        <f>LongTest!G54</f>
        <v>15.880000000000003</v>
      </c>
      <c r="H56" s="426"/>
      <c r="I56" s="426"/>
      <c r="J56" s="427"/>
    </row>
    <row r="57" spans="1:10" ht="24.95" customHeight="1">
      <c r="A57" s="453"/>
      <c r="B57" s="430"/>
      <c r="C57" s="430">
        <f t="shared" si="1"/>
        <v>45455.555555555555</v>
      </c>
      <c r="D57" s="529">
        <v>1560</v>
      </c>
      <c r="E57" s="530"/>
      <c r="F57" s="426">
        <f>LongTest!F55</f>
        <v>25.330000000000002</v>
      </c>
      <c r="G57" s="426">
        <f>LongTest!G55</f>
        <v>15.880000000000003</v>
      </c>
      <c r="H57" s="426"/>
      <c r="I57" s="426"/>
      <c r="J57" s="427"/>
    </row>
    <row r="58" spans="1:10" ht="24.95" customHeight="1">
      <c r="A58" s="453"/>
      <c r="B58" s="430"/>
      <c r="C58" s="430">
        <f t="shared" si="1"/>
        <v>45455.597222222219</v>
      </c>
      <c r="D58" s="529">
        <v>1620</v>
      </c>
      <c r="E58" s="530"/>
      <c r="F58" s="426">
        <f>LongTest!F56</f>
        <v>25.330000000000002</v>
      </c>
      <c r="G58" s="426">
        <f>LongTest!G56</f>
        <v>15.880000000000003</v>
      </c>
      <c r="H58" s="426"/>
      <c r="I58" s="426"/>
      <c r="J58" s="427"/>
    </row>
    <row r="59" spans="1:10" ht="24.95" customHeight="1">
      <c r="A59" s="453"/>
      <c r="B59" s="430"/>
      <c r="C59" s="430">
        <f t="shared" si="1"/>
        <v>45455.638888888883</v>
      </c>
      <c r="D59" s="529">
        <v>1680</v>
      </c>
      <c r="E59" s="530"/>
      <c r="F59" s="426">
        <f>LongTest!F57</f>
        <v>25.330000000000002</v>
      </c>
      <c r="G59" s="426">
        <f>LongTest!G57</f>
        <v>15.880000000000003</v>
      </c>
      <c r="H59" s="426">
        <f>H55</f>
        <v>15.200000000000001</v>
      </c>
      <c r="I59" s="426">
        <f t="shared" ref="I59:J59" si="2">I55</f>
        <v>205</v>
      </c>
      <c r="J59" s="427">
        <f t="shared" si="2"/>
        <v>6.37</v>
      </c>
    </row>
    <row r="60" spans="1:10" ht="24.95" customHeight="1">
      <c r="A60" s="453"/>
      <c r="B60" s="430"/>
      <c r="C60" s="430">
        <f t="shared" si="1"/>
        <v>45455.680555555555</v>
      </c>
      <c r="D60" s="529">
        <v>1740</v>
      </c>
      <c r="E60" s="530"/>
      <c r="F60" s="426">
        <f>LongTest!F58</f>
        <v>25.330000000000002</v>
      </c>
      <c r="G60" s="426">
        <f>LongTest!G58</f>
        <v>15.880000000000003</v>
      </c>
      <c r="H60" s="426"/>
      <c r="I60" s="426"/>
      <c r="J60" s="427"/>
    </row>
    <row r="61" spans="1:10" ht="24.95" customHeight="1">
      <c r="A61" s="453"/>
      <c r="B61" s="430"/>
      <c r="C61" s="430">
        <f t="shared" si="1"/>
        <v>45455.722222222219</v>
      </c>
      <c r="D61" s="529">
        <v>1800</v>
      </c>
      <c r="E61" s="530"/>
      <c r="F61" s="426">
        <f>LongTest!F59</f>
        <v>25.330000000000002</v>
      </c>
      <c r="G61" s="426">
        <f>LongTest!G59</f>
        <v>15.880000000000003</v>
      </c>
      <c r="H61" s="426"/>
      <c r="I61" s="426"/>
      <c r="J61" s="427"/>
    </row>
    <row r="62" spans="1:10" ht="24.95" customHeight="1">
      <c r="A62" s="453"/>
      <c r="B62" s="430"/>
      <c r="C62" s="430">
        <f t="shared" si="1"/>
        <v>45455.763888888883</v>
      </c>
      <c r="D62" s="529">
        <v>1860</v>
      </c>
      <c r="E62" s="530"/>
      <c r="F62" s="426">
        <f>LongTest!F60</f>
        <v>25.330000000000002</v>
      </c>
      <c r="G62" s="426">
        <f>LongTest!G60</f>
        <v>15.880000000000003</v>
      </c>
      <c r="H62" s="426"/>
      <c r="I62" s="426"/>
      <c r="J62" s="427"/>
    </row>
    <row r="63" spans="1:10" ht="24.95" customHeight="1">
      <c r="A63" s="453"/>
      <c r="B63" s="430"/>
      <c r="C63" s="430">
        <f t="shared" si="1"/>
        <v>45455.805555555555</v>
      </c>
      <c r="D63" s="529">
        <v>1920</v>
      </c>
      <c r="E63" s="530"/>
      <c r="F63" s="426">
        <f>LongTest!F61</f>
        <v>25.330000000000002</v>
      </c>
      <c r="G63" s="426">
        <f>LongTest!G61</f>
        <v>15.880000000000003</v>
      </c>
      <c r="H63" s="426">
        <f>H59</f>
        <v>15.200000000000001</v>
      </c>
      <c r="I63" s="426">
        <f t="shared" ref="I63:J63" si="3">I59</f>
        <v>205</v>
      </c>
      <c r="J63" s="427">
        <f t="shared" si="3"/>
        <v>6.37</v>
      </c>
    </row>
    <row r="64" spans="1:10" ht="24.95" customHeight="1">
      <c r="A64" s="453"/>
      <c r="B64" s="430"/>
      <c r="C64" s="430">
        <f t="shared" si="1"/>
        <v>45455.847222222219</v>
      </c>
      <c r="D64" s="529">
        <v>1980</v>
      </c>
      <c r="E64" s="530"/>
      <c r="F64" s="426">
        <f>LongTest!F62</f>
        <v>25.330000000000002</v>
      </c>
      <c r="G64" s="426">
        <f>LongTest!G62</f>
        <v>15.880000000000003</v>
      </c>
      <c r="H64" s="426"/>
      <c r="I64" s="426"/>
      <c r="J64" s="427"/>
    </row>
    <row r="65" spans="1:10" ht="24.95" customHeight="1">
      <c r="A65" s="453"/>
      <c r="B65" s="430"/>
      <c r="C65" s="430">
        <f t="shared" si="1"/>
        <v>45455.888888888883</v>
      </c>
      <c r="D65" s="529">
        <v>2040</v>
      </c>
      <c r="E65" s="530"/>
      <c r="F65" s="426">
        <f>LongTest!F63</f>
        <v>25.330000000000002</v>
      </c>
      <c r="G65" s="426">
        <f>LongTest!G63</f>
        <v>15.880000000000003</v>
      </c>
      <c r="H65" s="426"/>
      <c r="I65" s="426"/>
      <c r="J65" s="427"/>
    </row>
    <row r="66" spans="1:10" ht="24.95" customHeight="1">
      <c r="A66" s="453"/>
      <c r="B66" s="430"/>
      <c r="C66" s="430">
        <f t="shared" si="1"/>
        <v>45455.930555555555</v>
      </c>
      <c r="D66" s="529">
        <v>2100</v>
      </c>
      <c r="E66" s="530"/>
      <c r="F66" s="426">
        <f>LongTest!F64</f>
        <v>25.330000000000002</v>
      </c>
      <c r="G66" s="426">
        <f>LongTest!G64</f>
        <v>15.880000000000003</v>
      </c>
      <c r="H66" s="426"/>
      <c r="I66" s="426"/>
      <c r="J66" s="427"/>
    </row>
    <row r="67" spans="1:10" ht="24.95" customHeight="1">
      <c r="A67" s="453"/>
      <c r="B67" s="430"/>
      <c r="C67" s="430">
        <f t="shared" si="1"/>
        <v>45455.972222222219</v>
      </c>
      <c r="D67" s="529">
        <v>2160</v>
      </c>
      <c r="E67" s="530"/>
      <c r="F67" s="426">
        <f>LongTest!F65</f>
        <v>25.330000000000002</v>
      </c>
      <c r="G67" s="426">
        <f>LongTest!G65</f>
        <v>15.880000000000003</v>
      </c>
      <c r="H67" s="426"/>
      <c r="I67" s="426"/>
      <c r="J67" s="427"/>
    </row>
    <row r="68" spans="1:10" ht="24.95" customHeight="1">
      <c r="A68" s="453"/>
      <c r="B68" s="430"/>
      <c r="C68" s="430">
        <f t="shared" si="1"/>
        <v>45456.013888888883</v>
      </c>
      <c r="D68" s="529">
        <v>2220</v>
      </c>
      <c r="E68" s="530"/>
      <c r="F68" s="426">
        <f>LongTest!F66</f>
        <v>25.330000000000002</v>
      </c>
      <c r="G68" s="426">
        <f>LongTest!G66</f>
        <v>15.880000000000003</v>
      </c>
      <c r="H68" s="426"/>
      <c r="I68" s="426"/>
      <c r="J68" s="427"/>
    </row>
    <row r="69" spans="1:10" ht="24.95" customHeight="1">
      <c r="A69" s="453"/>
      <c r="B69" s="430"/>
      <c r="C69" s="430">
        <f t="shared" si="1"/>
        <v>45456.055555555555</v>
      </c>
      <c r="D69" s="529">
        <v>2280</v>
      </c>
      <c r="E69" s="530"/>
      <c r="F69" s="426">
        <f>LongTest!F67</f>
        <v>25.330000000000002</v>
      </c>
      <c r="G69" s="426">
        <f>LongTest!G67</f>
        <v>15.880000000000003</v>
      </c>
      <c r="H69" s="426"/>
      <c r="I69" s="426"/>
      <c r="J69" s="427"/>
    </row>
    <row r="70" spans="1:10" ht="24.95" customHeight="1">
      <c r="A70" s="453"/>
      <c r="B70" s="430"/>
      <c r="C70" s="430">
        <f t="shared" si="1"/>
        <v>45456.097222222219</v>
      </c>
      <c r="D70" s="529">
        <v>2340</v>
      </c>
      <c r="E70" s="530"/>
      <c r="F70" s="426">
        <f>LongTest!F68</f>
        <v>25.330000000000002</v>
      </c>
      <c r="G70" s="426">
        <f>LongTest!G68</f>
        <v>15.880000000000003</v>
      </c>
      <c r="H70" s="426"/>
      <c r="I70" s="426"/>
      <c r="J70" s="427"/>
    </row>
    <row r="71" spans="1:10" ht="24.95" customHeight="1">
      <c r="A71" s="453"/>
      <c r="B71" s="430"/>
      <c r="C71" s="430">
        <f t="shared" si="1"/>
        <v>45456.138888888883</v>
      </c>
      <c r="D71" s="529">
        <v>2400</v>
      </c>
      <c r="E71" s="530"/>
      <c r="F71" s="426">
        <f>LongTest!F69</f>
        <v>25.330000000000002</v>
      </c>
      <c r="G71" s="426">
        <f>LongTest!G69</f>
        <v>15.880000000000003</v>
      </c>
      <c r="H71" s="426"/>
      <c r="I71" s="426"/>
      <c r="J71" s="427"/>
    </row>
    <row r="72" spans="1:10" ht="24.95" customHeight="1">
      <c r="A72" s="453"/>
      <c r="B72" s="430"/>
      <c r="C72" s="430">
        <f t="shared" si="1"/>
        <v>45456.180555555555</v>
      </c>
      <c r="D72" s="529">
        <v>2460</v>
      </c>
      <c r="E72" s="530"/>
      <c r="F72" s="426">
        <f>LongTest!F70</f>
        <v>25.330000000000002</v>
      </c>
      <c r="G72" s="426">
        <f>LongTest!G70</f>
        <v>15.880000000000003</v>
      </c>
      <c r="H72" s="426"/>
      <c r="I72" s="426"/>
      <c r="J72" s="427"/>
    </row>
    <row r="73" spans="1:10" ht="24.95" customHeight="1">
      <c r="A73" s="453"/>
      <c r="B73" s="430"/>
      <c r="C73" s="430">
        <f t="shared" si="1"/>
        <v>45456.222222222219</v>
      </c>
      <c r="D73" s="529">
        <v>2520</v>
      </c>
      <c r="E73" s="530"/>
      <c r="F73" s="426">
        <f>LongTest!F71</f>
        <v>25.330000000000002</v>
      </c>
      <c r="G73" s="426">
        <f>LongTest!G71</f>
        <v>15.880000000000003</v>
      </c>
      <c r="H73" s="426"/>
      <c r="I73" s="426"/>
      <c r="J73" s="427"/>
    </row>
    <row r="74" spans="1:10" ht="24.95" customHeight="1">
      <c r="A74" s="453"/>
      <c r="B74" s="430"/>
      <c r="C74" s="430">
        <f t="shared" si="1"/>
        <v>45456.263888888883</v>
      </c>
      <c r="D74" s="529">
        <v>2580</v>
      </c>
      <c r="E74" s="530"/>
      <c r="F74" s="426">
        <f>LongTest!F72</f>
        <v>25.330000000000002</v>
      </c>
      <c r="G74" s="426">
        <f>LongTest!G72</f>
        <v>15.880000000000003</v>
      </c>
      <c r="H74" s="426"/>
      <c r="I74" s="426"/>
      <c r="J74" s="427"/>
    </row>
    <row r="75" spans="1:10" ht="24.95" customHeight="1">
      <c r="A75" s="453"/>
      <c r="B75" s="430"/>
      <c r="C75" s="430">
        <f t="shared" si="1"/>
        <v>45456.305555555555</v>
      </c>
      <c r="D75" s="529">
        <v>2640</v>
      </c>
      <c r="E75" s="530"/>
      <c r="F75" s="426">
        <f>LongTest!F73</f>
        <v>25.330000000000002</v>
      </c>
      <c r="G75" s="426">
        <f>LongTest!G73</f>
        <v>15.880000000000003</v>
      </c>
      <c r="H75" s="426"/>
      <c r="I75" s="426"/>
      <c r="J75" s="427"/>
    </row>
    <row r="76" spans="1:10" ht="24.95" customHeight="1">
      <c r="A76" s="453"/>
      <c r="B76" s="430"/>
      <c r="C76" s="430">
        <f t="shared" ref="C76:C79" si="4">$C$4+D76/1440</f>
        <v>45456.347222222219</v>
      </c>
      <c r="D76" s="529">
        <v>2700</v>
      </c>
      <c r="E76" s="530"/>
      <c r="F76" s="426">
        <f>LongTest!F74</f>
        <v>25.330000000000002</v>
      </c>
      <c r="G76" s="426">
        <f>LongTest!G74</f>
        <v>15.880000000000003</v>
      </c>
      <c r="H76" s="426"/>
      <c r="I76" s="426"/>
      <c r="J76" s="427"/>
    </row>
    <row r="77" spans="1:10" ht="24.95" customHeight="1">
      <c r="A77" s="453"/>
      <c r="B77" s="430"/>
      <c r="C77" s="430">
        <f t="shared" si="4"/>
        <v>45456.388888888883</v>
      </c>
      <c r="D77" s="529">
        <v>2760</v>
      </c>
      <c r="E77" s="530"/>
      <c r="F77" s="426">
        <f>LongTest!F75</f>
        <v>25.330000000000002</v>
      </c>
      <c r="G77" s="426">
        <f>LongTest!G75</f>
        <v>15.880000000000003</v>
      </c>
      <c r="H77" s="426"/>
      <c r="I77" s="426"/>
      <c r="J77" s="427"/>
    </row>
    <row r="78" spans="1:10" ht="24.95" customHeight="1">
      <c r="A78" s="453"/>
      <c r="B78" s="430"/>
      <c r="C78" s="430">
        <f t="shared" si="4"/>
        <v>45456.430555555555</v>
      </c>
      <c r="D78" s="529">
        <v>2820</v>
      </c>
      <c r="E78" s="530"/>
      <c r="F78" s="426">
        <f>LongTest!F76</f>
        <v>25.330000000000002</v>
      </c>
      <c r="G78" s="426">
        <f>LongTest!G76</f>
        <v>15.880000000000003</v>
      </c>
      <c r="H78" s="426"/>
      <c r="I78" s="426"/>
      <c r="J78" s="427"/>
    </row>
    <row r="79" spans="1:10" ht="24.95" customHeight="1">
      <c r="A79" s="454"/>
      <c r="B79" s="435"/>
      <c r="C79" s="435">
        <f t="shared" si="4"/>
        <v>45456.472222222219</v>
      </c>
      <c r="D79" s="565">
        <v>2880</v>
      </c>
      <c r="E79" s="576"/>
      <c r="F79" s="455">
        <f>LongTest!F77</f>
        <v>25.330000000000002</v>
      </c>
      <c r="G79" s="455">
        <f>LongTest!G77</f>
        <v>15.880000000000003</v>
      </c>
      <c r="H79" s="455">
        <f>H63</f>
        <v>15.200000000000001</v>
      </c>
      <c r="I79" s="455">
        <f t="shared" ref="I79:J79" si="5">I63</f>
        <v>205</v>
      </c>
      <c r="J79" s="456">
        <f t="shared" si="5"/>
        <v>6.37</v>
      </c>
    </row>
    <row r="80" spans="1:10" ht="24.95" customHeight="1" thickBot="1">
      <c r="A80" s="577" t="s">
        <v>324</v>
      </c>
      <c r="B80" s="578"/>
      <c r="C80" s="578"/>
      <c r="D80" s="578"/>
      <c r="E80" s="578"/>
      <c r="F80" s="578"/>
      <c r="G80" s="578"/>
      <c r="H80" s="578"/>
      <c r="I80" s="578"/>
      <c r="J80" s="579"/>
    </row>
    <row r="81" ht="21" customHeight="1"/>
    <row r="82" ht="21" customHeight="1"/>
    <row r="83" ht="21" customHeight="1"/>
    <row r="84" ht="21" customHeight="1"/>
    <row r="85" ht="21" customHeight="1"/>
    <row r="86" ht="21" customHeight="1"/>
  </sheetData>
  <mergeCells count="93">
    <mergeCell ref="A80:J80"/>
    <mergeCell ref="A1:J1"/>
    <mergeCell ref="A2:B2"/>
    <mergeCell ref="C2:J2"/>
    <mergeCell ref="A3:B3"/>
    <mergeCell ref="A4:B4"/>
    <mergeCell ref="C4:J4"/>
    <mergeCell ref="C3:H3"/>
    <mergeCell ref="A5:B5"/>
    <mergeCell ref="C5:J5"/>
    <mergeCell ref="A6:B6"/>
    <mergeCell ref="C6:J6"/>
    <mergeCell ref="A7:B7"/>
    <mergeCell ref="C7:D7"/>
    <mergeCell ref="H7:I7"/>
    <mergeCell ref="D13:E13"/>
    <mergeCell ref="A8:B8"/>
    <mergeCell ref="C8:D8"/>
    <mergeCell ref="H8:I8"/>
    <mergeCell ref="A9:B9"/>
    <mergeCell ref="C9:D9"/>
    <mergeCell ref="H9:I9"/>
    <mergeCell ref="A10:A11"/>
    <mergeCell ref="C10:C11"/>
    <mergeCell ref="D10:E10"/>
    <mergeCell ref="D11:E11"/>
    <mergeCell ref="D12:E12"/>
    <mergeCell ref="D25:E25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D37:E37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D36:E36"/>
    <mergeCell ref="D55:E55"/>
    <mergeCell ref="D49:E49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D50:E50"/>
    <mergeCell ref="D51:E51"/>
    <mergeCell ref="D52:E52"/>
    <mergeCell ref="D53:E53"/>
    <mergeCell ref="D54:E54"/>
    <mergeCell ref="D78:E78"/>
    <mergeCell ref="D79:E79"/>
    <mergeCell ref="D68:E68"/>
    <mergeCell ref="D69:E69"/>
    <mergeCell ref="D70:E70"/>
    <mergeCell ref="D71:E71"/>
    <mergeCell ref="D72:E72"/>
    <mergeCell ref="D73:E73"/>
    <mergeCell ref="D74:E74"/>
    <mergeCell ref="D75:E75"/>
    <mergeCell ref="D76:E76"/>
    <mergeCell ref="D77:E77"/>
    <mergeCell ref="D67:E67"/>
    <mergeCell ref="D56:E56"/>
    <mergeCell ref="D57:E57"/>
    <mergeCell ref="D58:E58"/>
    <mergeCell ref="D59:E59"/>
    <mergeCell ref="D60:E60"/>
    <mergeCell ref="D62:E62"/>
    <mergeCell ref="D63:E63"/>
    <mergeCell ref="D64:E64"/>
    <mergeCell ref="D65:E65"/>
    <mergeCell ref="D66:E66"/>
    <mergeCell ref="D61:E61"/>
  </mergeCells>
  <phoneticPr fontId="4" type="noConversion"/>
  <pageMargins left="0.70866141732283472" right="0.70866141732283472" top="0.74803149606299213" bottom="0.74803149606299213" header="0.31496062992125984" footer="0.31496062992125984"/>
  <pageSetup paperSize="9" scale="83" orientation="portrait" r:id="rId1"/>
  <rowBreaks count="2" manualBreakCount="2">
    <brk id="34" max="9" man="1"/>
    <brk id="57" max="16383" man="1"/>
  </rowBreak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335EC6-0E15-4207-B82F-950C4D23AD76}">
  <sheetPr codeName="Sheet2">
    <tabColor rgb="FF7030A0"/>
  </sheetPr>
  <dimension ref="A1:J101"/>
  <sheetViews>
    <sheetView showGridLines="0" view="pageBreakPreview" topLeftCell="A18" zoomScaleNormal="130" zoomScaleSheetLayoutView="100" workbookViewId="0">
      <selection activeCell="L33" sqref="L33"/>
    </sheetView>
  </sheetViews>
  <sheetFormatPr defaultRowHeight="16.5"/>
  <cols>
    <col min="1" max="1" width="9" style="448"/>
    <col min="2" max="2" width="9.5" style="448" bestFit="1" customWidth="1"/>
    <col min="3" max="3" width="11.375" style="448" customWidth="1"/>
    <col min="4" max="4" width="6.75" style="448" customWidth="1"/>
    <col min="5" max="5" width="7.25" style="448" customWidth="1"/>
    <col min="6" max="6" width="14" style="448" bestFit="1" customWidth="1"/>
    <col min="7" max="7" width="12.125" style="448" customWidth="1"/>
    <col min="8" max="16384" width="9" style="448"/>
  </cols>
  <sheetData>
    <row r="1" spans="1:10" ht="45" customHeight="1" thickBot="1">
      <c r="A1" s="541" t="s">
        <v>330</v>
      </c>
      <c r="B1" s="541"/>
      <c r="C1" s="541"/>
      <c r="D1" s="541"/>
      <c r="E1" s="541"/>
      <c r="F1" s="541"/>
      <c r="G1" s="541"/>
      <c r="H1" s="541"/>
      <c r="I1" s="541"/>
      <c r="J1" s="541"/>
    </row>
    <row r="2" spans="1:10" ht="24.95" customHeight="1">
      <c r="A2" s="542" t="s">
        <v>295</v>
      </c>
      <c r="B2" s="543"/>
      <c r="C2" s="544" t="str">
        <f>LongTest!C2</f>
        <v>순성중명아파트 이용허가 유효기간의 연장을 위한 지하수영향조사보고서</v>
      </c>
      <c r="D2" s="545"/>
      <c r="E2" s="545"/>
      <c r="F2" s="545"/>
      <c r="G2" s="545"/>
      <c r="H2" s="545"/>
      <c r="I2" s="545"/>
      <c r="J2" s="546"/>
    </row>
    <row r="3" spans="1:10" ht="24.95" customHeight="1">
      <c r="A3" s="547" t="s">
        <v>296</v>
      </c>
      <c r="B3" s="548"/>
      <c r="C3" s="552" t="str">
        <f>LongTest!C4</f>
        <v>충청남도 당진시 순성면 순성로 453-30번지</v>
      </c>
      <c r="D3" s="553"/>
      <c r="E3" s="553"/>
      <c r="F3" s="553"/>
      <c r="G3" s="553"/>
      <c r="H3" s="554"/>
      <c r="I3" s="424" t="str">
        <f>Input!I54</f>
        <v>W-1</v>
      </c>
      <c r="J3" s="425" t="s">
        <v>322</v>
      </c>
    </row>
    <row r="4" spans="1:10" ht="24.95" customHeight="1">
      <c r="A4" s="547" t="s">
        <v>297</v>
      </c>
      <c r="B4" s="548"/>
      <c r="C4" s="549">
        <f>장기28!C5</f>
        <v>45456.472222222219</v>
      </c>
      <c r="D4" s="550"/>
      <c r="E4" s="550"/>
      <c r="F4" s="550"/>
      <c r="G4" s="550"/>
      <c r="H4" s="550"/>
      <c r="I4" s="550"/>
      <c r="J4" s="551"/>
    </row>
    <row r="5" spans="1:10" ht="24.95" customHeight="1">
      <c r="A5" s="547" t="s">
        <v>298</v>
      </c>
      <c r="B5" s="548"/>
      <c r="C5" s="549">
        <f>LongTest!C101</f>
        <v>45456.722222222219</v>
      </c>
      <c r="D5" s="550"/>
      <c r="E5" s="550"/>
      <c r="F5" s="550"/>
      <c r="G5" s="550"/>
      <c r="H5" s="550"/>
      <c r="I5" s="550"/>
      <c r="J5" s="551"/>
    </row>
    <row r="6" spans="1:10" ht="24.95" customHeight="1">
      <c r="A6" s="547" t="s">
        <v>294</v>
      </c>
      <c r="B6" s="548"/>
      <c r="C6" s="555" t="str">
        <f>LongTest!C5</f>
        <v>주식회사 한일지하수</v>
      </c>
      <c r="D6" s="556"/>
      <c r="E6" s="556"/>
      <c r="F6" s="556"/>
      <c r="G6" s="556"/>
      <c r="H6" s="556"/>
      <c r="I6" s="556"/>
      <c r="J6" s="557"/>
    </row>
    <row r="7" spans="1:10" ht="24.95" customHeight="1">
      <c r="A7" s="547" t="s">
        <v>299</v>
      </c>
      <c r="B7" s="548"/>
      <c r="C7" s="531" t="s">
        <v>326</v>
      </c>
      <c r="D7" s="548"/>
      <c r="E7" s="426">
        <f>LongTest!C6</f>
        <v>5</v>
      </c>
      <c r="F7" s="426" t="s">
        <v>300</v>
      </c>
      <c r="G7" s="426" t="s">
        <v>328</v>
      </c>
      <c r="H7" s="531">
        <f>Input!I50</f>
        <v>50</v>
      </c>
      <c r="I7" s="548"/>
      <c r="J7" s="427" t="s">
        <v>301</v>
      </c>
    </row>
    <row r="8" spans="1:10" ht="24.95" customHeight="1">
      <c r="A8" s="547" t="s">
        <v>302</v>
      </c>
      <c r="B8" s="548"/>
      <c r="C8" s="531" t="s">
        <v>327</v>
      </c>
      <c r="D8" s="548"/>
      <c r="E8" s="426">
        <f>LongTest!D7</f>
        <v>200</v>
      </c>
      <c r="F8" s="426" t="s">
        <v>303</v>
      </c>
      <c r="G8" s="426" t="s">
        <v>304</v>
      </c>
      <c r="H8" s="531">
        <f>LongTest!G7</f>
        <v>100</v>
      </c>
      <c r="I8" s="548"/>
      <c r="J8" s="427" t="s">
        <v>301</v>
      </c>
    </row>
    <row r="9" spans="1:10" ht="24.95" customHeight="1">
      <c r="A9" s="547" t="s">
        <v>305</v>
      </c>
      <c r="B9" s="548"/>
      <c r="C9" s="531" t="s">
        <v>325</v>
      </c>
      <c r="D9" s="548"/>
      <c r="E9" s="426">
        <f>LongTest!D8</f>
        <v>9.4499999999999993</v>
      </c>
      <c r="F9" s="426" t="s">
        <v>301</v>
      </c>
      <c r="G9" s="426" t="s">
        <v>306</v>
      </c>
      <c r="H9" s="531">
        <f>LongTest!G8</f>
        <v>25.330000000000002</v>
      </c>
      <c r="I9" s="548"/>
      <c r="J9" s="427" t="s">
        <v>301</v>
      </c>
    </row>
    <row r="10" spans="1:10" ht="24.95" customHeight="1">
      <c r="A10" s="539" t="s">
        <v>307</v>
      </c>
      <c r="B10" s="440" t="s">
        <v>308</v>
      </c>
      <c r="C10" s="540" t="s">
        <v>190</v>
      </c>
      <c r="D10" s="540" t="s">
        <v>310</v>
      </c>
      <c r="E10" s="540"/>
      <c r="F10" s="440" t="s">
        <v>311</v>
      </c>
      <c r="G10" s="440" t="s">
        <v>313</v>
      </c>
      <c r="H10" s="440" t="s">
        <v>314</v>
      </c>
      <c r="I10" s="440" t="s">
        <v>315</v>
      </c>
      <c r="J10" s="441" t="s">
        <v>318</v>
      </c>
    </row>
    <row r="11" spans="1:10" ht="24.95" customHeight="1">
      <c r="A11" s="539"/>
      <c r="B11" s="440" t="s">
        <v>331</v>
      </c>
      <c r="C11" s="540"/>
      <c r="D11" s="540" t="s">
        <v>332</v>
      </c>
      <c r="E11" s="540"/>
      <c r="F11" s="440" t="s">
        <v>312</v>
      </c>
      <c r="G11" s="440" t="s">
        <v>312</v>
      </c>
      <c r="H11" s="440" t="s">
        <v>333</v>
      </c>
      <c r="I11" s="466" t="s">
        <v>334</v>
      </c>
      <c r="J11" s="442"/>
    </row>
    <row r="12" spans="1:10" ht="24.95" customHeight="1">
      <c r="A12" s="453"/>
      <c r="B12" s="426">
        <v>0</v>
      </c>
      <c r="C12" s="430">
        <f t="shared" ref="C12:C35" si="0">$C$4+D12/1440</f>
        <v>45456.472916666666</v>
      </c>
      <c r="D12" s="529">
        <v>1</v>
      </c>
      <c r="E12" s="530"/>
      <c r="F12" s="431">
        <f>LongTest!F78</f>
        <v>20.232796980712919</v>
      </c>
      <c r="G12" s="431">
        <f>LongTest!G78</f>
        <v>10.782796980712918</v>
      </c>
      <c r="H12" s="463"/>
      <c r="I12" s="464"/>
      <c r="J12" s="465"/>
    </row>
    <row r="13" spans="1:10" ht="24.95" customHeight="1">
      <c r="A13" s="453"/>
      <c r="B13" s="430"/>
      <c r="C13" s="430">
        <f t="shared" si="0"/>
        <v>45456.473611111105</v>
      </c>
      <c r="D13" s="529">
        <v>2</v>
      </c>
      <c r="E13" s="530"/>
      <c r="F13" s="431">
        <f>LongTest!F79</f>
        <v>19.374437782107812</v>
      </c>
      <c r="G13" s="431">
        <f>LongTest!G79</f>
        <v>9.9244377821078142</v>
      </c>
      <c r="H13" s="529"/>
      <c r="I13" s="534"/>
      <c r="J13" s="535"/>
    </row>
    <row r="14" spans="1:10" ht="24.95" customHeight="1">
      <c r="A14" s="453"/>
      <c r="B14" s="430"/>
      <c r="C14" s="430">
        <f t="shared" si="0"/>
        <v>45456.474305555552</v>
      </c>
      <c r="D14" s="529">
        <v>3</v>
      </c>
      <c r="E14" s="530"/>
      <c r="F14" s="431">
        <f>LongTest!F80</f>
        <v>18.58440784122201</v>
      </c>
      <c r="G14" s="431">
        <f>LongTest!G80</f>
        <v>9.1344078412220089</v>
      </c>
      <c r="H14" s="529"/>
      <c r="I14" s="534"/>
      <c r="J14" s="535"/>
    </row>
    <row r="15" spans="1:10" ht="24.95" customHeight="1">
      <c r="A15" s="453"/>
      <c r="B15" s="430"/>
      <c r="C15" s="430">
        <f t="shared" si="0"/>
        <v>45456.474999999999</v>
      </c>
      <c r="D15" s="529">
        <v>4</v>
      </c>
      <c r="E15" s="530"/>
      <c r="F15" s="431">
        <f>LongTest!F81</f>
        <v>17.857267841429007</v>
      </c>
      <c r="G15" s="431">
        <f>LongTest!G81</f>
        <v>8.4072678414290092</v>
      </c>
      <c r="H15" s="529"/>
      <c r="I15" s="534"/>
      <c r="J15" s="535"/>
    </row>
    <row r="16" spans="1:10" ht="24.95" customHeight="1">
      <c r="A16" s="453"/>
      <c r="B16" s="430"/>
      <c r="C16" s="430">
        <f t="shared" si="0"/>
        <v>45456.475694444438</v>
      </c>
      <c r="D16" s="529">
        <v>5</v>
      </c>
      <c r="E16" s="530"/>
      <c r="F16" s="431">
        <f>LongTest!F82</f>
        <v>17.188011460201068</v>
      </c>
      <c r="G16" s="431">
        <f>LongTest!G82</f>
        <v>7.7380114602010686</v>
      </c>
      <c r="H16" s="529"/>
      <c r="I16" s="534"/>
      <c r="J16" s="535"/>
    </row>
    <row r="17" spans="1:10" ht="24.95" customHeight="1">
      <c r="A17" s="453"/>
      <c r="B17" s="430"/>
      <c r="C17" s="430">
        <f t="shared" si="0"/>
        <v>45456.479166666664</v>
      </c>
      <c r="D17" s="529">
        <v>10</v>
      </c>
      <c r="E17" s="530"/>
      <c r="F17" s="431">
        <f>LongTest!F83</f>
        <v>15.483270868618019</v>
      </c>
      <c r="G17" s="431">
        <f>LongTest!G83</f>
        <v>6.0332708686180201</v>
      </c>
      <c r="H17" s="529"/>
      <c r="I17" s="534"/>
      <c r="J17" s="535"/>
    </row>
    <row r="18" spans="1:10" ht="24.95" customHeight="1">
      <c r="A18" s="453"/>
      <c r="B18" s="430"/>
      <c r="C18" s="430">
        <f t="shared" si="0"/>
        <v>45456.482638888883</v>
      </c>
      <c r="D18" s="529">
        <v>15</v>
      </c>
      <c r="E18" s="530"/>
      <c r="F18" s="431">
        <f>LongTest!F84</f>
        <v>15.158681504824028</v>
      </c>
      <c r="G18" s="431">
        <f>LongTest!G84</f>
        <v>5.7086815048240274</v>
      </c>
      <c r="H18" s="529"/>
      <c r="I18" s="534"/>
      <c r="J18" s="535"/>
    </row>
    <row r="19" spans="1:10" ht="24.95" customHeight="1">
      <c r="A19" s="453"/>
      <c r="B19" s="430"/>
      <c r="C19" s="430">
        <f t="shared" si="0"/>
        <v>45456.486111111109</v>
      </c>
      <c r="D19" s="529">
        <v>20</v>
      </c>
      <c r="E19" s="530"/>
      <c r="F19" s="431">
        <f>LongTest!F85</f>
        <v>14.285983204912011</v>
      </c>
      <c r="G19" s="431">
        <f>LongTest!G85</f>
        <v>4.8359832049120115</v>
      </c>
      <c r="H19" s="529"/>
      <c r="I19" s="534"/>
      <c r="J19" s="535"/>
    </row>
    <row r="20" spans="1:10" ht="24.95" customHeight="1">
      <c r="A20" s="453"/>
      <c r="B20" s="430"/>
      <c r="C20" s="430">
        <f t="shared" si="0"/>
        <v>45456.489583333328</v>
      </c>
      <c r="D20" s="529">
        <v>25</v>
      </c>
      <c r="E20" s="530"/>
      <c r="F20" s="431">
        <f>LongTest!F86</f>
        <v>13.901017163572192</v>
      </c>
      <c r="G20" s="431">
        <f>LongTest!G86</f>
        <v>4.4510171635721916</v>
      </c>
      <c r="H20" s="529"/>
      <c r="I20" s="534"/>
      <c r="J20" s="535"/>
    </row>
    <row r="21" spans="1:10" ht="24.95" customHeight="1">
      <c r="A21" s="453"/>
      <c r="B21" s="430"/>
      <c r="C21" s="430">
        <f t="shared" si="0"/>
        <v>45456.493055555555</v>
      </c>
      <c r="D21" s="529">
        <v>30</v>
      </c>
      <c r="E21" s="530"/>
      <c r="F21" s="431">
        <f>LongTest!F87</f>
        <v>13.54669615276811</v>
      </c>
      <c r="G21" s="431">
        <f>LongTest!G87</f>
        <v>4.0966961527681098</v>
      </c>
      <c r="H21" s="529"/>
      <c r="I21" s="534"/>
      <c r="J21" s="535"/>
    </row>
    <row r="22" spans="1:10" ht="24.95" customHeight="1">
      <c r="A22" s="453"/>
      <c r="B22" s="430"/>
      <c r="C22" s="430">
        <f t="shared" si="0"/>
        <v>45456.496527777774</v>
      </c>
      <c r="D22" s="529">
        <v>35</v>
      </c>
      <c r="E22" s="530"/>
      <c r="F22" s="431">
        <f>LongTest!F88</f>
        <v>13.434971769034254</v>
      </c>
      <c r="G22" s="431">
        <f>LongTest!G88</f>
        <v>3.9849717690342552</v>
      </c>
      <c r="H22" s="529"/>
      <c r="I22" s="534"/>
      <c r="J22" s="535"/>
    </row>
    <row r="23" spans="1:10" ht="24.95" customHeight="1">
      <c r="A23" s="453"/>
      <c r="B23" s="430"/>
      <c r="C23" s="430">
        <f t="shared" si="0"/>
        <v>45456.5</v>
      </c>
      <c r="D23" s="529">
        <v>40</v>
      </c>
      <c r="E23" s="530"/>
      <c r="F23" s="431">
        <f>LongTest!F89</f>
        <v>13.326294313228475</v>
      </c>
      <c r="G23" s="431">
        <f>LongTest!G89</f>
        <v>3.8762943132284762</v>
      </c>
      <c r="H23" s="529"/>
      <c r="I23" s="534"/>
      <c r="J23" s="535"/>
    </row>
    <row r="24" spans="1:10" ht="24.95" customHeight="1">
      <c r="A24" s="453"/>
      <c r="B24" s="430"/>
      <c r="C24" s="430">
        <f t="shared" si="0"/>
        <v>45456.503472222219</v>
      </c>
      <c r="D24" s="529">
        <v>45</v>
      </c>
      <c r="E24" s="530"/>
      <c r="F24" s="431">
        <f>LongTest!F90</f>
        <v>13.220580690063166</v>
      </c>
      <c r="G24" s="431">
        <f>LongTest!G90</f>
        <v>3.7705806900631673</v>
      </c>
      <c r="H24" s="529"/>
      <c r="I24" s="534"/>
      <c r="J24" s="535"/>
    </row>
    <row r="25" spans="1:10" ht="24.95" customHeight="1">
      <c r="A25" s="453"/>
      <c r="B25" s="430"/>
      <c r="C25" s="430">
        <f t="shared" si="0"/>
        <v>45456.506944444438</v>
      </c>
      <c r="D25" s="529">
        <v>50</v>
      </c>
      <c r="E25" s="530"/>
      <c r="F25" s="431">
        <f>LongTest!F91</f>
        <v>13.11775007041093</v>
      </c>
      <c r="G25" s="431">
        <f>LongTest!G91</f>
        <v>3.6677500704109298</v>
      </c>
      <c r="H25" s="529"/>
      <c r="I25" s="534"/>
      <c r="J25" s="535"/>
    </row>
    <row r="26" spans="1:10" ht="24.95" customHeight="1">
      <c r="A26" s="453"/>
      <c r="B26" s="430"/>
      <c r="C26" s="430">
        <f t="shared" si="0"/>
        <v>45456.510416666664</v>
      </c>
      <c r="D26" s="529">
        <v>55</v>
      </c>
      <c r="E26" s="530"/>
      <c r="F26" s="431">
        <f>LongTest!F92</f>
        <v>13.017723829502245</v>
      </c>
      <c r="G26" s="431">
        <f>LongTest!G92</f>
        <v>3.5677238295022455</v>
      </c>
      <c r="H26" s="529"/>
      <c r="I26" s="534"/>
      <c r="J26" s="535"/>
    </row>
    <row r="27" spans="1:10" ht="24.95" customHeight="1">
      <c r="A27" s="453"/>
      <c r="B27" s="430"/>
      <c r="C27" s="430">
        <f t="shared" si="0"/>
        <v>45456.513888888883</v>
      </c>
      <c r="D27" s="529">
        <v>60</v>
      </c>
      <c r="E27" s="530"/>
      <c r="F27" s="431">
        <f>LongTest!F93</f>
        <v>12.920425486808609</v>
      </c>
      <c r="G27" s="431">
        <f>LongTest!G93</f>
        <v>3.4704254868086104</v>
      </c>
      <c r="H27" s="529"/>
      <c r="I27" s="534"/>
      <c r="J27" s="535"/>
    </row>
    <row r="28" spans="1:10" ht="24.95" customHeight="1">
      <c r="A28" s="453"/>
      <c r="B28" s="430"/>
      <c r="C28" s="430">
        <f t="shared" si="0"/>
        <v>45456.524305555555</v>
      </c>
      <c r="D28" s="529">
        <v>75</v>
      </c>
      <c r="E28" s="530"/>
      <c r="F28" s="431">
        <f>LongTest!F94</f>
        <v>12.825780647565169</v>
      </c>
      <c r="G28" s="431">
        <f>LongTest!G94</f>
        <v>3.3757806475651706</v>
      </c>
      <c r="H28" s="529"/>
      <c r="I28" s="534"/>
      <c r="J28" s="535"/>
    </row>
    <row r="29" spans="1:10" ht="24.95" customHeight="1">
      <c r="A29" s="453"/>
      <c r="B29" s="430"/>
      <c r="C29" s="430">
        <f t="shared" si="0"/>
        <v>45456.534722222219</v>
      </c>
      <c r="D29" s="529">
        <v>90</v>
      </c>
      <c r="E29" s="530"/>
      <c r="F29" s="431">
        <f>LongTest!F95</f>
        <v>12.733716945888137</v>
      </c>
      <c r="G29" s="431">
        <f>LongTest!G95</f>
        <v>3.2837169458881377</v>
      </c>
      <c r="H29" s="529"/>
      <c r="I29" s="534"/>
      <c r="J29" s="535"/>
    </row>
    <row r="30" spans="1:10" ht="24.95" customHeight="1">
      <c r="A30" s="453"/>
      <c r="B30" s="430"/>
      <c r="C30" s="430">
        <f t="shared" si="0"/>
        <v>45456.545138888883</v>
      </c>
      <c r="D30" s="529">
        <v>105</v>
      </c>
      <c r="E30" s="530"/>
      <c r="F30" s="431">
        <f>LongTest!F96</f>
        <v>12.644163989443497</v>
      </c>
      <c r="G30" s="431">
        <f>LongTest!G96</f>
        <v>3.194163989443497</v>
      </c>
      <c r="H30" s="529"/>
      <c r="I30" s="534"/>
      <c r="J30" s="535"/>
    </row>
    <row r="31" spans="1:10" ht="24.95" customHeight="1">
      <c r="A31" s="453"/>
      <c r="B31" s="430"/>
      <c r="C31" s="430">
        <f t="shared" si="0"/>
        <v>45456.555555555555</v>
      </c>
      <c r="D31" s="529">
        <v>120</v>
      </c>
      <c r="E31" s="530"/>
      <c r="F31" s="431">
        <f>LongTest!F97</f>
        <v>12.389894151376794</v>
      </c>
      <c r="G31" s="431">
        <f>LongTest!G97</f>
        <v>2.9398941513767949</v>
      </c>
      <c r="H31" s="529"/>
      <c r="I31" s="534"/>
      <c r="J31" s="535"/>
    </row>
    <row r="32" spans="1:10" ht="24.95" customHeight="1">
      <c r="A32" s="453"/>
      <c r="B32" s="430"/>
      <c r="C32" s="430">
        <f t="shared" si="0"/>
        <v>45456.597222222219</v>
      </c>
      <c r="D32" s="529">
        <v>180</v>
      </c>
      <c r="E32" s="530"/>
      <c r="F32" s="431">
        <f>LongTest!F98</f>
        <v>12.309717870281746</v>
      </c>
      <c r="G32" s="431">
        <f>LongTest!G98</f>
        <v>2.859717870281747</v>
      </c>
      <c r="H32" s="529"/>
      <c r="I32" s="534"/>
      <c r="J32" s="535"/>
    </row>
    <row r="33" spans="1:10" ht="24.95" customHeight="1">
      <c r="A33" s="453"/>
      <c r="B33" s="430"/>
      <c r="C33" s="430">
        <f t="shared" si="0"/>
        <v>45456.638888888883</v>
      </c>
      <c r="D33" s="529">
        <v>240</v>
      </c>
      <c r="E33" s="530"/>
      <c r="F33" s="431">
        <f>LongTest!F99</f>
        <v>11.872546708864883</v>
      </c>
      <c r="G33" s="431">
        <f>LongTest!G99</f>
        <v>2.4225467088648833</v>
      </c>
      <c r="H33" s="529"/>
      <c r="I33" s="534"/>
      <c r="J33" s="535"/>
    </row>
    <row r="34" spans="1:10" ht="24.95" customHeight="1">
      <c r="A34" s="453"/>
      <c r="B34" s="430"/>
      <c r="C34" s="430">
        <f t="shared" si="0"/>
        <v>45456.680555555555</v>
      </c>
      <c r="D34" s="529">
        <v>300</v>
      </c>
      <c r="E34" s="530"/>
      <c r="F34" s="431">
        <f>LongTest!F100</f>
        <v>11.502206833974805</v>
      </c>
      <c r="G34" s="431">
        <f>LongTest!G100</f>
        <v>2.0522068339748056</v>
      </c>
      <c r="H34" s="529"/>
      <c r="I34" s="534"/>
      <c r="J34" s="535"/>
    </row>
    <row r="35" spans="1:10" ht="24.95" customHeight="1" thickBot="1">
      <c r="A35" s="457"/>
      <c r="B35" s="458"/>
      <c r="C35" s="458">
        <f t="shared" si="0"/>
        <v>45456.722222222219</v>
      </c>
      <c r="D35" s="536">
        <v>360</v>
      </c>
      <c r="E35" s="537"/>
      <c r="F35" s="431">
        <f>LongTest!F101</f>
        <v>11.18848160450383</v>
      </c>
      <c r="G35" s="431">
        <f>LongTest!G101</f>
        <v>1.7384816045038303</v>
      </c>
      <c r="H35" s="536" t="s">
        <v>323</v>
      </c>
      <c r="I35" s="558"/>
      <c r="J35" s="559"/>
    </row>
    <row r="36" spans="1:10" ht="24.95" customHeight="1"/>
    <row r="37" spans="1:10" ht="24.95" customHeight="1"/>
    <row r="38" spans="1:10" ht="24.95" customHeight="1"/>
    <row r="39" spans="1:10" ht="24.95" customHeight="1"/>
    <row r="40" spans="1:10" ht="24.95" customHeight="1"/>
    <row r="41" spans="1:10" ht="24.95" customHeight="1"/>
    <row r="42" spans="1:10" ht="21" customHeight="1"/>
    <row r="43" spans="1:10" ht="21" customHeight="1"/>
    <row r="44" spans="1:10" ht="21" customHeight="1"/>
    <row r="45" spans="1:10" ht="21" customHeight="1"/>
    <row r="46" spans="1:10" ht="21" customHeight="1"/>
    <row r="47" spans="1:10" ht="21" customHeight="1"/>
    <row r="48" spans="1:10" ht="21" customHeight="1"/>
    <row r="49" ht="21" customHeight="1"/>
    <row r="50" ht="21" customHeight="1"/>
    <row r="51" ht="21" customHeight="1"/>
    <row r="52" ht="21" customHeight="1"/>
    <row r="53" ht="21" customHeight="1"/>
    <row r="54" ht="21" customHeight="1"/>
    <row r="55" ht="21" customHeight="1"/>
    <row r="56" ht="21" customHeight="1"/>
    <row r="57" ht="21" customHeight="1"/>
    <row r="58" ht="21" customHeight="1"/>
    <row r="59" ht="21" customHeight="1"/>
    <row r="60" ht="21" customHeight="1"/>
    <row r="61" ht="21" customHeight="1"/>
    <row r="62" ht="21" customHeight="1"/>
    <row r="63" ht="21" customHeight="1"/>
    <row r="64" ht="21" customHeight="1"/>
    <row r="65" ht="21" customHeight="1"/>
    <row r="66" ht="21" customHeight="1"/>
    <row r="67" ht="21" customHeight="1"/>
    <row r="68" ht="21" customHeight="1"/>
    <row r="69" ht="21" customHeight="1"/>
    <row r="70" ht="21" customHeight="1"/>
    <row r="71" ht="21" customHeight="1"/>
    <row r="72" ht="21" customHeight="1"/>
    <row r="73" ht="21" customHeight="1"/>
    <row r="74" ht="21" customHeight="1"/>
    <row r="75" ht="21" customHeight="1"/>
    <row r="76" ht="21" customHeight="1"/>
    <row r="77" ht="21" customHeight="1"/>
    <row r="78" ht="21" customHeight="1"/>
    <row r="79" ht="21" customHeight="1"/>
    <row r="80" ht="21" customHeight="1"/>
    <row r="81" ht="21" customHeight="1"/>
    <row r="82" ht="21" customHeight="1"/>
    <row r="83" ht="21" customHeight="1"/>
    <row r="84" ht="21" customHeight="1"/>
    <row r="85" ht="21" customHeight="1"/>
    <row r="86" ht="21" customHeight="1"/>
    <row r="87" ht="21" customHeight="1"/>
    <row r="88" ht="21" customHeight="1"/>
    <row r="89" ht="21" customHeight="1"/>
    <row r="90" ht="21" customHeight="1"/>
    <row r="91" ht="21" customHeight="1"/>
    <row r="92" ht="21" customHeight="1"/>
    <row r="93" ht="21" customHeight="1"/>
    <row r="94" ht="21" customHeight="1"/>
    <row r="95" ht="21" customHeight="1"/>
    <row r="96" ht="21" customHeight="1"/>
    <row r="97" ht="21" customHeight="1"/>
    <row r="98" ht="21" customHeight="1"/>
    <row r="99" ht="21" customHeight="1"/>
    <row r="100" ht="21" customHeight="1"/>
    <row r="101" ht="21" customHeight="1"/>
  </sheetData>
  <mergeCells count="71">
    <mergeCell ref="H16:J16"/>
    <mergeCell ref="H17:J17"/>
    <mergeCell ref="H18:J18"/>
    <mergeCell ref="H19:J19"/>
    <mergeCell ref="H20:J20"/>
    <mergeCell ref="H21:J21"/>
    <mergeCell ref="H22:J22"/>
    <mergeCell ref="H23:J23"/>
    <mergeCell ref="H24:J24"/>
    <mergeCell ref="H25:J25"/>
    <mergeCell ref="H35:J35"/>
    <mergeCell ref="H26:J26"/>
    <mergeCell ref="H27:J27"/>
    <mergeCell ref="H28:J28"/>
    <mergeCell ref="H29:J29"/>
    <mergeCell ref="H30:J30"/>
    <mergeCell ref="H31:J31"/>
    <mergeCell ref="H33:J33"/>
    <mergeCell ref="H32:J32"/>
    <mergeCell ref="H34:J34"/>
    <mergeCell ref="H8:I8"/>
    <mergeCell ref="A9:B9"/>
    <mergeCell ref="H9:I9"/>
    <mergeCell ref="A3:B3"/>
    <mergeCell ref="A4:B4"/>
    <mergeCell ref="C4:J4"/>
    <mergeCell ref="A5:B5"/>
    <mergeCell ref="C5:J5"/>
    <mergeCell ref="A6:B6"/>
    <mergeCell ref="C9:D9"/>
    <mergeCell ref="C6:J6"/>
    <mergeCell ref="A7:B7"/>
    <mergeCell ref="A8:B8"/>
    <mergeCell ref="C3:H3"/>
    <mergeCell ref="A10:A11"/>
    <mergeCell ref="C10:C11"/>
    <mergeCell ref="D10:E10"/>
    <mergeCell ref="D11:E11"/>
    <mergeCell ref="C8:D8"/>
    <mergeCell ref="A1:J1"/>
    <mergeCell ref="A2:B2"/>
    <mergeCell ref="C2:J2"/>
    <mergeCell ref="C7:D7"/>
    <mergeCell ref="H7:I7"/>
    <mergeCell ref="D12:E12"/>
    <mergeCell ref="D13:E13"/>
    <mergeCell ref="D14:E14"/>
    <mergeCell ref="D15:E15"/>
    <mergeCell ref="H13:J13"/>
    <mergeCell ref="H14:J14"/>
    <mergeCell ref="H15:J15"/>
    <mergeCell ref="D34:E34"/>
    <mergeCell ref="D35:E35"/>
    <mergeCell ref="D28:E28"/>
    <mergeCell ref="D29:E29"/>
    <mergeCell ref="D30:E30"/>
    <mergeCell ref="D31:E31"/>
    <mergeCell ref="D32:E32"/>
    <mergeCell ref="D33:E33"/>
    <mergeCell ref="D27:E27"/>
    <mergeCell ref="D16:E16"/>
    <mergeCell ref="D22:E22"/>
    <mergeCell ref="D23:E23"/>
    <mergeCell ref="D24:E24"/>
    <mergeCell ref="D25:E25"/>
    <mergeCell ref="D26:E26"/>
    <mergeCell ref="D17:E17"/>
    <mergeCell ref="D18:E18"/>
    <mergeCell ref="D19:E19"/>
    <mergeCell ref="D20:E20"/>
    <mergeCell ref="D21:E21"/>
  </mergeCells>
  <phoneticPr fontId="4" type="noConversion"/>
  <printOptions horizontalCentered="1" verticalCentered="1"/>
  <pageMargins left="0.70866141732283472" right="0.70866141732283472" top="0.74803149606299213" bottom="0.19685039370078741" header="0.31496062992125984" footer="0.31496062992125984"/>
  <pageSetup paperSize="9" scale="80" orientation="portrait" r:id="rId1"/>
  <rowBreaks count="1" manualBreakCount="1">
    <brk id="79" max="16383" man="1"/>
  </rowBreak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3FA80-6D7B-4745-9997-2D9059CB22EC}">
  <sheetPr codeName="Sheet6">
    <tabColor rgb="FF0070C0"/>
  </sheetPr>
  <dimension ref="A1:J63"/>
  <sheetViews>
    <sheetView showGridLines="0" view="pageBreakPreview" topLeftCell="A37" zoomScaleNormal="130" zoomScaleSheetLayoutView="100" workbookViewId="0">
      <selection activeCell="M38" sqref="M38"/>
    </sheetView>
  </sheetViews>
  <sheetFormatPr defaultRowHeight="16.5"/>
  <cols>
    <col min="1" max="2" width="9" style="437"/>
    <col min="3" max="3" width="11.375" style="437" customWidth="1"/>
    <col min="4" max="4" width="6.75" style="437" customWidth="1"/>
    <col min="5" max="5" width="7.25" style="437" customWidth="1"/>
    <col min="6" max="6" width="13.875" style="437" bestFit="1" customWidth="1"/>
    <col min="7" max="7" width="12.125" style="437" customWidth="1"/>
    <col min="8" max="16384" width="9" style="437"/>
  </cols>
  <sheetData>
    <row r="1" spans="1:10" ht="45.75" customHeight="1" thickBot="1">
      <c r="A1" s="585" t="s">
        <v>319</v>
      </c>
      <c r="B1" s="585"/>
      <c r="C1" s="585"/>
      <c r="D1" s="585"/>
      <c r="E1" s="585"/>
      <c r="F1" s="585"/>
      <c r="G1" s="585"/>
      <c r="H1" s="585"/>
      <c r="I1" s="585"/>
      <c r="J1" s="585"/>
    </row>
    <row r="2" spans="1:10" ht="24.95" customHeight="1">
      <c r="A2" s="586" t="s">
        <v>295</v>
      </c>
      <c r="B2" s="587"/>
      <c r="C2" s="588" t="str">
        <f>LongTest!C2</f>
        <v>순성중명아파트 이용허가 유효기간의 연장을 위한 지하수영향조사보고서</v>
      </c>
      <c r="D2" s="589"/>
      <c r="E2" s="589"/>
      <c r="F2" s="589"/>
      <c r="G2" s="589"/>
      <c r="H2" s="589"/>
      <c r="I2" s="589"/>
      <c r="J2" s="590"/>
    </row>
    <row r="3" spans="1:10" ht="24.95" customHeight="1">
      <c r="A3" s="580" t="s">
        <v>296</v>
      </c>
      <c r="B3" s="581"/>
      <c r="C3" s="591" t="str">
        <f>LongTest!C4</f>
        <v>충청남도 당진시 순성면 순성로 453-30번지</v>
      </c>
      <c r="D3" s="592"/>
      <c r="E3" s="592"/>
      <c r="F3" s="592"/>
      <c r="G3" s="592"/>
      <c r="H3" s="593"/>
      <c r="I3" s="438" t="str">
        <f>Input!I54</f>
        <v>W-1</v>
      </c>
      <c r="J3" s="439" t="s">
        <v>322</v>
      </c>
    </row>
    <row r="4" spans="1:10" ht="24.95" customHeight="1">
      <c r="A4" s="580" t="s">
        <v>297</v>
      </c>
      <c r="B4" s="581"/>
      <c r="C4" s="582">
        <f>LongTest!C10</f>
        <v>45454.472222222219</v>
      </c>
      <c r="D4" s="583"/>
      <c r="E4" s="583"/>
      <c r="F4" s="583"/>
      <c r="G4" s="583"/>
      <c r="H4" s="583"/>
      <c r="I4" s="583"/>
      <c r="J4" s="584"/>
    </row>
    <row r="5" spans="1:10" ht="24.95" customHeight="1">
      <c r="A5" s="580" t="s">
        <v>298</v>
      </c>
      <c r="B5" s="581"/>
      <c r="C5" s="582">
        <f>C55</f>
        <v>45455.472222222219</v>
      </c>
      <c r="D5" s="583"/>
      <c r="E5" s="583"/>
      <c r="F5" s="583"/>
      <c r="G5" s="583"/>
      <c r="H5" s="583"/>
      <c r="I5" s="583"/>
      <c r="J5" s="584"/>
    </row>
    <row r="6" spans="1:10" ht="24.95" customHeight="1">
      <c r="A6" s="580" t="s">
        <v>294</v>
      </c>
      <c r="B6" s="581"/>
      <c r="C6" s="594" t="str">
        <f>LongTest!C5</f>
        <v>주식회사 한일지하수</v>
      </c>
      <c r="D6" s="595"/>
      <c r="E6" s="595"/>
      <c r="F6" s="595"/>
      <c r="G6" s="595"/>
      <c r="H6" s="595"/>
      <c r="I6" s="595"/>
      <c r="J6" s="596"/>
    </row>
    <row r="7" spans="1:10" ht="24.95" customHeight="1">
      <c r="A7" s="580" t="s">
        <v>299</v>
      </c>
      <c r="B7" s="581"/>
      <c r="C7" s="597" t="s">
        <v>326</v>
      </c>
      <c r="D7" s="581"/>
      <c r="E7" s="440">
        <f>LongTest!C6</f>
        <v>5</v>
      </c>
      <c r="F7" s="440" t="s">
        <v>300</v>
      </c>
      <c r="G7" s="440" t="s">
        <v>328</v>
      </c>
      <c r="H7" s="597">
        <f>Input!I50</f>
        <v>50</v>
      </c>
      <c r="I7" s="581"/>
      <c r="J7" s="441" t="s">
        <v>301</v>
      </c>
    </row>
    <row r="8" spans="1:10" ht="24.95" customHeight="1">
      <c r="A8" s="580" t="s">
        <v>302</v>
      </c>
      <c r="B8" s="581"/>
      <c r="C8" s="597" t="s">
        <v>327</v>
      </c>
      <c r="D8" s="581"/>
      <c r="E8" s="440">
        <f>LongTest!D7</f>
        <v>200</v>
      </c>
      <c r="F8" s="440" t="s">
        <v>303</v>
      </c>
      <c r="G8" s="440" t="s">
        <v>304</v>
      </c>
      <c r="H8" s="597">
        <f>LongTest!G7</f>
        <v>100</v>
      </c>
      <c r="I8" s="581"/>
      <c r="J8" s="441" t="s">
        <v>301</v>
      </c>
    </row>
    <row r="9" spans="1:10" ht="24.95" customHeight="1">
      <c r="A9" s="580" t="s">
        <v>305</v>
      </c>
      <c r="B9" s="581"/>
      <c r="C9" s="597" t="s">
        <v>325</v>
      </c>
      <c r="D9" s="581"/>
      <c r="E9" s="440">
        <f>LongTest!D8</f>
        <v>9.4499999999999993</v>
      </c>
      <c r="F9" s="440" t="s">
        <v>301</v>
      </c>
      <c r="G9" s="440" t="s">
        <v>306</v>
      </c>
      <c r="H9" s="597">
        <f>LongTest!G8</f>
        <v>25.330000000000002</v>
      </c>
      <c r="I9" s="581"/>
      <c r="J9" s="441" t="s">
        <v>301</v>
      </c>
    </row>
    <row r="10" spans="1:10" ht="24.95" customHeight="1">
      <c r="A10" s="539" t="s">
        <v>307</v>
      </c>
      <c r="B10" s="440" t="s">
        <v>308</v>
      </c>
      <c r="C10" s="540" t="s">
        <v>190</v>
      </c>
      <c r="D10" s="540" t="s">
        <v>310</v>
      </c>
      <c r="E10" s="540"/>
      <c r="F10" s="440" t="s">
        <v>311</v>
      </c>
      <c r="G10" s="440" t="s">
        <v>313</v>
      </c>
      <c r="H10" s="440" t="s">
        <v>314</v>
      </c>
      <c r="I10" s="440" t="s">
        <v>315</v>
      </c>
      <c r="J10" s="441" t="s">
        <v>318</v>
      </c>
    </row>
    <row r="11" spans="1:10" ht="24.95" customHeight="1">
      <c r="A11" s="539"/>
      <c r="B11" s="440" t="s">
        <v>331</v>
      </c>
      <c r="C11" s="540"/>
      <c r="D11" s="540" t="s">
        <v>332</v>
      </c>
      <c r="E11" s="540"/>
      <c r="F11" s="440" t="s">
        <v>312</v>
      </c>
      <c r="G11" s="440" t="s">
        <v>312</v>
      </c>
      <c r="H11" s="440" t="s">
        <v>333</v>
      </c>
      <c r="I11" s="466" t="s">
        <v>334</v>
      </c>
      <c r="J11" s="442"/>
    </row>
    <row r="12" spans="1:10" ht="24.95" customHeight="1">
      <c r="A12" s="422">
        <v>1</v>
      </c>
      <c r="B12" s="440">
        <v>173</v>
      </c>
      <c r="C12" s="443">
        <f t="shared" ref="C12:C55" si="0">$C$4+D12/1440</f>
        <v>45454.472916666666</v>
      </c>
      <c r="D12" s="540">
        <v>1</v>
      </c>
      <c r="E12" s="540"/>
      <c r="F12" s="444">
        <f>LongTest!F10</f>
        <v>12.765655952211457</v>
      </c>
      <c r="G12" s="444">
        <f>LongTest!G10</f>
        <v>3.3156559522114577</v>
      </c>
      <c r="H12" s="445"/>
      <c r="I12" s="445"/>
      <c r="J12" s="446"/>
    </row>
    <row r="13" spans="1:10" ht="24.95" customHeight="1">
      <c r="A13" s="422"/>
      <c r="B13" s="440"/>
      <c r="C13" s="443">
        <f t="shared" si="0"/>
        <v>45454.473611111105</v>
      </c>
      <c r="D13" s="540">
        <v>2</v>
      </c>
      <c r="E13" s="540"/>
      <c r="F13" s="444">
        <f>LongTest!F11</f>
        <v>14.149879737904628</v>
      </c>
      <c r="G13" s="444">
        <f>LongTest!G11</f>
        <v>4.6998797379046291</v>
      </c>
      <c r="H13" s="445"/>
      <c r="I13" s="445"/>
      <c r="J13" s="446"/>
    </row>
    <row r="14" spans="1:10" ht="24.95" customHeight="1">
      <c r="A14" s="422"/>
      <c r="B14" s="440"/>
      <c r="C14" s="443">
        <f t="shared" si="0"/>
        <v>45454.474305555552</v>
      </c>
      <c r="D14" s="540">
        <v>3</v>
      </c>
      <c r="E14" s="540"/>
      <c r="F14" s="444">
        <f>LongTest!F12</f>
        <v>14.959598745141413</v>
      </c>
      <c r="G14" s="444">
        <f>LongTest!G12</f>
        <v>5.5095987451414139</v>
      </c>
      <c r="H14" s="445"/>
      <c r="I14" s="445"/>
      <c r="J14" s="446"/>
    </row>
    <row r="15" spans="1:10" ht="24.95" customHeight="1">
      <c r="A15" s="422"/>
      <c r="B15" s="440"/>
      <c r="C15" s="443">
        <f t="shared" si="0"/>
        <v>45454.474999999999</v>
      </c>
      <c r="D15" s="540">
        <v>4</v>
      </c>
      <c r="E15" s="540"/>
      <c r="F15" s="444">
        <f>LongTest!F13</f>
        <v>15.534103523597803</v>
      </c>
      <c r="G15" s="444">
        <f>LongTest!G13</f>
        <v>6.084103523597804</v>
      </c>
      <c r="H15" s="445"/>
      <c r="I15" s="445"/>
      <c r="J15" s="446"/>
    </row>
    <row r="16" spans="1:10" ht="24.95" customHeight="1">
      <c r="A16" s="422"/>
      <c r="B16" s="440"/>
      <c r="C16" s="443">
        <f t="shared" si="0"/>
        <v>45454.475694444438</v>
      </c>
      <c r="D16" s="540">
        <v>5</v>
      </c>
      <c r="E16" s="540"/>
      <c r="F16" s="444">
        <f>LongTest!F14</f>
        <v>15.97972404982378</v>
      </c>
      <c r="G16" s="444">
        <f>LongTest!G14</f>
        <v>6.5297240498237805</v>
      </c>
      <c r="H16" s="440">
        <f>'w1'!D14</f>
        <v>15.5</v>
      </c>
      <c r="I16" s="440">
        <f>'w1'!E14</f>
        <v>202</v>
      </c>
      <c r="J16" s="441">
        <f>'w1'!F14</f>
        <v>6.38</v>
      </c>
    </row>
    <row r="17" spans="1:10" ht="24.95" customHeight="1">
      <c r="A17" s="422"/>
      <c r="B17" s="440"/>
      <c r="C17" s="443">
        <f t="shared" si="0"/>
        <v>45454.479166666664</v>
      </c>
      <c r="D17" s="540">
        <v>10</v>
      </c>
      <c r="E17" s="540"/>
      <c r="F17" s="444">
        <f>LongTest!F15</f>
        <v>17.363947835516949</v>
      </c>
      <c r="G17" s="444">
        <f>LongTest!G15</f>
        <v>7.9139478355169501</v>
      </c>
      <c r="H17" s="440"/>
      <c r="I17" s="440"/>
      <c r="J17" s="441"/>
    </row>
    <row r="18" spans="1:10" ht="24.95" customHeight="1">
      <c r="A18" s="422"/>
      <c r="B18" s="440"/>
      <c r="C18" s="443">
        <f t="shared" si="0"/>
        <v>45454.482638888883</v>
      </c>
      <c r="D18" s="540">
        <v>15</v>
      </c>
      <c r="E18" s="540"/>
      <c r="F18" s="444">
        <f>LongTest!F16</f>
        <v>18.173666842753736</v>
      </c>
      <c r="G18" s="444">
        <f>LongTest!G16</f>
        <v>8.7236668427537367</v>
      </c>
      <c r="H18" s="440"/>
      <c r="I18" s="440"/>
      <c r="J18" s="441"/>
    </row>
    <row r="19" spans="1:10" ht="24.95" customHeight="1">
      <c r="A19" s="422"/>
      <c r="B19" s="440"/>
      <c r="C19" s="443">
        <f t="shared" si="0"/>
        <v>45454.486111111109</v>
      </c>
      <c r="D19" s="540">
        <v>20</v>
      </c>
      <c r="E19" s="540"/>
      <c r="F19" s="444">
        <f>LongTest!F17</f>
        <v>18.748171621210126</v>
      </c>
      <c r="G19" s="444">
        <f>LongTest!G17</f>
        <v>9.2981716212101269</v>
      </c>
      <c r="H19" s="440"/>
      <c r="I19" s="440"/>
      <c r="J19" s="441"/>
    </row>
    <row r="20" spans="1:10" ht="24.95" customHeight="1">
      <c r="A20" s="422"/>
      <c r="B20" s="440"/>
      <c r="C20" s="443">
        <f t="shared" si="0"/>
        <v>45454.489583333328</v>
      </c>
      <c r="D20" s="540">
        <v>25</v>
      </c>
      <c r="E20" s="540"/>
      <c r="F20" s="444">
        <f>LongTest!F18</f>
        <v>19.193792147436099</v>
      </c>
      <c r="G20" s="444">
        <f>LongTest!G18</f>
        <v>9.7437921474360998</v>
      </c>
      <c r="H20" s="440"/>
      <c r="I20" s="440"/>
      <c r="J20" s="441"/>
    </row>
    <row r="21" spans="1:10" ht="24.95" customHeight="1">
      <c r="A21" s="422"/>
      <c r="B21" s="440"/>
      <c r="C21" s="443">
        <f t="shared" si="0"/>
        <v>45454.493055555555</v>
      </c>
      <c r="D21" s="540">
        <v>30</v>
      </c>
      <c r="E21" s="540"/>
      <c r="F21" s="444">
        <f>LongTest!F19</f>
        <v>19.557890628446909</v>
      </c>
      <c r="G21" s="444">
        <f>LongTest!G19</f>
        <v>10.10789062844691</v>
      </c>
      <c r="H21" s="440">
        <f>'w1'!D15</f>
        <v>15.200000000000001</v>
      </c>
      <c r="I21" s="440">
        <f>'w1'!E15</f>
        <v>207</v>
      </c>
      <c r="J21" s="441">
        <f>'w1'!F15</f>
        <v>6.62</v>
      </c>
    </row>
    <row r="22" spans="1:10" ht="24.95" customHeight="1">
      <c r="A22" s="422"/>
      <c r="B22" s="440"/>
      <c r="C22" s="443">
        <f t="shared" si="0"/>
        <v>45454.496527777774</v>
      </c>
      <c r="D22" s="540">
        <v>35</v>
      </c>
      <c r="E22" s="540"/>
      <c r="F22" s="444">
        <f>LongTest!F20</f>
        <v>19.865731507818719</v>
      </c>
      <c r="G22" s="444">
        <f>LongTest!G20</f>
        <v>10.41573150781872</v>
      </c>
      <c r="H22" s="440"/>
      <c r="I22" s="440"/>
      <c r="J22" s="441"/>
    </row>
    <row r="23" spans="1:10" ht="24.95" customHeight="1">
      <c r="A23" s="422"/>
      <c r="B23" s="440"/>
      <c r="C23" s="443">
        <f t="shared" si="0"/>
        <v>45454.5</v>
      </c>
      <c r="D23" s="540">
        <v>40</v>
      </c>
      <c r="E23" s="540"/>
      <c r="F23" s="444">
        <f>LongTest!F21</f>
        <v>20.132395406903299</v>
      </c>
      <c r="G23" s="444">
        <f>LongTest!G21</f>
        <v>10.6823954069033</v>
      </c>
      <c r="H23" s="440"/>
      <c r="I23" s="440"/>
      <c r="J23" s="441"/>
    </row>
    <row r="24" spans="1:10" ht="24.95" customHeight="1">
      <c r="A24" s="422"/>
      <c r="B24" s="440"/>
      <c r="C24" s="443">
        <f t="shared" si="0"/>
        <v>45454.503472222219</v>
      </c>
      <c r="D24" s="540">
        <v>45</v>
      </c>
      <c r="E24" s="540"/>
      <c r="F24" s="444">
        <f>LongTest!F22</f>
        <v>20.367609635683696</v>
      </c>
      <c r="G24" s="444">
        <f>LongTest!G22</f>
        <v>10.917609635683696</v>
      </c>
      <c r="H24" s="440"/>
      <c r="I24" s="440"/>
      <c r="J24" s="441"/>
    </row>
    <row r="25" spans="1:10" ht="24.95" customHeight="1">
      <c r="A25" s="422"/>
      <c r="B25" s="440"/>
      <c r="C25" s="443">
        <f t="shared" si="0"/>
        <v>45454.506944444438</v>
      </c>
      <c r="D25" s="540">
        <v>50</v>
      </c>
      <c r="E25" s="540"/>
      <c r="F25" s="444">
        <f>LongTest!F23</f>
        <v>20.578015933129272</v>
      </c>
      <c r="G25" s="444">
        <f>LongTest!G23</f>
        <v>11.128015933129273</v>
      </c>
      <c r="H25" s="440"/>
      <c r="I25" s="440"/>
      <c r="J25" s="441"/>
    </row>
    <row r="26" spans="1:10" ht="24.95" customHeight="1">
      <c r="A26" s="422"/>
      <c r="B26" s="440"/>
      <c r="C26" s="443">
        <f t="shared" si="0"/>
        <v>45454.510416666664</v>
      </c>
      <c r="D26" s="540">
        <v>55</v>
      </c>
      <c r="E26" s="540"/>
      <c r="F26" s="444">
        <f>LongTest!F24</f>
        <v>20.768351581320562</v>
      </c>
      <c r="G26" s="444">
        <f>LongTest!G24</f>
        <v>11.318351581320563</v>
      </c>
      <c r="H26" s="440"/>
      <c r="I26" s="440"/>
      <c r="J26" s="441"/>
    </row>
    <row r="27" spans="1:10" ht="24.95" customHeight="1">
      <c r="A27" s="422"/>
      <c r="B27" s="440"/>
      <c r="C27" s="443">
        <f t="shared" si="0"/>
        <v>45454.513888888883</v>
      </c>
      <c r="D27" s="540">
        <v>60</v>
      </c>
      <c r="E27" s="540"/>
      <c r="F27" s="444">
        <f>LongTest!F25</f>
        <v>20.942114414140082</v>
      </c>
      <c r="G27" s="444">
        <f>LongTest!G25</f>
        <v>11.492114414140083</v>
      </c>
      <c r="H27" s="440">
        <f>'w1'!D16</f>
        <v>15.4</v>
      </c>
      <c r="I27" s="440">
        <f>'w1'!E16</f>
        <v>202</v>
      </c>
      <c r="J27" s="441">
        <f>'w1'!F16</f>
        <v>6.41</v>
      </c>
    </row>
    <row r="28" spans="1:10" ht="24.95" customHeight="1">
      <c r="A28" s="422"/>
      <c r="B28" s="440"/>
      <c r="C28" s="443">
        <f t="shared" si="0"/>
        <v>45454.524305555555</v>
      </c>
      <c r="D28" s="540">
        <v>75</v>
      </c>
      <c r="E28" s="540"/>
      <c r="F28" s="444">
        <f>LongTest!F26</f>
        <v>21.387734940366059</v>
      </c>
      <c r="G28" s="444">
        <f>LongTest!G26</f>
        <v>11.93773494036606</v>
      </c>
      <c r="H28" s="440"/>
      <c r="I28" s="440"/>
      <c r="J28" s="441"/>
    </row>
    <row r="29" spans="1:10" ht="24.95" customHeight="1">
      <c r="A29" s="422"/>
      <c r="B29" s="440"/>
      <c r="C29" s="443">
        <f t="shared" si="0"/>
        <v>45454.534722222219</v>
      </c>
      <c r="D29" s="540">
        <v>90</v>
      </c>
      <c r="E29" s="540"/>
      <c r="F29" s="444">
        <f>LongTest!F27</f>
        <v>21.751833421376869</v>
      </c>
      <c r="G29" s="444">
        <f>LongTest!G27</f>
        <v>12.30183342137687</v>
      </c>
      <c r="H29" s="440"/>
      <c r="I29" s="440"/>
      <c r="J29" s="441"/>
    </row>
    <row r="30" spans="1:10" ht="24.95" customHeight="1">
      <c r="A30" s="422"/>
      <c r="B30" s="440"/>
      <c r="C30" s="443">
        <f t="shared" si="0"/>
        <v>45454.545138888883</v>
      </c>
      <c r="D30" s="540">
        <v>105</v>
      </c>
      <c r="E30" s="540"/>
      <c r="F30" s="444">
        <f>LongTest!F28</f>
        <v>22.059674300748675</v>
      </c>
      <c r="G30" s="444">
        <f>LongTest!G28</f>
        <v>12.609674300748676</v>
      </c>
      <c r="H30" s="440"/>
      <c r="I30" s="440"/>
      <c r="J30" s="441"/>
    </row>
    <row r="31" spans="1:10" ht="24.95" customHeight="1">
      <c r="A31" s="422"/>
      <c r="B31" s="440"/>
      <c r="C31" s="443">
        <f t="shared" si="0"/>
        <v>45454.555555555555</v>
      </c>
      <c r="D31" s="540">
        <v>120</v>
      </c>
      <c r="E31" s="540"/>
      <c r="F31" s="444">
        <f>LongTest!F29</f>
        <v>22.326338199833256</v>
      </c>
      <c r="G31" s="444">
        <f>LongTest!G29</f>
        <v>12.876338199833256</v>
      </c>
      <c r="H31" s="440">
        <f>'w1'!D17</f>
        <v>15</v>
      </c>
      <c r="I31" s="440">
        <f>'w1'!E17</f>
        <v>201</v>
      </c>
      <c r="J31" s="441">
        <f>'w1'!F17</f>
        <v>6.37</v>
      </c>
    </row>
    <row r="32" spans="1:10" ht="24.95" customHeight="1">
      <c r="A32" s="422"/>
      <c r="B32" s="420"/>
      <c r="C32" s="443">
        <f t="shared" si="0"/>
        <v>45454.569444444438</v>
      </c>
      <c r="D32" s="540">
        <v>140</v>
      </c>
      <c r="E32" s="540"/>
      <c r="F32" s="444">
        <f>LongTest!F30</f>
        <v>22.634179079205065</v>
      </c>
      <c r="G32" s="444">
        <f>LongTest!G30</f>
        <v>13.184179079205066</v>
      </c>
      <c r="H32" s="440"/>
      <c r="I32" s="440"/>
      <c r="J32" s="441"/>
    </row>
    <row r="33" spans="1:10" ht="24.95" customHeight="1">
      <c r="A33" s="422"/>
      <c r="B33" s="440"/>
      <c r="C33" s="443">
        <f t="shared" si="0"/>
        <v>45454.583333333328</v>
      </c>
      <c r="D33" s="540">
        <v>160</v>
      </c>
      <c r="E33" s="540"/>
      <c r="F33" s="444">
        <f>LongTest!F31</f>
        <v>22.900842978289646</v>
      </c>
      <c r="G33" s="444">
        <f>LongTest!G31</f>
        <v>13.450842978289646</v>
      </c>
      <c r="H33" s="440"/>
      <c r="I33" s="440"/>
      <c r="J33" s="441"/>
    </row>
    <row r="34" spans="1:10" ht="24.95" customHeight="1">
      <c r="A34" s="422"/>
      <c r="B34" s="440"/>
      <c r="C34" s="443">
        <f t="shared" si="0"/>
        <v>45454.597222222219</v>
      </c>
      <c r="D34" s="540">
        <v>180</v>
      </c>
      <c r="E34" s="540"/>
      <c r="F34" s="444">
        <f>LongTest!F32</f>
        <v>23.136057207070042</v>
      </c>
      <c r="G34" s="444">
        <f>LongTest!G32</f>
        <v>13.686057207070043</v>
      </c>
      <c r="H34" s="440"/>
      <c r="I34" s="440"/>
      <c r="J34" s="441"/>
    </row>
    <row r="35" spans="1:10" ht="24.95" customHeight="1">
      <c r="A35" s="422"/>
      <c r="B35" s="440"/>
      <c r="C35" s="443">
        <f t="shared" si="0"/>
        <v>45454.638888888883</v>
      </c>
      <c r="D35" s="540">
        <v>240</v>
      </c>
      <c r="E35" s="540"/>
      <c r="F35" s="444">
        <f>LongTest!F33</f>
        <v>23.710561985526432</v>
      </c>
      <c r="G35" s="444">
        <f>LongTest!G33</f>
        <v>14.260561985526433</v>
      </c>
      <c r="H35" s="440">
        <f>'w1'!D18</f>
        <v>15</v>
      </c>
      <c r="I35" s="440">
        <f>'w1'!E18</f>
        <v>206</v>
      </c>
      <c r="J35" s="441">
        <f>'w1'!F18</f>
        <v>6.59</v>
      </c>
    </row>
    <row r="36" spans="1:10" ht="24.95" customHeight="1">
      <c r="A36" s="422"/>
      <c r="B36" s="440"/>
      <c r="C36" s="443">
        <f t="shared" si="0"/>
        <v>45454.680555555555</v>
      </c>
      <c r="D36" s="540">
        <v>300</v>
      </c>
      <c r="E36" s="540"/>
      <c r="F36" s="444">
        <f>LongTest!F34</f>
        <v>24.156182511752405</v>
      </c>
      <c r="G36" s="444">
        <f>LongTest!G34</f>
        <v>14.706182511752406</v>
      </c>
      <c r="H36" s="440"/>
      <c r="I36" s="440"/>
      <c r="J36" s="441"/>
    </row>
    <row r="37" spans="1:10" ht="24.95" customHeight="1">
      <c r="A37" s="423"/>
      <c r="B37" s="421"/>
      <c r="C37" s="443">
        <f t="shared" si="0"/>
        <v>45454.722222222219</v>
      </c>
      <c r="D37" s="540">
        <v>360</v>
      </c>
      <c r="E37" s="540"/>
      <c r="F37" s="444">
        <f>LongTest!F35</f>
        <v>24.520280992763215</v>
      </c>
      <c r="G37" s="444">
        <f>LongTest!G35</f>
        <v>15.070280992763216</v>
      </c>
      <c r="H37" s="440"/>
      <c r="I37" s="440"/>
      <c r="J37" s="441"/>
    </row>
    <row r="38" spans="1:10" ht="24.95" customHeight="1">
      <c r="A38" s="422"/>
      <c r="B38" s="440"/>
      <c r="C38" s="443">
        <f t="shared" si="0"/>
        <v>45454.763888888883</v>
      </c>
      <c r="D38" s="540">
        <v>420</v>
      </c>
      <c r="E38" s="540"/>
      <c r="F38" s="444">
        <f>LongTest!F36</f>
        <v>24.828121872135025</v>
      </c>
      <c r="G38" s="444">
        <f>LongTest!G36</f>
        <v>15.378121872135026</v>
      </c>
      <c r="H38" s="440"/>
      <c r="I38" s="440"/>
      <c r="J38" s="441"/>
    </row>
    <row r="39" spans="1:10" ht="24.95" customHeight="1">
      <c r="A39" s="422"/>
      <c r="B39" s="440"/>
      <c r="C39" s="443">
        <f t="shared" si="0"/>
        <v>45454.805555555555</v>
      </c>
      <c r="D39" s="540">
        <v>480</v>
      </c>
      <c r="E39" s="540"/>
      <c r="F39" s="444">
        <f>LongTest!F37</f>
        <v>25.094785771219605</v>
      </c>
      <c r="G39" s="444">
        <f>LongTest!G37</f>
        <v>15.644785771219606</v>
      </c>
      <c r="H39" s="440">
        <f>'w1'!D19</f>
        <v>15.600000000000001</v>
      </c>
      <c r="I39" s="440">
        <f>'w1'!E19</f>
        <v>203</v>
      </c>
      <c r="J39" s="441">
        <f>'w1'!F19</f>
        <v>6.39</v>
      </c>
    </row>
    <row r="40" spans="1:10" ht="24.95" customHeight="1">
      <c r="A40" s="422"/>
      <c r="B40" s="440"/>
      <c r="C40" s="443">
        <f t="shared" si="0"/>
        <v>45454.847222222219</v>
      </c>
      <c r="D40" s="540">
        <v>540</v>
      </c>
      <c r="E40" s="540"/>
      <c r="F40" s="444">
        <f>LongTest!F38</f>
        <v>25.330000000000002</v>
      </c>
      <c r="G40" s="444">
        <f>LongTest!G38</f>
        <v>15.880000000000003</v>
      </c>
      <c r="H40" s="440"/>
      <c r="I40" s="440"/>
      <c r="J40" s="441"/>
    </row>
    <row r="41" spans="1:10" ht="24.95" customHeight="1">
      <c r="A41" s="422"/>
      <c r="B41" s="440"/>
      <c r="C41" s="443">
        <f t="shared" si="0"/>
        <v>45454.888888888883</v>
      </c>
      <c r="D41" s="540">
        <v>600</v>
      </c>
      <c r="E41" s="540"/>
      <c r="F41" s="444">
        <f>LongTest!F39</f>
        <v>25.330000000000002</v>
      </c>
      <c r="G41" s="444">
        <f>LongTest!G39</f>
        <v>15.880000000000003</v>
      </c>
      <c r="H41" s="440"/>
      <c r="I41" s="440"/>
      <c r="J41" s="441"/>
    </row>
    <row r="42" spans="1:10" ht="24.95" customHeight="1">
      <c r="A42" s="423"/>
      <c r="B42" s="421"/>
      <c r="C42" s="443">
        <f t="shared" si="0"/>
        <v>45454.930555555555</v>
      </c>
      <c r="D42" s="540">
        <v>660</v>
      </c>
      <c r="E42" s="540"/>
      <c r="F42" s="444">
        <f>LongTest!F40</f>
        <v>25.330000000000002</v>
      </c>
      <c r="G42" s="444">
        <f>LongTest!G40</f>
        <v>15.880000000000003</v>
      </c>
      <c r="H42" s="440"/>
      <c r="I42" s="440"/>
      <c r="J42" s="441"/>
    </row>
    <row r="43" spans="1:10" ht="24.95" customHeight="1">
      <c r="A43" s="422"/>
      <c r="B43" s="440"/>
      <c r="C43" s="443">
        <f t="shared" si="0"/>
        <v>45454.972222222219</v>
      </c>
      <c r="D43" s="540">
        <v>720</v>
      </c>
      <c r="E43" s="540"/>
      <c r="F43" s="444">
        <f>LongTest!F41</f>
        <v>25.330000000000002</v>
      </c>
      <c r="G43" s="444">
        <f>LongTest!G41</f>
        <v>15.880000000000003</v>
      </c>
      <c r="H43" s="440"/>
      <c r="I43" s="440"/>
      <c r="J43" s="441"/>
    </row>
    <row r="44" spans="1:10" ht="24.95" customHeight="1">
      <c r="A44" s="422"/>
      <c r="B44" s="440"/>
      <c r="C44" s="443">
        <f t="shared" si="0"/>
        <v>45455.013888888883</v>
      </c>
      <c r="D44" s="540">
        <v>780</v>
      </c>
      <c r="E44" s="540"/>
      <c r="F44" s="440">
        <f>LongTest!F42</f>
        <v>25.330000000000002</v>
      </c>
      <c r="G44" s="440">
        <f>LongTest!G42</f>
        <v>15.880000000000003</v>
      </c>
      <c r="H44" s="440"/>
      <c r="I44" s="440"/>
      <c r="J44" s="441"/>
    </row>
    <row r="45" spans="1:10" ht="24.95" customHeight="1">
      <c r="A45" s="422"/>
      <c r="B45" s="440"/>
      <c r="C45" s="443">
        <f t="shared" si="0"/>
        <v>45455.055555555555</v>
      </c>
      <c r="D45" s="540">
        <v>840</v>
      </c>
      <c r="E45" s="540"/>
      <c r="F45" s="440">
        <f>LongTest!F43</f>
        <v>25.330000000000002</v>
      </c>
      <c r="G45" s="440">
        <f>LongTest!G43</f>
        <v>15.880000000000003</v>
      </c>
      <c r="H45" s="440"/>
      <c r="I45" s="440"/>
      <c r="J45" s="441"/>
    </row>
    <row r="46" spans="1:10" ht="24.95" customHeight="1">
      <c r="A46" s="422"/>
      <c r="B46" s="440"/>
      <c r="C46" s="443">
        <f t="shared" si="0"/>
        <v>45455.097222222219</v>
      </c>
      <c r="D46" s="540">
        <v>900</v>
      </c>
      <c r="E46" s="540"/>
      <c r="F46" s="440">
        <f>LongTest!F44</f>
        <v>25.330000000000002</v>
      </c>
      <c r="G46" s="440">
        <f>LongTest!G44</f>
        <v>15.880000000000003</v>
      </c>
      <c r="H46" s="440"/>
      <c r="I46" s="440"/>
      <c r="J46" s="441"/>
    </row>
    <row r="47" spans="1:10" ht="24.95" customHeight="1">
      <c r="A47" s="423"/>
      <c r="B47" s="421"/>
      <c r="C47" s="443">
        <f t="shared" si="0"/>
        <v>45455.138888888883</v>
      </c>
      <c r="D47" s="540">
        <v>960</v>
      </c>
      <c r="E47" s="540"/>
      <c r="F47" s="440">
        <f>LongTest!F45</f>
        <v>25.330000000000002</v>
      </c>
      <c r="G47" s="440">
        <f>LongTest!G45</f>
        <v>15.880000000000003</v>
      </c>
      <c r="H47" s="440"/>
      <c r="I47" s="440"/>
      <c r="J47" s="441"/>
    </row>
    <row r="48" spans="1:10" ht="24.95" customHeight="1">
      <c r="A48" s="422"/>
      <c r="B48" s="440"/>
      <c r="C48" s="443">
        <f t="shared" si="0"/>
        <v>45455.180555555555</v>
      </c>
      <c r="D48" s="540">
        <v>1020</v>
      </c>
      <c r="E48" s="540"/>
      <c r="F48" s="440">
        <f>LongTest!F46</f>
        <v>25.330000000000002</v>
      </c>
      <c r="G48" s="440">
        <f>LongTest!G46</f>
        <v>15.880000000000003</v>
      </c>
      <c r="H48" s="440"/>
      <c r="I48" s="440"/>
      <c r="J48" s="441"/>
    </row>
    <row r="49" spans="1:10" ht="24.95" customHeight="1">
      <c r="A49" s="422"/>
      <c r="B49" s="440"/>
      <c r="C49" s="443">
        <f t="shared" si="0"/>
        <v>45455.222222222219</v>
      </c>
      <c r="D49" s="540">
        <v>1080</v>
      </c>
      <c r="E49" s="540"/>
      <c r="F49" s="440">
        <f>LongTest!F47</f>
        <v>25.330000000000002</v>
      </c>
      <c r="G49" s="440">
        <f>LongTest!G47</f>
        <v>15.880000000000003</v>
      </c>
      <c r="H49" s="440"/>
      <c r="I49" s="440"/>
      <c r="J49" s="441"/>
    </row>
    <row r="50" spans="1:10" ht="24.95" customHeight="1">
      <c r="A50" s="422"/>
      <c r="B50" s="440"/>
      <c r="C50" s="443">
        <f t="shared" si="0"/>
        <v>45455.263888888883</v>
      </c>
      <c r="D50" s="540">
        <v>1140</v>
      </c>
      <c r="E50" s="540"/>
      <c r="F50" s="440">
        <f>LongTest!F48</f>
        <v>25.330000000000002</v>
      </c>
      <c r="G50" s="440">
        <f>LongTest!G48</f>
        <v>15.880000000000003</v>
      </c>
      <c r="H50" s="440"/>
      <c r="I50" s="440"/>
      <c r="J50" s="441"/>
    </row>
    <row r="51" spans="1:10" ht="24.95" customHeight="1">
      <c r="A51" s="422"/>
      <c r="B51" s="440"/>
      <c r="C51" s="443">
        <f t="shared" si="0"/>
        <v>45455.305555555555</v>
      </c>
      <c r="D51" s="540">
        <v>1200</v>
      </c>
      <c r="E51" s="540"/>
      <c r="F51" s="440">
        <f>LongTest!F49</f>
        <v>25.330000000000002</v>
      </c>
      <c r="G51" s="440">
        <f>LongTest!G49</f>
        <v>15.880000000000003</v>
      </c>
      <c r="H51" s="440"/>
      <c r="I51" s="440"/>
      <c r="J51" s="441"/>
    </row>
    <row r="52" spans="1:10" ht="24.95" customHeight="1">
      <c r="A52" s="422"/>
      <c r="B52" s="440"/>
      <c r="C52" s="443">
        <f t="shared" si="0"/>
        <v>45455.347222222219</v>
      </c>
      <c r="D52" s="540">
        <v>1260</v>
      </c>
      <c r="E52" s="540"/>
      <c r="F52" s="440">
        <f>LongTest!F50</f>
        <v>25.330000000000002</v>
      </c>
      <c r="G52" s="440">
        <f>LongTest!G50</f>
        <v>15.880000000000003</v>
      </c>
      <c r="H52" s="440"/>
      <c r="I52" s="440"/>
      <c r="J52" s="441"/>
    </row>
    <row r="53" spans="1:10" ht="24.95" customHeight="1">
      <c r="A53" s="422"/>
      <c r="B53" s="440"/>
      <c r="C53" s="443">
        <f t="shared" si="0"/>
        <v>45455.388888888883</v>
      </c>
      <c r="D53" s="540">
        <v>1320</v>
      </c>
      <c r="E53" s="540"/>
      <c r="F53" s="440">
        <f>LongTest!F51</f>
        <v>25.330000000000002</v>
      </c>
      <c r="G53" s="440">
        <f>LongTest!G51</f>
        <v>15.880000000000003</v>
      </c>
      <c r="H53" s="440"/>
      <c r="I53" s="440"/>
      <c r="J53" s="441"/>
    </row>
    <row r="54" spans="1:10" ht="24.95" customHeight="1">
      <c r="A54" s="422"/>
      <c r="B54" s="440"/>
      <c r="C54" s="443">
        <f t="shared" si="0"/>
        <v>45455.430555555555</v>
      </c>
      <c r="D54" s="540">
        <v>1380</v>
      </c>
      <c r="E54" s="540"/>
      <c r="F54" s="440">
        <f>LongTest!F52</f>
        <v>25.330000000000002</v>
      </c>
      <c r="G54" s="440">
        <f>LongTest!G52</f>
        <v>15.880000000000003</v>
      </c>
      <c r="H54" s="440"/>
      <c r="I54" s="440"/>
      <c r="J54" s="441"/>
    </row>
    <row r="55" spans="1:10" ht="24.95" customHeight="1">
      <c r="A55" s="422"/>
      <c r="B55" s="440"/>
      <c r="C55" s="443">
        <f t="shared" si="0"/>
        <v>45455.472222222219</v>
      </c>
      <c r="D55" s="540">
        <v>1440</v>
      </c>
      <c r="E55" s="540"/>
      <c r="F55" s="440">
        <f>LongTest!F53</f>
        <v>25.330000000000002</v>
      </c>
      <c r="G55" s="440">
        <f>LongTest!G53</f>
        <v>15.880000000000003</v>
      </c>
      <c r="H55" s="440">
        <f>'w1'!D20</f>
        <v>15.200000000000001</v>
      </c>
      <c r="I55" s="440">
        <f>'w1'!E20</f>
        <v>205</v>
      </c>
      <c r="J55" s="441">
        <f>'w1'!F20</f>
        <v>6.37</v>
      </c>
    </row>
    <row r="56" spans="1:10" ht="24.95" customHeight="1">
      <c r="A56" s="447"/>
      <c r="B56" s="443"/>
      <c r="C56" s="443"/>
      <c r="D56" s="601"/>
      <c r="E56" s="602"/>
      <c r="F56" s="440"/>
      <c r="G56" s="440"/>
      <c r="H56" s="440"/>
      <c r="I56" s="440"/>
      <c r="J56" s="441"/>
    </row>
    <row r="57" spans="1:10" ht="24.95" customHeight="1" thickBot="1">
      <c r="A57" s="598" t="s">
        <v>324</v>
      </c>
      <c r="B57" s="599"/>
      <c r="C57" s="599"/>
      <c r="D57" s="599"/>
      <c r="E57" s="599"/>
      <c r="F57" s="599"/>
      <c r="G57" s="599"/>
      <c r="H57" s="599"/>
      <c r="I57" s="599"/>
      <c r="J57" s="600"/>
    </row>
    <row r="58" spans="1:10" ht="21" customHeight="1"/>
    <row r="59" spans="1:10" ht="21" customHeight="1"/>
    <row r="60" spans="1:10" ht="21" customHeight="1"/>
    <row r="61" spans="1:10" ht="21" customHeight="1"/>
    <row r="62" spans="1:10" ht="21" customHeight="1"/>
    <row r="63" spans="1:10" ht="21" customHeight="1"/>
  </sheetData>
  <mergeCells count="70">
    <mergeCell ref="A57:J57"/>
    <mergeCell ref="D56:E56"/>
    <mergeCell ref="D50:E50"/>
    <mergeCell ref="D51:E51"/>
    <mergeCell ref="D52:E52"/>
    <mergeCell ref="D53:E53"/>
    <mergeCell ref="D54:E54"/>
    <mergeCell ref="D55:E55"/>
    <mergeCell ref="D49:E49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D37:E37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D36:E36"/>
    <mergeCell ref="D25:E25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D13:E13"/>
    <mergeCell ref="A8:B8"/>
    <mergeCell ref="C8:D8"/>
    <mergeCell ref="H8:I8"/>
    <mergeCell ref="A9:B9"/>
    <mergeCell ref="C9:D9"/>
    <mergeCell ref="H9:I9"/>
    <mergeCell ref="A10:A11"/>
    <mergeCell ref="C10:C11"/>
    <mergeCell ref="D10:E10"/>
    <mergeCell ref="D11:E11"/>
    <mergeCell ref="D12:E12"/>
    <mergeCell ref="A5:B5"/>
    <mergeCell ref="C5:J5"/>
    <mergeCell ref="A6:B6"/>
    <mergeCell ref="C6:J6"/>
    <mergeCell ref="A7:B7"/>
    <mergeCell ref="C7:D7"/>
    <mergeCell ref="H7:I7"/>
    <mergeCell ref="A4:B4"/>
    <mergeCell ref="C4:J4"/>
    <mergeCell ref="A1:J1"/>
    <mergeCell ref="A2:B2"/>
    <mergeCell ref="C2:J2"/>
    <mergeCell ref="A3:B3"/>
    <mergeCell ref="C3:H3"/>
  </mergeCells>
  <phoneticPr fontId="4" type="noConversion"/>
  <pageMargins left="0.70866141732283472" right="0.70866141732283472" top="0.74803149606299213" bottom="0.74803149606299213" header="0.31496062992125984" footer="0.31496062992125984"/>
  <pageSetup paperSize="9" scale="83" orientation="portrait" r:id="rId1"/>
  <rowBreaks count="1" manualBreakCount="1">
    <brk id="34" max="9" man="1"/>
  </rowBreak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F736BC-05AA-4D71-9058-14292AD787AB}">
  <sheetPr codeName="Sheet7">
    <tabColor rgb="FF0070C0"/>
  </sheetPr>
  <dimension ref="A1:J101"/>
  <sheetViews>
    <sheetView showGridLines="0" view="pageBreakPreview" topLeftCell="A16" zoomScaleNormal="130" zoomScaleSheetLayoutView="100" workbookViewId="0">
      <selection activeCell="G19" sqref="G19"/>
    </sheetView>
  </sheetViews>
  <sheetFormatPr defaultRowHeight="16.5"/>
  <cols>
    <col min="1" max="1" width="9" style="448"/>
    <col min="2" max="2" width="9.5" style="448" bestFit="1" customWidth="1"/>
    <col min="3" max="3" width="11.375" style="448" customWidth="1"/>
    <col min="4" max="4" width="6.75" style="448" customWidth="1"/>
    <col min="5" max="5" width="7.25" style="448" customWidth="1"/>
    <col min="6" max="6" width="14" style="448" bestFit="1" customWidth="1"/>
    <col min="7" max="7" width="12.125" style="448" customWidth="1"/>
    <col min="8" max="16384" width="9" style="448"/>
  </cols>
  <sheetData>
    <row r="1" spans="1:10" ht="45" customHeight="1" thickBot="1">
      <c r="A1" s="541" t="s">
        <v>330</v>
      </c>
      <c r="B1" s="541"/>
      <c r="C1" s="541"/>
      <c r="D1" s="541"/>
      <c r="E1" s="541"/>
      <c r="F1" s="541"/>
      <c r="G1" s="541"/>
      <c r="H1" s="541"/>
      <c r="I1" s="541"/>
      <c r="J1" s="541"/>
    </row>
    <row r="2" spans="1:10" ht="24.95" customHeight="1">
      <c r="A2" s="542" t="s">
        <v>295</v>
      </c>
      <c r="B2" s="543"/>
      <c r="C2" s="544" t="str">
        <f>LongTest!C2</f>
        <v>순성중명아파트 이용허가 유효기간의 연장을 위한 지하수영향조사보고서</v>
      </c>
      <c r="D2" s="545"/>
      <c r="E2" s="545"/>
      <c r="F2" s="545"/>
      <c r="G2" s="545"/>
      <c r="H2" s="545"/>
      <c r="I2" s="545"/>
      <c r="J2" s="546"/>
    </row>
    <row r="3" spans="1:10" ht="24.95" customHeight="1">
      <c r="A3" s="547" t="s">
        <v>296</v>
      </c>
      <c r="B3" s="548"/>
      <c r="C3" s="552" t="str">
        <f>LongTest!C4</f>
        <v>충청남도 당진시 순성면 순성로 453-30번지</v>
      </c>
      <c r="D3" s="553"/>
      <c r="E3" s="553"/>
      <c r="F3" s="553"/>
      <c r="G3" s="553"/>
      <c r="H3" s="554"/>
      <c r="I3" s="424" t="str">
        <f>Input!I54</f>
        <v>W-1</v>
      </c>
      <c r="J3" s="425" t="s">
        <v>322</v>
      </c>
    </row>
    <row r="4" spans="1:10" ht="24.95" customHeight="1">
      <c r="A4" s="547" t="s">
        <v>297</v>
      </c>
      <c r="B4" s="548"/>
      <c r="C4" s="549">
        <f>장기14!C55</f>
        <v>45455.472222222219</v>
      </c>
      <c r="D4" s="550"/>
      <c r="E4" s="550"/>
      <c r="F4" s="550"/>
      <c r="G4" s="550"/>
      <c r="H4" s="550"/>
      <c r="I4" s="550"/>
      <c r="J4" s="551"/>
    </row>
    <row r="5" spans="1:10" ht="24.95" customHeight="1">
      <c r="A5" s="547" t="s">
        <v>298</v>
      </c>
      <c r="B5" s="548"/>
      <c r="C5" s="549">
        <f>C31</f>
        <v>45455.555555555555</v>
      </c>
      <c r="D5" s="550"/>
      <c r="E5" s="550"/>
      <c r="F5" s="550"/>
      <c r="G5" s="550"/>
      <c r="H5" s="550"/>
      <c r="I5" s="550"/>
      <c r="J5" s="551"/>
    </row>
    <row r="6" spans="1:10" ht="24.95" customHeight="1">
      <c r="A6" s="547" t="s">
        <v>294</v>
      </c>
      <c r="B6" s="548"/>
      <c r="C6" s="555" t="str">
        <f>LongTest!C5</f>
        <v>주식회사 한일지하수</v>
      </c>
      <c r="D6" s="556"/>
      <c r="E6" s="556"/>
      <c r="F6" s="556"/>
      <c r="G6" s="556"/>
      <c r="H6" s="556"/>
      <c r="I6" s="556"/>
      <c r="J6" s="557"/>
    </row>
    <row r="7" spans="1:10" ht="24.95" customHeight="1">
      <c r="A7" s="547" t="s">
        <v>299</v>
      </c>
      <c r="B7" s="548"/>
      <c r="C7" s="531" t="s">
        <v>326</v>
      </c>
      <c r="D7" s="548"/>
      <c r="E7" s="426">
        <f>LongTest!C6</f>
        <v>5</v>
      </c>
      <c r="F7" s="426" t="s">
        <v>300</v>
      </c>
      <c r="G7" s="426" t="s">
        <v>328</v>
      </c>
      <c r="H7" s="531">
        <f>Input!I50</f>
        <v>50</v>
      </c>
      <c r="I7" s="548"/>
      <c r="J7" s="427" t="s">
        <v>301</v>
      </c>
    </row>
    <row r="8" spans="1:10" ht="24.95" customHeight="1">
      <c r="A8" s="547" t="s">
        <v>302</v>
      </c>
      <c r="B8" s="548"/>
      <c r="C8" s="531" t="s">
        <v>327</v>
      </c>
      <c r="D8" s="548"/>
      <c r="E8" s="426">
        <f>LongTest!D7</f>
        <v>200</v>
      </c>
      <c r="F8" s="426" t="s">
        <v>303</v>
      </c>
      <c r="G8" s="426" t="s">
        <v>304</v>
      </c>
      <c r="H8" s="531">
        <f>LongTest!G7</f>
        <v>100</v>
      </c>
      <c r="I8" s="548"/>
      <c r="J8" s="427" t="s">
        <v>301</v>
      </c>
    </row>
    <row r="9" spans="1:10" ht="24.95" customHeight="1">
      <c r="A9" s="547" t="s">
        <v>305</v>
      </c>
      <c r="B9" s="548"/>
      <c r="C9" s="531" t="s">
        <v>325</v>
      </c>
      <c r="D9" s="548"/>
      <c r="E9" s="426">
        <f>LongTest!D8</f>
        <v>9.4499999999999993</v>
      </c>
      <c r="F9" s="426" t="s">
        <v>301</v>
      </c>
      <c r="G9" s="426" t="s">
        <v>306</v>
      </c>
      <c r="H9" s="531">
        <f>LongTest!G8</f>
        <v>25.330000000000002</v>
      </c>
      <c r="I9" s="548"/>
      <c r="J9" s="427" t="s">
        <v>301</v>
      </c>
    </row>
    <row r="10" spans="1:10" ht="24.95" customHeight="1">
      <c r="A10" s="539" t="s">
        <v>307</v>
      </c>
      <c r="B10" s="440" t="s">
        <v>308</v>
      </c>
      <c r="C10" s="540" t="s">
        <v>190</v>
      </c>
      <c r="D10" s="540" t="s">
        <v>310</v>
      </c>
      <c r="E10" s="540"/>
      <c r="F10" s="440" t="s">
        <v>311</v>
      </c>
      <c r="G10" s="440" t="s">
        <v>313</v>
      </c>
      <c r="H10" s="440" t="s">
        <v>314</v>
      </c>
      <c r="I10" s="440" t="s">
        <v>315</v>
      </c>
      <c r="J10" s="441" t="s">
        <v>318</v>
      </c>
    </row>
    <row r="11" spans="1:10" ht="24.95" customHeight="1">
      <c r="A11" s="539"/>
      <c r="B11" s="440" t="s">
        <v>331</v>
      </c>
      <c r="C11" s="540"/>
      <c r="D11" s="540" t="s">
        <v>332</v>
      </c>
      <c r="E11" s="540"/>
      <c r="F11" s="440" t="s">
        <v>312</v>
      </c>
      <c r="G11" s="440" t="s">
        <v>312</v>
      </c>
      <c r="H11" s="440" t="s">
        <v>333</v>
      </c>
      <c r="I11" s="466" t="s">
        <v>334</v>
      </c>
      <c r="J11" s="442"/>
    </row>
    <row r="12" spans="1:10" ht="24.95" customHeight="1">
      <c r="A12" s="453"/>
      <c r="B12" s="426">
        <v>0</v>
      </c>
      <c r="C12" s="430">
        <f t="shared" ref="C12:C31" si="0">$C$4+D12/1440</f>
        <v>45455.472916666666</v>
      </c>
      <c r="D12" s="529">
        <v>1</v>
      </c>
      <c r="E12" s="530"/>
      <c r="F12" s="431">
        <f>LongTest!F78</f>
        <v>20.232796980712919</v>
      </c>
      <c r="G12" s="431">
        <f>LongTest!G78</f>
        <v>10.782796980712918</v>
      </c>
      <c r="H12" s="463"/>
      <c r="I12" s="464"/>
      <c r="J12" s="465"/>
    </row>
    <row r="13" spans="1:10" ht="24.95" customHeight="1">
      <c r="A13" s="453"/>
      <c r="B13" s="430"/>
      <c r="C13" s="430">
        <f t="shared" si="0"/>
        <v>45455.473611111105</v>
      </c>
      <c r="D13" s="529">
        <v>2</v>
      </c>
      <c r="E13" s="530"/>
      <c r="F13" s="431">
        <f>LongTest!F79</f>
        <v>19.374437782107812</v>
      </c>
      <c r="G13" s="431">
        <f>LongTest!G79</f>
        <v>9.9244377821078142</v>
      </c>
      <c r="H13" s="529"/>
      <c r="I13" s="534"/>
      <c r="J13" s="535"/>
    </row>
    <row r="14" spans="1:10" ht="24.95" customHeight="1">
      <c r="A14" s="453"/>
      <c r="B14" s="430"/>
      <c r="C14" s="430">
        <f t="shared" si="0"/>
        <v>45455.474305555552</v>
      </c>
      <c r="D14" s="529">
        <v>3</v>
      </c>
      <c r="E14" s="530"/>
      <c r="F14" s="431">
        <f>LongTest!F80</f>
        <v>18.58440784122201</v>
      </c>
      <c r="G14" s="431">
        <f>LongTest!G80</f>
        <v>9.1344078412220089</v>
      </c>
      <c r="H14" s="529"/>
      <c r="I14" s="534"/>
      <c r="J14" s="535"/>
    </row>
    <row r="15" spans="1:10" ht="24.95" customHeight="1">
      <c r="A15" s="453"/>
      <c r="B15" s="430"/>
      <c r="C15" s="430">
        <f t="shared" si="0"/>
        <v>45455.474999999999</v>
      </c>
      <c r="D15" s="529">
        <v>4</v>
      </c>
      <c r="E15" s="530"/>
      <c r="F15" s="431">
        <f>LongTest!F81</f>
        <v>17.857267841429007</v>
      </c>
      <c r="G15" s="431">
        <f>LongTest!G81</f>
        <v>8.4072678414290092</v>
      </c>
      <c r="H15" s="529"/>
      <c r="I15" s="534"/>
      <c r="J15" s="535"/>
    </row>
    <row r="16" spans="1:10" ht="24.95" customHeight="1">
      <c r="A16" s="453"/>
      <c r="B16" s="430"/>
      <c r="C16" s="430">
        <f t="shared" si="0"/>
        <v>45455.475694444438</v>
      </c>
      <c r="D16" s="529">
        <v>5</v>
      </c>
      <c r="E16" s="530"/>
      <c r="F16" s="431">
        <f>LongTest!F82</f>
        <v>17.188011460201068</v>
      </c>
      <c r="G16" s="431">
        <f>LongTest!G82</f>
        <v>7.7380114602010686</v>
      </c>
      <c r="H16" s="529"/>
      <c r="I16" s="534"/>
      <c r="J16" s="535"/>
    </row>
    <row r="17" spans="1:10" ht="24.95" customHeight="1">
      <c r="A17" s="453"/>
      <c r="B17" s="430"/>
      <c r="C17" s="430">
        <f t="shared" si="0"/>
        <v>45455.479166666664</v>
      </c>
      <c r="D17" s="529">
        <v>10</v>
      </c>
      <c r="E17" s="530"/>
      <c r="F17" s="431">
        <f>LongTest!F83</f>
        <v>15.483270868618019</v>
      </c>
      <c r="G17" s="431">
        <f>LongTest!G83</f>
        <v>6.0332708686180201</v>
      </c>
      <c r="H17" s="529"/>
      <c r="I17" s="534"/>
      <c r="J17" s="535"/>
    </row>
    <row r="18" spans="1:10" ht="24.95" customHeight="1">
      <c r="A18" s="453"/>
      <c r="B18" s="430"/>
      <c r="C18" s="430">
        <f t="shared" si="0"/>
        <v>45455.482638888883</v>
      </c>
      <c r="D18" s="529">
        <v>15</v>
      </c>
      <c r="E18" s="530"/>
      <c r="F18" s="431">
        <f>LongTest!F84</f>
        <v>15.158681504824028</v>
      </c>
      <c r="G18" s="431">
        <f>LongTest!G84</f>
        <v>5.7086815048240274</v>
      </c>
      <c r="H18" s="529"/>
      <c r="I18" s="534"/>
      <c r="J18" s="535"/>
    </row>
    <row r="19" spans="1:10" ht="24.95" customHeight="1">
      <c r="A19" s="453"/>
      <c r="B19" s="430"/>
      <c r="C19" s="430">
        <f t="shared" si="0"/>
        <v>45455.486111111109</v>
      </c>
      <c r="D19" s="529">
        <v>20</v>
      </c>
      <c r="E19" s="530"/>
      <c r="F19" s="431">
        <f>LongTest!F85</f>
        <v>14.285983204912011</v>
      </c>
      <c r="G19" s="431">
        <f>LongTest!G85</f>
        <v>4.8359832049120115</v>
      </c>
      <c r="H19" s="529"/>
      <c r="I19" s="534"/>
      <c r="J19" s="535"/>
    </row>
    <row r="20" spans="1:10" ht="24.95" customHeight="1">
      <c r="A20" s="453"/>
      <c r="B20" s="430"/>
      <c r="C20" s="430">
        <f t="shared" si="0"/>
        <v>45455.489583333328</v>
      </c>
      <c r="D20" s="529">
        <v>25</v>
      </c>
      <c r="E20" s="530"/>
      <c r="F20" s="431">
        <f>LongTest!F86</f>
        <v>13.901017163572192</v>
      </c>
      <c r="G20" s="431">
        <f>LongTest!G86</f>
        <v>4.4510171635721916</v>
      </c>
      <c r="H20" s="529"/>
      <c r="I20" s="534"/>
      <c r="J20" s="535"/>
    </row>
    <row r="21" spans="1:10" ht="24.95" customHeight="1">
      <c r="A21" s="453"/>
      <c r="B21" s="430"/>
      <c r="C21" s="430">
        <f t="shared" si="0"/>
        <v>45455.493055555555</v>
      </c>
      <c r="D21" s="529">
        <v>30</v>
      </c>
      <c r="E21" s="530"/>
      <c r="F21" s="431">
        <f>LongTest!F87</f>
        <v>13.54669615276811</v>
      </c>
      <c r="G21" s="431">
        <f>LongTest!G87</f>
        <v>4.0966961527681098</v>
      </c>
      <c r="H21" s="529"/>
      <c r="I21" s="534"/>
      <c r="J21" s="535"/>
    </row>
    <row r="22" spans="1:10" ht="24.95" customHeight="1">
      <c r="A22" s="453"/>
      <c r="B22" s="430"/>
      <c r="C22" s="430">
        <f t="shared" si="0"/>
        <v>45455.496527777774</v>
      </c>
      <c r="D22" s="529">
        <v>35</v>
      </c>
      <c r="E22" s="530"/>
      <c r="F22" s="431">
        <f>LongTest!F88</f>
        <v>13.434971769034254</v>
      </c>
      <c r="G22" s="431">
        <f>LongTest!G88</f>
        <v>3.9849717690342552</v>
      </c>
      <c r="H22" s="529"/>
      <c r="I22" s="534"/>
      <c r="J22" s="535"/>
    </row>
    <row r="23" spans="1:10" ht="24.95" customHeight="1">
      <c r="A23" s="453"/>
      <c r="B23" s="430"/>
      <c r="C23" s="430">
        <f t="shared" si="0"/>
        <v>45455.5</v>
      </c>
      <c r="D23" s="529">
        <v>40</v>
      </c>
      <c r="E23" s="530"/>
      <c r="F23" s="431">
        <f>LongTest!F89</f>
        <v>13.326294313228475</v>
      </c>
      <c r="G23" s="431">
        <f>LongTest!G89</f>
        <v>3.8762943132284762</v>
      </c>
      <c r="H23" s="529"/>
      <c r="I23" s="534"/>
      <c r="J23" s="535"/>
    </row>
    <row r="24" spans="1:10" ht="24.95" customHeight="1">
      <c r="A24" s="453"/>
      <c r="B24" s="430"/>
      <c r="C24" s="430">
        <f t="shared" si="0"/>
        <v>45455.503472222219</v>
      </c>
      <c r="D24" s="529">
        <v>45</v>
      </c>
      <c r="E24" s="530"/>
      <c r="F24" s="431">
        <f>LongTest!F90</f>
        <v>13.220580690063166</v>
      </c>
      <c r="G24" s="431">
        <f>LongTest!G90</f>
        <v>3.7705806900631673</v>
      </c>
      <c r="H24" s="529"/>
      <c r="I24" s="534"/>
      <c r="J24" s="535"/>
    </row>
    <row r="25" spans="1:10" ht="24.95" customHeight="1">
      <c r="A25" s="453"/>
      <c r="B25" s="430"/>
      <c r="C25" s="430">
        <f t="shared" si="0"/>
        <v>45455.506944444438</v>
      </c>
      <c r="D25" s="529">
        <v>50</v>
      </c>
      <c r="E25" s="530"/>
      <c r="F25" s="431">
        <f>LongTest!F91</f>
        <v>13.11775007041093</v>
      </c>
      <c r="G25" s="431">
        <f>LongTest!G91</f>
        <v>3.6677500704109298</v>
      </c>
      <c r="H25" s="529"/>
      <c r="I25" s="534"/>
      <c r="J25" s="535"/>
    </row>
    <row r="26" spans="1:10" ht="24.95" customHeight="1">
      <c r="A26" s="453"/>
      <c r="B26" s="430"/>
      <c r="C26" s="430">
        <f t="shared" si="0"/>
        <v>45455.510416666664</v>
      </c>
      <c r="D26" s="529">
        <v>55</v>
      </c>
      <c r="E26" s="530"/>
      <c r="F26" s="431">
        <f>LongTest!F92</f>
        <v>13.017723829502245</v>
      </c>
      <c r="G26" s="431">
        <f>LongTest!G92</f>
        <v>3.5677238295022455</v>
      </c>
      <c r="H26" s="529"/>
      <c r="I26" s="534"/>
      <c r="J26" s="535"/>
    </row>
    <row r="27" spans="1:10" ht="24.95" customHeight="1">
      <c r="A27" s="453"/>
      <c r="B27" s="430"/>
      <c r="C27" s="430">
        <f t="shared" si="0"/>
        <v>45455.513888888883</v>
      </c>
      <c r="D27" s="529">
        <v>60</v>
      </c>
      <c r="E27" s="530"/>
      <c r="F27" s="431">
        <f>LongTest!F93</f>
        <v>12.920425486808609</v>
      </c>
      <c r="G27" s="431">
        <f>LongTest!G93</f>
        <v>3.4704254868086104</v>
      </c>
      <c r="H27" s="529"/>
      <c r="I27" s="534"/>
      <c r="J27" s="535"/>
    </row>
    <row r="28" spans="1:10" ht="24.95" customHeight="1">
      <c r="A28" s="453"/>
      <c r="B28" s="430"/>
      <c r="C28" s="430">
        <f t="shared" si="0"/>
        <v>45455.524305555555</v>
      </c>
      <c r="D28" s="529">
        <v>75</v>
      </c>
      <c r="E28" s="530"/>
      <c r="F28" s="431">
        <f>LongTest!F94</f>
        <v>12.825780647565169</v>
      </c>
      <c r="G28" s="431">
        <f>LongTest!G94</f>
        <v>3.3757806475651706</v>
      </c>
      <c r="H28" s="529"/>
      <c r="I28" s="534"/>
      <c r="J28" s="535"/>
    </row>
    <row r="29" spans="1:10" ht="24.95" customHeight="1">
      <c r="A29" s="453"/>
      <c r="B29" s="430"/>
      <c r="C29" s="430">
        <f t="shared" si="0"/>
        <v>45455.534722222219</v>
      </c>
      <c r="D29" s="529">
        <v>90</v>
      </c>
      <c r="E29" s="530"/>
      <c r="F29" s="431">
        <f>LongTest!F95</f>
        <v>12.733716945888137</v>
      </c>
      <c r="G29" s="431">
        <f>LongTest!G95</f>
        <v>3.2837169458881377</v>
      </c>
      <c r="H29" s="529"/>
      <c r="I29" s="534"/>
      <c r="J29" s="535"/>
    </row>
    <row r="30" spans="1:10" ht="24.95" customHeight="1">
      <c r="A30" s="453"/>
      <c r="B30" s="430"/>
      <c r="C30" s="430">
        <f t="shared" si="0"/>
        <v>45455.545138888883</v>
      </c>
      <c r="D30" s="529">
        <v>105</v>
      </c>
      <c r="E30" s="530"/>
      <c r="F30" s="431">
        <f>LongTest!F96</f>
        <v>12.644163989443497</v>
      </c>
      <c r="G30" s="431">
        <f>LongTest!G96</f>
        <v>3.194163989443497</v>
      </c>
      <c r="H30" s="529"/>
      <c r="I30" s="534"/>
      <c r="J30" s="535"/>
    </row>
    <row r="31" spans="1:10" ht="24.95" customHeight="1">
      <c r="A31" s="453"/>
      <c r="B31" s="430"/>
      <c r="C31" s="430">
        <f t="shared" si="0"/>
        <v>45455.555555555555</v>
      </c>
      <c r="D31" s="529">
        <v>120</v>
      </c>
      <c r="E31" s="530"/>
      <c r="F31" s="431">
        <f>LongTest!F97</f>
        <v>12.389894151376794</v>
      </c>
      <c r="G31" s="431">
        <f>LongTest!G97</f>
        <v>2.9398941513767949</v>
      </c>
      <c r="H31" s="529" t="s">
        <v>329</v>
      </c>
      <c r="I31" s="534"/>
      <c r="J31" s="535"/>
    </row>
    <row r="32" spans="1:10" ht="24.95" customHeight="1">
      <c r="A32" s="453"/>
      <c r="B32" s="430"/>
      <c r="C32" s="430"/>
      <c r="D32" s="529"/>
      <c r="E32" s="530"/>
      <c r="F32" s="431"/>
      <c r="G32" s="431"/>
      <c r="H32" s="529"/>
      <c r="I32" s="534"/>
      <c r="J32" s="535"/>
    </row>
    <row r="33" spans="1:10" ht="24.95" customHeight="1">
      <c r="A33" s="453"/>
      <c r="B33" s="430"/>
      <c r="C33" s="430"/>
      <c r="D33" s="529"/>
      <c r="E33" s="530"/>
      <c r="F33" s="431"/>
      <c r="G33" s="431"/>
      <c r="H33" s="529"/>
      <c r="I33" s="534"/>
      <c r="J33" s="535"/>
    </row>
    <row r="34" spans="1:10" ht="24.95" customHeight="1">
      <c r="A34" s="453"/>
      <c r="B34" s="430"/>
      <c r="C34" s="430"/>
      <c r="D34" s="529"/>
      <c r="E34" s="530"/>
      <c r="F34" s="431"/>
      <c r="G34" s="431"/>
      <c r="H34" s="529"/>
      <c r="I34" s="534"/>
      <c r="J34" s="535"/>
    </row>
    <row r="35" spans="1:10" ht="24.95" customHeight="1" thickBot="1">
      <c r="A35" s="457"/>
      <c r="B35" s="458"/>
      <c r="C35" s="458"/>
      <c r="D35" s="536"/>
      <c r="E35" s="537"/>
      <c r="F35" s="459"/>
      <c r="G35" s="459"/>
      <c r="H35" s="536"/>
      <c r="I35" s="558"/>
      <c r="J35" s="559"/>
    </row>
    <row r="36" spans="1:10" ht="24.95" customHeight="1"/>
    <row r="37" spans="1:10" ht="24.95" customHeight="1"/>
    <row r="38" spans="1:10" ht="24.95" customHeight="1"/>
    <row r="39" spans="1:10" ht="24.95" customHeight="1"/>
    <row r="40" spans="1:10" ht="24.95" customHeight="1"/>
    <row r="41" spans="1:10" ht="24.95" customHeight="1"/>
    <row r="42" spans="1:10" ht="21" customHeight="1"/>
    <row r="43" spans="1:10" ht="21" customHeight="1"/>
    <row r="44" spans="1:10" ht="21" customHeight="1"/>
    <row r="45" spans="1:10" ht="21" customHeight="1"/>
    <row r="46" spans="1:10" ht="21" customHeight="1"/>
    <row r="47" spans="1:10" ht="21" customHeight="1"/>
    <row r="48" spans="1:10" ht="21" customHeight="1"/>
    <row r="49" ht="21" customHeight="1"/>
    <row r="50" ht="21" customHeight="1"/>
    <row r="51" ht="21" customHeight="1"/>
    <row r="52" ht="21" customHeight="1"/>
    <row r="53" ht="21" customHeight="1"/>
    <row r="54" ht="21" customHeight="1"/>
    <row r="55" ht="21" customHeight="1"/>
    <row r="56" ht="21" customHeight="1"/>
    <row r="57" ht="21" customHeight="1"/>
    <row r="58" ht="21" customHeight="1"/>
    <row r="59" ht="21" customHeight="1"/>
    <row r="60" ht="21" customHeight="1"/>
    <row r="61" ht="21" customHeight="1"/>
    <row r="62" ht="21" customHeight="1"/>
    <row r="63" ht="21" customHeight="1"/>
    <row r="64" ht="21" customHeight="1"/>
    <row r="65" ht="21" customHeight="1"/>
    <row r="66" ht="21" customHeight="1"/>
    <row r="67" ht="21" customHeight="1"/>
    <row r="68" ht="21" customHeight="1"/>
    <row r="69" ht="21" customHeight="1"/>
    <row r="70" ht="21" customHeight="1"/>
    <row r="71" ht="21" customHeight="1"/>
    <row r="72" ht="21" customHeight="1"/>
    <row r="73" ht="21" customHeight="1"/>
    <row r="74" ht="21" customHeight="1"/>
    <row r="75" ht="21" customHeight="1"/>
    <row r="76" ht="21" customHeight="1"/>
    <row r="77" ht="21" customHeight="1"/>
    <row r="78" ht="21" customHeight="1"/>
    <row r="79" ht="21" customHeight="1"/>
    <row r="80" ht="21" customHeight="1"/>
    <row r="81" ht="21" customHeight="1"/>
    <row r="82" ht="21" customHeight="1"/>
    <row r="83" ht="21" customHeight="1"/>
    <row r="84" ht="21" customHeight="1"/>
    <row r="85" ht="21" customHeight="1"/>
    <row r="86" ht="21" customHeight="1"/>
    <row r="87" ht="21" customHeight="1"/>
    <row r="88" ht="21" customHeight="1"/>
    <row r="89" ht="21" customHeight="1"/>
    <row r="90" ht="21" customHeight="1"/>
    <row r="91" ht="21" customHeight="1"/>
    <row r="92" ht="21" customHeight="1"/>
    <row r="93" ht="21" customHeight="1"/>
    <row r="94" ht="21" customHeight="1"/>
    <row r="95" ht="21" customHeight="1"/>
    <row r="96" ht="21" customHeight="1"/>
    <row r="97" ht="21" customHeight="1"/>
    <row r="98" ht="21" customHeight="1"/>
    <row r="99" ht="21" customHeight="1"/>
    <row r="100" ht="21" customHeight="1"/>
    <row r="101" ht="21" customHeight="1"/>
  </sheetData>
  <mergeCells count="71">
    <mergeCell ref="D34:E34"/>
    <mergeCell ref="H34:J34"/>
    <mergeCell ref="D35:E35"/>
    <mergeCell ref="H35:J35"/>
    <mergeCell ref="D31:E31"/>
    <mergeCell ref="H31:J31"/>
    <mergeCell ref="D32:E32"/>
    <mergeCell ref="H32:J32"/>
    <mergeCell ref="D33:E33"/>
    <mergeCell ref="H33:J33"/>
    <mergeCell ref="D28:E28"/>
    <mergeCell ref="H28:J28"/>
    <mergeCell ref="D29:E29"/>
    <mergeCell ref="H29:J29"/>
    <mergeCell ref="D30:E30"/>
    <mergeCell ref="H30:J30"/>
    <mergeCell ref="D25:E25"/>
    <mergeCell ref="H25:J25"/>
    <mergeCell ref="D26:E26"/>
    <mergeCell ref="H26:J26"/>
    <mergeCell ref="D27:E27"/>
    <mergeCell ref="H27:J27"/>
    <mergeCell ref="D22:E22"/>
    <mergeCell ref="H22:J22"/>
    <mergeCell ref="D23:E23"/>
    <mergeCell ref="H23:J23"/>
    <mergeCell ref="D24:E24"/>
    <mergeCell ref="H24:J24"/>
    <mergeCell ref="D19:E19"/>
    <mergeCell ref="H19:J19"/>
    <mergeCell ref="D20:E20"/>
    <mergeCell ref="H20:J20"/>
    <mergeCell ref="D21:E21"/>
    <mergeCell ref="H21:J21"/>
    <mergeCell ref="D16:E16"/>
    <mergeCell ref="H16:J16"/>
    <mergeCell ref="D17:E17"/>
    <mergeCell ref="H17:J17"/>
    <mergeCell ref="D18:E18"/>
    <mergeCell ref="H18:J18"/>
    <mergeCell ref="D15:E15"/>
    <mergeCell ref="H15:J15"/>
    <mergeCell ref="A10:A11"/>
    <mergeCell ref="C10:C11"/>
    <mergeCell ref="D10:E10"/>
    <mergeCell ref="D11:E11"/>
    <mergeCell ref="D12:E12"/>
    <mergeCell ref="D13:E13"/>
    <mergeCell ref="H13:J13"/>
    <mergeCell ref="D14:E14"/>
    <mergeCell ref="H14:J14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A4:B4"/>
    <mergeCell ref="C4:J4"/>
    <mergeCell ref="A1:J1"/>
    <mergeCell ref="A2:B2"/>
    <mergeCell ref="C2:J2"/>
    <mergeCell ref="A3:B3"/>
    <mergeCell ref="C3:H3"/>
  </mergeCells>
  <phoneticPr fontId="4" type="noConversion"/>
  <printOptions horizontalCentered="1" verticalCentered="1"/>
  <pageMargins left="0.70866141732283472" right="0.70866141732283472" top="0.74803149606299213" bottom="0.19685039370078741" header="0.31496062992125984" footer="0.31496062992125984"/>
  <pageSetup paperSize="9" scale="80" orientation="portrait" r:id="rId1"/>
  <rowBreaks count="1" manualBreakCount="1">
    <brk id="79" max="16383" man="1"/>
  </rowBreak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BEC21-0A72-4ACB-8AB0-5A13D2C9D346}">
  <sheetPr codeName="Sheet15">
    <tabColor rgb="FF993300"/>
  </sheetPr>
  <dimension ref="B1:Q44"/>
  <sheetViews>
    <sheetView topLeftCell="A4" workbookViewId="0">
      <selection activeCell="E10" sqref="E10"/>
    </sheetView>
  </sheetViews>
  <sheetFormatPr defaultColWidth="10" defaultRowHeight="16.5"/>
  <cols>
    <col min="1" max="1" width="10" style="419"/>
    <col min="2" max="2" width="18.75" style="419" customWidth="1"/>
    <col min="3" max="4" width="16.375" style="419" customWidth="1"/>
    <col min="5" max="5" width="13.375" style="418" customWidth="1"/>
    <col min="6" max="6" width="13.875" style="418" customWidth="1"/>
    <col min="7" max="7" width="10" style="419"/>
    <col min="8" max="8" width="11.625" style="419" customWidth="1"/>
    <col min="9" max="9" width="10.625" style="419" customWidth="1"/>
    <col min="10" max="10" width="11.375" style="419" customWidth="1"/>
    <col min="11" max="11" width="10" style="419"/>
    <col min="12" max="12" width="11.25" style="419" customWidth="1"/>
    <col min="13" max="15" width="10" style="419"/>
    <col min="16" max="16" width="11.25" style="419" customWidth="1"/>
    <col min="17" max="16384" width="10" style="419"/>
  </cols>
  <sheetData>
    <row r="1" spans="2:17" s="99" customFormat="1" ht="18" customHeight="1">
      <c r="E1" s="11"/>
      <c r="F1" s="11"/>
    </row>
    <row r="2" spans="2:17" s="99" customFormat="1" ht="18" customHeight="1">
      <c r="B2" s="389" t="s">
        <v>234</v>
      </c>
      <c r="E2" s="11"/>
      <c r="F2" s="11"/>
    </row>
    <row r="3" spans="2:17" s="99" customFormat="1" ht="18" customHeight="1">
      <c r="E3" s="11"/>
      <c r="F3" s="11"/>
    </row>
    <row r="4" spans="2:17" s="392" customFormat="1" ht="26.25" customHeight="1">
      <c r="B4" s="390" t="s">
        <v>233</v>
      </c>
      <c r="C4" s="391" t="str">
        <f>Input!$I$54</f>
        <v>W-1</v>
      </c>
      <c r="E4" s="391"/>
      <c r="F4" s="391"/>
    </row>
    <row r="5" spans="2:17" s="99" customFormat="1" ht="18" customHeight="1" thickBot="1">
      <c r="E5" s="11"/>
      <c r="F5" s="11"/>
    </row>
    <row r="6" spans="2:17" s="99" customFormat="1" ht="26.1" customHeight="1">
      <c r="B6" s="393" t="s">
        <v>203</v>
      </c>
      <c r="C6" s="394">
        <f>LongTest!C10</f>
        <v>45454.472222222219</v>
      </c>
      <c r="D6" s="395"/>
      <c r="E6" s="11"/>
      <c r="F6" s="11"/>
    </row>
    <row r="7" spans="2:17" s="99" customFormat="1" ht="26.1" customHeight="1">
      <c r="B7" s="396" t="s">
        <v>204</v>
      </c>
      <c r="C7" s="397">
        <v>15.3</v>
      </c>
      <c r="D7" s="395"/>
      <c r="E7" s="11"/>
      <c r="F7" s="11"/>
    </row>
    <row r="8" spans="2:17" s="99" customFormat="1" ht="26.1" customHeight="1">
      <c r="B8" s="396" t="s">
        <v>205</v>
      </c>
      <c r="C8" s="397">
        <v>204</v>
      </c>
      <c r="D8" s="395"/>
      <c r="E8" s="11"/>
      <c r="F8" s="11"/>
    </row>
    <row r="9" spans="2:17" s="99" customFormat="1" ht="26.1" customHeight="1" thickBot="1">
      <c r="B9" s="398" t="s">
        <v>206</v>
      </c>
      <c r="C9" s="399">
        <v>6.5</v>
      </c>
      <c r="D9" s="395"/>
      <c r="E9" s="11"/>
      <c r="F9" s="11"/>
    </row>
    <row r="10" spans="2:17" s="99" customFormat="1" ht="26.1" customHeight="1">
      <c r="B10" s="11"/>
      <c r="C10" s="400"/>
      <c r="D10" s="395"/>
      <c r="E10" s="11"/>
      <c r="F10" s="11"/>
      <c r="L10"/>
      <c r="M10"/>
      <c r="N10"/>
      <c r="O10"/>
      <c r="P10"/>
      <c r="Q10"/>
    </row>
    <row r="11" spans="2:17" s="99" customFormat="1" ht="18" customHeight="1" thickBot="1">
      <c r="E11" s="11"/>
      <c r="F11" s="11"/>
      <c r="L11"/>
      <c r="M11"/>
      <c r="N11"/>
      <c r="O11"/>
      <c r="P11"/>
      <c r="Q11"/>
    </row>
    <row r="12" spans="2:17" s="11" customFormat="1" ht="26.1" customHeight="1">
      <c r="B12" s="605" t="s">
        <v>207</v>
      </c>
      <c r="C12" s="606"/>
      <c r="D12" s="605" t="str">
        <f>C4</f>
        <v>W-1</v>
      </c>
      <c r="E12" s="607"/>
      <c r="F12" s="606"/>
      <c r="H12" s="605" t="str">
        <f>C4</f>
        <v>W-1</v>
      </c>
      <c r="I12" s="607"/>
      <c r="J12" s="606"/>
      <c r="L12"/>
      <c r="M12"/>
      <c r="N12"/>
      <c r="O12"/>
      <c r="P12"/>
      <c r="Q12"/>
    </row>
    <row r="13" spans="2:17" s="11" customFormat="1" ht="26.1" customHeight="1">
      <c r="B13" s="401" t="s">
        <v>203</v>
      </c>
      <c r="C13" s="402" t="s">
        <v>208</v>
      </c>
      <c r="D13" s="403" t="s">
        <v>209</v>
      </c>
      <c r="E13" s="404" t="s">
        <v>210</v>
      </c>
      <c r="F13" s="402" t="s">
        <v>211</v>
      </c>
      <c r="H13" s="401" t="s">
        <v>209</v>
      </c>
      <c r="I13" s="404" t="s">
        <v>210</v>
      </c>
      <c r="J13" s="402" t="s">
        <v>211</v>
      </c>
      <c r="L13"/>
      <c r="M13"/>
      <c r="N13"/>
      <c r="O13"/>
      <c r="P13"/>
      <c r="Q13"/>
    </row>
    <row r="14" spans="2:17" s="11" customFormat="1" ht="26.1" customHeight="1">
      <c r="B14" s="405">
        <f>$C$6+C14/1440</f>
        <v>45454.475694444438</v>
      </c>
      <c r="C14" s="406">
        <v>5</v>
      </c>
      <c r="D14" s="407">
        <f t="shared" ref="D14:D20" si="0">baseTemp+H14</f>
        <v>15.5</v>
      </c>
      <c r="E14" s="408">
        <f>$C$8+I14</f>
        <v>202</v>
      </c>
      <c r="F14" s="409">
        <f>$C$9+J14</f>
        <v>6.38</v>
      </c>
      <c r="H14" s="401">
        <v>0.2</v>
      </c>
      <c r="I14" s="404">
        <v>-2</v>
      </c>
      <c r="J14" s="402">
        <v>-0.12</v>
      </c>
      <c r="L14"/>
      <c r="M14"/>
      <c r="N14"/>
      <c r="O14"/>
      <c r="P14"/>
      <c r="Q14"/>
    </row>
    <row r="15" spans="2:17" s="11" customFormat="1" ht="26.1" customHeight="1">
      <c r="B15" s="410">
        <f t="shared" ref="B15:B23" si="1">$C$6+C15/1440</f>
        <v>45454.493055555555</v>
      </c>
      <c r="C15" s="402">
        <v>30</v>
      </c>
      <c r="D15" s="411">
        <f t="shared" si="0"/>
        <v>15.200000000000001</v>
      </c>
      <c r="E15" s="412">
        <f t="shared" ref="E15:E20" si="2">$C$8+I15</f>
        <v>207</v>
      </c>
      <c r="F15" s="413">
        <f t="shared" ref="F15:F20" si="3">$C$9+J15</f>
        <v>6.62</v>
      </c>
      <c r="H15" s="401">
        <v>-0.1</v>
      </c>
      <c r="I15" s="404">
        <v>3</v>
      </c>
      <c r="J15" s="402">
        <v>0.12</v>
      </c>
      <c r="L15"/>
      <c r="M15"/>
      <c r="N15"/>
      <c r="O15"/>
      <c r="P15"/>
      <c r="Q15"/>
    </row>
    <row r="16" spans="2:17" s="11" customFormat="1" ht="26.1" customHeight="1">
      <c r="B16" s="410">
        <f t="shared" si="1"/>
        <v>45454.513888888883</v>
      </c>
      <c r="C16" s="402">
        <v>60</v>
      </c>
      <c r="D16" s="411">
        <f t="shared" si="0"/>
        <v>15.4</v>
      </c>
      <c r="E16" s="412">
        <f t="shared" si="2"/>
        <v>202</v>
      </c>
      <c r="F16" s="413">
        <f t="shared" si="3"/>
        <v>6.41</v>
      </c>
      <c r="H16" s="401">
        <v>0.1</v>
      </c>
      <c r="I16" s="404">
        <v>-2</v>
      </c>
      <c r="J16" s="402">
        <v>-0.09</v>
      </c>
      <c r="L16"/>
      <c r="M16"/>
      <c r="N16"/>
      <c r="O16"/>
      <c r="P16"/>
      <c r="Q16"/>
    </row>
    <row r="17" spans="2:17" s="11" customFormat="1" ht="26.1" customHeight="1">
      <c r="B17" s="410">
        <f t="shared" si="1"/>
        <v>45454.555555555555</v>
      </c>
      <c r="C17" s="402">
        <v>120</v>
      </c>
      <c r="D17" s="411">
        <f t="shared" si="0"/>
        <v>15</v>
      </c>
      <c r="E17" s="412">
        <f t="shared" si="2"/>
        <v>201</v>
      </c>
      <c r="F17" s="413">
        <f t="shared" si="3"/>
        <v>6.37</v>
      </c>
      <c r="H17" s="401">
        <v>-0.3</v>
      </c>
      <c r="I17" s="404">
        <v>-3</v>
      </c>
      <c r="J17" s="402">
        <v>-0.13</v>
      </c>
      <c r="L17"/>
      <c r="M17"/>
      <c r="N17"/>
      <c r="O17"/>
      <c r="P17"/>
      <c r="Q17"/>
    </row>
    <row r="18" spans="2:17" s="11" customFormat="1" ht="26.1" customHeight="1">
      <c r="B18" s="410">
        <f t="shared" si="1"/>
        <v>45454.638888888883</v>
      </c>
      <c r="C18" s="402">
        <v>240</v>
      </c>
      <c r="D18" s="411">
        <f t="shared" si="0"/>
        <v>15</v>
      </c>
      <c r="E18" s="412">
        <f t="shared" si="2"/>
        <v>206</v>
      </c>
      <c r="F18" s="413">
        <f t="shared" si="3"/>
        <v>6.59</v>
      </c>
      <c r="H18" s="401">
        <v>-0.3</v>
      </c>
      <c r="I18" s="404">
        <v>2</v>
      </c>
      <c r="J18" s="402">
        <v>0.09</v>
      </c>
      <c r="L18"/>
      <c r="M18"/>
      <c r="N18"/>
      <c r="O18"/>
      <c r="P18"/>
      <c r="Q18"/>
    </row>
    <row r="19" spans="2:17" s="11" customFormat="1" ht="26.1" customHeight="1">
      <c r="B19" s="410">
        <f t="shared" si="1"/>
        <v>45454.805555555555</v>
      </c>
      <c r="C19" s="402">
        <v>480</v>
      </c>
      <c r="D19" s="411">
        <f t="shared" si="0"/>
        <v>15.600000000000001</v>
      </c>
      <c r="E19" s="412">
        <f t="shared" si="2"/>
        <v>203</v>
      </c>
      <c r="F19" s="413">
        <f t="shared" si="3"/>
        <v>6.39</v>
      </c>
      <c r="H19" s="401">
        <v>0.3</v>
      </c>
      <c r="I19" s="404">
        <v>-1</v>
      </c>
      <c r="J19" s="402">
        <v>-0.11</v>
      </c>
      <c r="L19"/>
      <c r="M19"/>
      <c r="N19"/>
      <c r="O19"/>
      <c r="P19"/>
      <c r="Q19"/>
    </row>
    <row r="20" spans="2:17" s="99" customFormat="1" ht="26.1" customHeight="1">
      <c r="B20" s="410">
        <f t="shared" si="1"/>
        <v>45455.472222222219</v>
      </c>
      <c r="C20" s="402">
        <v>1440</v>
      </c>
      <c r="D20" s="411">
        <f t="shared" si="0"/>
        <v>15.200000000000001</v>
      </c>
      <c r="E20" s="412">
        <f t="shared" si="2"/>
        <v>205</v>
      </c>
      <c r="F20" s="413">
        <f t="shared" si="3"/>
        <v>6.37</v>
      </c>
      <c r="H20" s="401">
        <v>-0.1</v>
      </c>
      <c r="I20" s="404">
        <v>1</v>
      </c>
      <c r="J20" s="402">
        <v>-0.13</v>
      </c>
      <c r="L20"/>
      <c r="M20"/>
      <c r="N20"/>
      <c r="O20"/>
      <c r="P20"/>
      <c r="Q20"/>
    </row>
    <row r="21" spans="2:17" s="99" customFormat="1" ht="26.1" customHeight="1">
      <c r="B21" s="410">
        <f t="shared" si="1"/>
        <v>45455.638888888883</v>
      </c>
      <c r="C21" s="402">
        <v>1680</v>
      </c>
      <c r="D21" s="411">
        <f>$D$20</f>
        <v>15.200000000000001</v>
      </c>
      <c r="E21" s="412">
        <f>$E$20</f>
        <v>205</v>
      </c>
      <c r="F21" s="413">
        <f>$F$20</f>
        <v>6.37</v>
      </c>
      <c r="H21" s="401">
        <v>0.1</v>
      </c>
      <c r="I21" s="404">
        <v>-1</v>
      </c>
      <c r="J21" s="402">
        <v>-0.12</v>
      </c>
      <c r="L21"/>
      <c r="M21"/>
      <c r="N21"/>
      <c r="O21"/>
      <c r="P21"/>
      <c r="Q21"/>
    </row>
    <row r="22" spans="2:17" s="99" customFormat="1" ht="26.1" customHeight="1">
      <c r="B22" s="410">
        <f t="shared" si="1"/>
        <v>45455.805555555555</v>
      </c>
      <c r="C22" s="402">
        <v>1920</v>
      </c>
      <c r="D22" s="411">
        <f t="shared" ref="D22:D23" si="4">$D$20</f>
        <v>15.200000000000001</v>
      </c>
      <c r="E22" s="412">
        <f t="shared" ref="E22:E23" si="5">$E$20</f>
        <v>205</v>
      </c>
      <c r="F22" s="413">
        <f t="shared" ref="F22:F23" si="6">$F$20</f>
        <v>6.37</v>
      </c>
      <c r="H22" s="401">
        <v>-0.1</v>
      </c>
      <c r="I22" s="404">
        <v>2</v>
      </c>
      <c r="J22" s="402">
        <v>-7.0000000000000007E-2</v>
      </c>
      <c r="L22"/>
      <c r="M22"/>
      <c r="N22"/>
      <c r="O22"/>
      <c r="P22"/>
      <c r="Q22"/>
    </row>
    <row r="23" spans="2:17" s="99" customFormat="1" ht="26.1" customHeight="1" thickBot="1">
      <c r="B23" s="410">
        <f t="shared" si="1"/>
        <v>45456.472222222219</v>
      </c>
      <c r="C23" s="402">
        <v>2880</v>
      </c>
      <c r="D23" s="411">
        <f t="shared" si="4"/>
        <v>15.200000000000001</v>
      </c>
      <c r="E23" s="412">
        <f t="shared" si="5"/>
        <v>205</v>
      </c>
      <c r="F23" s="413">
        <f t="shared" si="6"/>
        <v>6.37</v>
      </c>
      <c r="H23" s="414">
        <v>0.3</v>
      </c>
      <c r="I23" s="415">
        <v>-1</v>
      </c>
      <c r="J23" s="416">
        <v>0.12</v>
      </c>
      <c r="L23"/>
      <c r="M23"/>
      <c r="N23"/>
      <c r="O23"/>
      <c r="P23"/>
      <c r="Q23"/>
    </row>
    <row r="24" spans="2:17" s="99" customFormat="1" ht="26.1" customHeight="1">
      <c r="B24" s="608" t="s">
        <v>79</v>
      </c>
      <c r="C24" s="609"/>
      <c r="D24" s="403">
        <f>MAX(D14:D23)</f>
        <v>15.600000000000001</v>
      </c>
      <c r="E24" s="404">
        <f t="shared" ref="E24:F24" si="7">MAX(E14:E23)</f>
        <v>207</v>
      </c>
      <c r="F24" s="402">
        <f t="shared" si="7"/>
        <v>6.62</v>
      </c>
      <c r="H24" s="11"/>
      <c r="I24" s="11"/>
      <c r="J24" s="11"/>
      <c r="L24"/>
      <c r="M24"/>
      <c r="N24"/>
      <c r="O24"/>
      <c r="P24"/>
      <c r="Q24"/>
    </row>
    <row r="25" spans="2:17" s="99" customFormat="1" ht="26.1" customHeight="1">
      <c r="B25" s="608" t="s">
        <v>212</v>
      </c>
      <c r="C25" s="609"/>
      <c r="D25" s="403">
        <f>MIN(D14:D23)</f>
        <v>15</v>
      </c>
      <c r="E25" s="404">
        <f t="shared" ref="E25:F25" si="8">MIN(E14:E23)</f>
        <v>201</v>
      </c>
      <c r="F25" s="402">
        <f t="shared" si="8"/>
        <v>6.37</v>
      </c>
      <c r="H25" s="11"/>
      <c r="I25" s="11"/>
      <c r="J25" s="11"/>
      <c r="L25" s="6"/>
      <c r="M25" s="6"/>
      <c r="N25" s="6"/>
      <c r="O25" s="6"/>
      <c r="P25" s="6"/>
    </row>
    <row r="26" spans="2:17" s="99" customFormat="1" ht="26.1" customHeight="1" thickBot="1">
      <c r="B26" s="603" t="s">
        <v>213</v>
      </c>
      <c r="C26" s="604"/>
      <c r="D26" s="417">
        <f>D24-D25</f>
        <v>0.60000000000000142</v>
      </c>
      <c r="E26" s="415">
        <f t="shared" ref="E26:F26" si="9">E24-E25</f>
        <v>6</v>
      </c>
      <c r="F26" s="416">
        <f t="shared" si="9"/>
        <v>0.25</v>
      </c>
      <c r="H26" s="11"/>
      <c r="I26" s="11"/>
      <c r="J26" s="11"/>
      <c r="L26" s="6"/>
      <c r="M26" s="6"/>
      <c r="N26" s="6"/>
      <c r="O26" s="6"/>
      <c r="P26" s="6"/>
    </row>
    <row r="27" spans="2:17" s="99" customFormat="1" ht="18" customHeight="1">
      <c r="E27" s="11"/>
      <c r="F27" s="11"/>
      <c r="L27" s="6"/>
      <c r="M27" s="6"/>
      <c r="N27" s="6"/>
      <c r="O27" s="6"/>
      <c r="P27" s="6"/>
    </row>
    <row r="28" spans="2:17" s="99" customFormat="1" ht="18" customHeight="1">
      <c r="E28" s="11"/>
      <c r="F28" s="11"/>
      <c r="L28" s="6"/>
      <c r="M28" s="6"/>
      <c r="N28" s="6"/>
      <c r="O28" s="6"/>
      <c r="P28" s="6"/>
    </row>
    <row r="29" spans="2:17" s="99" customFormat="1" ht="18" customHeight="1">
      <c r="E29" s="11"/>
      <c r="F29" s="11"/>
    </row>
    <row r="30" spans="2:17" s="99" customFormat="1" ht="18" customHeight="1">
      <c r="E30" s="11"/>
      <c r="F30" s="11"/>
    </row>
    <row r="31" spans="2:17" s="99" customFormat="1" ht="18" customHeight="1">
      <c r="E31" s="11"/>
      <c r="F31" s="11"/>
    </row>
    <row r="32" spans="2:17" s="99" customFormat="1" ht="18" customHeight="1">
      <c r="E32" s="11"/>
      <c r="F32" s="11"/>
    </row>
    <row r="33" spans="5:6" s="99" customFormat="1" ht="18" customHeight="1">
      <c r="E33" s="11"/>
      <c r="F33" s="11"/>
    </row>
    <row r="34" spans="5:6" s="99" customFormat="1" ht="18" customHeight="1">
      <c r="E34" s="11"/>
      <c r="F34" s="11"/>
    </row>
    <row r="35" spans="5:6" s="99" customFormat="1" ht="18" customHeight="1">
      <c r="E35" s="11"/>
      <c r="F35" s="11"/>
    </row>
    <row r="36" spans="5:6" s="99" customFormat="1" ht="18" customHeight="1">
      <c r="E36" s="11"/>
      <c r="F36" s="11"/>
    </row>
    <row r="37" spans="5:6" s="99" customFormat="1" ht="18" customHeight="1">
      <c r="E37" s="11"/>
      <c r="F37" s="11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2" r:id="rId4" name="CommandButton2">
          <controlPr defaultSize="0" autoLine="0" autoPict="0" r:id="rId5">
            <anchor moveWithCells="1">
              <from>
                <xdr:col>3</xdr:col>
                <xdr:colOff>323850</xdr:colOff>
                <xdr:row>6</xdr:row>
                <xdr:rowOff>142875</xdr:rowOff>
              </from>
              <to>
                <xdr:col>5</xdr:col>
                <xdr:colOff>133350</xdr:colOff>
                <xdr:row>7</xdr:row>
                <xdr:rowOff>219075</xdr:rowOff>
              </to>
            </anchor>
          </controlPr>
        </control>
      </mc:Choice>
      <mc:Fallback>
        <control shapeId="10242" r:id="rId4" name="CommandButton2"/>
      </mc:Fallback>
    </mc:AlternateContent>
    <mc:AlternateContent xmlns:mc="http://schemas.openxmlformats.org/markup-compatibility/2006">
      <mc:Choice Requires="x14">
        <control shapeId="10241" r:id="rId6" name="CommandButton1">
          <controlPr defaultSize="0" autoLine="0" autoPict="0" r:id="rId7">
            <anchor moveWithCells="1">
              <from>
                <xdr:col>3</xdr:col>
                <xdr:colOff>323850</xdr:colOff>
                <xdr:row>5</xdr:row>
                <xdr:rowOff>19050</xdr:rowOff>
              </from>
              <to>
                <xdr:col>5</xdr:col>
                <xdr:colOff>133350</xdr:colOff>
                <xdr:row>6</xdr:row>
                <xdr:rowOff>95250</xdr:rowOff>
              </to>
            </anchor>
          </controlPr>
        </control>
      </mc:Choice>
      <mc:Fallback>
        <control shapeId="10241" r:id="rId6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19</vt:i4>
      </vt:variant>
      <vt:variant>
        <vt:lpstr>이름 지정된 범위</vt:lpstr>
      </vt:variant>
      <vt:variant>
        <vt:i4>22</vt:i4>
      </vt:variant>
    </vt:vector>
  </HeadingPairs>
  <TitlesOfParts>
    <vt:vector size="41" baseType="lpstr">
      <vt:lpstr>REF</vt:lpstr>
      <vt:lpstr>Sheet1</vt:lpstr>
      <vt:lpstr>Input</vt:lpstr>
      <vt:lpstr>SkinFactor</vt:lpstr>
      <vt:lpstr>SafeYield</vt:lpstr>
      <vt:lpstr>StepTest</vt:lpstr>
      <vt:lpstr>Sheet2</vt:lpstr>
      <vt:lpstr>LongTest</vt:lpstr>
      <vt:lpstr>Step.Select</vt:lpstr>
      <vt:lpstr>Janggi.Select</vt:lpstr>
      <vt:lpstr>Recover.Select</vt:lpstr>
      <vt:lpstr>장회</vt:lpstr>
      <vt:lpstr>장회14</vt:lpstr>
      <vt:lpstr>단계</vt:lpstr>
      <vt:lpstr>장기28</vt:lpstr>
      <vt:lpstr>회복</vt:lpstr>
      <vt:lpstr>장기14</vt:lpstr>
      <vt:lpstr>회복12</vt:lpstr>
      <vt:lpstr>w1</vt:lpstr>
      <vt:lpstr>'w1'!baseTemp</vt:lpstr>
      <vt:lpstr>EffectiveRadius</vt:lpstr>
      <vt:lpstr>GoalSeekTarget</vt:lpstr>
      <vt:lpstr>gongbun</vt:lpstr>
      <vt:lpstr>gongbun2</vt:lpstr>
      <vt:lpstr>Input!Print_Area</vt:lpstr>
      <vt:lpstr>LongTest!Print_Area</vt:lpstr>
      <vt:lpstr>StepTest!Print_Area</vt:lpstr>
      <vt:lpstr>LongTest!Print_Titles</vt:lpstr>
      <vt:lpstr>StepTest!Print_Titles</vt:lpstr>
      <vt:lpstr>단계!Print_Titles</vt:lpstr>
      <vt:lpstr>장기14!Print_Titles</vt:lpstr>
      <vt:lpstr>장기28!Print_Titles</vt:lpstr>
      <vt:lpstr>장회!Print_Titles</vt:lpstr>
      <vt:lpstr>장회14!Print_Titles</vt:lpstr>
      <vt:lpstr>회복!Print_Titles</vt:lpstr>
      <vt:lpstr>회복12!Print_Titles</vt:lpstr>
      <vt:lpstr>pump_hp</vt:lpstr>
      <vt:lpstr>well_radius</vt:lpstr>
      <vt:lpstr>단계양수</vt:lpstr>
      <vt:lpstr>장기양수</vt:lpstr>
      <vt:lpstr>적정채수량산정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minhwasoo</dc:creator>
  <cp:lastModifiedBy>minhwasoo</cp:lastModifiedBy>
  <cp:lastPrinted>2024-07-25T04:55:49Z</cp:lastPrinted>
  <dcterms:created xsi:type="dcterms:W3CDTF">2022-01-08T04:40:11Z</dcterms:created>
  <dcterms:modified xsi:type="dcterms:W3CDTF">2024-09-24T00:06:26Z</dcterms:modified>
</cp:coreProperties>
</file>