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omments1.xml" ContentType="application/vnd.openxmlformats-officedocument.spreadsheetml.comment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3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drawings/drawing5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comments3.xml" ContentType="application/vnd.openxmlformats-officedocument.spreadsheetml.comments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6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comments4.xml" ContentType="application/vnd.openxmlformats-officedocument.spreadsheetml.comments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7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drawings/drawing8.xml" ContentType="application/vnd.openxmlformats-officedocument.drawing+xml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drawings/drawing9.xml" ContentType="application/vnd.openxmlformats-officedocument.drawing+xml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drawings/drawing10.xml" ContentType="application/vnd.openxmlformats-officedocument.drawing+xml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d:\05_Send\"/>
    </mc:Choice>
  </mc:AlternateContent>
  <xr:revisionPtr revIDLastSave="0" documentId="13_ncr:1_{72643891-AF52-48AB-972D-59C55C4EBCA1}" xr6:coauthVersionLast="47" xr6:coauthVersionMax="47" xr10:uidLastSave="{00000000-0000-0000-0000-000000000000}"/>
  <bookViews>
    <workbookView xWindow="2280" yWindow="105" windowWidth="32550" windowHeight="20340" tabRatio="557" firstSheet="2" activeTab="5" xr2:uid="{E8EF9A35-EF8D-4AE1-94EB-08BFCE1B72C2}"/>
  </bookViews>
  <sheets>
    <sheet name="REF" sheetId="3" state="hidden" r:id="rId1"/>
    <sheet name="Sheet1" sheetId="12" state="hidden" r:id="rId2"/>
    <sheet name="Input" sheetId="2" r:id="rId3"/>
    <sheet name="SkinFactor" sheetId="4" r:id="rId4"/>
    <sheet name="SafeYield" sheetId="5" state="hidden" r:id="rId5"/>
    <sheet name="StepTest" sheetId="6" r:id="rId6"/>
    <sheet name="LongTest" sheetId="7" r:id="rId7"/>
    <sheet name="Step.Select" sheetId="8" r:id="rId8"/>
    <sheet name="Janggi.Select" sheetId="9" r:id="rId9"/>
    <sheet name="Recover.Select" sheetId="10" r:id="rId10"/>
    <sheet name="w1" sheetId="11" r:id="rId11"/>
  </sheets>
  <functionGroups builtInGroupCount="19"/>
  <definedNames>
    <definedName name="baseTemp" localSheetId="10">'w1'!$C$7</definedName>
    <definedName name="EffectiveRadius">SkinFactor!$H$10</definedName>
    <definedName name="GoalSeekTarget">LongTest!$M$13</definedName>
    <definedName name="gongbun" localSheetId="1">#REF!</definedName>
    <definedName name="gongbun">REF!$D$4:$D$36</definedName>
    <definedName name="gongbun2" localSheetId="1">#REF!</definedName>
    <definedName name="gongbun2">REF!$E$4:$E$36</definedName>
    <definedName name="_xlnm.Print_Area" localSheetId="2">Input!$A$1:$M$62</definedName>
    <definedName name="_xlnm.Print_Area" localSheetId="6">LongTest!$A$1:$J$101</definedName>
    <definedName name="_xlnm.Print_Area" localSheetId="5">StepTest!$A$1:$I$51</definedName>
    <definedName name="_xlnm.Print_Titles" localSheetId="6">LongTest!$1:$9</definedName>
    <definedName name="_xlnm.Print_Titles" localSheetId="5">StepTest!$3:$10</definedName>
    <definedName name="pump_hp" localSheetId="1">#REF!</definedName>
    <definedName name="pump_hp">REF!$C$4:$C$13</definedName>
    <definedName name="well_radius" localSheetId="1">#REF!</definedName>
    <definedName name="well_radius">REF!$F$4:$F$7</definedName>
    <definedName name="단계양수">StepTest!$A$3:$I$51</definedName>
    <definedName name="장기양수">LongTest!$A$1:$J$101</definedName>
    <definedName name="적정채수량산정">Input!$A$1:$M$54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6" i="11" l="1"/>
  <c r="O52" i="2"/>
  <c r="O51" i="2"/>
  <c r="C29" i="4"/>
  <c r="C59" i="2"/>
  <c r="F59" i="2"/>
  <c r="F62" i="2" s="1"/>
  <c r="I59" i="2" s="1"/>
  <c r="C61" i="2"/>
  <c r="E20" i="2"/>
  <c r="P51" i="2" l="1"/>
  <c r="C62" i="2"/>
  <c r="I61" i="2" s="1"/>
  <c r="C4" i="11" l="1"/>
  <c r="D12" i="11" l="1"/>
  <c r="H12" i="11"/>
  <c r="C27" i="6" l="1"/>
  <c r="C51" i="6"/>
  <c r="C47" i="6"/>
  <c r="C42" i="6"/>
  <c r="C37" i="6"/>
  <c r="C32" i="6"/>
  <c r="H5" i="6" l="1"/>
  <c r="U4" i="6"/>
  <c r="A36" i="8"/>
  <c r="A134" i="8"/>
  <c r="A133" i="8"/>
  <c r="A132" i="8"/>
  <c r="A131" i="8"/>
  <c r="A130" i="8"/>
  <c r="A129" i="8"/>
  <c r="A128" i="8"/>
  <c r="A127" i="8"/>
  <c r="A126" i="8"/>
  <c r="A125" i="8"/>
  <c r="A124" i="8"/>
  <c r="A123" i="8"/>
  <c r="A122" i="8"/>
  <c r="A121" i="8"/>
  <c r="A120" i="8"/>
  <c r="A119" i="8"/>
  <c r="A118" i="8"/>
  <c r="A117" i="8"/>
  <c r="A116" i="8"/>
  <c r="A115" i="8"/>
  <c r="A114" i="8"/>
  <c r="A113" i="8"/>
  <c r="A112" i="8"/>
  <c r="A111" i="8"/>
  <c r="A110" i="8"/>
  <c r="A109" i="8"/>
  <c r="A108" i="8"/>
  <c r="A107" i="8"/>
  <c r="A106" i="8"/>
  <c r="A105" i="8"/>
  <c r="A104" i="8"/>
  <c r="A103" i="8"/>
  <c r="A102" i="8"/>
  <c r="A101" i="8"/>
  <c r="A100" i="8"/>
  <c r="A99" i="8"/>
  <c r="A98" i="8"/>
  <c r="A97" i="8"/>
  <c r="A96" i="8"/>
  <c r="A95" i="8"/>
  <c r="A94" i="8"/>
  <c r="A93" i="8"/>
  <c r="A92" i="8"/>
  <c r="A91" i="8"/>
  <c r="A90" i="8"/>
  <c r="A89" i="8"/>
  <c r="A88" i="8"/>
  <c r="A87" i="8"/>
  <c r="A86" i="8"/>
  <c r="A85" i="8"/>
  <c r="A84" i="8"/>
  <c r="A83" i="8"/>
  <c r="A82" i="8"/>
  <c r="A81" i="8"/>
  <c r="A80" i="8"/>
  <c r="A79" i="8"/>
  <c r="A78" i="8"/>
  <c r="A77" i="8"/>
  <c r="A76" i="8"/>
  <c r="A75" i="8"/>
  <c r="A74" i="8"/>
  <c r="A73" i="8"/>
  <c r="A72" i="8"/>
  <c r="A71" i="8"/>
  <c r="A70" i="8"/>
  <c r="A69" i="8"/>
  <c r="A68" i="8"/>
  <c r="A67" i="8"/>
  <c r="A66" i="8"/>
  <c r="A65" i="8"/>
  <c r="A64" i="8"/>
  <c r="A63" i="8"/>
  <c r="A62" i="8"/>
  <c r="A61" i="8"/>
  <c r="A60" i="8"/>
  <c r="A59" i="8"/>
  <c r="A58" i="8"/>
  <c r="A57" i="8"/>
  <c r="A56" i="8"/>
  <c r="A55" i="8"/>
  <c r="A54" i="8"/>
  <c r="A53" i="8"/>
  <c r="A52" i="8"/>
  <c r="A51" i="8"/>
  <c r="A50" i="8"/>
  <c r="A49" i="8"/>
  <c r="A48" i="8"/>
  <c r="A47" i="8"/>
  <c r="A46" i="8"/>
  <c r="A45" i="8"/>
  <c r="A44" i="8"/>
  <c r="A43" i="8"/>
  <c r="A42" i="8"/>
  <c r="A41" i="8"/>
  <c r="A40" i="8"/>
  <c r="A39" i="8"/>
  <c r="A38" i="8"/>
  <c r="A37" i="8"/>
  <c r="A35" i="8"/>
  <c r="A28" i="8" l="1"/>
  <c r="A27" i="8"/>
  <c r="A26" i="8"/>
  <c r="A25" i="8"/>
  <c r="A19" i="8"/>
  <c r="A15" i="8"/>
  <c r="A30" i="8" s="1"/>
  <c r="A53" i="9"/>
  <c r="A52" i="9"/>
  <c r="A51" i="9"/>
  <c r="A50" i="9"/>
  <c r="A49" i="9"/>
  <c r="A48" i="9"/>
  <c r="A47" i="9"/>
  <c r="A46" i="9"/>
  <c r="A45" i="9"/>
  <c r="A44" i="9"/>
  <c r="A43" i="9"/>
  <c r="A42" i="9"/>
  <c r="A41" i="9"/>
  <c r="A40" i="9"/>
  <c r="A39" i="9"/>
  <c r="A38" i="9"/>
  <c r="A37" i="9"/>
  <c r="A36" i="9"/>
  <c r="A35" i="9"/>
  <c r="A34" i="9"/>
  <c r="A33" i="9"/>
  <c r="A32" i="9"/>
  <c r="A31" i="9"/>
  <c r="B24" i="9"/>
  <c r="A15" i="9"/>
  <c r="A26" i="9" s="1"/>
  <c r="B24" i="10"/>
  <c r="A15" i="10"/>
  <c r="A27" i="10" s="1"/>
  <c r="A8" i="7"/>
  <c r="C7" i="7"/>
  <c r="A7" i="7"/>
  <c r="G6" i="7"/>
  <c r="A6" i="7"/>
  <c r="G5" i="7"/>
  <c r="A5" i="7"/>
  <c r="A4" i="7"/>
  <c r="H3" i="7"/>
  <c r="Y2" i="7"/>
  <c r="Y68" i="7" s="1"/>
  <c r="X2" i="7"/>
  <c r="X3" i="7" s="1"/>
  <c r="X4" i="7" s="1"/>
  <c r="X5" i="7" s="1"/>
  <c r="X6" i="7" s="1"/>
  <c r="X7" i="7" s="1"/>
  <c r="X8" i="7" s="1"/>
  <c r="X9" i="7" s="1"/>
  <c r="X10" i="7" s="1"/>
  <c r="X11" i="7" s="1"/>
  <c r="X12" i="7" s="1"/>
  <c r="X13" i="7" s="1"/>
  <c r="X14" i="7" s="1"/>
  <c r="X15" i="7" s="1"/>
  <c r="X16" i="7" s="1"/>
  <c r="X17" i="7" s="1"/>
  <c r="X18" i="7" s="1"/>
  <c r="X19" i="7" s="1"/>
  <c r="A3" i="7"/>
  <c r="A2" i="7"/>
  <c r="G9" i="6"/>
  <c r="G7" i="7" s="1"/>
  <c r="D10" i="6"/>
  <c r="D8" i="7" s="1"/>
  <c r="D9" i="6"/>
  <c r="C8" i="6"/>
  <c r="C6" i="7" s="1"/>
  <c r="C7" i="6"/>
  <c r="C5" i="7" s="1"/>
  <c r="C6" i="6"/>
  <c r="C4" i="7" s="1"/>
  <c r="C5" i="6"/>
  <c r="C3" i="7" s="1"/>
  <c r="C4" i="6"/>
  <c r="C2" i="7" s="1"/>
  <c r="B15" i="5"/>
  <c r="B1" i="4"/>
  <c r="B2" i="4"/>
  <c r="C2" i="4"/>
  <c r="I10" i="4"/>
  <c r="I8" i="4"/>
  <c r="I6" i="4"/>
  <c r="I4" i="4"/>
  <c r="E4" i="4"/>
  <c r="F20" i="11"/>
  <c r="E20" i="11"/>
  <c r="D20" i="11"/>
  <c r="F19" i="11"/>
  <c r="E19" i="11"/>
  <c r="D19" i="11"/>
  <c r="F18" i="11"/>
  <c r="E18" i="11"/>
  <c r="D18" i="11"/>
  <c r="F17" i="11"/>
  <c r="E17" i="11"/>
  <c r="D17" i="11"/>
  <c r="F16" i="11"/>
  <c r="E16" i="11"/>
  <c r="D16" i="11"/>
  <c r="F15" i="11"/>
  <c r="E15" i="11"/>
  <c r="D15" i="11"/>
  <c r="F14" i="11"/>
  <c r="E14" i="11"/>
  <c r="D14" i="11"/>
  <c r="B21" i="11"/>
  <c r="A31" i="10"/>
  <c r="A30" i="9"/>
  <c r="A34" i="8"/>
  <c r="E140" i="7"/>
  <c r="E136" i="7"/>
  <c r="E135" i="7"/>
  <c r="E133" i="7"/>
  <c r="E132" i="7"/>
  <c r="E130" i="7"/>
  <c r="E129" i="7"/>
  <c r="E124" i="7"/>
  <c r="E123" i="7"/>
  <c r="A120" i="7"/>
  <c r="A131" i="7" s="1"/>
  <c r="A138" i="7" s="1"/>
  <c r="C141" i="7" s="1"/>
  <c r="C112" i="7"/>
  <c r="C113" i="7" s="1"/>
  <c r="E111" i="7"/>
  <c r="E101" i="7"/>
  <c r="C101" i="7"/>
  <c r="E100" i="7"/>
  <c r="E99" i="7"/>
  <c r="C99" i="7"/>
  <c r="V98" i="7"/>
  <c r="V99" i="7" s="1"/>
  <c r="V100" i="7" s="1"/>
  <c r="V101" i="7" s="1"/>
  <c r="V102" i="7" s="1"/>
  <c r="V103" i="7" s="1"/>
  <c r="E98" i="7"/>
  <c r="Z83" i="7" s="1"/>
  <c r="E97" i="7"/>
  <c r="Z82" i="7" s="1"/>
  <c r="C97" i="7"/>
  <c r="E96" i="7"/>
  <c r="E95" i="7"/>
  <c r="E94" i="7"/>
  <c r="E93" i="7"/>
  <c r="Z81" i="7" s="1"/>
  <c r="C93" i="7"/>
  <c r="E92" i="7"/>
  <c r="E91" i="7"/>
  <c r="E90" i="7"/>
  <c r="Z80" i="7" s="1"/>
  <c r="E89" i="7"/>
  <c r="E88" i="7"/>
  <c r="E87" i="7"/>
  <c r="Z79" i="7" s="1"/>
  <c r="AA86" i="7"/>
  <c r="E86" i="7"/>
  <c r="Z78" i="7" s="1"/>
  <c r="AA85" i="7"/>
  <c r="E85" i="7"/>
  <c r="Z77" i="7" s="1"/>
  <c r="AA84" i="7"/>
  <c r="E84" i="7"/>
  <c r="Z76" i="7" s="1"/>
  <c r="AA83" i="7"/>
  <c r="E83" i="7"/>
  <c r="Z75" i="7" s="1"/>
  <c r="AA82" i="7"/>
  <c r="E82" i="7"/>
  <c r="Z74" i="7" s="1"/>
  <c r="AA81" i="7"/>
  <c r="E81" i="7"/>
  <c r="Z73" i="7" s="1"/>
  <c r="AA80" i="7"/>
  <c r="E80" i="7"/>
  <c r="Z72" i="7" s="1"/>
  <c r="AA79" i="7"/>
  <c r="E79" i="7"/>
  <c r="Z71" i="7" s="1"/>
  <c r="AA78" i="7"/>
  <c r="E78" i="7"/>
  <c r="Z70" i="7" s="1"/>
  <c r="C78" i="7"/>
  <c r="AA77" i="7"/>
  <c r="AA76" i="7"/>
  <c r="AA75" i="7"/>
  <c r="AA74" i="7"/>
  <c r="AA73" i="7"/>
  <c r="AA72" i="7"/>
  <c r="AA71" i="7"/>
  <c r="AA70" i="7"/>
  <c r="D33" i="7"/>
  <c r="E33" i="7" s="1"/>
  <c r="Z25" i="7" s="1"/>
  <c r="E32" i="7"/>
  <c r="Z24" i="7" s="1"/>
  <c r="L31" i="7"/>
  <c r="E31" i="7"/>
  <c r="Z23" i="7" s="1"/>
  <c r="L30" i="7"/>
  <c r="E30" i="7"/>
  <c r="Z22" i="7" s="1"/>
  <c r="L29" i="7"/>
  <c r="E29" i="7"/>
  <c r="Z21" i="7" s="1"/>
  <c r="L28" i="7"/>
  <c r="E28" i="7"/>
  <c r="Z20" i="7" s="1"/>
  <c r="L27" i="7"/>
  <c r="E27" i="7"/>
  <c r="Z19" i="7" s="1"/>
  <c r="L26" i="7"/>
  <c r="E26" i="7"/>
  <c r="Z18" i="7" s="1"/>
  <c r="L25" i="7"/>
  <c r="E25" i="7"/>
  <c r="Z17" i="7" s="1"/>
  <c r="C25" i="7"/>
  <c r="AA24" i="7"/>
  <c r="AE24" i="7" s="1"/>
  <c r="L24" i="7"/>
  <c r="E24" i="7"/>
  <c r="Z16" i="7" s="1"/>
  <c r="AA23" i="7"/>
  <c r="AE23" i="7" s="1"/>
  <c r="L23" i="7"/>
  <c r="E23" i="7"/>
  <c r="Z15" i="7" s="1"/>
  <c r="AA22" i="7"/>
  <c r="AE22" i="7" s="1"/>
  <c r="L22" i="7"/>
  <c r="E22" i="7"/>
  <c r="Z14" i="7" s="1"/>
  <c r="AA21" i="7"/>
  <c r="AE21" i="7" s="1"/>
  <c r="L21" i="7"/>
  <c r="E21" i="7"/>
  <c r="Z13" i="7" s="1"/>
  <c r="AA20" i="7"/>
  <c r="AE20" i="7" s="1"/>
  <c r="L20" i="7"/>
  <c r="E20" i="7"/>
  <c r="Z12" i="7" s="1"/>
  <c r="AA19" i="7"/>
  <c r="AE19" i="7" s="1"/>
  <c r="L19" i="7"/>
  <c r="E19" i="7"/>
  <c r="Z11" i="7" s="1"/>
  <c r="AA18" i="7"/>
  <c r="AE18" i="7" s="1"/>
  <c r="L18" i="7"/>
  <c r="E18" i="7"/>
  <c r="Z10" i="7" s="1"/>
  <c r="AA17" i="7"/>
  <c r="AE17" i="7" s="1"/>
  <c r="L17" i="7"/>
  <c r="E17" i="7"/>
  <c r="Z9" i="7" s="1"/>
  <c r="AA16" i="7"/>
  <c r="AE16" i="7" s="1"/>
  <c r="E16" i="7"/>
  <c r="Z8" i="7" s="1"/>
  <c r="AA15" i="7"/>
  <c r="AE15" i="7" s="1"/>
  <c r="E15" i="7"/>
  <c r="Z7" i="7" s="1"/>
  <c r="AA14" i="7"/>
  <c r="AE14" i="7" s="1"/>
  <c r="E14" i="7"/>
  <c r="Z6" i="7" s="1"/>
  <c r="AA13" i="7"/>
  <c r="AE13" i="7" s="1"/>
  <c r="E13" i="7"/>
  <c r="Z5" i="7" s="1"/>
  <c r="AA12" i="7"/>
  <c r="AE12" i="7" s="1"/>
  <c r="E12" i="7"/>
  <c r="Z4" i="7" s="1"/>
  <c r="AA11" i="7"/>
  <c r="AE11" i="7" s="1"/>
  <c r="E11" i="7"/>
  <c r="Z3" i="7" s="1"/>
  <c r="AA10" i="7"/>
  <c r="AE10" i="7" s="1"/>
  <c r="E10" i="7"/>
  <c r="Z2" i="7" s="1"/>
  <c r="AA9" i="7"/>
  <c r="AE9" i="7" s="1"/>
  <c r="AA8" i="7"/>
  <c r="AE8" i="7" s="1"/>
  <c r="AA7" i="7"/>
  <c r="AE7" i="7" s="1"/>
  <c r="AL6" i="7"/>
  <c r="AL7" i="7" s="1"/>
  <c r="AA6" i="7"/>
  <c r="AE6" i="7" s="1"/>
  <c r="AA5" i="7"/>
  <c r="AE5" i="7" s="1"/>
  <c r="AA4" i="7"/>
  <c r="AE4" i="7" s="1"/>
  <c r="AA3" i="7"/>
  <c r="AE3" i="7" s="1"/>
  <c r="AA2" i="7"/>
  <c r="AE2" i="7" s="1"/>
  <c r="W2" i="7"/>
  <c r="W47" i="7" s="1"/>
  <c r="V45" i="6"/>
  <c r="V46" i="6" s="1"/>
  <c r="V47" i="6" s="1"/>
  <c r="V48" i="6" s="1"/>
  <c r="V49" i="6" s="1"/>
  <c r="V50" i="6" s="1"/>
  <c r="V51" i="6" s="1"/>
  <c r="U45" i="6"/>
  <c r="U46" i="6" s="1"/>
  <c r="U47" i="6" s="1"/>
  <c r="U48" i="6" s="1"/>
  <c r="U49" i="6" s="1"/>
  <c r="U50" i="6" s="1"/>
  <c r="U51" i="6" s="1"/>
  <c r="T45" i="6"/>
  <c r="T46" i="6" s="1"/>
  <c r="T47" i="6" s="1"/>
  <c r="T48" i="6" s="1"/>
  <c r="T49" i="6" s="1"/>
  <c r="T50" i="6" s="1"/>
  <c r="T51" i="6" s="1"/>
  <c r="S45" i="6"/>
  <c r="S46" i="6" s="1"/>
  <c r="S47" i="6" s="1"/>
  <c r="S48" i="6" s="1"/>
  <c r="S49" i="6" s="1"/>
  <c r="S50" i="6" s="1"/>
  <c r="S51" i="6" s="1"/>
  <c r="X43" i="6"/>
  <c r="AB43" i="6" s="1"/>
  <c r="W43" i="6"/>
  <c r="X42" i="6"/>
  <c r="W42" i="6" s="1"/>
  <c r="X41" i="6"/>
  <c r="AB41" i="6" s="1"/>
  <c r="X40" i="6"/>
  <c r="W40" i="6" s="1"/>
  <c r="X39" i="6"/>
  <c r="AB39" i="6" s="1"/>
  <c r="X38" i="6"/>
  <c r="W38" i="6" s="1"/>
  <c r="X37" i="6"/>
  <c r="AB37" i="6" s="1"/>
  <c r="X36" i="6"/>
  <c r="W36" i="6" s="1"/>
  <c r="X35" i="6"/>
  <c r="AB35" i="6" s="1"/>
  <c r="X34" i="6"/>
  <c r="AB34" i="6" s="1"/>
  <c r="X33" i="6"/>
  <c r="AB33" i="6" s="1"/>
  <c r="X32" i="6"/>
  <c r="AB32" i="6" s="1"/>
  <c r="K32" i="6"/>
  <c r="X31" i="6"/>
  <c r="AB31" i="6" s="1"/>
  <c r="K31" i="6"/>
  <c r="X30" i="6"/>
  <c r="W30" i="6" s="1"/>
  <c r="K30" i="6"/>
  <c r="X29" i="6"/>
  <c r="AB29" i="6" s="1"/>
  <c r="K29" i="6"/>
  <c r="X28" i="6"/>
  <c r="AB28" i="6" s="1"/>
  <c r="K28" i="6"/>
  <c r="X27" i="6"/>
  <c r="AB27" i="6" s="1"/>
  <c r="K27" i="6"/>
  <c r="X26" i="6"/>
  <c r="W26" i="6" s="1"/>
  <c r="K26" i="6"/>
  <c r="X25" i="6"/>
  <c r="AB25" i="6" s="1"/>
  <c r="K25" i="6"/>
  <c r="X24" i="6"/>
  <c r="W24" i="6" s="1"/>
  <c r="K24" i="6"/>
  <c r="X23" i="6"/>
  <c r="W23" i="6" s="1"/>
  <c r="K23" i="6"/>
  <c r="AF22" i="6"/>
  <c r="AF21" i="6" s="1"/>
  <c r="AF20" i="6" s="1"/>
  <c r="AF19" i="6" s="1"/>
  <c r="AF18" i="6" s="1"/>
  <c r="AF17" i="6" s="1"/>
  <c r="AF16" i="6" s="1"/>
  <c r="AF15" i="6" s="1"/>
  <c r="AF14" i="6" s="1"/>
  <c r="AF13" i="6" s="1"/>
  <c r="AF12" i="6" s="1"/>
  <c r="AF11" i="6" s="1"/>
  <c r="AF10" i="6" s="1"/>
  <c r="AF9" i="6" s="1"/>
  <c r="AF8" i="6" s="1"/>
  <c r="AF7" i="6" s="1"/>
  <c r="AF6" i="6" s="1"/>
  <c r="AF5" i="6" s="1"/>
  <c r="AF4" i="6" s="1"/>
  <c r="X22" i="6"/>
  <c r="AB22" i="6" s="1"/>
  <c r="K22" i="6"/>
  <c r="X21" i="6"/>
  <c r="AB21" i="6" s="1"/>
  <c r="K21" i="6"/>
  <c r="X20" i="6"/>
  <c r="AB20" i="6" s="1"/>
  <c r="K20" i="6"/>
  <c r="X19" i="6"/>
  <c r="AB19" i="6" s="1"/>
  <c r="K19" i="6"/>
  <c r="X18" i="6"/>
  <c r="AB18" i="6" s="1"/>
  <c r="K18" i="6"/>
  <c r="X17" i="6"/>
  <c r="AB17" i="6" s="1"/>
  <c r="K17" i="6"/>
  <c r="AE16" i="6"/>
  <c r="X16" i="6"/>
  <c r="W16" i="6" s="1"/>
  <c r="AE15" i="6"/>
  <c r="X15" i="6"/>
  <c r="AB15" i="6" s="1"/>
  <c r="AE14" i="6"/>
  <c r="X14" i="6"/>
  <c r="W14" i="6" s="1"/>
  <c r="AE13" i="6"/>
  <c r="X13" i="6"/>
  <c r="AB13" i="6" s="1"/>
  <c r="AE12" i="6"/>
  <c r="X12" i="6"/>
  <c r="AB12" i="6" s="1"/>
  <c r="AE11" i="6"/>
  <c r="X11" i="6"/>
  <c r="AB11" i="6" s="1"/>
  <c r="AE10" i="6"/>
  <c r="X10" i="6"/>
  <c r="AB10" i="6" s="1"/>
  <c r="AE9" i="6"/>
  <c r="X9" i="6"/>
  <c r="AB9" i="6" s="1"/>
  <c r="AE8" i="6"/>
  <c r="X8" i="6"/>
  <c r="AB8" i="6" s="1"/>
  <c r="AE7" i="6"/>
  <c r="X7" i="6"/>
  <c r="W7" i="6" s="1"/>
  <c r="AE6" i="6"/>
  <c r="X6" i="6"/>
  <c r="AB6" i="6" s="1"/>
  <c r="AE5" i="6"/>
  <c r="X5" i="6"/>
  <c r="W5" i="6" s="1"/>
  <c r="V5" i="6"/>
  <c r="V6" i="6" s="1"/>
  <c r="V7" i="6" s="1"/>
  <c r="V8" i="6" s="1"/>
  <c r="V9" i="6" s="1"/>
  <c r="V10" i="6" s="1"/>
  <c r="V11" i="6" s="1"/>
  <c r="V12" i="6" s="1"/>
  <c r="V13" i="6" s="1"/>
  <c r="V14" i="6" s="1"/>
  <c r="V15" i="6" s="1"/>
  <c r="V16" i="6" s="1"/>
  <c r="V17" i="6" s="1"/>
  <c r="V18" i="6" s="1"/>
  <c r="V19" i="6" s="1"/>
  <c r="V20" i="6" s="1"/>
  <c r="V21" i="6" s="1"/>
  <c r="V22" i="6" s="1"/>
  <c r="V23" i="6" s="1"/>
  <c r="V24" i="6" s="1"/>
  <c r="V25" i="6" s="1"/>
  <c r="V26" i="6" s="1"/>
  <c r="V27" i="6" s="1"/>
  <c r="V28" i="6" s="1"/>
  <c r="V29" i="6" s="1"/>
  <c r="V30" i="6" s="1"/>
  <c r="V31" i="6" s="1"/>
  <c r="V32" i="6" s="1"/>
  <c r="V33" i="6" s="1"/>
  <c r="V34" i="6" s="1"/>
  <c r="V35" i="6" s="1"/>
  <c r="V36" i="6" s="1"/>
  <c r="V37" i="6" s="1"/>
  <c r="V38" i="6" s="1"/>
  <c r="V39" i="6" s="1"/>
  <c r="V40" i="6" s="1"/>
  <c r="V41" i="6" s="1"/>
  <c r="V42" i="6" s="1"/>
  <c r="V43" i="6" s="1"/>
  <c r="T5" i="6"/>
  <c r="T6" i="6" s="1"/>
  <c r="T7" i="6" s="1"/>
  <c r="T8" i="6" s="1"/>
  <c r="T9" i="6" s="1"/>
  <c r="T10" i="6" s="1"/>
  <c r="T11" i="6" s="1"/>
  <c r="T12" i="6" s="1"/>
  <c r="AE4" i="6"/>
  <c r="X4" i="6"/>
  <c r="AB4" i="6" s="1"/>
  <c r="U5" i="6"/>
  <c r="U6" i="6" s="1"/>
  <c r="U7" i="6" s="1"/>
  <c r="U8" i="6" s="1"/>
  <c r="U9" i="6" s="1"/>
  <c r="U10" i="6" s="1"/>
  <c r="U11" i="6" s="1"/>
  <c r="U12" i="6" s="1"/>
  <c r="U13" i="6" s="1"/>
  <c r="U14" i="6" s="1"/>
  <c r="U15" i="6" s="1"/>
  <c r="U16" i="6" s="1"/>
  <c r="U17" i="6" s="1"/>
  <c r="U18" i="6" s="1"/>
  <c r="U19" i="6" s="1"/>
  <c r="U20" i="6" s="1"/>
  <c r="U21" i="6" s="1"/>
  <c r="U22" i="6" s="1"/>
  <c r="U23" i="6" s="1"/>
  <c r="U24" i="6" s="1"/>
  <c r="U25" i="6" s="1"/>
  <c r="U26" i="6" s="1"/>
  <c r="U27" i="6" s="1"/>
  <c r="U28" i="6" s="1"/>
  <c r="U29" i="6" s="1"/>
  <c r="U30" i="6" s="1"/>
  <c r="U31" i="6" s="1"/>
  <c r="U32" i="6" s="1"/>
  <c r="U33" i="6" s="1"/>
  <c r="U34" i="6" s="1"/>
  <c r="U35" i="6" s="1"/>
  <c r="U36" i="6" s="1"/>
  <c r="U37" i="6" s="1"/>
  <c r="U38" i="6" s="1"/>
  <c r="U39" i="6" s="1"/>
  <c r="U40" i="6" s="1"/>
  <c r="U41" i="6" s="1"/>
  <c r="U42" i="6" s="1"/>
  <c r="U43" i="6" s="1"/>
  <c r="B5" i="5"/>
  <c r="H26" i="4"/>
  <c r="I21" i="4"/>
  <c r="G21" i="4"/>
  <c r="G26" i="4" s="1"/>
  <c r="F21" i="4"/>
  <c r="F26" i="4" s="1"/>
  <c r="H16" i="4"/>
  <c r="H21" i="4" s="1"/>
  <c r="F13" i="4"/>
  <c r="D16" i="4" s="1"/>
  <c r="G4" i="4"/>
  <c r="B51" i="2"/>
  <c r="M50" i="2"/>
  <c r="I57" i="2" s="1"/>
  <c r="I49" i="2"/>
  <c r="G7" i="6" s="1"/>
  <c r="G8" i="6" s="1"/>
  <c r="M47" i="2"/>
  <c r="D17" i="2" s="1"/>
  <c r="A47" i="2"/>
  <c r="M46" i="2"/>
  <c r="N45" i="2"/>
  <c r="A18" i="8" s="1"/>
  <c r="A44" i="2"/>
  <c r="D39" i="2"/>
  <c r="C39" i="2"/>
  <c r="C40" i="2" s="1"/>
  <c r="H8" i="7" s="1"/>
  <c r="B32" i="2"/>
  <c r="B33" i="2" s="1"/>
  <c r="A32" i="2"/>
  <c r="A33" i="2" s="1"/>
  <c r="A34" i="2" s="1"/>
  <c r="A35" i="2" s="1"/>
  <c r="C26" i="2"/>
  <c r="B10" i="7" s="1"/>
  <c r="E24" i="2"/>
  <c r="C24" i="2"/>
  <c r="E22" i="2"/>
  <c r="C22" i="2"/>
  <c r="E21" i="2"/>
  <c r="C21" i="2"/>
  <c r="C20" i="2"/>
  <c r="E2" i="2"/>
  <c r="W15" i="6" l="1"/>
  <c r="W12" i="6"/>
  <c r="W34" i="6"/>
  <c r="W33" i="6"/>
  <c r="W19" i="6"/>
  <c r="AB5" i="6"/>
  <c r="AB26" i="6"/>
  <c r="AB40" i="6"/>
  <c r="AB23" i="6"/>
  <c r="E112" i="7"/>
  <c r="AB24" i="6"/>
  <c r="AB36" i="6"/>
  <c r="AB7" i="6"/>
  <c r="W17" i="6"/>
  <c r="W37" i="6"/>
  <c r="W13" i="6"/>
  <c r="C33" i="7"/>
  <c r="W8" i="6"/>
  <c r="B50" i="2"/>
  <c r="C50" i="2" s="1"/>
  <c r="W9" i="6"/>
  <c r="AB14" i="6"/>
  <c r="W25" i="6"/>
  <c r="W6" i="6"/>
  <c r="W11" i="6"/>
  <c r="AB16" i="6"/>
  <c r="W27" i="6"/>
  <c r="D7" i="7"/>
  <c r="S1" i="7" s="1"/>
  <c r="N17" i="6"/>
  <c r="N18" i="6" s="1"/>
  <c r="N19" i="6" s="1"/>
  <c r="N20" i="6" s="1"/>
  <c r="N21" i="6" s="1"/>
  <c r="N22" i="6" s="1"/>
  <c r="N23" i="6" s="1"/>
  <c r="N24" i="6" s="1"/>
  <c r="N25" i="6" s="1"/>
  <c r="N26" i="6" s="1"/>
  <c r="N27" i="6" s="1"/>
  <c r="N28" i="6" s="1"/>
  <c r="N29" i="6" s="1"/>
  <c r="N30" i="6" s="1"/>
  <c r="N31" i="6" s="1"/>
  <c r="N32" i="6" s="1"/>
  <c r="A7" i="8"/>
  <c r="A7" i="9" s="1"/>
  <c r="I58" i="2"/>
  <c r="W4" i="6"/>
  <c r="AB42" i="6"/>
  <c r="AB30" i="6"/>
  <c r="AB38" i="6"/>
  <c r="W32" i="6"/>
  <c r="AA25" i="7"/>
  <c r="AE25" i="7" s="1"/>
  <c r="D34" i="7"/>
  <c r="AA26" i="7" s="1"/>
  <c r="AE26" i="7" s="1"/>
  <c r="W21" i="6"/>
  <c r="A54" i="9"/>
  <c r="E21" i="11"/>
  <c r="E23" i="11"/>
  <c r="E22" i="11"/>
  <c r="F22" i="11"/>
  <c r="F23" i="11"/>
  <c r="F21" i="11"/>
  <c r="D22" i="11"/>
  <c r="D21" i="11"/>
  <c r="D23" i="11"/>
  <c r="A19" i="9"/>
  <c r="A19" i="10"/>
  <c r="F26" i="2"/>
  <c r="K8" i="7"/>
  <c r="A18" i="10"/>
  <c r="A18" i="9"/>
  <c r="X20" i="7"/>
  <c r="C4" i="4"/>
  <c r="U2" i="7"/>
  <c r="V2" i="7" s="1"/>
  <c r="V3" i="7" s="1"/>
  <c r="W43" i="7"/>
  <c r="C16" i="4"/>
  <c r="Y10" i="7"/>
  <c r="Y3" i="7"/>
  <c r="Y66" i="7"/>
  <c r="Y32" i="7"/>
  <c r="Y82" i="7"/>
  <c r="Y28" i="7"/>
  <c r="Y43" i="7"/>
  <c r="Y75" i="7"/>
  <c r="Y5" i="7"/>
  <c r="Y47" i="7"/>
  <c r="Y50" i="7"/>
  <c r="Y14" i="7"/>
  <c r="Y57" i="7"/>
  <c r="B15" i="11"/>
  <c r="B18" i="11"/>
  <c r="Y4" i="7"/>
  <c r="B16" i="11"/>
  <c r="B23" i="11"/>
  <c r="B20" i="11"/>
  <c r="B16" i="4"/>
  <c r="B21" i="4" s="1"/>
  <c r="B14" i="11"/>
  <c r="B17" i="11"/>
  <c r="B22" i="11"/>
  <c r="B19" i="11"/>
  <c r="W82" i="7"/>
  <c r="W79" i="7"/>
  <c r="W75" i="7"/>
  <c r="W71" i="7"/>
  <c r="W63" i="7"/>
  <c r="W62" i="7"/>
  <c r="W83" i="7"/>
  <c r="W80" i="7"/>
  <c r="W61" i="7"/>
  <c r="W38" i="7"/>
  <c r="W34" i="7"/>
  <c r="W77" i="7"/>
  <c r="W66" i="7"/>
  <c r="W50" i="7"/>
  <c r="W45" i="7"/>
  <c r="W29" i="7"/>
  <c r="W26" i="7"/>
  <c r="W73" i="7"/>
  <c r="W55" i="7"/>
  <c r="W41" i="7"/>
  <c r="W60" i="7"/>
  <c r="W49" i="7"/>
  <c r="W37" i="7"/>
  <c r="W33" i="7"/>
  <c r="W81" i="7"/>
  <c r="W78" i="7"/>
  <c r="W65" i="7"/>
  <c r="W54" i="7"/>
  <c r="W40" i="7"/>
  <c r="W36" i="7"/>
  <c r="W32" i="7"/>
  <c r="W27" i="7"/>
  <c r="W5" i="7"/>
  <c r="W64" i="7"/>
  <c r="W72" i="7"/>
  <c r="W57" i="7"/>
  <c r="W44" i="7"/>
  <c r="W28" i="7"/>
  <c r="W14" i="7"/>
  <c r="W10" i="7"/>
  <c r="W39" i="7"/>
  <c r="W15" i="7"/>
  <c r="W11" i="7"/>
  <c r="W74" i="7"/>
  <c r="W48" i="7"/>
  <c r="W24" i="7"/>
  <c r="W21" i="7"/>
  <c r="W18" i="7"/>
  <c r="W35" i="7"/>
  <c r="W23" i="7"/>
  <c r="W51" i="7"/>
  <c r="W7" i="7"/>
  <c r="W42" i="7"/>
  <c r="W70" i="7"/>
  <c r="W56" i="7"/>
  <c r="W69" i="7"/>
  <c r="W67" i="7"/>
  <c r="W58" i="7"/>
  <c r="W13" i="7"/>
  <c r="W4" i="7"/>
  <c r="W53" i="7"/>
  <c r="W30" i="7"/>
  <c r="W17" i="7"/>
  <c r="W76" i="7"/>
  <c r="W52" i="7"/>
  <c r="W25" i="7"/>
  <c r="W22" i="7"/>
  <c r="W19" i="7"/>
  <c r="W59" i="7"/>
  <c r="W16" i="7"/>
  <c r="W12" i="7"/>
  <c r="W9" i="7"/>
  <c r="W3" i="7"/>
  <c r="W68" i="7"/>
  <c r="W31" i="7"/>
  <c r="W20" i="7"/>
  <c r="W8" i="7"/>
  <c r="W6" i="7"/>
  <c r="W46" i="7"/>
  <c r="Y62" i="7"/>
  <c r="Y83" i="7"/>
  <c r="Y80" i="7"/>
  <c r="Y61" i="7"/>
  <c r="Y73" i="7"/>
  <c r="Y55" i="7"/>
  <c r="Y41" i="7"/>
  <c r="Y60" i="7"/>
  <c r="Y49" i="7"/>
  <c r="Y37" i="7"/>
  <c r="Y33" i="7"/>
  <c r="Y81" i="7"/>
  <c r="Y78" i="7"/>
  <c r="Y65" i="7"/>
  <c r="Y54" i="7"/>
  <c r="Y74" i="7"/>
  <c r="Y59" i="7"/>
  <c r="Y48" i="7"/>
  <c r="Y44" i="7"/>
  <c r="Y40" i="7"/>
  <c r="Y30" i="7"/>
  <c r="Y27" i="7"/>
  <c r="Y70" i="7"/>
  <c r="Y64" i="7"/>
  <c r="Y53" i="7"/>
  <c r="Y36" i="7"/>
  <c r="Y11" i="7"/>
  <c r="Y15" i="7"/>
  <c r="Y17" i="7"/>
  <c r="Y20" i="7"/>
  <c r="Y23" i="7"/>
  <c r="Y31" i="7"/>
  <c r="Y35" i="7"/>
  <c r="Y39" i="7"/>
  <c r="Y56" i="7"/>
  <c r="Y38" i="7"/>
  <c r="Y42" i="7"/>
  <c r="Y46" i="7"/>
  <c r="Y6" i="7"/>
  <c r="Y8" i="7"/>
  <c r="Y34" i="7"/>
  <c r="C114" i="7"/>
  <c r="E113" i="7"/>
  <c r="Y9" i="7"/>
  <c r="Y12" i="7"/>
  <c r="Y16" i="7"/>
  <c r="Y45" i="7"/>
  <c r="Y76" i="7"/>
  <c r="M17" i="7"/>
  <c r="M18" i="7" s="1"/>
  <c r="Y19" i="7"/>
  <c r="Y22" i="7"/>
  <c r="Y25" i="7"/>
  <c r="Y52" i="7"/>
  <c r="Y71" i="7"/>
  <c r="Y26" i="7"/>
  <c r="Y67" i="7"/>
  <c r="Y13" i="7"/>
  <c r="Y58" i="7"/>
  <c r="Y63" i="7"/>
  <c r="Y69" i="7"/>
  <c r="Y79" i="7"/>
  <c r="Y7" i="7"/>
  <c r="Y51" i="7"/>
  <c r="Y77" i="7"/>
  <c r="C142" i="7"/>
  <c r="E141" i="7"/>
  <c r="Y18" i="7"/>
  <c r="Y21" i="7"/>
  <c r="Y24" i="7"/>
  <c r="Y29" i="7"/>
  <c r="Y72" i="7"/>
  <c r="C125" i="7"/>
  <c r="T13" i="6"/>
  <c r="T14" i="6" s="1"/>
  <c r="T15" i="6" s="1"/>
  <c r="T16" i="6" s="1"/>
  <c r="T17" i="6" s="1"/>
  <c r="T18" i="6" s="1"/>
  <c r="W20" i="6"/>
  <c r="W10" i="6"/>
  <c r="W31" i="6"/>
  <c r="W35" i="6"/>
  <c r="W41" i="6"/>
  <c r="W18" i="6"/>
  <c r="W22" i="6"/>
  <c r="W28" i="6"/>
  <c r="W29" i="6"/>
  <c r="W39" i="6"/>
  <c r="E6" i="4"/>
  <c r="K10" i="4"/>
  <c r="D21" i="4"/>
  <c r="D26" i="4" s="1"/>
  <c r="I26" i="4"/>
  <c r="C7" i="4"/>
  <c r="C28" i="4"/>
  <c r="D21" i="2"/>
  <c r="B32" i="6" s="1"/>
  <c r="R24" i="6" s="1"/>
  <c r="S26" i="6" s="1"/>
  <c r="D23" i="2"/>
  <c r="B42" i="6" s="1"/>
  <c r="R34" i="6" s="1"/>
  <c r="S35" i="6" s="1"/>
  <c r="D24" i="2"/>
  <c r="B47" i="6" s="1"/>
  <c r="R39" i="6" s="1"/>
  <c r="S40" i="6" s="1"/>
  <c r="D22" i="2"/>
  <c r="B37" i="6" s="1"/>
  <c r="R29" i="6" s="1"/>
  <c r="S33" i="6" s="1"/>
  <c r="D20" i="2"/>
  <c r="B12" i="6" s="1"/>
  <c r="L17" i="6" s="1"/>
  <c r="B34" i="2"/>
  <c r="M52" i="2"/>
  <c r="B17" i="2" s="1"/>
  <c r="B21" i="2" s="1"/>
  <c r="E34" i="7" l="1"/>
  <c r="Z26" i="7" s="1"/>
  <c r="A7" i="10"/>
  <c r="F25" i="11"/>
  <c r="D28" i="4"/>
  <c r="O17" i="7"/>
  <c r="O18" i="7" s="1"/>
  <c r="O19" i="7" s="1"/>
  <c r="O20" i="7" s="1"/>
  <c r="O21" i="7" s="1"/>
  <c r="O22" i="7" s="1"/>
  <c r="O23" i="7" s="1"/>
  <c r="O24" i="7" s="1"/>
  <c r="O25" i="7" s="1"/>
  <c r="O26" i="7" s="1"/>
  <c r="O27" i="7" s="1"/>
  <c r="O28" i="7" s="1"/>
  <c r="O29" i="7" s="1"/>
  <c r="O30" i="7" s="1"/>
  <c r="O31" i="7" s="1"/>
  <c r="D35" i="7"/>
  <c r="A55" i="9"/>
  <c r="C21" i="4"/>
  <c r="C26" i="4" s="1"/>
  <c r="D29" i="4"/>
  <c r="M19" i="7"/>
  <c r="M20" i="7" s="1"/>
  <c r="N20" i="7" s="1"/>
  <c r="N18" i="7"/>
  <c r="E24" i="11"/>
  <c r="E25" i="11"/>
  <c r="F24" i="11"/>
  <c r="D25" i="11"/>
  <c r="D24" i="11"/>
  <c r="S36" i="6"/>
  <c r="S43" i="6"/>
  <c r="S37" i="6"/>
  <c r="X21" i="7"/>
  <c r="S34" i="6"/>
  <c r="S38" i="6"/>
  <c r="S31" i="6"/>
  <c r="S29" i="6"/>
  <c r="S27" i="6"/>
  <c r="AC2" i="7"/>
  <c r="S32" i="6"/>
  <c r="S41" i="6"/>
  <c r="S30" i="6"/>
  <c r="B2" i="5"/>
  <c r="S28" i="6"/>
  <c r="R4" i="6"/>
  <c r="S4" i="6" s="1"/>
  <c r="Y4" i="6" s="1"/>
  <c r="S42" i="6"/>
  <c r="S25" i="6"/>
  <c r="S24" i="6"/>
  <c r="S39" i="6"/>
  <c r="E16" i="4"/>
  <c r="E21" i="4" s="1"/>
  <c r="E26" i="4" s="1"/>
  <c r="N17" i="7"/>
  <c r="C143" i="7"/>
  <c r="E142" i="7"/>
  <c r="C126" i="7"/>
  <c r="E125" i="7"/>
  <c r="E114" i="7"/>
  <c r="C115" i="7"/>
  <c r="AC3" i="7"/>
  <c r="AF3" i="7" s="1"/>
  <c r="V4" i="7"/>
  <c r="AC4" i="7" s="1"/>
  <c r="AF4" i="7" s="1"/>
  <c r="T19" i="6"/>
  <c r="T20" i="6" s="1"/>
  <c r="B26" i="4"/>
  <c r="C23" i="4"/>
  <c r="D34" i="2"/>
  <c r="F34" i="2" s="1"/>
  <c r="D5" i="2"/>
  <c r="D36" i="2"/>
  <c r="D7" i="2"/>
  <c r="D33" i="2"/>
  <c r="F33" i="2" s="1"/>
  <c r="D4" i="2"/>
  <c r="B23" i="2"/>
  <c r="Z28" i="6"/>
  <c r="B24" i="2"/>
  <c r="Z43" i="6" s="1"/>
  <c r="B22" i="2"/>
  <c r="Z33" i="6" s="1"/>
  <c r="B20" i="2"/>
  <c r="Z23" i="6" s="1"/>
  <c r="B35" i="2"/>
  <c r="A46" i="2"/>
  <c r="H4" i="4" s="1"/>
  <c r="D3" i="2"/>
  <c r="D32" i="2"/>
  <c r="F32" i="2" s="1"/>
  <c r="D19" i="2"/>
  <c r="D35" i="2"/>
  <c r="D6" i="2"/>
  <c r="F26" i="11" l="1"/>
  <c r="N19" i="7"/>
  <c r="P17" i="7"/>
  <c r="P18" i="7"/>
  <c r="P19" i="7"/>
  <c r="AG2" i="7"/>
  <c r="AF2" i="7"/>
  <c r="G10" i="7" s="1"/>
  <c r="A56" i="9"/>
  <c r="D36" i="7"/>
  <c r="AA27" i="7"/>
  <c r="AE27" i="7" s="1"/>
  <c r="E35" i="7"/>
  <c r="Z27" i="7" s="1"/>
  <c r="E26" i="11"/>
  <c r="S6" i="6"/>
  <c r="Y6" i="6" s="1"/>
  <c r="S20" i="6"/>
  <c r="Y20" i="6" s="1"/>
  <c r="S19" i="6"/>
  <c r="Y19" i="6" s="1"/>
  <c r="S7" i="6"/>
  <c r="Y7" i="6" s="1"/>
  <c r="S13" i="6"/>
  <c r="Y13" i="6" s="1"/>
  <c r="S17" i="6"/>
  <c r="Y17" i="6" s="1"/>
  <c r="S10" i="6"/>
  <c r="Y10" i="6" s="1"/>
  <c r="D26" i="11"/>
  <c r="S5" i="6"/>
  <c r="Y5" i="6" s="1"/>
  <c r="X22" i="7"/>
  <c r="AB2" i="7"/>
  <c r="A13" i="2"/>
  <c r="Z38" i="6"/>
  <c r="A10" i="2"/>
  <c r="H7" i="4"/>
  <c r="K9" i="4" s="1"/>
  <c r="F7" i="4"/>
  <c r="K8" i="4" s="1"/>
  <c r="E3" i="2"/>
  <c r="B24" i="8"/>
  <c r="E5" i="2"/>
  <c r="B26" i="8"/>
  <c r="S18" i="6"/>
  <c r="Y18" i="6" s="1"/>
  <c r="S22" i="6"/>
  <c r="S11" i="6"/>
  <c r="Y11" i="6" s="1"/>
  <c r="S15" i="6"/>
  <c r="Y15" i="6" s="1"/>
  <c r="S21" i="6"/>
  <c r="S23" i="6"/>
  <c r="S9" i="6"/>
  <c r="Y9" i="6" s="1"/>
  <c r="L18" i="6"/>
  <c r="M17" i="6"/>
  <c r="O17" i="6" s="1"/>
  <c r="B13" i="5"/>
  <c r="B27" i="8"/>
  <c r="S12" i="6"/>
  <c r="Y12" i="6" s="1"/>
  <c r="E4" i="2"/>
  <c r="B25" i="8"/>
  <c r="S16" i="6"/>
  <c r="Y16" i="6" s="1"/>
  <c r="S14" i="6"/>
  <c r="Y14" i="6" s="1"/>
  <c r="E7" i="2"/>
  <c r="B28" i="8"/>
  <c r="S8" i="6"/>
  <c r="Y8" i="6" s="1"/>
  <c r="C18" i="4"/>
  <c r="C13" i="4"/>
  <c r="C116" i="7"/>
  <c r="E115" i="7"/>
  <c r="E126" i="7"/>
  <c r="C127" i="7"/>
  <c r="V5" i="7"/>
  <c r="AB3" i="7"/>
  <c r="AG3" i="7"/>
  <c r="G11" i="7"/>
  <c r="B32" i="9" s="1"/>
  <c r="M21" i="7"/>
  <c r="P20" i="7"/>
  <c r="C144" i="7"/>
  <c r="E143" i="7"/>
  <c r="T21" i="6"/>
  <c r="E6" i="2"/>
  <c r="F25" i="2"/>
  <c r="B14" i="2"/>
  <c r="A24" i="2"/>
  <c r="B7" i="2"/>
  <c r="F7" i="2" s="1"/>
  <c r="A23" i="2"/>
  <c r="B13" i="2"/>
  <c r="B6" i="2"/>
  <c r="F6" i="2" s="1"/>
  <c r="F23" i="2"/>
  <c r="F22" i="2"/>
  <c r="A22" i="2"/>
  <c r="B5" i="2"/>
  <c r="F5" i="2" s="1"/>
  <c r="B12" i="2"/>
  <c r="A21" i="2"/>
  <c r="B11" i="2"/>
  <c r="F21" i="2"/>
  <c r="B4" i="2"/>
  <c r="F4" i="2" s="1"/>
  <c r="D31" i="2"/>
  <c r="D2" i="2"/>
  <c r="B43" i="2"/>
  <c r="B52" i="2"/>
  <c r="C52" i="2" s="1"/>
  <c r="B54" i="2" s="1"/>
  <c r="B49" i="2" s="1"/>
  <c r="A14" i="2"/>
  <c r="A12" i="2"/>
  <c r="E30" i="2"/>
  <c r="A11" i="2"/>
  <c r="F35" i="2"/>
  <c r="F30" i="2" s="1"/>
  <c r="F20" i="2"/>
  <c r="G20" i="2" s="1"/>
  <c r="B3" i="2"/>
  <c r="F3" i="2" s="1"/>
  <c r="B10" i="2"/>
  <c r="Q17" i="7" l="1"/>
  <c r="M3" i="7" s="1"/>
  <c r="A57" i="9"/>
  <c r="D37" i="7"/>
  <c r="E36" i="7"/>
  <c r="Z28" i="7" s="1"/>
  <c r="AA28" i="7"/>
  <c r="AE28" i="7" s="1"/>
  <c r="B4" i="4"/>
  <c r="C6" i="4" s="1"/>
  <c r="G6" i="4" s="1"/>
  <c r="C8" i="4" s="1"/>
  <c r="F37" i="2"/>
  <c r="J7" i="4"/>
  <c r="J6" i="4"/>
  <c r="E1" i="2"/>
  <c r="G1" i="2" s="1"/>
  <c r="G22" i="2"/>
  <c r="X23" i="7"/>
  <c r="F10" i="7"/>
  <c r="B31" i="9"/>
  <c r="L19" i="6"/>
  <c r="M18" i="6"/>
  <c r="O18" i="6" s="1"/>
  <c r="E30" i="4"/>
  <c r="C30" i="4"/>
  <c r="F30" i="4"/>
  <c r="G30" i="4" s="1"/>
  <c r="K11" i="7"/>
  <c r="L8" i="7" s="1"/>
  <c r="F11" i="7"/>
  <c r="Q18" i="7"/>
  <c r="M4" i="7" s="1"/>
  <c r="AG4" i="7"/>
  <c r="G12" i="7"/>
  <c r="B33" i="9" s="1"/>
  <c r="AB4" i="7"/>
  <c r="V6" i="7"/>
  <c r="AC5" i="7"/>
  <c r="AF5" i="7" s="1"/>
  <c r="E144" i="7"/>
  <c r="C145" i="7"/>
  <c r="C128" i="7"/>
  <c r="E127" i="7"/>
  <c r="M22" i="7"/>
  <c r="N22" i="7" s="1"/>
  <c r="N21" i="7"/>
  <c r="P21" i="7" s="1"/>
  <c r="E116" i="7"/>
  <c r="C117" i="7"/>
  <c r="T22" i="6"/>
  <c r="Y21" i="6"/>
  <c r="A5" i="2"/>
  <c r="G5" i="2"/>
  <c r="A6" i="2"/>
  <c r="G6" i="2"/>
  <c r="A4" i="2"/>
  <c r="G4" i="2"/>
  <c r="G23" i="2"/>
  <c r="A7" i="2"/>
  <c r="G7" i="2"/>
  <c r="G21" i="2"/>
  <c r="A3" i="2"/>
  <c r="G3" i="2"/>
  <c r="A27" i="9" l="1"/>
  <c r="A28" i="10"/>
  <c r="A58" i="9"/>
  <c r="AA29" i="7"/>
  <c r="AE29" i="7" s="1"/>
  <c r="E37" i="7"/>
  <c r="Z29" i="7" s="1"/>
  <c r="D38" i="7"/>
  <c r="X24" i="7"/>
  <c r="L20" i="6"/>
  <c r="M19" i="6"/>
  <c r="O19" i="6" s="1"/>
  <c r="K12" i="7"/>
  <c r="Q19" i="7"/>
  <c r="M5" i="7" s="1"/>
  <c r="F12" i="7"/>
  <c r="AG5" i="7"/>
  <c r="G13" i="7"/>
  <c r="B34" i="9" s="1"/>
  <c r="AB5" i="7"/>
  <c r="M23" i="7"/>
  <c r="P22" i="7"/>
  <c r="AC6" i="7"/>
  <c r="AF6" i="7" s="1"/>
  <c r="V7" i="7"/>
  <c r="C131" i="7"/>
  <c r="E128" i="7"/>
  <c r="C118" i="7"/>
  <c r="E117" i="7"/>
  <c r="C146" i="7"/>
  <c r="E146" i="7" s="1"/>
  <c r="E145" i="7"/>
  <c r="T23" i="6"/>
  <c r="Y22" i="6"/>
  <c r="A59" i="9" l="1"/>
  <c r="E38" i="7"/>
  <c r="Z30" i="7" s="1"/>
  <c r="AA30" i="7"/>
  <c r="AE30" i="7" s="1"/>
  <c r="D39" i="7"/>
  <c r="X25" i="7"/>
  <c r="L21" i="6"/>
  <c r="M20" i="6"/>
  <c r="O20" i="6" s="1"/>
  <c r="M24" i="7"/>
  <c r="N23" i="7"/>
  <c r="P23" i="7" s="1"/>
  <c r="G14" i="7"/>
  <c r="B35" i="9" s="1"/>
  <c r="AB6" i="7"/>
  <c r="AG6" i="7"/>
  <c r="AC7" i="7"/>
  <c r="AF7" i="7" s="1"/>
  <c r="V8" i="7"/>
  <c r="Q20" i="7"/>
  <c r="M6" i="7" s="1"/>
  <c r="K13" i="7"/>
  <c r="F13" i="7"/>
  <c r="E131" i="7"/>
  <c r="C134" i="7"/>
  <c r="C119" i="7"/>
  <c r="E118" i="7"/>
  <c r="T24" i="6"/>
  <c r="Y23" i="6"/>
  <c r="A60" i="9" l="1"/>
  <c r="E39" i="7"/>
  <c r="Z31" i="7" s="1"/>
  <c r="C39" i="7"/>
  <c r="D40" i="7"/>
  <c r="AA31" i="7"/>
  <c r="AE31" i="7" s="1"/>
  <c r="X26" i="7"/>
  <c r="L22" i="6"/>
  <c r="M21" i="6"/>
  <c r="O21" i="6" s="1"/>
  <c r="E134" i="7"/>
  <c r="C137" i="7"/>
  <c r="AC8" i="7"/>
  <c r="AF8" i="7" s="1"/>
  <c r="V9" i="7"/>
  <c r="K14" i="7"/>
  <c r="Q21" i="7"/>
  <c r="M7" i="7" s="1"/>
  <c r="F14" i="7"/>
  <c r="AB7" i="7"/>
  <c r="AG7" i="7"/>
  <c r="G15" i="7"/>
  <c r="B36" i="9" s="1"/>
  <c r="C120" i="7"/>
  <c r="E119" i="7"/>
  <c r="M25" i="7"/>
  <c r="N24" i="7"/>
  <c r="P24" i="7" s="1"/>
  <c r="Z22" i="6"/>
  <c r="Z4" i="6" s="1"/>
  <c r="T25" i="6"/>
  <c r="Y24" i="6"/>
  <c r="A61" i="9" l="1"/>
  <c r="AA32" i="7"/>
  <c r="AE32" i="7" s="1"/>
  <c r="E40" i="7"/>
  <c r="Z32" i="7" s="1"/>
  <c r="D41" i="7"/>
  <c r="X27" i="7"/>
  <c r="L23" i="6"/>
  <c r="M22" i="6"/>
  <c r="O22" i="6" s="1"/>
  <c r="M26" i="7"/>
  <c r="N25" i="7"/>
  <c r="P25" i="7" s="1"/>
  <c r="AC9" i="7"/>
  <c r="AF9" i="7" s="1"/>
  <c r="V10" i="7"/>
  <c r="G16" i="7"/>
  <c r="B37" i="9" s="1"/>
  <c r="AB8" i="7"/>
  <c r="AG8" i="7"/>
  <c r="C138" i="7"/>
  <c r="E137" i="7"/>
  <c r="C121" i="7"/>
  <c r="E120" i="7"/>
  <c r="K15" i="7"/>
  <c r="F15" i="7"/>
  <c r="Q22" i="7"/>
  <c r="M8" i="7" s="1"/>
  <c r="AA8" i="6"/>
  <c r="AC8" i="6" s="1"/>
  <c r="AD8" i="6" s="1"/>
  <c r="G16" i="6" s="1"/>
  <c r="F5" i="12" s="1"/>
  <c r="B5" i="12" s="1"/>
  <c r="B39" i="8" s="1"/>
  <c r="AA15" i="6"/>
  <c r="AC15" i="6" s="1"/>
  <c r="AD15" i="6" s="1"/>
  <c r="G23" i="6" s="1"/>
  <c r="F12" i="12" s="1"/>
  <c r="B12" i="12" s="1"/>
  <c r="B46" i="8" s="1"/>
  <c r="AA7" i="6"/>
  <c r="AC7" i="6" s="1"/>
  <c r="AD7" i="6" s="1"/>
  <c r="G15" i="6" s="1"/>
  <c r="F4" i="12" s="1"/>
  <c r="B4" i="12" s="1"/>
  <c r="B38" i="8" s="1"/>
  <c r="AA22" i="6"/>
  <c r="AC22" i="6" s="1"/>
  <c r="AD22" i="6" s="1"/>
  <c r="G30" i="6" s="1"/>
  <c r="F19" i="12" s="1"/>
  <c r="B19" i="12" s="1"/>
  <c r="B53" i="8" s="1"/>
  <c r="AA12" i="6"/>
  <c r="AC12" i="6" s="1"/>
  <c r="AD12" i="6" s="1"/>
  <c r="G20" i="6" s="1"/>
  <c r="F9" i="12" s="1"/>
  <c r="B9" i="12" s="1"/>
  <c r="B43" i="8" s="1"/>
  <c r="AA18" i="6"/>
  <c r="AC18" i="6" s="1"/>
  <c r="AD18" i="6" s="1"/>
  <c r="G26" i="6" s="1"/>
  <c r="F15" i="12" s="1"/>
  <c r="B15" i="12" s="1"/>
  <c r="B49" i="8" s="1"/>
  <c r="AA19" i="6"/>
  <c r="AC19" i="6" s="1"/>
  <c r="AD19" i="6" s="1"/>
  <c r="G27" i="6" s="1"/>
  <c r="F16" i="12" s="1"/>
  <c r="B16" i="12" s="1"/>
  <c r="B50" i="8" s="1"/>
  <c r="AA14" i="6"/>
  <c r="AC14" i="6" s="1"/>
  <c r="AD14" i="6" s="1"/>
  <c r="G22" i="6" s="1"/>
  <c r="F11" i="12" s="1"/>
  <c r="B11" i="12" s="1"/>
  <c r="B45" i="8" s="1"/>
  <c r="AA11" i="6"/>
  <c r="AC11" i="6" s="1"/>
  <c r="AD11" i="6" s="1"/>
  <c r="G19" i="6" s="1"/>
  <c r="F8" i="12" s="1"/>
  <c r="B8" i="12" s="1"/>
  <c r="B42" i="8" s="1"/>
  <c r="AA6" i="6"/>
  <c r="AC6" i="6" s="1"/>
  <c r="AD6" i="6" s="1"/>
  <c r="G14" i="6" s="1"/>
  <c r="F3" i="12" s="1"/>
  <c r="B3" i="12" s="1"/>
  <c r="B37" i="8" s="1"/>
  <c r="AA9" i="6"/>
  <c r="AC9" i="6" s="1"/>
  <c r="AD9" i="6" s="1"/>
  <c r="G17" i="6" s="1"/>
  <c r="F6" i="12" s="1"/>
  <c r="B6" i="12" s="1"/>
  <c r="B40" i="8" s="1"/>
  <c r="AA16" i="6"/>
  <c r="AC16" i="6" s="1"/>
  <c r="AD16" i="6" s="1"/>
  <c r="G24" i="6" s="1"/>
  <c r="F13" i="12" s="1"/>
  <c r="B13" i="12" s="1"/>
  <c r="B47" i="8" s="1"/>
  <c r="AA13" i="6"/>
  <c r="AC13" i="6" s="1"/>
  <c r="AD13" i="6" s="1"/>
  <c r="G21" i="6" s="1"/>
  <c r="F10" i="12" s="1"/>
  <c r="B10" i="12" s="1"/>
  <c r="B44" i="8" s="1"/>
  <c r="AA10" i="6"/>
  <c r="AC10" i="6" s="1"/>
  <c r="AD10" i="6" s="1"/>
  <c r="G18" i="6" s="1"/>
  <c r="F7" i="12" s="1"/>
  <c r="B7" i="12" s="1"/>
  <c r="B41" i="8" s="1"/>
  <c r="AA20" i="6"/>
  <c r="AC20" i="6" s="1"/>
  <c r="AD20" i="6" s="1"/>
  <c r="G28" i="6" s="1"/>
  <c r="F17" i="12" s="1"/>
  <c r="B17" i="12" s="1"/>
  <c r="B51" i="8" s="1"/>
  <c r="AA5" i="6"/>
  <c r="AC5" i="6" s="1"/>
  <c r="AD5" i="6" s="1"/>
  <c r="G13" i="6" s="1"/>
  <c r="F2" i="12" s="1"/>
  <c r="B2" i="12" s="1"/>
  <c r="B36" i="8" s="1"/>
  <c r="AA23" i="6"/>
  <c r="AC23" i="6" s="1"/>
  <c r="AA21" i="6"/>
  <c r="AC21" i="6" s="1"/>
  <c r="AD21" i="6" s="1"/>
  <c r="G29" i="6" s="1"/>
  <c r="F18" i="12" s="1"/>
  <c r="B18" i="12" s="1"/>
  <c r="B52" i="8" s="1"/>
  <c r="AA17" i="6"/>
  <c r="AC17" i="6" s="1"/>
  <c r="AD17" i="6" s="1"/>
  <c r="G25" i="6" s="1"/>
  <c r="F14" i="12" s="1"/>
  <c r="B14" i="12" s="1"/>
  <c r="B48" i="8" s="1"/>
  <c r="AA4" i="6"/>
  <c r="AC4" i="6" s="1"/>
  <c r="AD4" i="6" s="1"/>
  <c r="G12" i="6" s="1"/>
  <c r="T26" i="6"/>
  <c r="Y25" i="6"/>
  <c r="F1" i="12" l="1"/>
  <c r="B1" i="12" s="1"/>
  <c r="B35" i="8" s="1"/>
  <c r="P17" i="6"/>
  <c r="A62" i="9"/>
  <c r="AA33" i="7"/>
  <c r="AE33" i="7" s="1"/>
  <c r="H60" i="2" s="1"/>
  <c r="I60" i="2" s="1"/>
  <c r="E41" i="7"/>
  <c r="Z33" i="7" s="1"/>
  <c r="D42" i="7"/>
  <c r="X28" i="7"/>
  <c r="L24" i="6"/>
  <c r="M23" i="6"/>
  <c r="O23" i="6" s="1"/>
  <c r="P23" i="6" s="1"/>
  <c r="Q23" i="7"/>
  <c r="M9" i="7" s="1"/>
  <c r="K16" i="7"/>
  <c r="F16" i="7"/>
  <c r="AC10" i="7"/>
  <c r="AF10" i="7" s="1"/>
  <c r="V11" i="7"/>
  <c r="C139" i="7"/>
  <c r="E139" i="7" s="1"/>
  <c r="E138" i="7"/>
  <c r="AB9" i="7"/>
  <c r="AG9" i="7"/>
  <c r="G17" i="7"/>
  <c r="B38" i="9" s="1"/>
  <c r="E121" i="7"/>
  <c r="C122" i="7"/>
  <c r="E122" i="7" s="1"/>
  <c r="N26" i="7"/>
  <c r="P26" i="7" s="1"/>
  <c r="M27" i="7"/>
  <c r="J19" i="6"/>
  <c r="F19" i="6"/>
  <c r="J27" i="6"/>
  <c r="F27" i="6"/>
  <c r="F26" i="6"/>
  <c r="J26" i="6"/>
  <c r="T27" i="6"/>
  <c r="Y26" i="6"/>
  <c r="J20" i="6"/>
  <c r="F20" i="6"/>
  <c r="J25" i="6"/>
  <c r="F25" i="6"/>
  <c r="J30" i="6"/>
  <c r="F30" i="6"/>
  <c r="P20" i="6"/>
  <c r="J15" i="6"/>
  <c r="F15" i="6"/>
  <c r="F12" i="6"/>
  <c r="AG23" i="6"/>
  <c r="AE23" i="6" s="1"/>
  <c r="AD23" i="6" s="1"/>
  <c r="G31" i="6" s="1"/>
  <c r="J28" i="6"/>
  <c r="F28" i="6"/>
  <c r="J18" i="6"/>
  <c r="F18" i="6"/>
  <c r="J23" i="6"/>
  <c r="F23" i="6"/>
  <c r="J29" i="6"/>
  <c r="F29" i="6"/>
  <c r="J21" i="6"/>
  <c r="F21" i="6"/>
  <c r="J16" i="6"/>
  <c r="P21" i="6"/>
  <c r="F16" i="6"/>
  <c r="J22" i="6"/>
  <c r="F22" i="6"/>
  <c r="J24" i="6"/>
  <c r="F24" i="6"/>
  <c r="P19" i="6"/>
  <c r="J14" i="6"/>
  <c r="F14" i="6"/>
  <c r="J13" i="6"/>
  <c r="J11" i="6" s="1"/>
  <c r="F13" i="6"/>
  <c r="P18" i="6"/>
  <c r="J17" i="6"/>
  <c r="F17" i="6"/>
  <c r="P22" i="6"/>
  <c r="K60" i="2" l="1"/>
  <c r="K58" i="2"/>
  <c r="K59" i="2"/>
  <c r="A63" i="9"/>
  <c r="D43" i="7"/>
  <c r="E42" i="7"/>
  <c r="Z34" i="7" s="1"/>
  <c r="AA34" i="7"/>
  <c r="AE34" i="7" s="1"/>
  <c r="X29" i="7"/>
  <c r="B3" i="5"/>
  <c r="F20" i="12"/>
  <c r="B20" i="12" s="1"/>
  <c r="M24" i="6"/>
  <c r="O24" i="6" s="1"/>
  <c r="P24" i="6" s="1"/>
  <c r="L25" i="6"/>
  <c r="M28" i="7"/>
  <c r="N27" i="7"/>
  <c r="P27" i="7" s="1"/>
  <c r="AC11" i="7"/>
  <c r="AF11" i="7" s="1"/>
  <c r="V12" i="7"/>
  <c r="AG10" i="7"/>
  <c r="G18" i="7"/>
  <c r="B39" i="9" s="1"/>
  <c r="AB10" i="7"/>
  <c r="Q24" i="7"/>
  <c r="M10" i="7" s="1"/>
  <c r="K17" i="7"/>
  <c r="F17" i="7"/>
  <c r="T28" i="6"/>
  <c r="Y27" i="6"/>
  <c r="J31" i="6"/>
  <c r="F31" i="6"/>
  <c r="K61" i="2" l="1"/>
  <c r="K62" i="2"/>
  <c r="A64" i="9"/>
  <c r="E43" i="7"/>
  <c r="Z35" i="7" s="1"/>
  <c r="AA35" i="7"/>
  <c r="AE35" i="7" s="1"/>
  <c r="D44" i="7"/>
  <c r="X30" i="7"/>
  <c r="B21" i="12"/>
  <c r="B54" i="8"/>
  <c r="M25" i="6"/>
  <c r="O25" i="6" s="1"/>
  <c r="P25" i="6" s="1"/>
  <c r="L26" i="6"/>
  <c r="AG11" i="7"/>
  <c r="G19" i="7"/>
  <c r="B40" i="9" s="1"/>
  <c r="AB11" i="7"/>
  <c r="F18" i="7"/>
  <c r="K18" i="7"/>
  <c r="Q25" i="7"/>
  <c r="AC12" i="7"/>
  <c r="AF12" i="7" s="1"/>
  <c r="V13" i="7"/>
  <c r="N28" i="7"/>
  <c r="P28" i="7" s="1"/>
  <c r="M29" i="7"/>
  <c r="T29" i="6"/>
  <c r="Y28" i="6"/>
  <c r="A65" i="9" l="1"/>
  <c r="AA36" i="7"/>
  <c r="AE36" i="7" s="1"/>
  <c r="E44" i="7"/>
  <c r="Z36" i="7" s="1"/>
  <c r="D45" i="7"/>
  <c r="X31" i="7"/>
  <c r="L27" i="6"/>
  <c r="M26" i="6"/>
  <c r="O26" i="6" s="1"/>
  <c r="P26" i="6" s="1"/>
  <c r="B22" i="12"/>
  <c r="B55" i="8"/>
  <c r="V14" i="7"/>
  <c r="AC13" i="7"/>
  <c r="AF13" i="7" s="1"/>
  <c r="Q26" i="7"/>
  <c r="K19" i="7"/>
  <c r="F19" i="7"/>
  <c r="AB12" i="7"/>
  <c r="AG12" i="7"/>
  <c r="G20" i="7"/>
  <c r="B41" i="9" s="1"/>
  <c r="M30" i="7"/>
  <c r="N30" i="7" s="1"/>
  <c r="N29" i="7"/>
  <c r="P29" i="7" s="1"/>
  <c r="Z27" i="6"/>
  <c r="Z24" i="6" s="1"/>
  <c r="Y29" i="6"/>
  <c r="T30" i="6"/>
  <c r="A66" i="9" l="1"/>
  <c r="AA37" i="7"/>
  <c r="AE37" i="7" s="1"/>
  <c r="D46" i="7"/>
  <c r="C45" i="7"/>
  <c r="E45" i="7"/>
  <c r="Z37" i="7" s="1"/>
  <c r="X32" i="7"/>
  <c r="B23" i="12"/>
  <c r="B56" i="8"/>
  <c r="L28" i="6"/>
  <c r="M27" i="6"/>
  <c r="O27" i="6" s="1"/>
  <c r="P27" i="6" s="1"/>
  <c r="AG13" i="7"/>
  <c r="G21" i="7"/>
  <c r="B42" i="9" s="1"/>
  <c r="AB13" i="7"/>
  <c r="M31" i="7"/>
  <c r="P30" i="7"/>
  <c r="AC14" i="7"/>
  <c r="AF14" i="7" s="1"/>
  <c r="V15" i="7"/>
  <c r="Q27" i="7"/>
  <c r="K20" i="7"/>
  <c r="F20" i="7"/>
  <c r="T31" i="6"/>
  <c r="Y30" i="6"/>
  <c r="AA28" i="6"/>
  <c r="AC28" i="6" s="1"/>
  <c r="AA24" i="6"/>
  <c r="AC24" i="6" s="1"/>
  <c r="AA25" i="6"/>
  <c r="AC25" i="6" s="1"/>
  <c r="AA26" i="6"/>
  <c r="AC26" i="6" s="1"/>
  <c r="AA27" i="6"/>
  <c r="AC27" i="6" s="1"/>
  <c r="A67" i="9" l="1"/>
  <c r="D47" i="7"/>
  <c r="E46" i="7"/>
  <c r="Z38" i="7" s="1"/>
  <c r="AA38" i="7"/>
  <c r="AE38" i="7" s="1"/>
  <c r="N31" i="7"/>
  <c r="P31" i="7" s="1"/>
  <c r="X33" i="7"/>
  <c r="L29" i="6"/>
  <c r="M28" i="6"/>
  <c r="O28" i="6" s="1"/>
  <c r="P28" i="6" s="1"/>
  <c r="B57" i="8"/>
  <c r="B24" i="12"/>
  <c r="AC15" i="7"/>
  <c r="AF15" i="7" s="1"/>
  <c r="V16" i="7"/>
  <c r="AG14" i="7"/>
  <c r="G22" i="7"/>
  <c r="B43" i="9" s="1"/>
  <c r="AB14" i="7"/>
  <c r="F21" i="7"/>
  <c r="K21" i="7"/>
  <c r="Q28" i="7"/>
  <c r="AG28" i="6"/>
  <c r="T32" i="6"/>
  <c r="Y31" i="6"/>
  <c r="A68" i="9" l="1"/>
  <c r="E47" i="7"/>
  <c r="Z39" i="7" s="1"/>
  <c r="AA39" i="7"/>
  <c r="AE39" i="7" s="1"/>
  <c r="D48" i="7"/>
  <c r="X34" i="7"/>
  <c r="B25" i="12"/>
  <c r="B59" i="8" s="1"/>
  <c r="B58" i="8"/>
  <c r="L30" i="6"/>
  <c r="M29" i="6"/>
  <c r="O29" i="6" s="1"/>
  <c r="P29" i="6" s="1"/>
  <c r="Q29" i="7"/>
  <c r="K22" i="7"/>
  <c r="F22" i="7"/>
  <c r="AC16" i="7"/>
  <c r="AF16" i="7" s="1"/>
  <c r="V17" i="7"/>
  <c r="AG15" i="7"/>
  <c r="G23" i="7"/>
  <c r="B44" i="9" s="1"/>
  <c r="AB15" i="7"/>
  <c r="T33" i="6"/>
  <c r="Y32" i="6"/>
  <c r="AE25" i="6"/>
  <c r="AD25" i="6" s="1"/>
  <c r="G33" i="6" s="1"/>
  <c r="F22" i="12" s="1"/>
  <c r="B28" i="12" s="1"/>
  <c r="AE26" i="6"/>
  <c r="AD26" i="6" s="1"/>
  <c r="G34" i="6" s="1"/>
  <c r="F23" i="12" s="1"/>
  <c r="B30" i="12" s="1"/>
  <c r="AE27" i="6"/>
  <c r="AD27" i="6" s="1"/>
  <c r="G35" i="6" s="1"/>
  <c r="F24" i="12" s="1"/>
  <c r="B36" i="12" s="1"/>
  <c r="AE28" i="6"/>
  <c r="AD28" i="6" s="1"/>
  <c r="G36" i="6" s="1"/>
  <c r="F25" i="12" s="1"/>
  <c r="B40" i="12" s="1"/>
  <c r="AE24" i="6"/>
  <c r="AD24" i="6" s="1"/>
  <c r="G32" i="6" s="1"/>
  <c r="F21" i="12" s="1"/>
  <c r="B26" i="12" s="1"/>
  <c r="A69" i="9" l="1"/>
  <c r="AA40" i="7"/>
  <c r="AE40" i="7" s="1"/>
  <c r="D49" i="7"/>
  <c r="E48" i="7"/>
  <c r="Z40" i="7" s="1"/>
  <c r="X35" i="7"/>
  <c r="B60" i="8"/>
  <c r="B27" i="12"/>
  <c r="B61" i="8" s="1"/>
  <c r="C20" i="12"/>
  <c r="D20" i="12" s="1"/>
  <c r="B64" i="8"/>
  <c r="C28" i="12"/>
  <c r="D28" i="12" s="1"/>
  <c r="B31" i="12"/>
  <c r="B41" i="12"/>
  <c r="C36" i="12"/>
  <c r="D36" i="12" s="1"/>
  <c r="B74" i="8"/>
  <c r="M30" i="6"/>
  <c r="O30" i="6" s="1"/>
  <c r="P30" i="6" s="1"/>
  <c r="L31" i="6"/>
  <c r="B62" i="8"/>
  <c r="C26" i="12"/>
  <c r="D26" i="12" s="1"/>
  <c r="B29" i="12"/>
  <c r="B63" i="8" s="1"/>
  <c r="B70" i="8"/>
  <c r="C30" i="12"/>
  <c r="D30" i="12" s="1"/>
  <c r="B37" i="12"/>
  <c r="AB16" i="7"/>
  <c r="AG16" i="7"/>
  <c r="G24" i="7"/>
  <c r="B45" i="9" s="1"/>
  <c r="V18" i="7"/>
  <c r="AC18" i="7" s="1"/>
  <c r="AF18" i="7" s="1"/>
  <c r="AC17" i="7"/>
  <c r="AF17" i="7" s="1"/>
  <c r="K23" i="7"/>
  <c r="F23" i="7"/>
  <c r="Q30" i="7"/>
  <c r="F32" i="6"/>
  <c r="J32" i="6"/>
  <c r="J35" i="6"/>
  <c r="F35" i="6"/>
  <c r="J34" i="6"/>
  <c r="F34" i="6"/>
  <c r="J33" i="6"/>
  <c r="F33" i="6"/>
  <c r="T34" i="6"/>
  <c r="Y33" i="6"/>
  <c r="J36" i="6"/>
  <c r="F36" i="6"/>
  <c r="A70" i="9" l="1"/>
  <c r="AA41" i="7"/>
  <c r="AE41" i="7" s="1"/>
  <c r="D50" i="7"/>
  <c r="E49" i="7"/>
  <c r="Z41" i="7" s="1"/>
  <c r="X36" i="7"/>
  <c r="B38" i="12"/>
  <c r="B71" i="8"/>
  <c r="M31" i="6"/>
  <c r="O31" i="6" s="1"/>
  <c r="P31" i="6" s="1"/>
  <c r="L32" i="6"/>
  <c r="M32" i="6" s="1"/>
  <c r="O32" i="6" s="1"/>
  <c r="P32" i="6" s="1"/>
  <c r="B42" i="12"/>
  <c r="B75" i="8"/>
  <c r="B32" i="12"/>
  <c r="B65" i="8"/>
  <c r="G25" i="7"/>
  <c r="B46" i="9" s="1"/>
  <c r="AB17" i="7"/>
  <c r="V19" i="7"/>
  <c r="AC19" i="7" s="1"/>
  <c r="AF19" i="7" s="1"/>
  <c r="Q31" i="7"/>
  <c r="F24" i="7"/>
  <c r="K24" i="7"/>
  <c r="Z32" i="6"/>
  <c r="Z29" i="6" s="1"/>
  <c r="T35" i="6"/>
  <c r="Y34" i="6"/>
  <c r="A71" i="9" l="1"/>
  <c r="AA42" i="7"/>
  <c r="AE42" i="7" s="1"/>
  <c r="E50" i="7"/>
  <c r="Z42" i="7" s="1"/>
  <c r="D51" i="7"/>
  <c r="X37" i="7"/>
  <c r="B43" i="12"/>
  <c r="B76" i="8"/>
  <c r="B33" i="12"/>
  <c r="B66" i="8"/>
  <c r="B39" i="12"/>
  <c r="B73" i="8" s="1"/>
  <c r="B72" i="8"/>
  <c r="AB18" i="7"/>
  <c r="G26" i="7"/>
  <c r="B47" i="9" s="1"/>
  <c r="V20" i="7"/>
  <c r="AC20" i="7" s="1"/>
  <c r="K25" i="7"/>
  <c r="F25" i="7"/>
  <c r="AA29" i="6"/>
  <c r="AC29" i="6" s="1"/>
  <c r="AA33" i="6"/>
  <c r="AC33" i="6" s="1"/>
  <c r="AA30" i="6"/>
  <c r="AC30" i="6" s="1"/>
  <c r="AA31" i="6"/>
  <c r="AC31" i="6" s="1"/>
  <c r="AA32" i="6"/>
  <c r="AC32" i="6" s="1"/>
  <c r="T36" i="6"/>
  <c r="Y35" i="6"/>
  <c r="A72" i="9" l="1"/>
  <c r="E51" i="7"/>
  <c r="Z43" i="7" s="1"/>
  <c r="C51" i="7"/>
  <c r="AA43" i="7"/>
  <c r="AE43" i="7" s="1"/>
  <c r="D52" i="7"/>
  <c r="X38" i="7"/>
  <c r="B67" i="8"/>
  <c r="B34" i="12"/>
  <c r="B44" i="12"/>
  <c r="B77" i="8"/>
  <c r="V21" i="7"/>
  <c r="AC21" i="7" s="1"/>
  <c r="F26" i="7"/>
  <c r="K26" i="7"/>
  <c r="AB19" i="7"/>
  <c r="G27" i="7"/>
  <c r="B48" i="9" s="1"/>
  <c r="T37" i="6"/>
  <c r="Y36" i="6"/>
  <c r="AG33" i="6"/>
  <c r="A73" i="9" l="1"/>
  <c r="D53" i="7"/>
  <c r="E52" i="7"/>
  <c r="Z44" i="7" s="1"/>
  <c r="AA44" i="7"/>
  <c r="AE44" i="7" s="1"/>
  <c r="X39" i="7"/>
  <c r="X40" i="7" s="1"/>
  <c r="X41" i="7" s="1"/>
  <c r="X42" i="7" s="1"/>
  <c r="X43" i="7" s="1"/>
  <c r="X44" i="7" s="1"/>
  <c r="X45" i="7" s="1"/>
  <c r="X46" i="7" s="1"/>
  <c r="X47" i="7" s="1"/>
  <c r="X48" i="7" s="1"/>
  <c r="X49" i="7" s="1"/>
  <c r="X50" i="7" s="1"/>
  <c r="X51" i="7" s="1"/>
  <c r="X52" i="7" s="1"/>
  <c r="X53" i="7" s="1"/>
  <c r="X54" i="7" s="1"/>
  <c r="X55" i="7" s="1"/>
  <c r="X56" i="7" s="1"/>
  <c r="X57" i="7" s="1"/>
  <c r="X58" i="7" s="1"/>
  <c r="X59" i="7" s="1"/>
  <c r="X60" i="7" s="1"/>
  <c r="X61" i="7" s="1"/>
  <c r="X62" i="7" s="1"/>
  <c r="X63" i="7" s="1"/>
  <c r="X64" i="7" s="1"/>
  <c r="X65" i="7" s="1"/>
  <c r="X66" i="7" s="1"/>
  <c r="X67" i="7" s="1"/>
  <c r="X68" i="7" s="1"/>
  <c r="X69" i="7" s="1"/>
  <c r="X70" i="7" s="1"/>
  <c r="X71" i="7" s="1"/>
  <c r="X72" i="7" s="1"/>
  <c r="X73" i="7" s="1"/>
  <c r="X74" i="7" s="1"/>
  <c r="X75" i="7" s="1"/>
  <c r="X76" i="7" s="1"/>
  <c r="X77" i="7" s="1"/>
  <c r="X78" i="7" s="1"/>
  <c r="X79" i="7" s="1"/>
  <c r="X80" i="7" s="1"/>
  <c r="X81" i="7" s="1"/>
  <c r="X82" i="7" s="1"/>
  <c r="X83" i="7" s="1"/>
  <c r="B45" i="12"/>
  <c r="B79" i="8" s="1"/>
  <c r="B78" i="8"/>
  <c r="B68" i="8"/>
  <c r="B35" i="12"/>
  <c r="B69" i="8" s="1"/>
  <c r="K27" i="7"/>
  <c r="F27" i="7"/>
  <c r="AF20" i="7"/>
  <c r="G28" i="7" s="1"/>
  <c r="B49" i="9" s="1"/>
  <c r="AB20" i="7"/>
  <c r="V22" i="7"/>
  <c r="AC22" i="7" s="1"/>
  <c r="AE30" i="6"/>
  <c r="AD30" i="6" s="1"/>
  <c r="G38" i="6" s="1"/>
  <c r="F27" i="12" s="1"/>
  <c r="B48" i="12" s="1"/>
  <c r="AE31" i="6"/>
  <c r="AD31" i="6" s="1"/>
  <c r="G39" i="6" s="1"/>
  <c r="F28" i="12" s="1"/>
  <c r="B50" i="12" s="1"/>
  <c r="AE32" i="6"/>
  <c r="AD32" i="6" s="1"/>
  <c r="G40" i="6" s="1"/>
  <c r="F29" i="12" s="1"/>
  <c r="B56" i="12" s="1"/>
  <c r="AE29" i="6"/>
  <c r="AD29" i="6" s="1"/>
  <c r="G37" i="6" s="1"/>
  <c r="F26" i="12" s="1"/>
  <c r="B46" i="12" s="1"/>
  <c r="AE33" i="6"/>
  <c r="AD33" i="6" s="1"/>
  <c r="G41" i="6" s="1"/>
  <c r="T38" i="6"/>
  <c r="Y37" i="6"/>
  <c r="A74" i="9" l="1"/>
  <c r="D54" i="7"/>
  <c r="AA45" i="7"/>
  <c r="AE45" i="7" s="1"/>
  <c r="E53" i="7"/>
  <c r="Z45" i="7" s="1"/>
  <c r="P1" i="7"/>
  <c r="F30" i="12"/>
  <c r="B60" i="12" s="1"/>
  <c r="B90" i="8"/>
  <c r="B57" i="12"/>
  <c r="C50" i="12"/>
  <c r="D50" i="12" s="1"/>
  <c r="B84" i="8"/>
  <c r="B51" i="12"/>
  <c r="C48" i="12"/>
  <c r="D48" i="12" s="1"/>
  <c r="B80" i="8"/>
  <c r="C40" i="12"/>
  <c r="D40" i="12" s="1"/>
  <c r="B47" i="12"/>
  <c r="B81" i="8" s="1"/>
  <c r="B82" i="8"/>
  <c r="B49" i="12"/>
  <c r="B83" i="8" s="1"/>
  <c r="C46" i="12"/>
  <c r="D46" i="12" s="1"/>
  <c r="K28" i="7"/>
  <c r="F28" i="7"/>
  <c r="V23" i="7"/>
  <c r="AC23" i="7" s="1"/>
  <c r="AF21" i="7"/>
  <c r="G29" i="7" s="1"/>
  <c r="B50" i="9" s="1"/>
  <c r="AB21" i="7"/>
  <c r="J37" i="6"/>
  <c r="F37" i="6"/>
  <c r="J40" i="6"/>
  <c r="F40" i="6"/>
  <c r="T39" i="6"/>
  <c r="Y38" i="6"/>
  <c r="F39" i="6"/>
  <c r="J39" i="6"/>
  <c r="J41" i="6"/>
  <c r="F41" i="6"/>
  <c r="J38" i="6"/>
  <c r="F38" i="6"/>
  <c r="A75" i="9" l="1"/>
  <c r="D55" i="7"/>
  <c r="AA46" i="7"/>
  <c r="AE46" i="7" s="1"/>
  <c r="E54" i="7"/>
  <c r="Z46" i="7" s="1"/>
  <c r="B58" i="12"/>
  <c r="B91" i="8"/>
  <c r="B52" i="12"/>
  <c r="B85" i="8"/>
  <c r="B94" i="8"/>
  <c r="C56" i="12"/>
  <c r="D56" i="12" s="1"/>
  <c r="B61" i="12"/>
  <c r="AB22" i="7"/>
  <c r="AF22" i="7"/>
  <c r="G30" i="7" s="1"/>
  <c r="B51" i="9" s="1"/>
  <c r="K29" i="7"/>
  <c r="F29" i="7"/>
  <c r="V24" i="7"/>
  <c r="AC24" i="7" s="1"/>
  <c r="Y39" i="6"/>
  <c r="T40" i="6"/>
  <c r="Z37" i="6"/>
  <c r="Z34" i="6" s="1"/>
  <c r="A76" i="9" l="1"/>
  <c r="AA47" i="7"/>
  <c r="AE47" i="7" s="1"/>
  <c r="D56" i="7"/>
  <c r="E55" i="7"/>
  <c r="Z47" i="7" s="1"/>
  <c r="B62" i="12"/>
  <c r="B95" i="8"/>
  <c r="B53" i="12"/>
  <c r="B86" i="8"/>
  <c r="B59" i="12"/>
  <c r="B93" i="8" s="1"/>
  <c r="B92" i="8"/>
  <c r="V25" i="7"/>
  <c r="AC25" i="7" s="1"/>
  <c r="AF23" i="7"/>
  <c r="G31" i="7" s="1"/>
  <c r="B52" i="9" s="1"/>
  <c r="AB23" i="7"/>
  <c r="K30" i="7"/>
  <c r="F30" i="7"/>
  <c r="AA36" i="6"/>
  <c r="AC36" i="6" s="1"/>
  <c r="AA38" i="6"/>
  <c r="AC38" i="6" s="1"/>
  <c r="AA35" i="6"/>
  <c r="AC35" i="6" s="1"/>
  <c r="AA34" i="6"/>
  <c r="AC34" i="6" s="1"/>
  <c r="AA37" i="6"/>
  <c r="AC37" i="6" s="1"/>
  <c r="T41" i="6"/>
  <c r="Y40" i="6"/>
  <c r="A77" i="9" l="1"/>
  <c r="AA48" i="7"/>
  <c r="AE48" i="7" s="1"/>
  <c r="D57" i="7"/>
  <c r="E56" i="7"/>
  <c r="Z48" i="7" s="1"/>
  <c r="C56" i="7"/>
  <c r="B54" i="12"/>
  <c r="B87" i="8"/>
  <c r="B63" i="12"/>
  <c r="B96" i="8"/>
  <c r="K31" i="7"/>
  <c r="F31" i="7"/>
  <c r="V26" i="7"/>
  <c r="AC26" i="7" s="1"/>
  <c r="AF24" i="7"/>
  <c r="G32" i="7" s="1"/>
  <c r="B53" i="9" s="1"/>
  <c r="AB24" i="7"/>
  <c r="Y41" i="6"/>
  <c r="T42" i="6"/>
  <c r="AG38" i="6"/>
  <c r="A78" i="9" l="1"/>
  <c r="AA49" i="7"/>
  <c r="AE49" i="7" s="1"/>
  <c r="E57" i="7"/>
  <c r="Z49" i="7" s="1"/>
  <c r="D58" i="7"/>
  <c r="B97" i="8"/>
  <c r="B64" i="12"/>
  <c r="B88" i="8"/>
  <c r="B55" i="12"/>
  <c r="B89" i="8" s="1"/>
  <c r="K32" i="7"/>
  <c r="F32" i="7"/>
  <c r="AB25" i="7"/>
  <c r="AF25" i="7"/>
  <c r="G33" i="7" s="1"/>
  <c r="B54" i="9" s="1"/>
  <c r="V27" i="7"/>
  <c r="AC27" i="7" s="1"/>
  <c r="AE36" i="6"/>
  <c r="AD36" i="6" s="1"/>
  <c r="G44" i="6" s="1"/>
  <c r="F65" i="12" s="1"/>
  <c r="B70" i="12" s="1"/>
  <c r="AE38" i="6"/>
  <c r="AD38" i="6" s="1"/>
  <c r="G46" i="6" s="1"/>
  <c r="AE35" i="6"/>
  <c r="AD35" i="6" s="1"/>
  <c r="G43" i="6" s="1"/>
  <c r="F64" i="12" s="1"/>
  <c r="B68" i="12" s="1"/>
  <c r="AE34" i="6"/>
  <c r="AD34" i="6" s="1"/>
  <c r="G42" i="6" s="1"/>
  <c r="F63" i="12" s="1"/>
  <c r="B66" i="12" s="1"/>
  <c r="AE37" i="6"/>
  <c r="AD37" i="6" s="1"/>
  <c r="G45" i="6" s="1"/>
  <c r="F66" i="12" s="1"/>
  <c r="B76" i="12" s="1"/>
  <c r="T43" i="6"/>
  <c r="Y43" i="6" s="1"/>
  <c r="Y42" i="6"/>
  <c r="A79" i="9" l="1"/>
  <c r="E58" i="7"/>
  <c r="Z50" i="7" s="1"/>
  <c r="D59" i="7"/>
  <c r="AA50" i="7"/>
  <c r="AE50" i="7" s="1"/>
  <c r="B102" i="8"/>
  <c r="B69" i="12"/>
  <c r="B103" i="8" s="1"/>
  <c r="C66" i="12"/>
  <c r="D66" i="12" s="1"/>
  <c r="B77" i="12"/>
  <c r="B110" i="8"/>
  <c r="C70" i="12"/>
  <c r="D70" i="12" s="1"/>
  <c r="B4" i="5"/>
  <c r="B7" i="5" s="1"/>
  <c r="B8" i="5" s="1"/>
  <c r="F67" i="12"/>
  <c r="B80" i="12" s="1"/>
  <c r="B65" i="12"/>
  <c r="B99" i="8" s="1"/>
  <c r="B98" i="8"/>
  <c r="C60" i="12"/>
  <c r="D60" i="12" s="1"/>
  <c r="B67" i="12"/>
  <c r="B101" i="8" s="1"/>
  <c r="B100" i="8"/>
  <c r="B104" i="8"/>
  <c r="B71" i="12"/>
  <c r="C68" i="12"/>
  <c r="D68" i="12" s="1"/>
  <c r="AB26" i="7"/>
  <c r="AF26" i="7"/>
  <c r="G34" i="7" s="1"/>
  <c r="B55" i="9" s="1"/>
  <c r="V28" i="7"/>
  <c r="AC28" i="7" s="1"/>
  <c r="K33" i="7"/>
  <c r="F33" i="7"/>
  <c r="Z42" i="6"/>
  <c r="Z39" i="6" s="1"/>
  <c r="F45" i="6"/>
  <c r="J45" i="6"/>
  <c r="F42" i="6"/>
  <c r="J42" i="6"/>
  <c r="J43" i="6"/>
  <c r="F43" i="6"/>
  <c r="J46" i="6"/>
  <c r="F46" i="6"/>
  <c r="J44" i="6"/>
  <c r="F44" i="6"/>
  <c r="A80" i="9" l="1"/>
  <c r="E59" i="7"/>
  <c r="Z51" i="7" s="1"/>
  <c r="D60" i="7"/>
  <c r="AA51" i="7"/>
  <c r="AE51" i="7" s="1"/>
  <c r="B11" i="5"/>
  <c r="B14" i="5"/>
  <c r="B114" i="8"/>
  <c r="C76" i="12"/>
  <c r="D76" i="12" s="1"/>
  <c r="B81" i="12"/>
  <c r="C27" i="2"/>
  <c r="D27" i="2" s="1"/>
  <c r="B78" i="12"/>
  <c r="B111" i="8"/>
  <c r="B72" i="12"/>
  <c r="B105" i="8"/>
  <c r="AB27" i="7"/>
  <c r="AF27" i="7"/>
  <c r="G35" i="7" s="1"/>
  <c r="B56" i="9" s="1"/>
  <c r="V29" i="7"/>
  <c r="AC29" i="7" s="1"/>
  <c r="K34" i="7"/>
  <c r="F34" i="7"/>
  <c r="AA39" i="6"/>
  <c r="AC39" i="6" s="1"/>
  <c r="AA42" i="6"/>
  <c r="AC42" i="6" s="1"/>
  <c r="AA41" i="6"/>
  <c r="AC41" i="6" s="1"/>
  <c r="AA43" i="6"/>
  <c r="AC43" i="6" s="1"/>
  <c r="AG43" i="6" s="1"/>
  <c r="AA40" i="6"/>
  <c r="AC40" i="6" s="1"/>
  <c r="A81" i="9" l="1"/>
  <c r="AA52" i="7"/>
  <c r="AE52" i="7" s="1"/>
  <c r="E60" i="7"/>
  <c r="Z52" i="7" s="1"/>
  <c r="D61" i="7"/>
  <c r="B82" i="12"/>
  <c r="B115" i="8"/>
  <c r="B73" i="12"/>
  <c r="B106" i="8"/>
  <c r="B79" i="12"/>
  <c r="B113" i="8" s="1"/>
  <c r="B112" i="8"/>
  <c r="F35" i="7"/>
  <c r="K35" i="7"/>
  <c r="R1" i="7"/>
  <c r="M1" i="7" s="1"/>
  <c r="V30" i="7"/>
  <c r="AC30" i="7" s="1"/>
  <c r="AF28" i="7"/>
  <c r="G36" i="7" s="1"/>
  <c r="B57" i="9" s="1"/>
  <c r="AB28" i="7"/>
  <c r="AE41" i="6"/>
  <c r="AD41" i="6" s="1"/>
  <c r="G49" i="6" s="1"/>
  <c r="F70" i="12" s="1"/>
  <c r="B90" i="12" s="1"/>
  <c r="AE43" i="6"/>
  <c r="AD43" i="6" s="1"/>
  <c r="G51" i="6" s="1"/>
  <c r="F72" i="12" s="1"/>
  <c r="B100" i="12" s="1"/>
  <c r="AE40" i="6"/>
  <c r="AD40" i="6" s="1"/>
  <c r="G48" i="6" s="1"/>
  <c r="F69" i="12" s="1"/>
  <c r="B88" i="12" s="1"/>
  <c r="AE39" i="6"/>
  <c r="AD39" i="6" s="1"/>
  <c r="G47" i="6" s="1"/>
  <c r="F68" i="12" s="1"/>
  <c r="B86" i="12" s="1"/>
  <c r="AE42" i="6"/>
  <c r="AD42" i="6" s="1"/>
  <c r="G50" i="6" s="1"/>
  <c r="F71" i="12" s="1"/>
  <c r="B96" i="12" s="1"/>
  <c r="A82" i="9" l="1"/>
  <c r="E61" i="7"/>
  <c r="Z53" i="7" s="1"/>
  <c r="C61" i="7"/>
  <c r="AA53" i="7"/>
  <c r="AE53" i="7" s="1"/>
  <c r="D62" i="7"/>
  <c r="V31" i="7"/>
  <c r="AC31" i="7" s="1"/>
  <c r="B130" i="8"/>
  <c r="C90" i="12"/>
  <c r="D90" i="12" s="1"/>
  <c r="B97" i="12"/>
  <c r="B120" i="8"/>
  <c r="C80" i="12"/>
  <c r="D80" i="12" s="1"/>
  <c r="B87" i="12"/>
  <c r="B121" i="8" s="1"/>
  <c r="B134" i="8"/>
  <c r="C96" i="12"/>
  <c r="D96" i="12" s="1"/>
  <c r="B74" i="12"/>
  <c r="B107" i="8"/>
  <c r="B122" i="8"/>
  <c r="B89" i="12"/>
  <c r="B123" i="8" s="1"/>
  <c r="C86" i="12"/>
  <c r="D86" i="12" s="1"/>
  <c r="C88" i="12"/>
  <c r="D88" i="12" s="1"/>
  <c r="B91" i="12"/>
  <c r="B124" i="8"/>
  <c r="B116" i="8"/>
  <c r="B83" i="12"/>
  <c r="K36" i="7"/>
  <c r="F36" i="7"/>
  <c r="AB29" i="7"/>
  <c r="AF29" i="7"/>
  <c r="G37" i="7" s="1"/>
  <c r="B58" i="9" s="1"/>
  <c r="F50" i="6"/>
  <c r="J50" i="6"/>
  <c r="J47" i="6"/>
  <c r="F47" i="6"/>
  <c r="J48" i="6"/>
  <c r="F48" i="6"/>
  <c r="J51" i="6"/>
  <c r="F51" i="6"/>
  <c r="J49" i="6"/>
  <c r="F49" i="6"/>
  <c r="A83" i="9" l="1"/>
  <c r="E62" i="7"/>
  <c r="Z54" i="7" s="1"/>
  <c r="AA54" i="7"/>
  <c r="AE54" i="7" s="1"/>
  <c r="D63" i="7"/>
  <c r="B75" i="12"/>
  <c r="B109" i="8" s="1"/>
  <c r="B108" i="8"/>
  <c r="B84" i="12"/>
  <c r="B117" i="8"/>
  <c r="B98" i="12"/>
  <c r="B131" i="8"/>
  <c r="B92" i="12"/>
  <c r="B125" i="8"/>
  <c r="V32" i="7"/>
  <c r="AC32" i="7" s="1"/>
  <c r="AB30" i="7"/>
  <c r="AF30" i="7"/>
  <c r="G38" i="7" s="1"/>
  <c r="B59" i="9" s="1"/>
  <c r="K37" i="7"/>
  <c r="F37" i="7"/>
  <c r="A84" i="9" l="1"/>
  <c r="D64" i="7"/>
  <c r="E63" i="7"/>
  <c r="Z55" i="7" s="1"/>
  <c r="AA55" i="7"/>
  <c r="AE55" i="7" s="1"/>
  <c r="B85" i="12"/>
  <c r="B119" i="8" s="1"/>
  <c r="B118" i="8"/>
  <c r="B93" i="12"/>
  <c r="B126" i="8"/>
  <c r="V33" i="7"/>
  <c r="AC33" i="7" s="1"/>
  <c r="B99" i="12"/>
  <c r="B133" i="8" s="1"/>
  <c r="B132" i="8"/>
  <c r="K38" i="7"/>
  <c r="F38" i="7"/>
  <c r="AF31" i="7"/>
  <c r="G39" i="7" s="1"/>
  <c r="B60" i="9" s="1"/>
  <c r="AB31" i="7"/>
  <c r="A85" i="9" l="1"/>
  <c r="E64" i="7"/>
  <c r="Z56" i="7" s="1"/>
  <c r="D65" i="7"/>
  <c r="AA56" i="7"/>
  <c r="AE56" i="7" s="1"/>
  <c r="B94" i="12"/>
  <c r="B127" i="8"/>
  <c r="V34" i="7"/>
  <c r="AC34" i="7" s="1"/>
  <c r="AC35" i="7" s="1"/>
  <c r="AC36" i="7" s="1"/>
  <c r="AC37" i="7" s="1"/>
  <c r="AC38" i="7" s="1"/>
  <c r="AB32" i="7"/>
  <c r="AF32" i="7"/>
  <c r="G40" i="7" s="1"/>
  <c r="B61" i="9" s="1"/>
  <c r="F39" i="7"/>
  <c r="K39" i="7"/>
  <c r="A86" i="9" l="1"/>
  <c r="D66" i="7"/>
  <c r="E65" i="7"/>
  <c r="Z57" i="7" s="1"/>
  <c r="AA57" i="7"/>
  <c r="AE57" i="7" s="1"/>
  <c r="V35" i="7"/>
  <c r="B95" i="12"/>
  <c r="B129" i="8" s="1"/>
  <c r="B128" i="8"/>
  <c r="K40" i="7"/>
  <c r="F40" i="7"/>
  <c r="AB33" i="7"/>
  <c r="AF33" i="7"/>
  <c r="G41" i="7" s="1"/>
  <c r="B62" i="9" s="1"/>
  <c r="A87" i="9" l="1"/>
  <c r="AA58" i="7"/>
  <c r="AE58" i="7" s="1"/>
  <c r="C66" i="7"/>
  <c r="E66" i="7"/>
  <c r="Z58" i="7" s="1"/>
  <c r="D67" i="7"/>
  <c r="V36" i="7"/>
  <c r="AF34" i="7"/>
  <c r="G42" i="7" s="1"/>
  <c r="B63" i="9" s="1"/>
  <c r="AB34" i="7"/>
  <c r="K41" i="7"/>
  <c r="F41" i="7"/>
  <c r="A88" i="9" l="1"/>
  <c r="AA59" i="7"/>
  <c r="AE59" i="7" s="1"/>
  <c r="D68" i="7"/>
  <c r="E67" i="7"/>
  <c r="Z59" i="7" s="1"/>
  <c r="V37" i="7"/>
  <c r="AF35" i="7"/>
  <c r="G43" i="7" s="1"/>
  <c r="B64" i="9" s="1"/>
  <c r="AB35" i="7"/>
  <c r="K42" i="7"/>
  <c r="F42" i="7"/>
  <c r="A89" i="9" l="1"/>
  <c r="D69" i="7"/>
  <c r="AA60" i="7"/>
  <c r="AE60" i="7" s="1"/>
  <c r="E68" i="7"/>
  <c r="Z60" i="7" s="1"/>
  <c r="V38" i="7"/>
  <c r="AC39" i="7" s="1"/>
  <c r="AC40" i="7" s="1"/>
  <c r="F43" i="7"/>
  <c r="K43" i="7"/>
  <c r="AB36" i="7"/>
  <c r="AF36" i="7"/>
  <c r="G44" i="7" s="1"/>
  <c r="B65" i="9" s="1"/>
  <c r="A90" i="9" l="1"/>
  <c r="D70" i="7"/>
  <c r="AA61" i="7"/>
  <c r="AE61" i="7" s="1"/>
  <c r="E69" i="7"/>
  <c r="Z61" i="7" s="1"/>
  <c r="V39" i="7"/>
  <c r="K44" i="7"/>
  <c r="F44" i="7"/>
  <c r="AB37" i="7"/>
  <c r="AF37" i="7"/>
  <c r="G45" i="7" s="1"/>
  <c r="B66" i="9" s="1"/>
  <c r="A91" i="9" l="1"/>
  <c r="D71" i="7"/>
  <c r="AA62" i="7"/>
  <c r="AE62" i="7" s="1"/>
  <c r="E70" i="7"/>
  <c r="Z62" i="7" s="1"/>
  <c r="V40" i="7"/>
  <c r="K45" i="7"/>
  <c r="F45" i="7"/>
  <c r="AF38" i="7"/>
  <c r="G46" i="7" s="1"/>
  <c r="B67" i="9" s="1"/>
  <c r="AB38" i="7"/>
  <c r="V41" i="7" l="1"/>
  <c r="V42" i="7" s="1"/>
  <c r="V43" i="7" s="1"/>
  <c r="V44" i="7" s="1"/>
  <c r="V45" i="7" s="1"/>
  <c r="V46" i="7" s="1"/>
  <c r="V47" i="7" s="1"/>
  <c r="V48" i="7" s="1"/>
  <c r="V49" i="7" s="1"/>
  <c r="V50" i="7" s="1"/>
  <c r="V51" i="7" s="1"/>
  <c r="V52" i="7" s="1"/>
  <c r="V53" i="7" s="1"/>
  <c r="V54" i="7" s="1"/>
  <c r="V55" i="7" s="1"/>
  <c r="V56" i="7" s="1"/>
  <c r="V57" i="7" s="1"/>
  <c r="V58" i="7" s="1"/>
  <c r="V59" i="7" s="1"/>
  <c r="V60" i="7" s="1"/>
  <c r="V61" i="7" s="1"/>
  <c r="V62" i="7" s="1"/>
  <c r="V63" i="7" s="1"/>
  <c r="V64" i="7" s="1"/>
  <c r="V65" i="7" s="1"/>
  <c r="V66" i="7" s="1"/>
  <c r="V67" i="7" s="1"/>
  <c r="V68" i="7" s="1"/>
  <c r="V69" i="7" s="1"/>
  <c r="AC41" i="7"/>
  <c r="AC42" i="7" s="1"/>
  <c r="AC43" i="7" s="1"/>
  <c r="AC44" i="7" s="1"/>
  <c r="AC45" i="7" s="1"/>
  <c r="AC46" i="7" s="1"/>
  <c r="A92" i="9"/>
  <c r="C71" i="7"/>
  <c r="AA63" i="7"/>
  <c r="AE63" i="7" s="1"/>
  <c r="D72" i="7"/>
  <c r="E71" i="7"/>
  <c r="Z63" i="7" s="1"/>
  <c r="K46" i="7"/>
  <c r="F46" i="7"/>
  <c r="AF39" i="7"/>
  <c r="G47" i="7" s="1"/>
  <c r="B68" i="9" s="1"/>
  <c r="AB39" i="7"/>
  <c r="A93" i="9" l="1"/>
  <c r="E72" i="7"/>
  <c r="Z64" i="7" s="1"/>
  <c r="AA64" i="7"/>
  <c r="AE64" i="7" s="1"/>
  <c r="D73" i="7"/>
  <c r="AB40" i="7"/>
  <c r="AF40" i="7"/>
  <c r="G48" i="7" s="1"/>
  <c r="K47" i="7"/>
  <c r="F47" i="7"/>
  <c r="A94" i="9" l="1"/>
  <c r="AA65" i="7"/>
  <c r="AE65" i="7" s="1"/>
  <c r="E73" i="7"/>
  <c r="Z65" i="7" s="1"/>
  <c r="D74" i="7"/>
  <c r="F48" i="7"/>
  <c r="B69" i="9"/>
  <c r="AB41" i="7"/>
  <c r="AF41" i="7"/>
  <c r="G49" i="7" s="1"/>
  <c r="A95" i="9" l="1"/>
  <c r="E74" i="7"/>
  <c r="Z66" i="7" s="1"/>
  <c r="D75" i="7"/>
  <c r="AA66" i="7"/>
  <c r="AE66" i="7" s="1"/>
  <c r="F49" i="7"/>
  <c r="B70" i="9"/>
  <c r="AF42" i="7"/>
  <c r="G50" i="7" s="1"/>
  <c r="AB42" i="7"/>
  <c r="A96" i="9" l="1"/>
  <c r="AA67" i="7"/>
  <c r="AE67" i="7" s="1"/>
  <c r="D76" i="7"/>
  <c r="E75" i="7"/>
  <c r="Z67" i="7" s="1"/>
  <c r="F50" i="7"/>
  <c r="B71" i="9"/>
  <c r="AF43" i="7"/>
  <c r="G51" i="7" s="1"/>
  <c r="AB43" i="7"/>
  <c r="A97" i="9" l="1"/>
  <c r="D77" i="7"/>
  <c r="E76" i="7"/>
  <c r="Z68" i="7" s="1"/>
  <c r="AA68" i="7"/>
  <c r="AE68" i="7" s="1"/>
  <c r="F51" i="7"/>
  <c r="B72" i="9"/>
  <c r="AB44" i="7"/>
  <c r="AF44" i="7"/>
  <c r="G52" i="7" s="1"/>
  <c r="A32" i="10" l="1"/>
  <c r="A98" i="9"/>
  <c r="C77" i="7"/>
  <c r="AA69" i="7"/>
  <c r="AE69" i="7" s="1"/>
  <c r="E77" i="7"/>
  <c r="Z69" i="7" s="1"/>
  <c r="F52" i="7"/>
  <c r="B73" i="9"/>
  <c r="AB45" i="7"/>
  <c r="AF45" i="7"/>
  <c r="G53" i="7" s="1"/>
  <c r="A56" i="10" l="1"/>
  <c r="A40" i="10"/>
  <c r="A39" i="10"/>
  <c r="A34" i="10"/>
  <c r="A33" i="10"/>
  <c r="A52" i="10"/>
  <c r="A51" i="10"/>
  <c r="A46" i="10"/>
  <c r="A45" i="10"/>
  <c r="A35" i="10"/>
  <c r="A41" i="10"/>
  <c r="A53" i="10"/>
  <c r="A47" i="10"/>
  <c r="A36" i="10"/>
  <c r="A42" i="10"/>
  <c r="A48" i="10"/>
  <c r="A54" i="10"/>
  <c r="A37" i="10"/>
  <c r="A50" i="10"/>
  <c r="A43" i="10"/>
  <c r="A49" i="10"/>
  <c r="A55" i="10"/>
  <c r="A38" i="10"/>
  <c r="A44" i="10"/>
  <c r="F53" i="7"/>
  <c r="B74" i="9"/>
  <c r="AC47" i="7"/>
  <c r="AF46" i="7"/>
  <c r="G54" i="7" s="1"/>
  <c r="AB46" i="7"/>
  <c r="F54" i="7" l="1"/>
  <c r="B75" i="9"/>
  <c r="AB47" i="7"/>
  <c r="AC48" i="7"/>
  <c r="AF47" i="7"/>
  <c r="G55" i="7" s="1"/>
  <c r="F55" i="7" l="1"/>
  <c r="B76" i="9"/>
  <c r="AB48" i="7"/>
  <c r="AC49" i="7"/>
  <c r="AF48" i="7"/>
  <c r="G56" i="7" s="1"/>
  <c r="F56" i="7" l="1"/>
  <c r="B77" i="9"/>
  <c r="AF49" i="7"/>
  <c r="G57" i="7" s="1"/>
  <c r="AB49" i="7"/>
  <c r="AC50" i="7"/>
  <c r="F57" i="7" l="1"/>
  <c r="B78" i="9"/>
  <c r="AC51" i="7"/>
  <c r="AF50" i="7"/>
  <c r="G58" i="7" s="1"/>
  <c r="AB50" i="7"/>
  <c r="F58" i="7" l="1"/>
  <c r="B79" i="9"/>
  <c r="AC52" i="7"/>
  <c r="AF51" i="7"/>
  <c r="G59" i="7" s="1"/>
  <c r="AB51" i="7"/>
  <c r="F59" i="7" l="1"/>
  <c r="B80" i="9"/>
  <c r="AC53" i="7"/>
  <c r="AF52" i="7"/>
  <c r="G60" i="7" s="1"/>
  <c r="AB52" i="7"/>
  <c r="F60" i="7" l="1"/>
  <c r="B81" i="9"/>
  <c r="AB53" i="7"/>
  <c r="AF53" i="7"/>
  <c r="G61" i="7" s="1"/>
  <c r="AC54" i="7"/>
  <c r="F61" i="7" l="1"/>
  <c r="B82" i="9"/>
  <c r="AB54" i="7"/>
  <c r="AF54" i="7"/>
  <c r="G62" i="7" s="1"/>
  <c r="AC55" i="7"/>
  <c r="F62" i="7" l="1"/>
  <c r="F63" i="7" s="1"/>
  <c r="F64" i="7" s="1"/>
  <c r="F65" i="7" s="1"/>
  <c r="F66" i="7" s="1"/>
  <c r="F67" i="7" s="1"/>
  <c r="F68" i="7" s="1"/>
  <c r="F69" i="7" s="1"/>
  <c r="F70" i="7" s="1"/>
  <c r="F71" i="7" s="1"/>
  <c r="F72" i="7" s="1"/>
  <c r="F73" i="7" s="1"/>
  <c r="F74" i="7" s="1"/>
  <c r="F75" i="7" s="1"/>
  <c r="F76" i="7" s="1"/>
  <c r="F77" i="7" s="1"/>
  <c r="G8" i="7" s="1"/>
  <c r="K9" i="7" s="1"/>
  <c r="K10" i="7" s="1"/>
  <c r="L10" i="7" s="1"/>
  <c r="B83" i="9"/>
  <c r="AF55" i="7"/>
  <c r="G63" i="7" s="1"/>
  <c r="B84" i="9" s="1"/>
  <c r="AB55" i="7"/>
  <c r="AC56" i="7"/>
  <c r="P2" i="7" l="1"/>
  <c r="AC57" i="7"/>
  <c r="AF56" i="7"/>
  <c r="G64" i="7" s="1"/>
  <c r="B85" i="9" s="1"/>
  <c r="AB56" i="7"/>
  <c r="AC58" i="7" l="1"/>
  <c r="AF57" i="7"/>
  <c r="G65" i="7" s="1"/>
  <c r="B86" i="9" s="1"/>
  <c r="AB57" i="7"/>
  <c r="AB58" i="7" l="1"/>
  <c r="AF58" i="7"/>
  <c r="G66" i="7" s="1"/>
  <c r="B87" i="9" s="1"/>
  <c r="AC59" i="7"/>
  <c r="AB59" i="7" l="1"/>
  <c r="AF59" i="7"/>
  <c r="G67" i="7" s="1"/>
  <c r="B88" i="9" s="1"/>
  <c r="AC60" i="7"/>
  <c r="AC61" i="7" l="1"/>
  <c r="AF60" i="7"/>
  <c r="G68" i="7" s="1"/>
  <c r="B89" i="9" s="1"/>
  <c r="AB60" i="7"/>
  <c r="AC62" i="7" l="1"/>
  <c r="AF61" i="7"/>
  <c r="G69" i="7" s="1"/>
  <c r="B90" i="9" s="1"/>
  <c r="AB61" i="7"/>
  <c r="AC63" i="7" l="1"/>
  <c r="AF62" i="7"/>
  <c r="G70" i="7" s="1"/>
  <c r="B91" i="9" s="1"/>
  <c r="AB62" i="7"/>
  <c r="AC64" i="7" l="1"/>
  <c r="AF63" i="7"/>
  <c r="G71" i="7" s="1"/>
  <c r="B92" i="9" s="1"/>
  <c r="AB63" i="7"/>
  <c r="AC65" i="7" l="1"/>
  <c r="AF64" i="7"/>
  <c r="G72" i="7" s="1"/>
  <c r="B93" i="9" s="1"/>
  <c r="AB64" i="7"/>
  <c r="AF65" i="7" l="1"/>
  <c r="G73" i="7" s="1"/>
  <c r="B94" i="9" s="1"/>
  <c r="AB65" i="7"/>
  <c r="AC66" i="7"/>
  <c r="AB66" i="7" l="1"/>
  <c r="AC67" i="7"/>
  <c r="AF66" i="7"/>
  <c r="G74" i="7" s="1"/>
  <c r="B95" i="9" s="1"/>
  <c r="AC68" i="7" l="1"/>
  <c r="AF67" i="7"/>
  <c r="G75" i="7" s="1"/>
  <c r="B96" i="9" s="1"/>
  <c r="AB67" i="7"/>
  <c r="AC69" i="7" l="1"/>
  <c r="AF68" i="7"/>
  <c r="G76" i="7" s="1"/>
  <c r="B97" i="9" s="1"/>
  <c r="AB68" i="7"/>
  <c r="AB69" i="7" l="1"/>
  <c r="AD3" i="7" s="1"/>
  <c r="AF69" i="7"/>
  <c r="AD4" i="7"/>
  <c r="G77" i="7" l="1"/>
  <c r="D110" i="7" s="1"/>
  <c r="AD5" i="7"/>
  <c r="D111" i="7" l="1"/>
  <c r="D112" i="7" s="1"/>
  <c r="B98" i="9"/>
  <c r="B32" i="10"/>
  <c r="H111" i="7" l="1"/>
  <c r="D113" i="7"/>
  <c r="H112" i="7"/>
  <c r="H113" i="7" l="1"/>
  <c r="D114" i="7"/>
  <c r="J112" i="7"/>
  <c r="D115" i="7" l="1"/>
  <c r="H114" i="7"/>
  <c r="J113" i="7"/>
  <c r="G78" i="7" l="1"/>
  <c r="J114" i="7"/>
  <c r="H115" i="7"/>
  <c r="D116" i="7"/>
  <c r="F78" i="7" l="1"/>
  <c r="B33" i="10"/>
  <c r="H116" i="7"/>
  <c r="J116" i="7" s="1"/>
  <c r="D117" i="7"/>
  <c r="G79" i="7"/>
  <c r="J115" i="7"/>
  <c r="F79" i="7" l="1"/>
  <c r="B34" i="10"/>
  <c r="D118" i="7"/>
  <c r="H117" i="7"/>
  <c r="J117" i="7" s="1"/>
  <c r="G80" i="7"/>
  <c r="F80" i="7" l="1"/>
  <c r="B35" i="10"/>
  <c r="G81" i="7"/>
  <c r="D119" i="7"/>
  <c r="H118" i="7"/>
  <c r="F81" i="7" l="1"/>
  <c r="B36" i="10"/>
  <c r="D120" i="7"/>
  <c r="H119" i="7"/>
  <c r="J119" i="7" s="1"/>
  <c r="G82" i="7"/>
  <c r="J118" i="7"/>
  <c r="F82" i="7" l="1"/>
  <c r="B37" i="10"/>
  <c r="D121" i="7"/>
  <c r="H120" i="7"/>
  <c r="D122" i="7" l="1"/>
  <c r="H121" i="7"/>
  <c r="J120" i="7"/>
  <c r="G83" i="7" l="1"/>
  <c r="D123" i="7"/>
  <c r="H122" i="7"/>
  <c r="J121" i="7"/>
  <c r="F83" i="7" l="1"/>
  <c r="B38" i="10"/>
  <c r="D124" i="7"/>
  <c r="H123" i="7"/>
  <c r="J122" i="7"/>
  <c r="D125" i="7" l="1"/>
  <c r="H124" i="7"/>
  <c r="J123" i="7"/>
  <c r="G84" i="7" l="1"/>
  <c r="D126" i="7"/>
  <c r="H125" i="7"/>
  <c r="J124" i="7"/>
  <c r="F84" i="7" l="1"/>
  <c r="B39" i="10"/>
  <c r="H126" i="7"/>
  <c r="D127" i="7"/>
  <c r="J125" i="7"/>
  <c r="D128" i="7" l="1"/>
  <c r="H128" i="7" s="1"/>
  <c r="H127" i="7"/>
  <c r="J127" i="7" s="1"/>
  <c r="G85" i="7"/>
  <c r="J126" i="7"/>
  <c r="F85" i="7" l="1"/>
  <c r="B40" i="10"/>
  <c r="G86" i="7"/>
  <c r="D129" i="7"/>
  <c r="F86" i="7" l="1"/>
  <c r="B41" i="10"/>
  <c r="D130" i="7"/>
  <c r="H129" i="7"/>
  <c r="J129" i="7" s="1"/>
  <c r="G87" i="7"/>
  <c r="J128" i="7"/>
  <c r="F87" i="7" l="1"/>
  <c r="B42" i="10"/>
  <c r="G88" i="7"/>
  <c r="D131" i="7"/>
  <c r="H130" i="7"/>
  <c r="F88" i="7" l="1"/>
  <c r="B43" i="10"/>
  <c r="G89" i="7"/>
  <c r="H131" i="7"/>
  <c r="D132" i="7"/>
  <c r="J130" i="7"/>
  <c r="F89" i="7" l="1"/>
  <c r="B44" i="10"/>
  <c r="D133" i="7"/>
  <c r="H132" i="7"/>
  <c r="J132" i="7" s="1"/>
  <c r="G90" i="7"/>
  <c r="J131" i="7"/>
  <c r="F90" i="7" l="1"/>
  <c r="B45" i="10"/>
  <c r="G91" i="7"/>
  <c r="D134" i="7"/>
  <c r="H133" i="7"/>
  <c r="F91" i="7" l="1"/>
  <c r="B46" i="10"/>
  <c r="D135" i="7"/>
  <c r="H134" i="7"/>
  <c r="J134" i="7" s="1"/>
  <c r="G92" i="7"/>
  <c r="J133" i="7"/>
  <c r="F92" i="7" l="1"/>
  <c r="B47" i="10"/>
  <c r="G93" i="7"/>
  <c r="D136" i="7"/>
  <c r="H135" i="7"/>
  <c r="F93" i="7" l="1"/>
  <c r="B48" i="10"/>
  <c r="D137" i="7"/>
  <c r="H136" i="7"/>
  <c r="J136" i="7" s="1"/>
  <c r="G94" i="7"/>
  <c r="J135" i="7"/>
  <c r="F94" i="7" l="1"/>
  <c r="B49" i="10"/>
  <c r="G95" i="7"/>
  <c r="D138" i="7"/>
  <c r="H137" i="7"/>
  <c r="F95" i="7" l="1"/>
  <c r="B50" i="10"/>
  <c r="D139" i="7"/>
  <c r="H138" i="7"/>
  <c r="J138" i="7" s="1"/>
  <c r="G96" i="7"/>
  <c r="J137" i="7"/>
  <c r="F96" i="7" l="1"/>
  <c r="B51" i="10"/>
  <c r="G97" i="7"/>
  <c r="D140" i="7"/>
  <c r="H139" i="7"/>
  <c r="F97" i="7" l="1"/>
  <c r="B52" i="10"/>
  <c r="D141" i="7"/>
  <c r="H140" i="7"/>
  <c r="J140" i="7" s="1"/>
  <c r="J139" i="7"/>
  <c r="G98" i="7" l="1"/>
  <c r="H141" i="7"/>
  <c r="D142" i="7"/>
  <c r="F98" i="7" l="1"/>
  <c r="B53" i="10"/>
  <c r="D143" i="7"/>
  <c r="H142" i="7"/>
  <c r="J141" i="7"/>
  <c r="G99" i="7" l="1"/>
  <c r="D144" i="7"/>
  <c r="H143" i="7"/>
  <c r="J142" i="7"/>
  <c r="F99" i="7" l="1"/>
  <c r="B54" i="10"/>
  <c r="D145" i="7"/>
  <c r="H144" i="7"/>
  <c r="J144" i="7" s="1"/>
  <c r="J143" i="7"/>
  <c r="G100" i="7" l="1"/>
  <c r="D146" i="7"/>
  <c r="H146" i="7" s="1"/>
  <c r="G101" i="7" s="1"/>
  <c r="H145" i="7"/>
  <c r="F101" i="7" l="1"/>
  <c r="C10" i="4" s="1"/>
  <c r="C11" i="4" s="1"/>
  <c r="B56" i="10"/>
  <c r="F100" i="7"/>
  <c r="B55" i="10"/>
  <c r="J146" i="7"/>
  <c r="J145" i="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D2" authorId="0" shapeId="0" xr:uid="{D8604D70-4738-424D-B844-AFA8A7A77BA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- 양수량</t>
        </r>
      </text>
    </comment>
    <comment ref="F2" authorId="0" shapeId="0" xr:uid="{682BF628-A0DE-4636-9CB6-71DF3A0A07D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비수위 강하량
= Sw / Q
</t>
        </r>
      </text>
    </comment>
    <comment ref="G2" authorId="0" shapeId="0" xr:uid="{A1A16281-8742-4207-831A-62652B246D6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비양수량
= Q / Sw
</t>
        </r>
      </text>
    </comment>
    <comment ref="D3" authorId="0" shapeId="0" xr:uid="{D4E32826-0955-4B7B-B305-FA7071141FE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최소양수량</t>
        </r>
        <r>
          <rPr>
            <sz val="9"/>
            <color indexed="81"/>
            <rFont val="Tahoma"/>
            <family val="2"/>
          </rPr>
          <t xml:space="preserve"> : Q0
</t>
        </r>
        <r>
          <rPr>
            <sz val="9"/>
            <color indexed="81"/>
            <rFont val="돋움"/>
            <family val="3"/>
            <charset val="129"/>
          </rPr>
          <t>최대양수량</t>
        </r>
        <r>
          <rPr>
            <sz val="9"/>
            <color indexed="81"/>
            <rFont val="Tahoma"/>
            <family val="2"/>
          </rPr>
          <t xml:space="preserve"> : Q1
</t>
        </r>
      </text>
    </comment>
    <comment ref="F3" authorId="0" shapeId="0" xr:uid="{EBA9B5BA-FCFB-4D20-89BE-43D94AE68C5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 --&gt; </t>
        </r>
        <r>
          <rPr>
            <sz val="9"/>
            <color indexed="81"/>
            <rFont val="돋움"/>
            <family val="3"/>
            <charset val="129"/>
          </rPr>
          <t xml:space="preserve">비수위강하량
</t>
        </r>
        <r>
          <rPr>
            <sz val="9"/>
            <color indexed="81"/>
            <rFont val="Tahoma"/>
            <family val="2"/>
          </rPr>
          <t xml:space="preserve">SwQ0 --- </t>
        </r>
        <r>
          <rPr>
            <sz val="9"/>
            <color indexed="81"/>
            <rFont val="돋움"/>
            <family val="3"/>
            <charset val="129"/>
          </rPr>
          <t xml:space="preserve">최소
</t>
        </r>
        <r>
          <rPr>
            <sz val="9"/>
            <color indexed="81"/>
            <rFont val="Tahoma"/>
            <family val="2"/>
          </rPr>
          <t xml:space="preserve">SwQ1 --- </t>
        </r>
        <r>
          <rPr>
            <sz val="9"/>
            <color indexed="81"/>
            <rFont val="돋움"/>
            <family val="3"/>
            <charset val="129"/>
          </rPr>
          <t>최대</t>
        </r>
      </text>
    </comment>
    <comment ref="D7" authorId="0" shapeId="0" xr:uid="{72FC4078-9C7E-42BD-8A4C-DD4CEE304A8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Q1</t>
        </r>
      </text>
    </comment>
    <comment ref="F7" authorId="0" shapeId="0" xr:uid="{B61CF6FB-FB24-476C-B379-A9991DDA8A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SwQ1</t>
        </r>
      </text>
    </comment>
    <comment ref="O16" authorId="0" shapeId="0" xr:uid="{E33F33A3-DAB6-4C56-B94E-4B6C0564100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2023/4/7
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불필요한것들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지우고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단기양수일보에서의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시간차이를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재설정해줌
그래프를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다듬고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축제목을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달아줌
</t>
        </r>
        <r>
          <rPr>
            <sz val="9"/>
            <color indexed="81"/>
            <rFont val="Tahoma"/>
            <family val="2"/>
          </rPr>
          <t xml:space="preserve">
2023/3/15 </t>
        </r>
        <r>
          <rPr>
            <sz val="9"/>
            <color indexed="81"/>
            <rFont val="돋움"/>
            <family val="3"/>
            <charset val="129"/>
          </rPr>
          <t>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수정함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쉬트가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활성화되면서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돌아가는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프로시저를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거의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차단함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단계양수일보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한번에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쓸수있게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
</t>
        </r>
        <r>
          <rPr>
            <sz val="9"/>
            <color indexed="81"/>
            <rFont val="Tahoma"/>
            <family val="2"/>
          </rPr>
          <t xml:space="preserve">2023/4/8
</t>
        </r>
        <r>
          <rPr>
            <sz val="9"/>
            <color indexed="81"/>
            <rFont val="돋움"/>
            <family val="3"/>
            <charset val="129"/>
          </rPr>
          <t>수식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재정립
폰트정리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FineTunning
</t>
        </r>
      </text>
    </comment>
    <comment ref="B17" authorId="0" shapeId="0" xr:uid="{F55EA6EA-8B66-4A5E-93EE-283AC306330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89%의 수위강하량(안정수위 - 자연수위)</t>
        </r>
      </text>
    </comment>
    <comment ref="F32" authorId="0" shapeId="0" xr:uid="{55DA17DF-0E78-4E17-91CA-7E895C528E5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E1 -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F35" authorId="0" shapeId="0" xr:uid="{9393E6F8-5DD9-43EA-917E-D6A27B2919E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E0 -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T43" authorId="0" shapeId="0" xr:uid="{A4084D4B-3749-4E06-A72F-91B99C6F79F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= </t>
        </r>
        <r>
          <rPr>
            <sz val="9"/>
            <color indexed="81"/>
            <rFont val="돋움"/>
            <family val="3"/>
            <charset val="129"/>
          </rPr>
          <t>비양수량</t>
        </r>
        <r>
          <rPr>
            <sz val="9"/>
            <color indexed="81"/>
            <rFont val="Tahoma"/>
            <family val="2"/>
          </rPr>
          <t xml:space="preserve"> (Q / Sw)</t>
        </r>
      </text>
    </comment>
    <comment ref="U43" authorId="0" shapeId="0" xr:uid="{6B9CA8A6-C53D-4718-BB45-4D9CCFE7A6E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= </t>
        </r>
        <r>
          <rPr>
            <sz val="9"/>
            <color indexed="81"/>
            <rFont val="돋움"/>
            <family val="3"/>
            <charset val="129"/>
          </rPr>
          <t>비수위강하량</t>
        </r>
        <r>
          <rPr>
            <sz val="9"/>
            <color indexed="81"/>
            <rFont val="Tahoma"/>
            <family val="2"/>
          </rPr>
          <t xml:space="preserve"> ( Sw / Q )</t>
        </r>
      </text>
    </comment>
    <comment ref="N44" authorId="1" shapeId="0" xr:uid="{8D641FE4-5E19-4B0B-8A75-7762DF2CD08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우물직경과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케이싱직경은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같은값을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M46" authorId="1" shapeId="0" xr:uid="{573A232A-B40D-44AA-A4B9-181CCB7526D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if (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) 
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 xml:space="preserve">else
 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L51" authorId="1" shapeId="0" xr:uid="{B4C821BA-66C4-47F2-A222-97CEC54E63F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가채수량은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채수계획량이</t>
        </r>
        <r>
          <rPr>
            <sz val="9"/>
            <color indexed="81"/>
            <rFont val="Tahoma"/>
            <family val="2"/>
          </rPr>
          <t xml:space="preserve"> 160 </t>
        </r>
        <r>
          <rPr>
            <sz val="9"/>
            <color indexed="81"/>
            <rFont val="돋움"/>
            <family val="3"/>
            <charset val="129"/>
          </rPr>
          <t>톤으로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잡히면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양수시험을할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허가량보다는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많이
그래서</t>
        </r>
        <r>
          <rPr>
            <sz val="9"/>
            <color indexed="81"/>
            <rFont val="Tahoma"/>
            <family val="2"/>
          </rPr>
          <t xml:space="preserve"> 175</t>
        </r>
        <r>
          <rPr>
            <sz val="9"/>
            <color indexed="81"/>
            <rFont val="돋움"/>
            <family val="3"/>
            <charset val="129"/>
          </rPr>
          <t xml:space="preserve">톤
</t>
        </r>
      </text>
    </comment>
    <comment ref="U64" authorId="0" shapeId="0" xr:uid="{E131F6CE-CBCE-42D0-A021-045AEFB274A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이것의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조절은</t>
        </r>
        <r>
          <rPr>
            <sz val="9"/>
            <color indexed="81"/>
            <rFont val="Tahoma"/>
            <family val="2"/>
          </rPr>
          <t xml:space="preserve"> 
mod_W1StepTEST.ConcatenateCells 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B3" authorId="0" shapeId="0" xr:uid="{64D9BDF3-DED4-4E53-A001-9B5310E8F65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D3" authorId="0" shapeId="0" xr:uid="{2522271C-ED48-4808-8341-A56E692ACC58}">
      <text>
        <r>
          <rPr>
            <b/>
            <sz val="9"/>
            <color indexed="81"/>
            <rFont val="Tahoma"/>
            <family val="2"/>
          </rPr>
          <t xml:space="preserve">hwa soo min:
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투수량계수
</t>
        </r>
        <r>
          <rPr>
            <sz val="9"/>
            <color indexed="81"/>
            <rFont val="Tahoma"/>
            <family val="2"/>
          </rPr>
          <t xml:space="preserve"> 
AquSolver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투수량계수</t>
        </r>
      </text>
    </comment>
    <comment ref="E3" authorId="0" shapeId="0" xr:uid="{C02C9822-8F66-4C61-AB28-92A6B8651B0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공반경인데
단위는</t>
        </r>
        <r>
          <rPr>
            <sz val="9"/>
            <color indexed="81"/>
            <rFont val="Tahoma"/>
            <family val="2"/>
          </rPr>
          <t xml:space="preserve"> m </t>
        </r>
        <r>
          <rPr>
            <sz val="9"/>
            <color indexed="81"/>
            <rFont val="돋움"/>
            <family val="3"/>
            <charset val="129"/>
          </rPr>
          <t xml:space="preserve">이고
</t>
        </r>
        <r>
          <rPr>
            <sz val="9"/>
            <color indexed="81"/>
            <rFont val="Tahoma"/>
            <family val="2"/>
          </rPr>
          <t>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직경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반지름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미터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환산값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0.1016 m
3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0.0762 m
</t>
        </r>
      </text>
    </comment>
    <comment ref="F3" authorId="1" shapeId="0" xr:uid="{C411CDF2-4AD4-4F70-BE28-DDF962CF632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
</t>
        </r>
        <r>
          <rPr>
            <sz val="9"/>
            <color indexed="81"/>
            <rFont val="돋움"/>
            <family val="3"/>
            <charset val="129"/>
          </rPr>
          <t>피압대수층</t>
        </r>
        <r>
          <rPr>
            <sz val="9"/>
            <color indexed="81"/>
            <rFont val="Tahoma"/>
            <family val="2"/>
          </rPr>
          <t xml:space="preserve">    :  0.0005
</t>
        </r>
        <r>
          <rPr>
            <sz val="9"/>
            <color indexed="81"/>
            <rFont val="돋움"/>
            <family val="3"/>
            <charset val="129"/>
          </rPr>
          <t>자유면대수층</t>
        </r>
        <r>
          <rPr>
            <sz val="9"/>
            <color indexed="81"/>
            <rFont val="Tahoma"/>
            <family val="2"/>
          </rPr>
          <t xml:space="preserve"> :  0.1
</t>
        </r>
        <r>
          <rPr>
            <sz val="9"/>
            <color indexed="81"/>
            <rFont val="돋움"/>
            <family val="3"/>
            <charset val="129"/>
          </rPr>
          <t>피압대수층은</t>
        </r>
        <r>
          <rPr>
            <sz val="9"/>
            <color indexed="81"/>
            <rFont val="Tahoma"/>
            <family val="2"/>
          </rPr>
          <t xml:space="preserve"> S=0.0005, 
</t>
        </r>
        <r>
          <rPr>
            <sz val="9"/>
            <color indexed="81"/>
            <rFont val="돋움"/>
            <family val="3"/>
            <charset val="129"/>
          </rPr>
          <t>누수대수층은</t>
        </r>
        <r>
          <rPr>
            <sz val="9"/>
            <color indexed="81"/>
            <rFont val="Tahoma"/>
            <family val="2"/>
          </rPr>
          <t xml:space="preserve"> S=0.001, 
</t>
        </r>
        <r>
          <rPr>
            <sz val="9"/>
            <color indexed="81"/>
            <rFont val="돋움"/>
            <family val="3"/>
            <charset val="129"/>
          </rPr>
          <t>자유면대수층은</t>
        </r>
        <r>
          <rPr>
            <sz val="9"/>
            <color indexed="81"/>
            <rFont val="Tahoma"/>
            <family val="2"/>
          </rPr>
          <t xml:space="preserve"> S=0.1</t>
        </r>
      </text>
    </comment>
    <comment ref="D4" authorId="1" shapeId="0" xr:uid="{FAE4F25A-79B8-49A0-A320-799BDA36F67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단계양수시험에서의</t>
        </r>
        <r>
          <rPr>
            <sz val="9"/>
            <color indexed="81"/>
            <rFont val="Tahoma"/>
            <family val="2"/>
          </rPr>
          <t xml:space="preserve"> T
</t>
        </r>
      </text>
    </comment>
    <comment ref="D5" authorId="1" shapeId="0" xr:uid="{758FC08C-DE4C-44AE-9EFE-23CF981C4E9C}">
      <text>
        <r>
          <rPr>
            <b/>
            <sz val="9"/>
            <color indexed="81"/>
            <rFont val="Tahoma"/>
            <family val="2"/>
          </rPr>
          <t>minhwasoo:
T1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투수량계수
아큐텍솔버를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돌렸을때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피팅한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E7" authorId="1" shapeId="0" xr:uid="{DBD3D08B-F57F-4CD8-84A5-FA8034D3CA1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번에서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</t>
        </r>
        <r>
          <rPr>
            <sz val="9"/>
            <color indexed="81"/>
            <rFont val="Tahoma"/>
            <family val="2"/>
          </rPr>
          <t xml:space="preserve">,
b  =  </t>
        </r>
        <r>
          <rPr>
            <sz val="11"/>
            <color indexed="81"/>
            <rFont val="Tahoma"/>
            <family val="2"/>
          </rPr>
          <t>S*10^(5.46*T*B)</t>
        </r>
      </text>
    </comment>
    <comment ref="G7" authorId="1" shapeId="0" xr:uid="{8E7C52E5-FBFE-40F6-8D93-3BB129AE7C3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 2</t>
        </r>
        <r>
          <rPr>
            <sz val="9"/>
            <color indexed="81"/>
            <rFont val="돋움"/>
            <family val="3"/>
            <charset val="129"/>
          </rPr>
          <t>번에서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</t>
        </r>
        <r>
          <rPr>
            <sz val="9"/>
            <color indexed="81"/>
            <rFont val="Tahoma"/>
            <family val="2"/>
          </rPr>
          <t xml:space="preserve">,
e = </t>
        </r>
        <r>
          <rPr>
            <sz val="12"/>
            <color indexed="81"/>
            <rFont val="Tahoma"/>
            <family val="2"/>
          </rPr>
          <t>S*e^(4pi*T*B)</t>
        </r>
      </text>
    </comment>
    <comment ref="H7" authorId="1" shapeId="0" xr:uid="{5135F970-761B-4B64-B36D-C94BFE06FC2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K8" authorId="1" shapeId="0" xr:uid="{DA3A0E40-50D4-4FB0-BB75-AFA276C2BC1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번</t>
        </r>
      </text>
    </comment>
    <comment ref="K9" authorId="1" shapeId="0" xr:uid="{40C2F915-8A9C-4866-91A1-F9430FFB5E6D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2</t>
        </r>
        <r>
          <rPr>
            <sz val="9"/>
            <color indexed="81"/>
            <rFont val="돋움"/>
            <family val="3"/>
            <charset val="129"/>
          </rPr>
          <t>번</t>
        </r>
      </text>
    </comment>
    <comment ref="B10" authorId="0" shapeId="0" xr:uid="{ED242E7D-9E11-443B-A91C-E4905120501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마친뒤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회복시험을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하게되는데
회복시험이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끝난시점에서의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수위값</t>
        </r>
      </text>
    </comment>
    <comment ref="E10" authorId="1" shapeId="0" xr:uid="{EC2CC80D-CB8A-4CAC-B2AD-4600EB08AC0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S1: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저류계수</t>
        </r>
        <r>
          <rPr>
            <sz val="9"/>
            <color indexed="81"/>
            <rFont val="Tahoma"/>
            <family val="2"/>
          </rPr>
          <t xml:space="preserve">, 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초기값
</t>
        </r>
      </text>
    </comment>
    <comment ref="H10" authorId="1" shapeId="0" xr:uid="{C80F7AA3-EE60-48F7-A47A-DA6FB8396E1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해준다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장기양수시험</t>
        </r>
        <r>
          <rPr>
            <sz val="9"/>
            <color indexed="81"/>
            <rFont val="Tahoma"/>
            <family val="2"/>
          </rPr>
          <t xml:space="preserve"> PRN </t>
        </r>
        <r>
          <rPr>
            <sz val="9"/>
            <color indexed="81"/>
            <rFont val="돋움"/>
            <family val="3"/>
            <charset val="129"/>
          </rPr>
          <t>파일을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들때
토글시에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어떤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공식을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사용할지를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결정해준다</t>
        </r>
        <r>
          <rPr>
            <sz val="9"/>
            <color indexed="81"/>
            <rFont val="Tahoma"/>
            <family val="2"/>
          </rPr>
          <t>.</t>
        </r>
      </text>
    </comment>
    <comment ref="K10" authorId="1" shapeId="0" xr:uid="{0B4A55EF-CDAA-451F-B300-09CA62D81E4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번</t>
        </r>
        <r>
          <rPr>
            <sz val="9"/>
            <color indexed="81"/>
            <rFont val="Tahoma"/>
            <family val="2"/>
          </rPr>
          <t xml:space="preserve">
rw : </t>
        </r>
        <r>
          <rPr>
            <sz val="9"/>
            <color indexed="81"/>
            <rFont val="돋움"/>
            <family val="3"/>
            <charset val="129"/>
          </rPr>
          <t>우물반경</t>
        </r>
        <r>
          <rPr>
            <sz val="9"/>
            <color indexed="81"/>
            <rFont val="Tahoma"/>
            <family val="2"/>
          </rPr>
          <t xml:space="preserve">(m), 
re :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(m), 
Sp : </t>
        </r>
        <r>
          <rPr>
            <sz val="9"/>
            <color indexed="81"/>
            <rFont val="돋움"/>
            <family val="3"/>
            <charset val="129"/>
          </rPr>
          <t>양수정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수위자료에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저류계수</t>
        </r>
        <r>
          <rPr>
            <sz val="9"/>
            <color indexed="81"/>
            <rFont val="Tahoma"/>
            <family val="2"/>
          </rPr>
          <t xml:space="preserve">, 
Sa :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상태별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추정저류계수이다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B11" authorId="0" shapeId="0" xr:uid="{01E92331-D9C9-452A-912A-93EE0153F28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수위회복량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회복수위</t>
        </r>
      </text>
    </comment>
    <comment ref="H13" authorId="1" shapeId="0" xr:uid="{377E899C-8A17-4E29-93B0-29D1230E1F7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T2: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회복시험의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D15" authorId="0" shapeId="0" xr:uid="{EA0329B5-61B2-4F79-9557-7F89AB70BD0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투수량계수는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평균</t>
        </r>
        <r>
          <rPr>
            <sz val="9"/>
            <color indexed="81"/>
            <rFont val="Tahoma"/>
            <family val="2"/>
          </rPr>
          <t xml:space="preserve"> T </t>
        </r>
        <r>
          <rPr>
            <sz val="9"/>
            <color indexed="81"/>
            <rFont val="돋움"/>
            <family val="3"/>
            <charset val="129"/>
          </rPr>
          <t>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사용되기에
</t>
        </r>
        <r>
          <rPr>
            <sz val="9"/>
            <color indexed="81"/>
            <rFont val="Tahoma"/>
            <family val="2"/>
          </rPr>
          <t xml:space="preserve">T =( 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T + </t>
        </r>
        <r>
          <rPr>
            <sz val="9"/>
            <color indexed="81"/>
            <rFont val="돋움"/>
            <family val="3"/>
            <charset val="129"/>
          </rPr>
          <t>회복</t>
        </r>
        <r>
          <rPr>
            <sz val="9"/>
            <color indexed="81"/>
            <rFont val="Tahoma"/>
            <family val="2"/>
          </rPr>
          <t xml:space="preserve"> T ) /2
</t>
        </r>
      </text>
    </comment>
    <comment ref="E15" authorId="0" shapeId="0" xr:uid="{6C14A3C9-4696-4183-9320-516E5569B1A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(k) =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투수량계수
투수계수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 xml:space="preserve">수리전도도
</t>
        </r>
      </text>
    </comment>
    <comment ref="G15" authorId="0" shapeId="0" xr:uid="{36B764BB-E60B-49DC-93F1-53D75A63BC6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
안정수위가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시간이며
여기에서의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H15" authorId="0" shapeId="0" xr:uid="{09849038-25FB-4F3A-A100-4F6A4197EE4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환산해준것</t>
        </r>
        <r>
          <rPr>
            <sz val="9"/>
            <color indexed="81"/>
            <rFont val="Tahoma"/>
            <family val="2"/>
          </rPr>
          <t xml:space="preserve"> 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/60/24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(60*24)
</t>
        </r>
      </text>
    </comment>
    <comment ref="D16" authorId="1" shapeId="0" xr:uid="{46965C09-F0AE-4F7A-8C5D-622422D311F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TA = (T1 + T2) / 2
</t>
        </r>
      </text>
    </comment>
    <comment ref="I16" authorId="1" shapeId="0" xr:uid="{0A941837-80BC-474E-9ABA-869CA333E10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S2: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28" authorId="0" shapeId="0" xr:uid="{567CA166-85C3-42C2-8854-E4DE13E627E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k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대수층두께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㎝</t>
        </r>
        <r>
          <rPr>
            <sz val="9"/>
            <color indexed="81"/>
            <rFont val="Tahoma"/>
            <family val="2"/>
          </rPr>
          <t xml:space="preserve">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30" authorId="1" shapeId="0" xr:uid="{B8F61BE8-6D8F-4AF5-98BC-15C241B0B06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shultze </t>
        </r>
        <r>
          <rPr>
            <sz val="9"/>
            <color indexed="81"/>
            <rFont val="돋움"/>
            <family val="3"/>
            <charset val="129"/>
          </rPr>
          <t>와</t>
        </r>
        <r>
          <rPr>
            <sz val="9"/>
            <color indexed="81"/>
            <rFont val="Tahoma"/>
            <family val="2"/>
          </rPr>
          <t xml:space="preserve"> weber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</text>
    </comment>
    <comment ref="F30" authorId="1" shapeId="0" xr:uid="{4638A8DC-2E2A-41F4-96C6-6C90CF5F1CE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shultze, webber max value
</t>
        </r>
        <r>
          <rPr>
            <sz val="9"/>
            <color indexed="81"/>
            <rFont val="돋움"/>
            <family val="3"/>
            <charset val="129"/>
          </rPr>
          <t>영향반경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최대값
</t>
        </r>
      </text>
    </comment>
    <comment ref="G30" authorId="1" shapeId="0" xr:uid="{2CD470E4-3C8B-4334-BFE0-BCEA7221806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평균수위강하량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N16" authorId="0" shapeId="0" xr:uid="{7B50E3F5-2ED8-49DC-9983-B0A2725F67F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-- A</t>
        </r>
      </text>
    </comment>
    <comment ref="O16" authorId="0" shapeId="0" xr:uid="{EE6805DF-7AB1-4EAB-BD77-C258FEB60EC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 h = Q / A</t>
        </r>
      </text>
    </comment>
    <comment ref="P16" authorId="0" shapeId="0" xr:uid="{88FD1DDF-A465-4B45-BF9C-A0D228B5A08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돋움"/>
            <family val="3"/>
            <charset val="129"/>
          </rPr>
          <t>차이</t>
        </r>
        <r>
          <rPr>
            <b/>
            <sz val="10"/>
            <color indexed="81"/>
            <rFont val="Tahoma"/>
            <family val="2"/>
          </rPr>
          <t xml:space="preserve"> = </t>
        </r>
        <r>
          <rPr>
            <b/>
            <sz val="10"/>
            <color indexed="81"/>
            <rFont val="돋움"/>
            <family val="3"/>
            <charset val="129"/>
          </rPr>
          <t>자연모델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수위강하량</t>
        </r>
        <r>
          <rPr>
            <b/>
            <sz val="10"/>
            <color indexed="81"/>
            <rFont val="Tahoma"/>
            <family val="2"/>
          </rPr>
          <t xml:space="preserve"> - </t>
        </r>
        <r>
          <rPr>
            <b/>
            <sz val="10"/>
            <color indexed="81"/>
            <rFont val="돋움"/>
            <family val="3"/>
            <charset val="129"/>
          </rPr>
          <t>이론상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정수위강하량</t>
        </r>
      </text>
    </comment>
    <comment ref="L17" authorId="0" shapeId="0" xr:uid="{49C1B61C-2CB6-4C6F-BA36-3AC6D3A5BE01}">
      <text>
        <r>
          <rPr>
            <b/>
            <sz val="9"/>
            <color indexed="81"/>
            <rFont val="Tahoma"/>
            <family val="2"/>
          </rPr>
          <t xml:space="preserve">minhwasoo:
 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1</t>
        </r>
        <r>
          <rPr>
            <sz val="9"/>
            <color indexed="81"/>
            <rFont val="돋움"/>
            <family val="3"/>
            <charset val="129"/>
          </rPr>
          <t>분간의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</t>
        </r>
      </text>
    </comment>
    <comment ref="M17" authorId="0" shapeId="0" xr:uid="{4314F8C3-F6B1-441C-9158-6BF3CE34991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 xml:space="preserve">,
-- </t>
        </r>
        <r>
          <rPr>
            <sz val="9"/>
            <color indexed="81"/>
            <rFont val="돋움"/>
            <family val="3"/>
            <charset val="129"/>
          </rPr>
          <t>경과시간당의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물량</t>
        </r>
      </text>
    </comment>
    <comment ref="N17" authorId="0" shapeId="0" xr:uid="{C112EC43-BE64-43E3-A73A-F554150664A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 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</t>
        </r>
        <r>
          <rPr>
            <sz val="9"/>
            <color indexed="81"/>
            <rFont val="Tahoma"/>
            <family val="2"/>
          </rPr>
          <t xml:space="preserve">  (1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2.54cm)
=INT((8*2.54/2/100)^2*3.14159*100000)/100000
2023/4/7 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조정
</t>
        </r>
      </text>
    </comment>
    <comment ref="O17" authorId="0" shapeId="0" xr:uid="{618E3992-F1BD-4959-935F-AA85621ACB0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시경수량을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나누어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주면
수위강하량이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나온다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이론상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= </t>
        </r>
        <r>
          <rPr>
            <sz val="9"/>
            <color indexed="81"/>
            <rFont val="돋움"/>
            <family val="3"/>
            <charset val="129"/>
          </rPr>
          <t>이론수량</t>
        </r>
        <r>
          <rPr>
            <sz val="9"/>
            <color indexed="81"/>
            <rFont val="Tahoma"/>
            <family val="2"/>
          </rPr>
          <t>(Q) / 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단면적
</t>
        </r>
      </text>
    </comment>
    <comment ref="P17" authorId="0" shapeId="0" xr:uid="{46175A2D-0F47-488C-95B2-51804C4266B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 </t>
        </r>
        <r>
          <rPr>
            <sz val="9"/>
            <color indexed="81"/>
            <rFont val="돋움"/>
            <family val="3"/>
            <charset val="129"/>
          </rPr>
          <t>자연모델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 -  </t>
        </r>
        <r>
          <rPr>
            <sz val="9"/>
            <color indexed="81"/>
            <rFont val="돋움"/>
            <family val="3"/>
            <charset val="129"/>
          </rPr>
          <t>이론상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T1" authorId="0" shapeId="0" xr:uid="{04680A38-A19E-4531-8BBE-624302C5EB8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제일처음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P3" authorId="0" shapeId="0" xr:uid="{DF92F577-E182-4CD4-A37E-BDDF0E1B8FB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이나오도록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빨간것은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음수이므로
양의값을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…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L6" authorId="1" shapeId="0" xr:uid="{D3AD33C6-0506-47E0-83AC-8082DBEC508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2019/11/27
</t>
        </r>
        <r>
          <rPr>
            <sz val="9"/>
            <color indexed="81"/>
            <rFont val="돋움"/>
            <family val="3"/>
            <charset val="129"/>
          </rPr>
          <t>조정값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이셀에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입력하고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그래프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초기값의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위치를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조절해서
그래프의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선형을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조절해줄수가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 xml:space="preserve">사용방법
</t>
        </r>
        <r>
          <rPr>
            <sz val="9"/>
            <color indexed="81"/>
            <rFont val="Tahoma"/>
            <family val="2"/>
          </rPr>
          <t xml:space="preserve">2023/4/8
</t>
        </r>
        <r>
          <rPr>
            <sz val="9"/>
            <color indexed="81"/>
            <rFont val="돋움"/>
            <family val="3"/>
            <charset val="129"/>
          </rPr>
          <t xml:space="preserve">
리셋을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한뒤
</t>
        </r>
        <r>
          <rPr>
            <sz val="9"/>
            <color indexed="81"/>
            <rFont val="Tahoma"/>
            <family val="2"/>
          </rPr>
          <t xml:space="preserve">FindAnswer </t>
        </r>
        <r>
          <rPr>
            <sz val="9"/>
            <color indexed="81"/>
            <rFont val="돋움"/>
            <family val="3"/>
            <charset val="129"/>
          </rPr>
          <t>한뒤</t>
        </r>
        <r>
          <rPr>
            <sz val="9"/>
            <color indexed="81"/>
            <rFont val="Tahoma"/>
            <family val="2"/>
          </rPr>
          <t xml:space="preserve"> , L8</t>
        </r>
        <r>
          <rPr>
            <sz val="9"/>
            <color indexed="81"/>
            <rFont val="돋움"/>
            <family val="3"/>
            <charset val="129"/>
          </rPr>
          <t>셀이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적색이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나오면
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셋팅해준다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8" authorId="1" shapeId="0" xr:uid="{30061649-32E8-4034-BA61-2CFDF050060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 xml:space="preserve">- </t>
        </r>
        <r>
          <rPr>
            <b/>
            <sz val="11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</t>
        </r>
      </text>
    </comment>
    <comment ref="L8" authorId="1" shapeId="0" xr:uid="{17BF1692-2C7E-4C48-B9C6-729B47B61B19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>2019/11/27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검사해주는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
이셀의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양의값이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 = G10 - K11
</t>
        </r>
      </text>
    </comment>
    <comment ref="G10" authorId="0" shapeId="0" xr:uid="{5B7B245E-F495-486B-880F-1F09CEC9EEE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△</t>
        </r>
        <r>
          <rPr>
            <sz val="9"/>
            <color indexed="81"/>
            <rFont val="Tahoma"/>
            <family val="2"/>
          </rPr>
          <t xml:space="preserve">S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장기향수시험에서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>.</t>
        </r>
      </text>
    </comment>
    <comment ref="L10" authorId="0" shapeId="0" xr:uid="{062AB46C-240D-4F80-8533-84650657A41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 1, </t>
        </r>
        <r>
          <rPr>
            <sz val="9"/>
            <color indexed="81"/>
            <rFont val="돋움"/>
            <family val="3"/>
            <charset val="129"/>
          </rPr>
          <t>조절하는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b/>
            <sz val="9"/>
            <color indexed="81"/>
            <rFont val="Tahoma"/>
            <family val="2"/>
          </rPr>
          <t xml:space="preserve"> 2, T </t>
        </r>
        <r>
          <rPr>
            <b/>
            <sz val="9"/>
            <color indexed="81"/>
            <rFont val="돋움"/>
            <family val="3"/>
            <charset val="129"/>
          </rPr>
          <t>값을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조절하여</t>
        </r>
        <r>
          <rPr>
            <b/>
            <sz val="9"/>
            <color indexed="81"/>
            <rFont val="Tahoma"/>
            <family val="2"/>
          </rPr>
          <t xml:space="preserve">  </t>
        </r>
        <r>
          <rPr>
            <b/>
            <sz val="9"/>
            <color indexed="81"/>
            <rFont val="돋움"/>
            <family val="3"/>
            <charset val="129"/>
          </rPr>
          <t>이셀이</t>
        </r>
        <r>
          <rPr>
            <b/>
            <sz val="9"/>
            <color indexed="81"/>
            <rFont val="Tahoma"/>
            <family val="2"/>
          </rPr>
          <t xml:space="preserve"> 
      0 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가까운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나와야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한다</t>
        </r>
        <r>
          <rPr>
            <b/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Tahoma"/>
            <family val="2"/>
          </rPr>
          <t xml:space="preserve">
3,  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조절영역의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처음칸에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b/>
            <sz val="9"/>
            <color indexed="81"/>
            <rFont val="Tahoma"/>
            <family val="2"/>
          </rPr>
          <t xml:space="preserve"> O3</t>
        </r>
        <r>
          <rPr>
            <sz val="9"/>
            <color indexed="81"/>
            <rFont val="Tahoma"/>
            <family val="2"/>
          </rPr>
          <t xml:space="preserve"> ) 
   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J10 </t>
        </r>
        <r>
          <rPr>
            <sz val="9"/>
            <color indexed="81"/>
            <rFont val="돋움"/>
            <family val="3"/>
            <charset val="129"/>
          </rPr>
          <t>셀을</t>
        </r>
        <r>
          <rPr>
            <sz val="9"/>
            <color indexed="81"/>
            <rFont val="Tahoma"/>
            <family val="2"/>
          </rPr>
          <t xml:space="preserve">  0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만들어준다</t>
        </r>
        <r>
          <rPr>
            <sz val="9"/>
            <color indexed="81"/>
            <rFont val="Tahoma"/>
            <family val="2"/>
          </rPr>
          <t xml:space="preserve">.
4, </t>
        </r>
        <r>
          <rPr>
            <b/>
            <sz val="9"/>
            <color indexed="81"/>
            <rFont val="Tahoma"/>
            <family val="2"/>
          </rPr>
          <t xml:space="preserve">N </t>
        </r>
        <r>
          <rPr>
            <b/>
            <sz val="9"/>
            <color indexed="81"/>
            <rFont val="돋움"/>
            <family val="3"/>
            <charset val="129"/>
          </rPr>
          <t>셀의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값들을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변경</t>
        </r>
        <r>
          <rPr>
            <sz val="9"/>
            <color indexed="81"/>
            <rFont val="돋움"/>
            <family val="3"/>
            <charset val="129"/>
          </rPr>
          <t>해서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차이가
</t>
        </r>
        <r>
          <rPr>
            <sz val="9"/>
            <color indexed="81"/>
            <rFont val="Tahoma"/>
            <family val="2"/>
          </rPr>
          <t xml:space="preserve">    </t>
        </r>
        <r>
          <rPr>
            <sz val="9"/>
            <color indexed="81"/>
            <rFont val="돋움"/>
            <family val="3"/>
            <charset val="129"/>
          </rPr>
          <t>제대로되게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5, </t>
        </r>
        <r>
          <rPr>
            <sz val="9"/>
            <color indexed="81"/>
            <rFont val="돋움"/>
            <family val="3"/>
            <charset val="129"/>
          </rPr>
          <t>시간에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작아지도록
</t>
        </r>
        <r>
          <rPr>
            <sz val="9"/>
            <color indexed="81"/>
            <rFont val="Tahoma"/>
            <family val="2"/>
          </rPr>
          <t xml:space="preserve">     </t>
        </r>
        <r>
          <rPr>
            <sz val="9"/>
            <color indexed="81"/>
            <rFont val="돋움"/>
            <family val="3"/>
            <charset val="129"/>
          </rPr>
          <t>내려가면서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     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Tahoma"/>
            <family val="2"/>
          </rPr>
          <t xml:space="preserve">P </t>
        </r>
        <r>
          <rPr>
            <b/>
            <sz val="9"/>
            <color indexed="81"/>
            <rFont val="돋움"/>
            <family val="3"/>
            <charset val="129"/>
          </rPr>
          <t>셀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값들은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나오도록</t>
        </r>
        <r>
          <rPr>
            <sz val="9"/>
            <color indexed="81"/>
            <rFont val="Tahoma"/>
            <family val="2"/>
          </rPr>
          <t xml:space="preserve"> 
    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M13" authorId="1" shapeId="0" xr:uid="{5F33E2FE-AFE7-4767-8353-DBC18F276A9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조절하는값</t>
        </r>
        <r>
          <rPr>
            <sz val="9"/>
            <color indexed="81"/>
            <rFont val="Tahoma"/>
            <family val="2"/>
          </rPr>
          <t xml:space="preserve">, L10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맟추는게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보통인데
이것으로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맟출수가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없는경우가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>, T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커지는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현상이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생기는데
특히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이런경우는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실제양수시험한경우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수위차이가</t>
        </r>
        <r>
          <rPr>
            <sz val="9"/>
            <color indexed="81"/>
            <rFont val="Tahoma"/>
            <family val="2"/>
          </rPr>
          <t xml:space="preserve"> 10 </t>
        </r>
        <r>
          <rPr>
            <sz val="9"/>
            <color indexed="81"/>
            <rFont val="돋움"/>
            <family val="3"/>
            <charset val="129"/>
          </rPr>
          <t>이내로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떨어지는경우에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많이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생긴다</t>
        </r>
        <r>
          <rPr>
            <sz val="9"/>
            <color indexed="81"/>
            <rFont val="Tahoma"/>
            <family val="2"/>
          </rPr>
          <t>.
2022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용택이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관정개발같은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...</t>
        </r>
        <r>
          <rPr>
            <sz val="9"/>
            <color indexed="81"/>
            <rFont val="돋움"/>
            <family val="3"/>
            <charset val="129"/>
          </rPr>
          <t xml:space="preserve">
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해결해주기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</t>
        </r>
        <r>
          <rPr>
            <sz val="9"/>
            <color indexed="81"/>
            <rFont val="Tahoma"/>
            <family val="2"/>
          </rPr>
          <t>,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세팅해주는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폼을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만들고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폼의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피팅을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해준다</t>
        </r>
        <r>
          <rPr>
            <sz val="9"/>
            <color indexed="81"/>
            <rFont val="Tahoma"/>
            <family val="2"/>
          </rPr>
          <t xml:space="preserve">.
-3 ~ 3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범위에서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해결하면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될듯하다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O16" authorId="1" shapeId="0" xr:uid="{FF5919A9-29ED-413F-B9DC-428F0419D1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-- A</t>
        </r>
      </text>
    </comment>
    <comment ref="P16" authorId="1" shapeId="0" xr:uid="{920D7C69-0BF9-4040-A2B0-F788910294E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 h = Q / A</t>
        </r>
      </text>
    </comment>
    <comment ref="Q16" authorId="1" shapeId="0" xr:uid="{73CEA68F-5B52-40D4-9137-12E26B26AFC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돋움"/>
            <family val="3"/>
            <charset val="129"/>
          </rPr>
          <t>차이</t>
        </r>
        <r>
          <rPr>
            <b/>
            <sz val="10"/>
            <color indexed="81"/>
            <rFont val="Tahoma"/>
            <family val="2"/>
          </rPr>
          <t xml:space="preserve"> = </t>
        </r>
        <r>
          <rPr>
            <b/>
            <sz val="10"/>
            <color indexed="81"/>
            <rFont val="돋움"/>
            <family val="3"/>
            <charset val="129"/>
          </rPr>
          <t>자연모델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수위강하량</t>
        </r>
        <r>
          <rPr>
            <b/>
            <sz val="10"/>
            <color indexed="81"/>
            <rFont val="Tahoma"/>
            <family val="2"/>
          </rPr>
          <t xml:space="preserve"> - </t>
        </r>
        <r>
          <rPr>
            <b/>
            <sz val="10"/>
            <color indexed="81"/>
            <rFont val="돋움"/>
            <family val="3"/>
            <charset val="129"/>
          </rPr>
          <t>이론상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정수위강하량</t>
        </r>
      </text>
    </comment>
    <comment ref="L17" authorId="1" shapeId="0" xr:uid="{54064C8D-9D75-4E58-9C40-6B20ACFBCDA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경과시간</t>
        </r>
      </text>
    </comment>
    <comment ref="M17" authorId="0" shapeId="0" xr:uid="{2CB4BE3A-7758-40AB-8EB5-2AB6E887909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이론상의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=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  <r>
          <rPr>
            <b/>
            <sz val="9"/>
            <color indexed="81"/>
            <rFont val="Tahoma"/>
            <family val="2"/>
          </rPr>
          <t xml:space="preserve"> / 1440 (=B10 /1440)</t>
        </r>
        <r>
          <rPr>
            <sz val="9"/>
            <color indexed="81"/>
            <rFont val="Tahoma"/>
            <family val="2"/>
          </rPr>
          <t xml:space="preserve">
= </t>
        </r>
        <r>
          <rPr>
            <b/>
            <sz val="9"/>
            <color indexed="81"/>
            <rFont val="Tahoma"/>
            <family val="2"/>
          </rPr>
          <t>1</t>
        </r>
        <r>
          <rPr>
            <b/>
            <sz val="9"/>
            <color indexed="81"/>
            <rFont val="돋움"/>
            <family val="3"/>
            <charset val="129"/>
          </rPr>
          <t>분당의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</text>
    </comment>
    <comment ref="N17" authorId="0" shapeId="0" xr:uid="{FBC4ECBC-F2EA-450C-833A-C601489325F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b/>
            <sz val="9"/>
            <color indexed="81"/>
            <rFont val="돋움"/>
            <family val="3"/>
            <charset val="129"/>
          </rPr>
          <t xml:space="preserve">
이론모델상의 , 경과시간당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  <comment ref="O17" authorId="0" shapeId="0" xr:uid="{AE141CE6-559B-43BA-82C7-18B7F5F02CC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케이싱의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단면적
</t>
        </r>
        <r>
          <rPr>
            <b/>
            <sz val="9"/>
            <color indexed="81"/>
            <rFont val="Tahoma"/>
            <family val="2"/>
          </rPr>
          <t xml:space="preserve"> = PI*R^2</t>
        </r>
        <r>
          <rPr>
            <sz val="9"/>
            <color indexed="81"/>
            <rFont val="돋움"/>
            <family val="3"/>
            <charset val="129"/>
          </rPr>
          <t xml:space="preserve">
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원래는</t>
        </r>
        <r>
          <rPr>
            <sz val="9"/>
            <color indexed="81"/>
            <rFont val="Tahoma"/>
            <family val="2"/>
          </rPr>
          <t xml:space="preserve"> 10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지름이</t>
        </r>
        <r>
          <rPr>
            <sz val="9"/>
            <color indexed="81"/>
            <rFont val="Tahoma"/>
            <family val="2"/>
          </rPr>
          <t xml:space="preserve"> 2.54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설정되어있지만
</t>
        </r>
        <r>
          <rPr>
            <sz val="9"/>
            <color indexed="81"/>
            <rFont val="Tahoma"/>
            <family val="2"/>
          </rPr>
          <t xml:space="preserve"> 2019/06/10 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우물현황으로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  <r>
          <rPr>
            <sz val="9"/>
            <color indexed="81"/>
            <rFont val="Tahoma"/>
            <family val="2"/>
          </rPr>
          <t xml:space="preserve"> D7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이용한것으로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</text>
    </comment>
    <comment ref="P17" authorId="0" shapeId="0" xr:uid="{8930E0A5-E9FE-4FBB-83BD-AD381A0A3AFD}">
      <text>
        <r>
          <rPr>
            <b/>
            <sz val="9"/>
            <color indexed="81"/>
            <rFont val="Tahoma"/>
            <family val="2"/>
          </rPr>
          <t xml:space="preserve">hwa soo min:
 - </t>
        </r>
        <r>
          <rPr>
            <b/>
            <sz val="9"/>
            <color indexed="81"/>
            <rFont val="돋움"/>
            <family val="3"/>
            <charset val="129"/>
          </rPr>
          <t>이론상의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강하수위</t>
        </r>
        <r>
          <rPr>
            <sz val="9"/>
            <color indexed="81"/>
            <rFont val="Tahoma"/>
            <family val="2"/>
          </rPr>
          <t xml:space="preserve"> = Q / A
  </t>
        </r>
        <r>
          <rPr>
            <sz val="9"/>
            <color indexed="81"/>
            <rFont val="돋움"/>
            <family val="3"/>
            <charset val="129"/>
          </rPr>
          <t>강하수위</t>
        </r>
        <r>
          <rPr>
            <sz val="9"/>
            <color indexed="81"/>
            <rFont val="Tahoma"/>
            <family val="2"/>
          </rPr>
          <t xml:space="preserve"> = N17 / O17 </t>
        </r>
      </text>
    </comment>
    <comment ref="Q17" authorId="0" shapeId="0" xr:uid="{8B2257BB-8143-4E68-9106-951BEE9B768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차이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자연모델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수위강하량 - 이론상 정수위강하량</t>
        </r>
        <r>
          <rPr>
            <sz val="9"/>
            <color indexed="81"/>
            <rFont val="돋움"/>
            <family val="3"/>
            <charset val="129"/>
          </rPr>
          <t xml:space="preserve">
이값들이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그말은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모델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커야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한다는것을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R17" authorId="0" shapeId="0" xr:uid="{CEABECC5-F539-4334-921D-CDAF0A1FA95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점검사항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왼쪽에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값이
</t>
        </r>
        <r>
          <rPr>
            <sz val="9"/>
            <color indexed="81"/>
            <rFont val="Tahoma"/>
            <family val="2"/>
          </rPr>
          <t xml:space="preserve">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나와야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D38" authorId="0" shapeId="0" xr:uid="{6BE2C2EF-6808-4202-A612-A1B76D47E304}">
      <text>
        <r>
          <rPr>
            <b/>
            <sz val="9"/>
            <color indexed="81"/>
            <rFont val="Tahoma"/>
            <family val="2"/>
          </rPr>
          <t>hwa soo mi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양수시험에서의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도달한시간을</t>
        </r>
        <r>
          <rPr>
            <sz val="9"/>
            <color indexed="81"/>
            <rFont val="Tahoma"/>
            <family val="2"/>
          </rPr>
          <t xml:space="preserve"> ,
</t>
        </r>
        <r>
          <rPr>
            <sz val="9"/>
            <color indexed="81"/>
            <rFont val="돋움"/>
            <family val="3"/>
            <charset val="129"/>
          </rPr>
          <t>중복되지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않게
다른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보고서에서는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이셀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복사해서
적당한곳으로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배치시켜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D46" authorId="0" shapeId="0" xr:uid="{F709B0B6-DE37-45A7-84A5-A592343771D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여기는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달라질수가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있는데
영향반경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쓰이는데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분이고
계산식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60 / 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 * 24)
</t>
        </r>
      </text>
    </comment>
  </commentList>
</comments>
</file>

<file path=xl/sharedStrings.xml><?xml version="1.0" encoding="utf-8"?>
<sst xmlns="http://schemas.openxmlformats.org/spreadsheetml/2006/main" count="1146" uniqueCount="302">
  <si>
    <t>지하수위</t>
    <phoneticPr fontId="7" type="noConversion"/>
  </si>
  <si>
    <t>강하수위</t>
    <phoneticPr fontId="7" type="noConversion"/>
  </si>
  <si>
    <t>Sw/Q</t>
    <phoneticPr fontId="7" type="noConversion"/>
  </si>
  <si>
    <t>Q/Sw</t>
    <phoneticPr fontId="7" type="noConversion"/>
  </si>
  <si>
    <t xml:space="preserve"> </t>
  </si>
  <si>
    <t>그래프기울기저정</t>
    <phoneticPr fontId="7" type="noConversion"/>
  </si>
  <si>
    <t>비양수량(Q/Sw)</t>
    <phoneticPr fontId="7" type="noConversion"/>
  </si>
  <si>
    <t>1단계조정</t>
    <phoneticPr fontId="7" type="noConversion"/>
  </si>
  <si>
    <t>2단계조정</t>
    <phoneticPr fontId="7" type="noConversion"/>
  </si>
  <si>
    <t>3단계조정</t>
    <phoneticPr fontId="7" type="noConversion"/>
  </si>
  <si>
    <t>5단계조정</t>
    <phoneticPr fontId="7" type="noConversion"/>
  </si>
  <si>
    <t>그래프양수량조정</t>
    <phoneticPr fontId="7" type="noConversion"/>
  </si>
  <si>
    <t>Sw</t>
    <phoneticPr fontId="7" type="noConversion"/>
  </si>
  <si>
    <t>Q</t>
    <phoneticPr fontId="7" type="noConversion"/>
  </si>
  <si>
    <t>정해진 목표 가채수량</t>
    <phoneticPr fontId="7" type="noConversion"/>
  </si>
  <si>
    <t>계산상 가재수량</t>
    <phoneticPr fontId="7" type="noConversion"/>
  </si>
  <si>
    <t>C</t>
  </si>
  <si>
    <t>B</t>
  </si>
  <si>
    <t>우물효율</t>
    <phoneticPr fontId="7" type="noConversion"/>
  </si>
  <si>
    <t>기울기</t>
    <phoneticPr fontId="7" type="noConversion"/>
  </si>
  <si>
    <t>Y절편</t>
    <phoneticPr fontId="7" type="noConversion"/>
  </si>
  <si>
    <t xml:space="preserve"> </t>
    <phoneticPr fontId="7" type="noConversion"/>
  </si>
  <si>
    <t>Q=</t>
    <phoneticPr fontId="7" type="noConversion"/>
  </si>
  <si>
    <t>장기양수량</t>
    <phoneticPr fontId="7" type="noConversion"/>
  </si>
  <si>
    <t>유효우물</t>
    <phoneticPr fontId="7" type="noConversion"/>
  </si>
  <si>
    <t>반경  =</t>
    <phoneticPr fontId="7" type="noConversion"/>
  </si>
  <si>
    <t>m</t>
    <phoneticPr fontId="7" type="noConversion"/>
  </si>
  <si>
    <t>양수량</t>
    <phoneticPr fontId="7" type="noConversion"/>
  </si>
  <si>
    <t>T</t>
    <phoneticPr fontId="7" type="noConversion"/>
  </si>
  <si>
    <t>조사명</t>
    <phoneticPr fontId="7" type="noConversion"/>
  </si>
  <si>
    <t>우물직경</t>
    <phoneticPr fontId="7" type="noConversion"/>
  </si>
  <si>
    <t>케이싱직경</t>
    <phoneticPr fontId="7" type="noConversion"/>
  </si>
  <si>
    <t>S</t>
    <phoneticPr fontId="7" type="noConversion"/>
  </si>
  <si>
    <t>지구명</t>
    <phoneticPr fontId="7" type="noConversion"/>
  </si>
  <si>
    <t>관정심도</t>
    <phoneticPr fontId="7" type="noConversion"/>
  </si>
  <si>
    <t>B</t>
    <phoneticPr fontId="7" type="noConversion"/>
  </si>
  <si>
    <t>대수층손실</t>
    <phoneticPr fontId="7" type="noConversion"/>
  </si>
  <si>
    <t>위  치</t>
    <phoneticPr fontId="7" type="noConversion"/>
  </si>
  <si>
    <t>대수층두께</t>
    <phoneticPr fontId="7" type="noConversion"/>
  </si>
  <si>
    <t>t</t>
    <phoneticPr fontId="7" type="noConversion"/>
  </si>
  <si>
    <t>고정</t>
    <phoneticPr fontId="7" type="noConversion"/>
  </si>
  <si>
    <t>조사자</t>
    <phoneticPr fontId="7" type="noConversion"/>
  </si>
  <si>
    <t>적정양수량</t>
    <phoneticPr fontId="7" type="noConversion"/>
  </si>
  <si>
    <t>수중모터</t>
    <phoneticPr fontId="7" type="noConversion"/>
  </si>
  <si>
    <t>자연수위</t>
    <phoneticPr fontId="7" type="noConversion"/>
  </si>
  <si>
    <t>Re =</t>
    <phoneticPr fontId="7" type="noConversion"/>
  </si>
  <si>
    <t>A</t>
    <phoneticPr fontId="7" type="noConversion"/>
  </si>
  <si>
    <t>양수시험일</t>
    <phoneticPr fontId="7" type="noConversion"/>
  </si>
  <si>
    <t>안정수위</t>
    <phoneticPr fontId="7" type="noConversion"/>
  </si>
  <si>
    <t>2.25xTxt =</t>
    <phoneticPr fontId="7" type="noConversion"/>
  </si>
  <si>
    <t>수위강하량</t>
    <phoneticPr fontId="7" type="noConversion"/>
  </si>
  <si>
    <t>S =</t>
    <phoneticPr fontId="7" type="noConversion"/>
  </si>
  <si>
    <t>가채수량</t>
    <phoneticPr fontId="7" type="noConversion"/>
  </si>
  <si>
    <t>10^(5.46xTxB)=</t>
    <phoneticPr fontId="7" type="noConversion"/>
  </si>
  <si>
    <t>케이싱</t>
    <phoneticPr fontId="7" type="noConversion"/>
  </si>
  <si>
    <t>우물자재</t>
    <phoneticPr fontId="7" type="noConversion"/>
  </si>
  <si>
    <t>단계수위강하</t>
    <phoneticPr fontId="7" type="noConversion"/>
  </si>
  <si>
    <t>A/B =</t>
    <phoneticPr fontId="7" type="noConversion"/>
  </si>
  <si>
    <t>공번</t>
    <phoneticPr fontId="7" type="noConversion"/>
  </si>
  <si>
    <t>W-1</t>
    <phoneticPr fontId="7" type="noConversion"/>
  </si>
  <si>
    <t>T값</t>
    <phoneticPr fontId="7" type="noConversion"/>
  </si>
  <si>
    <t>선택치</t>
    <phoneticPr fontId="7" type="noConversion"/>
  </si>
  <si>
    <t>S값</t>
    <phoneticPr fontId="7" type="noConversion"/>
  </si>
  <si>
    <t>△h</t>
    <phoneticPr fontId="7" type="noConversion"/>
  </si>
  <si>
    <t>영향반경</t>
    <phoneticPr fontId="7" type="noConversion"/>
  </si>
  <si>
    <t>R</t>
    <phoneticPr fontId="7" type="noConversion"/>
  </si>
  <si>
    <t>포획구간</t>
    <phoneticPr fontId="7" type="noConversion"/>
  </si>
  <si>
    <t>단계양수시험</t>
    <phoneticPr fontId="7" type="noConversion"/>
  </si>
  <si>
    <t>K</t>
    <phoneticPr fontId="7" type="noConversion"/>
  </si>
  <si>
    <t>Shultze:</t>
    <phoneticPr fontId="7" type="noConversion"/>
  </si>
  <si>
    <t>상류</t>
    <phoneticPr fontId="7" type="noConversion"/>
  </si>
  <si>
    <t>하류</t>
    <phoneticPr fontId="7" type="noConversion"/>
  </si>
  <si>
    <t>장기디스시험</t>
    <phoneticPr fontId="7" type="noConversion"/>
  </si>
  <si>
    <t>Weber:</t>
    <phoneticPr fontId="7" type="noConversion"/>
  </si>
  <si>
    <t>장기c-j시험</t>
    <phoneticPr fontId="7" type="noConversion"/>
  </si>
  <si>
    <t>Jacob:</t>
    <phoneticPr fontId="7" type="noConversion"/>
  </si>
  <si>
    <t>회복수위시험</t>
    <phoneticPr fontId="7" type="noConversion"/>
  </si>
  <si>
    <t>평균</t>
    <phoneticPr fontId="7" type="noConversion"/>
  </si>
  <si>
    <t>s'=</t>
    <phoneticPr fontId="7" type="noConversion"/>
  </si>
  <si>
    <t>최대</t>
    <phoneticPr fontId="7" type="noConversion"/>
  </si>
  <si>
    <t>공번2</t>
    <phoneticPr fontId="7" type="noConversion"/>
  </si>
  <si>
    <t>저류계수</t>
    <phoneticPr fontId="7" type="noConversion"/>
  </si>
  <si>
    <t>유효우물반경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</si>
  <si>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</t>
    </r>
    <phoneticPr fontId="7" type="noConversion"/>
  </si>
  <si>
    <t>SkinFactor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</si>
  <si>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- 2</t>
    </r>
  </si>
  <si>
    <t>W-2</t>
  </si>
  <si>
    <t>경험식 1번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</si>
  <si>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- 3</t>
    </r>
  </si>
  <si>
    <t>W-3</t>
  </si>
  <si>
    <t>경험식 2번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</si>
  <si>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- 4</t>
    </r>
  </si>
  <si>
    <t>W-4</t>
  </si>
  <si>
    <t>경험식 3번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</si>
  <si>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- 5</t>
    </r>
  </si>
  <si>
    <t>W-5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</si>
  <si>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- 6</t>
    </r>
    <phoneticPr fontId="7" type="noConversion"/>
  </si>
  <si>
    <t>W-6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</si>
  <si>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- 7</t>
    </r>
    <r>
      <rPr>
        <sz val="11"/>
        <color theme="1"/>
        <rFont val="맑은 고딕"/>
        <family val="2"/>
        <scheme val="minor"/>
      </rPr>
      <t/>
    </r>
  </si>
  <si>
    <t>W-7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</si>
  <si>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- 8</t>
    </r>
    <r>
      <rPr>
        <sz val="11"/>
        <color theme="1"/>
        <rFont val="맑은 고딕"/>
        <family val="2"/>
        <scheme val="minor"/>
      </rPr>
      <t/>
    </r>
  </si>
  <si>
    <t>W-8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</si>
  <si>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- 9</t>
    </r>
    <phoneticPr fontId="7" type="noConversion"/>
  </si>
  <si>
    <t>W-9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</si>
  <si>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- 10</t>
    </r>
    <phoneticPr fontId="7" type="noConversion"/>
  </si>
  <si>
    <t>W-10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</si>
  <si>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- 11</t>
    </r>
    <phoneticPr fontId="7" type="noConversion"/>
  </si>
  <si>
    <t>W-11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</si>
  <si>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- 12</t>
    </r>
    <r>
      <rPr>
        <sz val="11"/>
        <color theme="1"/>
        <rFont val="맑은 고딕"/>
        <family val="2"/>
        <charset val="129"/>
        <scheme val="minor"/>
      </rPr>
      <t/>
    </r>
  </si>
  <si>
    <t>W-12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</si>
  <si>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- 13</t>
    </r>
    <r>
      <rPr>
        <sz val="11"/>
        <color theme="1"/>
        <rFont val="맑은 고딕"/>
        <family val="2"/>
        <charset val="129"/>
        <scheme val="minor"/>
      </rPr>
      <t/>
    </r>
  </si>
  <si>
    <t>W-13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</si>
  <si>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- 14</t>
    </r>
    <r>
      <rPr>
        <sz val="11"/>
        <color theme="1"/>
        <rFont val="맑은 고딕"/>
        <family val="2"/>
        <charset val="129"/>
        <scheme val="minor"/>
      </rPr>
      <t/>
    </r>
  </si>
  <si>
    <t>W-14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</si>
  <si>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- 15</t>
    </r>
    <r>
      <rPr>
        <sz val="11"/>
        <color theme="1"/>
        <rFont val="맑은 고딕"/>
        <family val="2"/>
        <charset val="129"/>
        <scheme val="minor"/>
      </rPr>
      <t/>
    </r>
  </si>
  <si>
    <t>W-15</t>
  </si>
  <si>
    <t>△s</t>
    <phoneticPr fontId="7" type="noConversion"/>
  </si>
  <si>
    <t>Rw</t>
    <phoneticPr fontId="7" type="noConversion"/>
  </si>
  <si>
    <t>π</t>
    <phoneticPr fontId="7" type="noConversion"/>
  </si>
  <si>
    <t>자연수위(단위 m)</t>
    <phoneticPr fontId="7" type="noConversion"/>
  </si>
  <si>
    <t>σ =</t>
    <phoneticPr fontId="7" type="noConversion"/>
  </si>
  <si>
    <t>=</t>
    <phoneticPr fontId="7" type="noConversion"/>
  </si>
  <si>
    <t>a---&gt;</t>
    <phoneticPr fontId="7" type="noConversion"/>
  </si>
  <si>
    <t>b---&gt;</t>
    <phoneticPr fontId="7" type="noConversion"/>
  </si>
  <si>
    <t>e---&gt;</t>
    <phoneticPr fontId="7" type="noConversion"/>
  </si>
  <si>
    <t>공심도(굴착깊이)</t>
    <phoneticPr fontId="7" type="noConversion"/>
  </si>
  <si>
    <t>SkinFactor Re =</t>
    <phoneticPr fontId="7" type="noConversion"/>
  </si>
  <si>
    <t>케이싱심도</t>
    <phoneticPr fontId="7" type="noConversion"/>
  </si>
  <si>
    <t>회복수위</t>
    <phoneticPr fontId="7" type="noConversion"/>
  </si>
  <si>
    <t>수위회복량(Sw)</t>
    <phoneticPr fontId="7" type="noConversion"/>
  </si>
  <si>
    <t>Shultze   R =</t>
    <phoneticPr fontId="7" type="noConversion"/>
  </si>
  <si>
    <t>△h(수위강하량) m</t>
    <phoneticPr fontId="7" type="noConversion"/>
  </si>
  <si>
    <t xml:space="preserve">대수층두께(m) </t>
    <phoneticPr fontId="7" type="noConversion"/>
  </si>
  <si>
    <t>T(투수량계수, ㎡/일)</t>
    <phoneticPr fontId="7" type="noConversion"/>
  </si>
  <si>
    <t>1일</t>
    <phoneticPr fontId="7" type="noConversion"/>
  </si>
  <si>
    <t>안정도달(분)</t>
    <phoneticPr fontId="7" type="noConversion"/>
  </si>
  <si>
    <t>t(일)</t>
    <phoneticPr fontId="7" type="noConversion"/>
  </si>
  <si>
    <t>Weber   R =</t>
    <phoneticPr fontId="7" type="noConversion"/>
  </si>
  <si>
    <t>△h(수위강하량)</t>
    <phoneticPr fontId="7" type="noConversion"/>
  </si>
  <si>
    <t>T(투수량계수)</t>
    <phoneticPr fontId="7" type="noConversion"/>
  </si>
  <si>
    <t>안정도달</t>
    <phoneticPr fontId="7" type="noConversion"/>
  </si>
  <si>
    <t>Jacop   R =</t>
    <phoneticPr fontId="7" type="noConversion"/>
  </si>
  <si>
    <t>T 값 평균=</t>
    <phoneticPr fontId="7" type="noConversion"/>
  </si>
  <si>
    <t>S 값 적용=</t>
    <phoneticPr fontId="7" type="noConversion"/>
  </si>
  <si>
    <t>영향반경 평균=</t>
    <phoneticPr fontId="7" type="noConversion"/>
  </si>
  <si>
    <t>1단계양수량(Q1)</t>
    <phoneticPr fontId="7" type="noConversion"/>
  </si>
  <si>
    <t>1단계수위강하량(S1)</t>
    <phoneticPr fontId="7" type="noConversion"/>
  </si>
  <si>
    <t>4단계수위강하량(S2)</t>
    <phoneticPr fontId="7" type="noConversion"/>
  </si>
  <si>
    <t>2/3</t>
    <phoneticPr fontId="7" type="noConversion"/>
  </si>
  <si>
    <t>가채수량(Q)</t>
    <phoneticPr fontId="7" type="noConversion"/>
  </si>
  <si>
    <t>적용가채수량(Q)</t>
    <phoneticPr fontId="7" type="noConversion"/>
  </si>
  <si>
    <t>한계양수량</t>
    <phoneticPr fontId="7" type="noConversion"/>
  </si>
  <si>
    <t>취수계획량</t>
    <phoneticPr fontId="7" type="noConversion"/>
  </si>
  <si>
    <t>&lt;부록 : 4&gt; 양수시험일보</t>
    <phoneticPr fontId="7" type="noConversion"/>
  </si>
  <si>
    <t>초기치</t>
    <phoneticPr fontId="7" type="noConversion"/>
  </si>
  <si>
    <t>수위강하량 초기치조정</t>
    <phoneticPr fontId="7" type="noConversion"/>
  </si>
  <si>
    <t>단  계  양  수  시  험  일  보</t>
  </si>
  <si>
    <t>그래프조정</t>
    <phoneticPr fontId="7" type="noConversion"/>
  </si>
  <si>
    <t>Re</t>
    <phoneticPr fontId="7" type="noConversion"/>
  </si>
  <si>
    <t>Day</t>
    <phoneticPr fontId="7" type="noConversion"/>
  </si>
  <si>
    <t>조 사 명</t>
    <phoneticPr fontId="7" type="noConversion"/>
  </si>
  <si>
    <t>지 구 명</t>
    <phoneticPr fontId="7" type="noConversion"/>
  </si>
  <si>
    <t>위    치</t>
    <phoneticPr fontId="7" type="noConversion"/>
  </si>
  <si>
    <t>조 사 자</t>
    <phoneticPr fontId="7" type="noConversion"/>
  </si>
  <si>
    <t>수중모타</t>
  </si>
  <si>
    <t>일    시</t>
  </si>
  <si>
    <t>우물현황</t>
  </si>
  <si>
    <t>직     경</t>
    <phoneticPr fontId="7" type="noConversion"/>
  </si>
  <si>
    <t>심    도</t>
  </si>
  <si>
    <t>양수시험</t>
  </si>
  <si>
    <t>단계</t>
  </si>
  <si>
    <t>양수량(㎥/day)</t>
    <phoneticPr fontId="7" type="noConversion"/>
  </si>
  <si>
    <t>관측 시간</t>
    <phoneticPr fontId="7" type="noConversion"/>
  </si>
  <si>
    <t>경과시간(분)</t>
    <phoneticPr fontId="7" type="noConversion"/>
  </si>
  <si>
    <t>지하수위(m)</t>
    <phoneticPr fontId="7" type="noConversion"/>
  </si>
  <si>
    <t>수위강하량(m)</t>
    <phoneticPr fontId="7" type="noConversion"/>
  </si>
  <si>
    <t>비  고</t>
  </si>
  <si>
    <t>양수시작</t>
  </si>
  <si>
    <t>1분양수량</t>
    <phoneticPr fontId="7" type="noConversion"/>
  </si>
  <si>
    <t>시경수량</t>
    <phoneticPr fontId="7" type="noConversion"/>
  </si>
  <si>
    <t>양수종료</t>
  </si>
  <si>
    <t>장기양수 및 회복수위시험 일보</t>
    <phoneticPr fontId="7" type="noConversion"/>
  </si>
  <si>
    <t>확인
적색으로</t>
    <phoneticPr fontId="7" type="noConversion"/>
  </si>
  <si>
    <t>단계양수 3단계
수위강하량</t>
    <phoneticPr fontId="7" type="noConversion"/>
  </si>
  <si>
    <t>360분수
위강하량</t>
    <phoneticPr fontId="7" type="noConversion"/>
  </si>
  <si>
    <t>안정수위=</t>
  </si>
  <si>
    <t>도달시간</t>
    <phoneticPr fontId="7" type="noConversion"/>
  </si>
  <si>
    <t>확    인</t>
    <phoneticPr fontId="7" type="noConversion"/>
  </si>
  <si>
    <t>자연수위</t>
  </si>
  <si>
    <t>안정수위</t>
  </si>
  <si>
    <t>관측시간</t>
  </si>
  <si>
    <t>회복수위측정</t>
  </si>
  <si>
    <t>적용시간</t>
    <phoneticPr fontId="7" type="noConversion"/>
  </si>
  <si>
    <t>적용수위</t>
    <phoneticPr fontId="7" type="noConversion"/>
  </si>
  <si>
    <t>units</t>
  </si>
  <si>
    <t>sthick</t>
  </si>
  <si>
    <t>kratio</t>
  </si>
  <si>
    <t>slabth</t>
  </si>
  <si>
    <t>rspher</t>
  </si>
  <si>
    <t>pwdata</t>
  </si>
  <si>
    <t>owdata</t>
  </si>
  <si>
    <t>&lt;END&gt;</t>
  </si>
  <si>
    <t>&lt;END&gt;</t>
    <phoneticPr fontId="36" type="noConversion"/>
  </si>
  <si>
    <t>측정일시</t>
    <phoneticPr fontId="7" type="noConversion"/>
  </si>
  <si>
    <t>기본 온도</t>
    <phoneticPr fontId="7" type="noConversion"/>
  </si>
  <si>
    <t>기본 EC</t>
    <phoneticPr fontId="7" type="noConversion"/>
  </si>
  <si>
    <t>기본 PH</t>
    <phoneticPr fontId="7" type="noConversion"/>
  </si>
  <si>
    <t>항목</t>
    <phoneticPr fontId="7" type="noConversion"/>
  </si>
  <si>
    <t>경과</t>
    <phoneticPr fontId="7" type="noConversion"/>
  </si>
  <si>
    <t>온도( ℃ )</t>
    <phoneticPr fontId="7" type="noConversion"/>
  </si>
  <si>
    <t>EC (μs/㎝)</t>
    <phoneticPr fontId="7" type="noConversion"/>
  </si>
  <si>
    <t>pH</t>
    <phoneticPr fontId="7" type="noConversion"/>
  </si>
  <si>
    <t>최소</t>
    <phoneticPr fontId="7" type="noConversion"/>
  </si>
  <si>
    <t>변화량</t>
    <phoneticPr fontId="7" type="noConversion"/>
  </si>
  <si>
    <t>SkinFactor</t>
  </si>
  <si>
    <t>Max</t>
    <phoneticPr fontId="7" type="noConversion"/>
  </si>
  <si>
    <t>Average</t>
    <phoneticPr fontId="7" type="noConversion"/>
  </si>
  <si>
    <t>자연 수위</t>
    <phoneticPr fontId="4" type="noConversion"/>
  </si>
  <si>
    <t xml:space="preserve">산수개발(주) </t>
  </si>
  <si>
    <t>1
2
3
4
5</t>
  </si>
  <si>
    <t>0
120
240
360
480</t>
  </si>
  <si>
    <t>120
120
120
120
120</t>
  </si>
  <si>
    <t>조사자</t>
  </si>
  <si>
    <t>주식회사 한일지하수</t>
  </si>
  <si>
    <t>부여지하수개발주식회사</t>
  </si>
  <si>
    <t>마인지오주식회사</t>
  </si>
  <si>
    <t xml:space="preserve">삼원개발(주) </t>
  </si>
  <si>
    <t>(주)세기</t>
  </si>
  <si>
    <t>(주)전일</t>
  </si>
  <si>
    <t>(주)태양이엔지</t>
  </si>
  <si>
    <t>(주)나우</t>
  </si>
  <si>
    <t>(주)동해엔지니어링</t>
  </si>
  <si>
    <t>(주)현윤이앤씨</t>
  </si>
  <si>
    <t>관 정</t>
  </si>
  <si>
    <t xml:space="preserve"> 양수정의 수질 변화기록</t>
  </si>
  <si>
    <t>: k값</t>
    <phoneticPr fontId="7" type="noConversion"/>
  </si>
  <si>
    <t xml:space="preserve">S1:  </t>
    <phoneticPr fontId="7" type="noConversion"/>
  </si>
  <si>
    <t>&lt;---T1, 장기양수T</t>
    <phoneticPr fontId="7" type="noConversion"/>
  </si>
  <si>
    <t>강하수위(Sw)</t>
    <phoneticPr fontId="7" type="noConversion"/>
  </si>
  <si>
    <r>
      <t>6∙Δh∙K</t>
    </r>
    <r>
      <rPr>
        <sz val="11"/>
        <color rgb="FF000000"/>
        <rFont val="Calibri"/>
        <family val="2"/>
      </rPr>
      <t>∙</t>
    </r>
    <r>
      <rPr>
        <sz val="11"/>
        <color rgb="FF000000"/>
        <rFont val="Cambria Math"/>
        <family val="1"/>
      </rPr>
      <t>t</t>
    </r>
  </si>
  <si>
    <t>경험식, Re1=</t>
    <phoneticPr fontId="7" type="noConversion"/>
  </si>
  <si>
    <t>경험식, Re2=</t>
    <phoneticPr fontId="7" type="noConversion"/>
  </si>
  <si>
    <t>경험식, Re3=</t>
    <phoneticPr fontId="7" type="noConversion"/>
  </si>
  <si>
    <t xml:space="preserve">시추조사시 수량의 대소에 따라 차등적용 = </t>
    <phoneticPr fontId="7" type="noConversion"/>
  </si>
  <si>
    <t>단계별수위강하</t>
    <phoneticPr fontId="7" type="noConversion"/>
  </si>
  <si>
    <t>단면적</t>
    <phoneticPr fontId="4" type="noConversion"/>
  </si>
  <si>
    <t>지하수위</t>
    <phoneticPr fontId="4" type="noConversion"/>
  </si>
  <si>
    <t>시간</t>
    <phoneticPr fontId="4" type="noConversion"/>
  </si>
  <si>
    <t>검사</t>
    <phoneticPr fontId="4" type="noConversion"/>
  </si>
  <si>
    <t>S2</t>
    <phoneticPr fontId="7" type="noConversion"/>
  </si>
  <si>
    <t xml:space="preserve"> T2 =</t>
    <phoneticPr fontId="7" type="noConversion"/>
  </si>
  <si>
    <t>T1 =</t>
    <phoneticPr fontId="7" type="noConversion"/>
  </si>
  <si>
    <t>(합)수도건설</t>
    <phoneticPr fontId="4" type="noConversion"/>
  </si>
  <si>
    <t>한국농어촌공사</t>
    <phoneticPr fontId="4" type="noConversion"/>
  </si>
  <si>
    <t>(주)우경엔지니어링</t>
    <phoneticPr fontId="4" type="noConversion"/>
  </si>
  <si>
    <t>(합)청대개발</t>
    <phoneticPr fontId="4" type="noConversion"/>
  </si>
  <si>
    <t>공  번 : W - 16</t>
  </si>
  <si>
    <t>공  번 : W - 17</t>
  </si>
  <si>
    <t>공  번 : W - 18</t>
  </si>
  <si>
    <t>공  번 : W - 19</t>
  </si>
  <si>
    <t>공  번 : W - 20</t>
  </si>
  <si>
    <t>공  번 : W - 21</t>
  </si>
  <si>
    <t>공  번 : W - 22</t>
  </si>
  <si>
    <t>공  번 : W - 23</t>
  </si>
  <si>
    <t>공  번 : W - 24</t>
  </si>
  <si>
    <t>공  번 : W - 25</t>
  </si>
  <si>
    <t>공  번 : W - 26</t>
  </si>
  <si>
    <t>공  번 : W - 27</t>
  </si>
  <si>
    <t>공  번 : W - 28</t>
  </si>
  <si>
    <t>공  번 : W - 29</t>
  </si>
  <si>
    <t>공  번 : W - 30</t>
  </si>
  <si>
    <t>공  번 : W - 31</t>
  </si>
  <si>
    <t>공  번 : W - 32</t>
  </si>
  <si>
    <t>공  번 : W - 33</t>
  </si>
  <si>
    <t>W-16</t>
  </si>
  <si>
    <t>W-17</t>
  </si>
  <si>
    <t>W-18</t>
  </si>
  <si>
    <t>W-19</t>
  </si>
  <si>
    <t>W-20</t>
  </si>
  <si>
    <t>W-21</t>
  </si>
  <si>
    <t>W-22</t>
  </si>
  <si>
    <t>W-23</t>
  </si>
  <si>
    <t>W-24</t>
  </si>
  <si>
    <t>W-25</t>
  </si>
  <si>
    <t>W-26</t>
  </si>
  <si>
    <t>W-27</t>
  </si>
  <si>
    <t>W-28</t>
  </si>
  <si>
    <t>W-29</t>
  </si>
  <si>
    <t>W-30</t>
  </si>
  <si>
    <t>W-31</t>
  </si>
  <si>
    <t>W-32</t>
  </si>
  <si>
    <t>W-33</t>
  </si>
  <si>
    <t>대웅엔지니어링 주식회사</t>
    <phoneticPr fontId="4" type="noConversion"/>
  </si>
  <si>
    <t>공  번 : W - 1</t>
  </si>
  <si>
    <t>충청남도 부여군 외산면 반교리 574</t>
    <phoneticPr fontId="7" type="noConversion"/>
  </si>
  <si>
    <t>농업용 대형관정 사후관리 및 연장허가 용역 (외산,내산지구)</t>
    <phoneticPr fontId="7" type="noConversion"/>
  </si>
  <si>
    <t>외산지구</t>
    <phoneticPr fontId="7" type="noConversion"/>
  </si>
  <si>
    <t>189
240
292
344
396</t>
  </si>
  <si>
    <t>6.48
7.45
8.53
9.74
11.58</t>
  </si>
  <si>
    <t>2.88
3.85
4.93
6.14
7.98</t>
  </si>
  <si>
    <t>65.625
62.338
59.310
56.026
49.574</t>
  </si>
  <si>
    <t>0.015238
0.016042
0.016860
0.017849
0.020172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</si>
</sst>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3">
    <numFmt numFmtId="176" formatCode="0.00_);[Red]\(0.00\)"/>
    <numFmt numFmtId="177" formatCode="0.000"/>
    <numFmt numFmtId="178" formatCode="0.0000"/>
    <numFmt numFmtId="179" formatCode="0.0000000"/>
    <numFmt numFmtId="180" formatCode="_(* #,##0_);_(* \(#,##0\);_(* &quot;-&quot;_);_(@_)"/>
    <numFmt numFmtId="181" formatCode="0.000_ "/>
    <numFmt numFmtId="182" formatCode="0.0"/>
    <numFmt numFmtId="183" formatCode="_-* #,##0.0_-;\-* #,##0.0_-;_-* &quot;-&quot;_-;_-@_-"/>
    <numFmt numFmtId="184" formatCode="_-* #,##0.0_-;\-* #,##0.0_-;_-* &quot;-&quot;??_-;_-@_-"/>
    <numFmt numFmtId="185" formatCode="\ 0\ &quot;지구&quot;\ "/>
    <numFmt numFmtId="186" formatCode="\ 0.00\ &quot;m&quot;\ "/>
    <numFmt numFmtId="187" formatCode="\ \ yy\ &quot;년&quot;\ \ \ m&quot; 월&quot;\ \ \ d\ &quot;일&quot;\ \ \ "/>
    <numFmt numFmtId="188" formatCode="0_);[Red]\(0\)"/>
    <numFmt numFmtId="189" formatCode="0.0000_ "/>
    <numFmt numFmtId="190" formatCode="0.0000000_ "/>
    <numFmt numFmtId="191" formatCode="&quot;t:&quot;0,000"/>
    <numFmt numFmtId="192" formatCode="0.0\ &quot;도&quot;"/>
    <numFmt numFmtId="193" formatCode="0.00_ "/>
    <numFmt numFmtId="194" formatCode="0_ "/>
    <numFmt numFmtId="195" formatCode="0.000\ &quot;%&quot;"/>
    <numFmt numFmtId="196" formatCode="\ 0.00"/>
    <numFmt numFmtId="197" formatCode="0.0_ "/>
    <numFmt numFmtId="198" formatCode="&quot;s`:&quot;0.00"/>
    <numFmt numFmtId="199" formatCode="0.0%"/>
    <numFmt numFmtId="200" formatCode="\ 0\ &quot;분&quot;\ "/>
    <numFmt numFmtId="201" formatCode="0.0\ &quot;Hp&quot;"/>
    <numFmt numFmtId="202" formatCode="h&quot;시&quot;\ mm&quot;분&quot;\ "/>
    <numFmt numFmtId="203" formatCode="0\ &quot;m/m&quot;"/>
    <numFmt numFmtId="204" formatCode="0\ &quot;M&quot;"/>
    <numFmt numFmtId="205" formatCode="0.00\ &quot;M&quot;"/>
    <numFmt numFmtId="206" formatCode="0.0\ &quot;M&quot;"/>
    <numFmt numFmtId="207" formatCode="\ 0\ \ "/>
    <numFmt numFmtId="208" formatCode="\ 0.00\ "/>
    <numFmt numFmtId="209" formatCode="#,##0.00;[Red]#,##0.00"/>
    <numFmt numFmtId="210" formatCode="\ 0\ "/>
    <numFmt numFmtId="211" formatCode="&quot;  마력 :&quot;\ 0.0&quot; HP&quot;"/>
    <numFmt numFmtId="212" formatCode="&quot;마력 :&quot;\ 0&quot; HP&quot;"/>
    <numFmt numFmtId="213" formatCode="yyyy&quot;년&quot;\ m&quot;월&quot;\ d&quot;일&quot;;@"/>
    <numFmt numFmtId="214" formatCode="0.00000"/>
    <numFmt numFmtId="215" formatCode="yy&quot;-&quot;m&quot;-&quot;d\ h:mm;@"/>
    <numFmt numFmtId="216" formatCode="#,##0.0_);[Red]\(#,##0.0\)"/>
    <numFmt numFmtId="217" formatCode="yyyy&quot;-&quot;mm&quot;-&quot;dd\ h:mm;@"/>
    <numFmt numFmtId="218" formatCode="#,##0.00_ "/>
  </numFmts>
  <fonts count="81">
    <font>
      <sz val="11"/>
      <color theme="1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name val="돋움"/>
      <family val="3"/>
      <charset val="129"/>
    </font>
    <font>
      <sz val="9"/>
      <name val="굴림체"/>
      <family val="3"/>
      <charset val="129"/>
    </font>
    <font>
      <sz val="8"/>
      <name val="맑은 고딕"/>
      <family val="2"/>
      <charset val="129"/>
      <scheme val="minor"/>
    </font>
    <font>
      <sz val="9"/>
      <color indexed="55"/>
      <name val="굴림체"/>
      <family val="3"/>
      <charset val="129"/>
    </font>
    <font>
      <sz val="11"/>
      <name val="굴림체"/>
      <family val="3"/>
      <charset val="129"/>
    </font>
    <font>
      <sz val="8"/>
      <name val="돋움"/>
      <family val="3"/>
      <charset val="129"/>
    </font>
    <font>
      <b/>
      <sz val="9"/>
      <name val="굴림체"/>
      <family val="3"/>
      <charset val="129"/>
    </font>
    <font>
      <sz val="9"/>
      <color indexed="10"/>
      <name val="굴림체"/>
      <family val="3"/>
      <charset val="129"/>
    </font>
    <font>
      <sz val="11"/>
      <color rgb="FF000000"/>
      <name val="돋움"/>
      <family val="3"/>
      <charset val="129"/>
    </font>
    <font>
      <sz val="8"/>
      <name val="굴림체"/>
      <family val="3"/>
      <charset val="129"/>
    </font>
    <font>
      <b/>
      <sz val="11"/>
      <name val="굴림체"/>
      <family val="3"/>
      <charset val="129"/>
    </font>
    <font>
      <sz val="10"/>
      <name val="맑은 고딕"/>
      <family val="3"/>
      <charset val="129"/>
    </font>
    <font>
      <sz val="11"/>
      <name val="맑은 고딕"/>
      <family val="3"/>
      <charset val="129"/>
    </font>
    <font>
      <sz val="9"/>
      <name val="맑은 고딕"/>
      <family val="3"/>
      <charset val="129"/>
    </font>
    <font>
      <sz val="10"/>
      <color indexed="8"/>
      <name val="맑은 고딕"/>
      <family val="3"/>
      <charset val="129"/>
    </font>
    <font>
      <b/>
      <sz val="11"/>
      <name val="맑은 고딕"/>
      <family val="3"/>
      <charset val="129"/>
    </font>
    <font>
      <b/>
      <sz val="10"/>
      <color theme="0"/>
      <name val="맑은 고딕"/>
      <family val="3"/>
      <charset val="129"/>
    </font>
    <font>
      <sz val="10"/>
      <color indexed="10"/>
      <name val="맑은 고딕"/>
      <family val="3"/>
      <charset val="129"/>
    </font>
    <font>
      <sz val="9"/>
      <color indexed="10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sz val="8"/>
      <name val="맑은 고딕"/>
      <family val="3"/>
      <charset val="129"/>
    </font>
    <font>
      <sz val="11"/>
      <name val="맑은 고딕"/>
      <family val="3"/>
      <charset val="129"/>
      <scheme val="major"/>
    </font>
    <font>
      <b/>
      <sz val="11"/>
      <color indexed="8"/>
      <name val="Consolas"/>
      <family val="3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  <scheme val="minor"/>
    </font>
    <font>
      <sz val="11"/>
      <name val="Consolas"/>
      <family val="3"/>
    </font>
    <font>
      <sz val="11"/>
      <name val="Consolas"/>
      <family val="3"/>
      <charset val="129"/>
    </font>
    <font>
      <sz val="11"/>
      <color theme="1"/>
      <name val="맑은 고딕"/>
      <family val="2"/>
      <scheme val="minor"/>
    </font>
    <font>
      <b/>
      <sz val="11"/>
      <color indexed="10"/>
      <name val="맑은 고딕"/>
      <family val="3"/>
      <charset val="129"/>
    </font>
    <font>
      <i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2"/>
      <color theme="0"/>
      <name val="맑은 고딕"/>
      <family val="3"/>
      <charset val="129"/>
      <scheme val="minor"/>
    </font>
    <font>
      <sz val="10"/>
      <color indexed="8"/>
      <name val="굴림체"/>
      <family val="3"/>
      <charset val="129"/>
    </font>
    <font>
      <sz val="11"/>
      <color indexed="8"/>
      <name val="돋움체"/>
      <family val="3"/>
      <charset val="129"/>
    </font>
    <font>
      <b/>
      <sz val="10"/>
      <color theme="0"/>
      <name val="굴림체"/>
      <family val="3"/>
      <charset val="129"/>
    </font>
    <font>
      <b/>
      <sz val="10"/>
      <color theme="0"/>
      <name val="맑은 고딕"/>
      <family val="3"/>
      <charset val="129"/>
      <scheme val="major"/>
    </font>
    <font>
      <sz val="8"/>
      <color indexed="8"/>
      <name val="굴림체"/>
      <family val="3"/>
      <charset val="129"/>
    </font>
    <font>
      <b/>
      <sz val="10"/>
      <color indexed="8"/>
      <name val="맑은 고딕"/>
      <family val="3"/>
      <charset val="129"/>
    </font>
    <font>
      <sz val="10"/>
      <color indexed="55"/>
      <name val="굴림체"/>
      <family val="3"/>
      <charset val="129"/>
    </font>
    <font>
      <b/>
      <i/>
      <sz val="11"/>
      <color indexed="8"/>
      <name val="맑은 고딕"/>
      <family val="3"/>
      <charset val="129"/>
      <scheme val="major"/>
    </font>
    <font>
      <b/>
      <sz val="9"/>
      <color indexed="81"/>
      <name val="돋움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1"/>
      <color indexed="55"/>
      <name val="돋움체"/>
      <family val="3"/>
      <charset val="129"/>
    </font>
    <font>
      <b/>
      <sz val="10"/>
      <name val="굴림체"/>
      <family val="3"/>
      <charset val="129"/>
    </font>
    <font>
      <b/>
      <sz val="16"/>
      <color indexed="8"/>
      <name val="맑은 고딕"/>
      <family val="3"/>
      <charset val="129"/>
    </font>
    <font>
      <sz val="18"/>
      <color indexed="8"/>
      <name val="맑은 고딕"/>
      <family val="3"/>
      <charset val="129"/>
    </font>
    <font>
      <sz val="10"/>
      <color indexed="9"/>
      <name val="맑은 고딕"/>
      <family val="3"/>
      <charset val="129"/>
    </font>
    <font>
      <sz val="18"/>
      <color indexed="9"/>
      <name val="맑은 고딕"/>
      <family val="3"/>
      <charset val="129"/>
    </font>
    <font>
      <b/>
      <sz val="14"/>
      <color indexed="8"/>
      <name val="맑은 고딕"/>
      <family val="3"/>
      <charset val="129"/>
    </font>
    <font>
      <b/>
      <i/>
      <sz val="12"/>
      <color theme="0"/>
      <name val="맑은 고딕"/>
      <family val="3"/>
      <charset val="129"/>
    </font>
    <font>
      <sz val="11"/>
      <color indexed="81"/>
      <name val="Tahoma"/>
      <family val="2"/>
    </font>
    <font>
      <sz val="12"/>
      <color indexed="81"/>
      <name val="Tahoma"/>
      <family val="2"/>
    </font>
    <font>
      <b/>
      <sz val="11"/>
      <color theme="1"/>
      <name val="맑은 고딕"/>
      <family val="3"/>
      <charset val="129"/>
    </font>
    <font>
      <sz val="11"/>
      <color theme="1"/>
      <name val="맑은 고딕"/>
      <family val="3"/>
      <charset val="129"/>
    </font>
    <font>
      <sz val="14"/>
      <color rgb="FF836967"/>
      <name val="Cambria Math"/>
      <family val="1"/>
    </font>
    <font>
      <sz val="11"/>
      <color rgb="FF000000"/>
      <name val="Calibri"/>
      <family val="2"/>
    </font>
    <font>
      <sz val="11"/>
      <color rgb="FF000000"/>
      <name val="Cambria Math"/>
      <family val="1"/>
    </font>
    <font>
      <sz val="10"/>
      <name val="맑은 고딕"/>
      <family val="3"/>
      <charset val="129"/>
      <scheme val="major"/>
    </font>
    <font>
      <b/>
      <i/>
      <sz val="11"/>
      <color theme="0"/>
      <name val="맑은 고딕"/>
      <family val="3"/>
      <charset val="129"/>
    </font>
    <font>
      <sz val="9"/>
      <color theme="1"/>
      <name val="굴림체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1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sz val="10"/>
      <color indexed="8"/>
      <name val="맑은 고딕"/>
      <family val="3"/>
      <charset val="129"/>
      <scheme val="major"/>
    </font>
    <font>
      <sz val="10.6"/>
      <color indexed="8"/>
      <name val="맑은 고딕"/>
      <family val="3"/>
      <charset val="129"/>
    </font>
    <font>
      <sz val="10.6"/>
      <color indexed="9"/>
      <name val="맑은 고딕"/>
      <family val="3"/>
      <charset val="129"/>
    </font>
    <font>
      <sz val="10.5"/>
      <name val="맑은 고딕"/>
      <family val="3"/>
      <charset val="129"/>
      <scheme val="major"/>
    </font>
    <font>
      <sz val="9"/>
      <color indexed="8"/>
      <name val="굴림체"/>
      <family val="3"/>
      <charset val="129"/>
    </font>
    <font>
      <sz val="9"/>
      <color indexed="8"/>
      <name val="맑은 고딕"/>
      <family val="3"/>
      <charset val="129"/>
      <scheme val="major"/>
    </font>
    <font>
      <sz val="10"/>
      <color indexed="10"/>
      <name val="맑은 고딕"/>
      <family val="3"/>
      <charset val="129"/>
      <scheme val="major"/>
    </font>
    <font>
      <b/>
      <i/>
      <sz val="11"/>
      <color theme="0"/>
      <name val="맑은 고딕"/>
      <family val="3"/>
      <charset val="129"/>
      <scheme val="major"/>
    </font>
    <font>
      <b/>
      <i/>
      <sz val="14"/>
      <color rgb="FFFF0000"/>
      <name val="맑은 고딕"/>
      <family val="3"/>
      <charset val="129"/>
    </font>
    <font>
      <b/>
      <sz val="10"/>
      <color indexed="81"/>
      <name val="Tahoma"/>
      <family val="2"/>
    </font>
    <font>
      <b/>
      <sz val="10"/>
      <color indexed="81"/>
      <name val="돋움"/>
      <family val="3"/>
      <charset val="129"/>
    </font>
    <font>
      <b/>
      <sz val="11"/>
      <color indexed="81"/>
      <name val="Tahoma"/>
      <family val="2"/>
    </font>
    <font>
      <b/>
      <sz val="11"/>
      <color indexed="81"/>
      <name val="돋움"/>
      <family val="3"/>
      <charset val="129"/>
    </font>
  </fonts>
  <fills count="31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indexed="1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DBF3D9"/>
        <bgColor indexed="64"/>
      </patternFill>
    </fill>
    <fill>
      <patternFill patternType="solid">
        <fgColor rgb="FFE7E7FF"/>
        <bgColor indexed="64"/>
      </patternFill>
    </fill>
    <fill>
      <patternFill patternType="solid">
        <fgColor rgb="FFFFFFCD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34998626667073579"/>
        <bgColor indexed="64"/>
      </patternFill>
    </fill>
  </fills>
  <borders count="6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dashed">
        <color auto="1"/>
      </top>
      <bottom style="dashed">
        <color indexed="64"/>
      </bottom>
      <diagonal/>
    </border>
    <border>
      <left/>
      <right style="medium">
        <color indexed="64"/>
      </right>
      <top style="dashed">
        <color auto="1"/>
      </top>
      <bottom style="dashed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auto="1"/>
      </bottom>
      <diagonal/>
    </border>
    <border>
      <left/>
      <right/>
      <top style="medium">
        <color indexed="64"/>
      </top>
      <bottom style="dashed">
        <color auto="1"/>
      </bottom>
      <diagonal/>
    </border>
    <border>
      <left/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/>
      <top style="dashed">
        <color auto="1"/>
      </top>
      <bottom style="medium">
        <color indexed="64"/>
      </bottom>
      <diagonal/>
    </border>
    <border>
      <left/>
      <right style="medium">
        <color indexed="64"/>
      </right>
      <top style="dashed">
        <color auto="1"/>
      </top>
      <bottom style="medium">
        <color indexed="64"/>
      </bottom>
      <diagonal/>
    </border>
  </borders>
  <cellStyleXfs count="6">
    <xf numFmtId="0" fontId="0" fillId="0" borderId="0">
      <alignment vertical="center"/>
    </xf>
    <xf numFmtId="0" fontId="1" fillId="2" borderId="0" applyNumberFormat="0" applyBorder="0" applyAlignment="0" applyProtection="0">
      <alignment vertical="center"/>
    </xf>
    <xf numFmtId="0" fontId="2" fillId="0" borderId="0"/>
    <xf numFmtId="180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>
      <alignment vertical="center"/>
    </xf>
  </cellStyleXfs>
  <cellXfs count="481">
    <xf numFmtId="0" fontId="0" fillId="0" borderId="0" xfId="0">
      <alignment vertical="center"/>
    </xf>
    <xf numFmtId="0" fontId="3" fillId="0" borderId="0" xfId="2" applyFont="1"/>
    <xf numFmtId="0" fontId="6" fillId="0" borderId="0" xfId="2" applyFont="1"/>
    <xf numFmtId="0" fontId="5" fillId="0" borderId="0" xfId="2" applyFont="1" applyAlignment="1">
      <alignment horizontal="center" vertical="center"/>
    </xf>
    <xf numFmtId="0" fontId="3" fillId="0" borderId="0" xfId="2" applyFont="1" applyAlignment="1">
      <alignment horizontal="center" vertical="center"/>
    </xf>
    <xf numFmtId="0" fontId="10" fillId="0" borderId="0" xfId="2" applyFont="1" applyAlignment="1">
      <alignment horizontal="center" vertical="center" readingOrder="1"/>
    </xf>
    <xf numFmtId="0" fontId="2" fillId="0" borderId="0" xfId="2"/>
    <xf numFmtId="0" fontId="3" fillId="0" borderId="0" xfId="2" applyFont="1" applyAlignment="1">
      <alignment horizontal="right"/>
    </xf>
    <xf numFmtId="177" fontId="6" fillId="0" borderId="0" xfId="2" applyNumberFormat="1" applyFont="1"/>
    <xf numFmtId="0" fontId="28" fillId="0" borderId="0" xfId="2" applyFont="1" applyAlignment="1">
      <alignment horizontal="center" vertical="center"/>
    </xf>
    <xf numFmtId="0" fontId="29" fillId="0" borderId="0" xfId="2" applyFont="1" applyAlignment="1">
      <alignment horizontal="center" vertical="center"/>
    </xf>
    <xf numFmtId="0" fontId="14" fillId="0" borderId="0" xfId="2" applyFont="1" applyAlignment="1">
      <alignment horizontal="center" vertical="center"/>
    </xf>
    <xf numFmtId="0" fontId="30" fillId="0" borderId="0" xfId="2" applyFont="1" applyAlignment="1">
      <alignment horizontal="center" vertical="center"/>
    </xf>
    <xf numFmtId="0" fontId="23" fillId="0" borderId="0" xfId="2" applyFont="1" applyAlignment="1">
      <alignment horizontal="center" vertical="center"/>
    </xf>
    <xf numFmtId="0" fontId="14" fillId="0" borderId="0" xfId="5" applyFont="1">
      <alignment vertical="center"/>
    </xf>
    <xf numFmtId="0" fontId="14" fillId="0" borderId="0" xfId="5" applyFont="1" applyAlignment="1">
      <alignment horizontal="center" vertical="center"/>
    </xf>
    <xf numFmtId="0" fontId="32" fillId="0" borderId="0" xfId="5" applyFont="1" applyAlignment="1">
      <alignment horizontal="left" vertical="center"/>
    </xf>
    <xf numFmtId="0" fontId="17" fillId="0" borderId="0" xfId="5" applyFont="1">
      <alignment vertical="center"/>
    </xf>
    <xf numFmtId="192" fontId="14" fillId="0" borderId="0" xfId="5" applyNumberFormat="1" applyFont="1">
      <alignment vertical="center"/>
    </xf>
    <xf numFmtId="0" fontId="14" fillId="0" borderId="1" xfId="5" applyFont="1" applyBorder="1" applyAlignment="1">
      <alignment horizontal="center" vertical="center"/>
    </xf>
    <xf numFmtId="193" fontId="14" fillId="0" borderId="0" xfId="5" applyNumberFormat="1" applyFont="1">
      <alignment vertical="center"/>
    </xf>
    <xf numFmtId="0" fontId="14" fillId="0" borderId="19" xfId="5" applyFont="1" applyBorder="1">
      <alignment vertical="center"/>
    </xf>
    <xf numFmtId="195" fontId="14" fillId="0" borderId="0" xfId="5" applyNumberFormat="1" applyFont="1">
      <alignment vertical="center"/>
    </xf>
    <xf numFmtId="196" fontId="17" fillId="0" borderId="0" xfId="5" applyNumberFormat="1" applyFont="1">
      <alignment vertical="center"/>
    </xf>
    <xf numFmtId="0" fontId="34" fillId="0" borderId="0" xfId="5" applyFont="1" applyAlignment="1">
      <alignment horizontal="right" vertical="center"/>
    </xf>
    <xf numFmtId="0" fontId="14" fillId="0" borderId="22" xfId="5" applyFont="1" applyBorder="1">
      <alignment vertical="center"/>
    </xf>
    <xf numFmtId="0" fontId="14" fillId="0" borderId="26" xfId="5" applyFont="1" applyBorder="1">
      <alignment vertical="center"/>
    </xf>
    <xf numFmtId="0" fontId="14" fillId="0" borderId="4" xfId="5" applyFont="1" applyBorder="1">
      <alignment vertical="center"/>
    </xf>
    <xf numFmtId="0" fontId="14" fillId="0" borderId="4" xfId="5" applyFont="1" applyBorder="1" applyAlignment="1">
      <alignment horizontal="center" vertical="center"/>
    </xf>
    <xf numFmtId="0" fontId="13" fillId="0" borderId="26" xfId="5" applyFont="1" applyBorder="1" applyAlignment="1">
      <alignment horizontal="center" vertical="center"/>
    </xf>
    <xf numFmtId="178" fontId="14" fillId="0" borderId="29" xfId="5" applyNumberFormat="1" applyFont="1" applyBorder="1" applyAlignment="1">
      <alignment horizontal="center" vertical="center"/>
    </xf>
    <xf numFmtId="0" fontId="14" fillId="0" borderId="29" xfId="5" applyFont="1" applyBorder="1" applyAlignment="1">
      <alignment horizontal="center" vertical="center"/>
    </xf>
    <xf numFmtId="178" fontId="14" fillId="0" borderId="0" xfId="5" applyNumberFormat="1" applyFont="1">
      <alignment vertical="center"/>
    </xf>
    <xf numFmtId="0" fontId="14" fillId="0" borderId="23" xfId="5" applyFont="1" applyBorder="1">
      <alignment vertical="center"/>
    </xf>
    <xf numFmtId="0" fontId="14" fillId="0" borderId="23" xfId="5" applyFont="1" applyBorder="1" applyAlignment="1">
      <alignment horizontal="center" vertical="center"/>
    </xf>
    <xf numFmtId="0" fontId="14" fillId="0" borderId="27" xfId="5" applyFont="1" applyBorder="1" applyAlignment="1">
      <alignment horizontal="center" vertical="center"/>
    </xf>
    <xf numFmtId="0" fontId="14" fillId="0" borderId="30" xfId="5" applyFont="1" applyBorder="1" applyAlignment="1">
      <alignment horizontal="center" vertical="center"/>
    </xf>
    <xf numFmtId="0" fontId="14" fillId="0" borderId="31" xfId="5" applyFont="1" applyBorder="1" applyAlignment="1">
      <alignment horizontal="center" vertical="center"/>
    </xf>
    <xf numFmtId="0" fontId="14" fillId="0" borderId="0" xfId="5" applyFont="1" applyAlignment="1">
      <alignment horizontal="right" vertical="center"/>
    </xf>
    <xf numFmtId="0" fontId="2" fillId="0" borderId="0" xfId="2" applyAlignment="1">
      <alignment horizontal="center"/>
    </xf>
    <xf numFmtId="0" fontId="28" fillId="0" borderId="0" xfId="2" applyFont="1" applyAlignment="1">
      <alignment horizontal="right" vertical="center"/>
    </xf>
    <xf numFmtId="0" fontId="28" fillId="0" borderId="0" xfId="2" applyFont="1" applyAlignment="1">
      <alignment vertical="center"/>
    </xf>
    <xf numFmtId="0" fontId="28" fillId="0" borderId="0" xfId="2" applyFont="1" applyAlignment="1">
      <alignment horizontal="right" vertical="center" wrapText="1"/>
    </xf>
    <xf numFmtId="0" fontId="28" fillId="0" borderId="0" xfId="2" quotePrefix="1" applyFont="1" applyAlignment="1">
      <alignment horizontal="right" vertical="center" wrapText="1"/>
    </xf>
    <xf numFmtId="0" fontId="35" fillId="15" borderId="12" xfId="2" applyFont="1" applyFill="1" applyBorder="1" applyAlignment="1">
      <alignment horizontal="right" vertical="center"/>
    </xf>
    <xf numFmtId="0" fontId="35" fillId="15" borderId="14" xfId="2" applyFont="1" applyFill="1" applyBorder="1" applyAlignment="1">
      <alignment horizontal="right" vertical="center"/>
    </xf>
    <xf numFmtId="0" fontId="35" fillId="15" borderId="34" xfId="2" applyFont="1" applyFill="1" applyBorder="1" applyAlignment="1">
      <alignment horizontal="right" vertical="center"/>
    </xf>
    <xf numFmtId="0" fontId="36" fillId="0" borderId="0" xfId="2" applyFont="1"/>
    <xf numFmtId="0" fontId="36" fillId="0" borderId="0" xfId="2" applyFont="1" applyAlignment="1">
      <alignment horizontal="center"/>
    </xf>
    <xf numFmtId="0" fontId="36" fillId="0" borderId="0" xfId="2" applyFont="1" applyAlignment="1">
      <alignment vertical="top"/>
    </xf>
    <xf numFmtId="181" fontId="36" fillId="0" borderId="0" xfId="2" applyNumberFormat="1" applyFont="1"/>
    <xf numFmtId="0" fontId="36" fillId="0" borderId="0" xfId="2" applyFont="1" applyAlignment="1">
      <alignment vertical="center"/>
    </xf>
    <xf numFmtId="0" fontId="36" fillId="3" borderId="0" xfId="2" applyFont="1" applyFill="1" applyAlignment="1">
      <alignment vertical="center"/>
    </xf>
    <xf numFmtId="0" fontId="36" fillId="0" borderId="0" xfId="2" applyFont="1" applyAlignment="1">
      <alignment horizontal="center" vertical="center"/>
    </xf>
    <xf numFmtId="181" fontId="36" fillId="0" borderId="0" xfId="2" applyNumberFormat="1" applyFont="1" applyAlignment="1">
      <alignment horizontal="center" vertical="center"/>
    </xf>
    <xf numFmtId="1" fontId="36" fillId="0" borderId="0" xfId="2" applyNumberFormat="1" applyFont="1" applyAlignment="1">
      <alignment vertical="center"/>
    </xf>
    <xf numFmtId="200" fontId="36" fillId="0" borderId="0" xfId="2" applyNumberFormat="1" applyFont="1" applyAlignment="1">
      <alignment vertical="center"/>
    </xf>
    <xf numFmtId="2" fontId="36" fillId="0" borderId="0" xfId="2" applyNumberFormat="1" applyFont="1" applyAlignment="1">
      <alignment vertical="center"/>
    </xf>
    <xf numFmtId="176" fontId="36" fillId="0" borderId="0" xfId="2" applyNumberFormat="1" applyFont="1" applyAlignment="1">
      <alignment vertical="center"/>
    </xf>
    <xf numFmtId="177" fontId="36" fillId="16" borderId="0" xfId="2" applyNumberFormat="1" applyFont="1" applyFill="1" applyAlignment="1">
      <alignment vertical="center"/>
    </xf>
    <xf numFmtId="182" fontId="36" fillId="0" borderId="0" xfId="2" applyNumberFormat="1" applyFont="1" applyAlignment="1">
      <alignment vertical="center"/>
    </xf>
    <xf numFmtId="181" fontId="36" fillId="0" borderId="0" xfId="2" applyNumberFormat="1" applyFont="1" applyAlignment="1">
      <alignment vertical="center"/>
    </xf>
    <xf numFmtId="0" fontId="38" fillId="0" borderId="0" xfId="2" applyFont="1" applyAlignment="1">
      <alignment vertical="center"/>
    </xf>
    <xf numFmtId="193" fontId="38" fillId="17" borderId="0" xfId="2" applyNumberFormat="1" applyFont="1" applyFill="1" applyAlignment="1">
      <alignment horizontal="center" vertical="center"/>
    </xf>
    <xf numFmtId="186" fontId="2" fillId="0" borderId="0" xfId="2" applyNumberFormat="1"/>
    <xf numFmtId="208" fontId="37" fillId="0" borderId="1" xfId="2" applyNumberFormat="1" applyFont="1" applyBorder="1" applyAlignment="1">
      <alignment horizontal="center" vertical="center"/>
    </xf>
    <xf numFmtId="186" fontId="36" fillId="0" borderId="0" xfId="2" applyNumberFormat="1" applyFont="1" applyAlignment="1">
      <alignment vertical="center"/>
    </xf>
    <xf numFmtId="0" fontId="39" fillId="18" borderId="0" xfId="2" applyFont="1" applyFill="1" applyAlignment="1">
      <alignment horizontal="center" vertical="center" wrapText="1"/>
    </xf>
    <xf numFmtId="209" fontId="36" fillId="8" borderId="0" xfId="2" applyNumberFormat="1" applyFont="1" applyFill="1" applyAlignment="1">
      <alignment horizontal="center" vertical="center"/>
    </xf>
    <xf numFmtId="0" fontId="36" fillId="8" borderId="0" xfId="2" applyFont="1" applyFill="1" applyAlignment="1">
      <alignment horizontal="center" vertical="center"/>
    </xf>
    <xf numFmtId="0" fontId="36" fillId="8" borderId="0" xfId="2" applyFont="1" applyFill="1" applyAlignment="1">
      <alignment horizontal="right" vertical="center" wrapText="1"/>
    </xf>
    <xf numFmtId="196" fontId="36" fillId="8" borderId="0" xfId="2" applyNumberFormat="1" applyFont="1" applyFill="1" applyAlignment="1">
      <alignment vertical="center"/>
    </xf>
    <xf numFmtId="0" fontId="36" fillId="3" borderId="0" xfId="2" applyFont="1" applyFill="1" applyAlignment="1">
      <alignment horizontal="center" vertical="center"/>
    </xf>
    <xf numFmtId="0" fontId="36" fillId="12" borderId="0" xfId="2" applyFont="1" applyFill="1" applyAlignment="1">
      <alignment horizontal="center" vertical="center"/>
    </xf>
    <xf numFmtId="0" fontId="36" fillId="0" borderId="0" xfId="2" applyFont="1" applyAlignment="1">
      <alignment horizontal="right" vertical="center"/>
    </xf>
    <xf numFmtId="205" fontId="36" fillId="0" borderId="0" xfId="2" applyNumberFormat="1" applyFont="1" applyAlignment="1">
      <alignment vertical="center"/>
    </xf>
    <xf numFmtId="176" fontId="36" fillId="0" borderId="0" xfId="2" applyNumberFormat="1" applyFont="1" applyAlignment="1">
      <alignment vertical="center" shrinkToFit="1"/>
    </xf>
    <xf numFmtId="0" fontId="41" fillId="6" borderId="0" xfId="2" applyFont="1" applyFill="1" applyAlignment="1">
      <alignment horizontal="center" vertical="center"/>
    </xf>
    <xf numFmtId="210" fontId="36" fillId="0" borderId="0" xfId="2" applyNumberFormat="1" applyFont="1" applyAlignment="1">
      <alignment vertical="center"/>
    </xf>
    <xf numFmtId="176" fontId="36" fillId="12" borderId="0" xfId="2" applyNumberFormat="1" applyFont="1" applyFill="1" applyAlignment="1">
      <alignment vertical="center"/>
    </xf>
    <xf numFmtId="196" fontId="36" fillId="0" borderId="0" xfId="2" applyNumberFormat="1" applyFont="1" applyAlignment="1">
      <alignment vertical="center"/>
    </xf>
    <xf numFmtId="210" fontId="36" fillId="0" borderId="0" xfId="2" applyNumberFormat="1" applyFont="1" applyAlignment="1">
      <alignment horizontal="right" vertical="center"/>
    </xf>
    <xf numFmtId="210" fontId="36" fillId="0" borderId="0" xfId="2" applyNumberFormat="1" applyFont="1" applyAlignment="1">
      <alignment horizontal="right"/>
    </xf>
    <xf numFmtId="200" fontId="42" fillId="0" borderId="0" xfId="2" applyNumberFormat="1" applyFont="1" applyAlignment="1">
      <alignment vertical="center"/>
    </xf>
    <xf numFmtId="214" fontId="36" fillId="0" borderId="0" xfId="2" applyNumberFormat="1" applyFont="1" applyAlignment="1">
      <alignment vertical="center"/>
    </xf>
    <xf numFmtId="0" fontId="43" fillId="0" borderId="0" xfId="2" applyFont="1" applyAlignment="1">
      <alignment vertical="center"/>
    </xf>
    <xf numFmtId="1" fontId="36" fillId="5" borderId="0" xfId="2" applyNumberFormat="1" applyFont="1" applyFill="1" applyAlignment="1">
      <alignment vertical="center"/>
    </xf>
    <xf numFmtId="0" fontId="36" fillId="5" borderId="0" xfId="2" applyFont="1" applyFill="1" applyAlignment="1">
      <alignment vertical="center"/>
    </xf>
    <xf numFmtId="200" fontId="36" fillId="5" borderId="0" xfId="2" applyNumberFormat="1" applyFont="1" applyFill="1" applyAlignment="1">
      <alignment vertical="center"/>
    </xf>
    <xf numFmtId="176" fontId="36" fillId="5" borderId="0" xfId="2" applyNumberFormat="1" applyFont="1" applyFill="1" applyAlignment="1">
      <alignment vertical="center" shrinkToFit="1"/>
    </xf>
    <xf numFmtId="0" fontId="43" fillId="5" borderId="0" xfId="2" applyFont="1" applyFill="1" applyAlignment="1">
      <alignment vertical="center"/>
    </xf>
    <xf numFmtId="200" fontId="1" fillId="2" borderId="0" xfId="1" applyNumberFormat="1">
      <alignment vertical="center"/>
    </xf>
    <xf numFmtId="176" fontId="1" fillId="2" borderId="0" xfId="1" applyNumberFormat="1" applyAlignment="1">
      <alignment vertical="center" shrinkToFit="1"/>
    </xf>
    <xf numFmtId="2" fontId="1" fillId="2" borderId="0" xfId="1" applyNumberFormat="1">
      <alignment vertical="center"/>
    </xf>
    <xf numFmtId="0" fontId="36" fillId="0" borderId="0" xfId="2" applyFont="1" applyAlignment="1">
      <alignment vertical="center" shrinkToFit="1"/>
    </xf>
    <xf numFmtId="200" fontId="36" fillId="0" borderId="0" xfId="2" applyNumberFormat="1" applyFont="1" applyAlignment="1">
      <alignment horizontal="right"/>
    </xf>
    <xf numFmtId="0" fontId="36" fillId="0" borderId="0" xfId="2" applyFont="1" applyAlignment="1">
      <alignment shrinkToFit="1"/>
    </xf>
    <xf numFmtId="0" fontId="14" fillId="0" borderId="0" xfId="2" applyFont="1" applyAlignment="1">
      <alignment horizontal="left"/>
    </xf>
    <xf numFmtId="2" fontId="14" fillId="0" borderId="0" xfId="2" applyNumberFormat="1" applyFont="1" applyAlignment="1">
      <alignment horizontal="left"/>
    </xf>
    <xf numFmtId="0" fontId="14" fillId="0" borderId="0" xfId="2" applyFont="1" applyAlignment="1">
      <alignment vertical="center"/>
    </xf>
    <xf numFmtId="207" fontId="37" fillId="0" borderId="1" xfId="2" applyNumberFormat="1" applyFont="1" applyBorder="1" applyAlignment="1">
      <alignment horizontal="center" vertical="center"/>
    </xf>
    <xf numFmtId="207" fontId="37" fillId="3" borderId="1" xfId="2" applyNumberFormat="1" applyFont="1" applyFill="1" applyBorder="1" applyAlignment="1">
      <alignment horizontal="center" vertical="center"/>
    </xf>
    <xf numFmtId="0" fontId="2" fillId="19" borderId="0" xfId="2" applyFill="1"/>
    <xf numFmtId="181" fontId="2" fillId="19" borderId="0" xfId="2" applyNumberFormat="1" applyFill="1"/>
    <xf numFmtId="208" fontId="47" fillId="0" borderId="1" xfId="2" applyNumberFormat="1" applyFont="1" applyBorder="1" applyAlignment="1">
      <alignment horizontal="center" vertical="center"/>
    </xf>
    <xf numFmtId="193" fontId="2" fillId="19" borderId="0" xfId="2" applyNumberFormat="1" applyFill="1"/>
    <xf numFmtId="176" fontId="2" fillId="19" borderId="0" xfId="2" applyNumberFormat="1" applyFill="1"/>
    <xf numFmtId="208" fontId="37" fillId="19" borderId="1" xfId="2" applyNumberFormat="1" applyFont="1" applyFill="1" applyBorder="1" applyAlignment="1">
      <alignment horizontal="center" vertical="center"/>
    </xf>
    <xf numFmtId="0" fontId="14" fillId="0" borderId="33" xfId="5" applyFont="1" applyBorder="1" applyAlignment="1">
      <alignment horizontal="center" vertical="center"/>
    </xf>
    <xf numFmtId="0" fontId="6" fillId="0" borderId="0" xfId="2" applyFont="1" applyAlignment="1">
      <alignment horizontal="center" vertical="center" wrapText="1"/>
    </xf>
    <xf numFmtId="0" fontId="3" fillId="0" borderId="0" xfId="2" applyFont="1" applyAlignment="1">
      <alignment horizontal="center" vertical="center" wrapText="1"/>
    </xf>
    <xf numFmtId="0" fontId="17" fillId="0" borderId="4" xfId="5" applyFont="1" applyBorder="1" applyAlignment="1">
      <alignment horizontal="center" vertical="center"/>
    </xf>
    <xf numFmtId="0" fontId="14" fillId="0" borderId="25" xfId="5" applyFont="1" applyBorder="1" applyAlignment="1">
      <alignment horizontal="center" vertical="center"/>
    </xf>
    <xf numFmtId="0" fontId="29" fillId="0" borderId="0" xfId="2" applyFont="1" applyAlignment="1">
      <alignment horizontal="left"/>
    </xf>
    <xf numFmtId="2" fontId="29" fillId="0" borderId="0" xfId="2" applyNumberFormat="1" applyFont="1" applyAlignment="1">
      <alignment horizontal="left"/>
    </xf>
    <xf numFmtId="1" fontId="29" fillId="0" borderId="0" xfId="2" applyNumberFormat="1" applyFont="1" applyAlignment="1">
      <alignment horizontal="left"/>
    </xf>
    <xf numFmtId="178" fontId="29" fillId="0" borderId="0" xfId="2" applyNumberFormat="1" applyFont="1" applyAlignment="1">
      <alignment horizontal="left"/>
    </xf>
    <xf numFmtId="193" fontId="29" fillId="0" borderId="0" xfId="2" applyNumberFormat="1" applyFont="1" applyAlignment="1">
      <alignment horizontal="left"/>
    </xf>
    <xf numFmtId="0" fontId="49" fillId="0" borderId="0" xfId="2" applyFont="1" applyAlignment="1">
      <alignment horizontal="centerContinuous" vertical="center"/>
    </xf>
    <xf numFmtId="0" fontId="50" fillId="0" borderId="0" xfId="2" applyFont="1" applyAlignment="1">
      <alignment horizontal="centerContinuous" vertical="center"/>
    </xf>
    <xf numFmtId="0" fontId="16" fillId="0" borderId="1" xfId="2" applyFont="1" applyBorder="1" applyAlignment="1">
      <alignment horizontal="centerContinuous" vertical="center"/>
    </xf>
    <xf numFmtId="0" fontId="16" fillId="0" borderId="2" xfId="2" applyFont="1" applyBorder="1" applyAlignment="1">
      <alignment horizontal="left" vertical="center"/>
    </xf>
    <xf numFmtId="0" fontId="16" fillId="0" borderId="6" xfId="2" applyFont="1" applyBorder="1" applyAlignment="1">
      <alignment vertical="center"/>
    </xf>
    <xf numFmtId="0" fontId="16" fillId="0" borderId="7" xfId="2" applyFont="1" applyBorder="1" applyAlignment="1">
      <alignment horizontal="center" vertical="center"/>
    </xf>
    <xf numFmtId="0" fontId="16" fillId="0" borderId="6" xfId="2" applyFont="1" applyBorder="1" applyAlignment="1">
      <alignment horizontal="right" vertical="center"/>
    </xf>
    <xf numFmtId="0" fontId="16" fillId="0" borderId="6" xfId="2" applyFont="1" applyBorder="1" applyAlignment="1">
      <alignment horizontal="centerContinuous" vertical="center"/>
    </xf>
    <xf numFmtId="0" fontId="16" fillId="0" borderId="7" xfId="2" applyFont="1" applyBorder="1" applyAlignment="1">
      <alignment horizontal="centerContinuous" vertical="center"/>
    </xf>
    <xf numFmtId="0" fontId="16" fillId="0" borderId="2" xfId="2" applyFont="1" applyBorder="1" applyAlignment="1">
      <alignment vertical="center"/>
    </xf>
    <xf numFmtId="0" fontId="51" fillId="0" borderId="6" xfId="2" applyFont="1" applyBorder="1" applyAlignment="1">
      <alignment horizontal="center" vertical="center"/>
    </xf>
    <xf numFmtId="187" fontId="51" fillId="0" borderId="7" xfId="2" applyNumberFormat="1" applyFont="1" applyBorder="1" applyAlignment="1">
      <alignment horizontal="centerContinuous" vertical="center"/>
    </xf>
    <xf numFmtId="0" fontId="51" fillId="0" borderId="1" xfId="2" applyFont="1" applyBorder="1" applyAlignment="1">
      <alignment horizontal="centerContinuous" vertical="center"/>
    </xf>
    <xf numFmtId="212" fontId="16" fillId="0" borderId="1" xfId="2" applyNumberFormat="1" applyFont="1" applyBorder="1" applyAlignment="1">
      <alignment horizontal="center" vertical="center"/>
    </xf>
    <xf numFmtId="203" fontId="16" fillId="0" borderId="2" xfId="2" applyNumberFormat="1" applyFont="1" applyBorder="1" applyAlignment="1">
      <alignment horizontal="center" vertical="center"/>
    </xf>
    <xf numFmtId="0" fontId="16" fillId="0" borderId="7" xfId="2" applyFont="1" applyBorder="1" applyAlignment="1">
      <alignment vertical="center"/>
    </xf>
    <xf numFmtId="0" fontId="16" fillId="0" borderId="1" xfId="2" applyFont="1" applyBorder="1" applyAlignment="1">
      <alignment horizontal="center" vertical="center"/>
    </xf>
    <xf numFmtId="204" fontId="16" fillId="0" borderId="1" xfId="2" applyNumberFormat="1" applyFont="1" applyBorder="1" applyAlignment="1">
      <alignment horizontal="right" vertical="center"/>
    </xf>
    <xf numFmtId="202" fontId="16" fillId="0" borderId="1" xfId="2" applyNumberFormat="1" applyFont="1" applyBorder="1" applyAlignment="1">
      <alignment horizontal="center" vertical="center"/>
    </xf>
    <xf numFmtId="205" fontId="16" fillId="0" borderId="2" xfId="2" applyNumberFormat="1" applyFont="1" applyBorder="1" applyAlignment="1">
      <alignment horizontal="center" vertical="center"/>
    </xf>
    <xf numFmtId="205" fontId="16" fillId="0" borderId="1" xfId="2" applyNumberFormat="1" applyFont="1" applyBorder="1" applyAlignment="1">
      <alignment horizontal="right" vertical="center"/>
    </xf>
    <xf numFmtId="0" fontId="16" fillId="0" borderId="1" xfId="2" applyFont="1" applyBorder="1" applyAlignment="1">
      <alignment horizontal="center" vertical="center" wrapText="1"/>
    </xf>
    <xf numFmtId="0" fontId="16" fillId="0" borderId="1" xfId="2" applyFont="1" applyBorder="1" applyAlignment="1">
      <alignment vertical="center"/>
    </xf>
    <xf numFmtId="1" fontId="16" fillId="0" borderId="1" xfId="2" applyNumberFormat="1" applyFont="1" applyBorder="1" applyAlignment="1">
      <alignment vertical="center"/>
    </xf>
    <xf numFmtId="202" fontId="16" fillId="0" borderId="1" xfId="2" applyNumberFormat="1" applyFont="1" applyBorder="1" applyAlignment="1">
      <alignment vertical="center"/>
    </xf>
    <xf numFmtId="210" fontId="16" fillId="0" borderId="2" xfId="2" applyNumberFormat="1" applyFont="1" applyBorder="1" applyAlignment="1">
      <alignment horizontal="right" vertical="center"/>
    </xf>
    <xf numFmtId="196" fontId="16" fillId="0" borderId="1" xfId="2" applyNumberFormat="1" applyFont="1" applyBorder="1" applyAlignment="1">
      <alignment vertical="center"/>
    </xf>
    <xf numFmtId="196" fontId="16" fillId="5" borderId="1" xfId="2" applyNumberFormat="1" applyFont="1" applyFill="1" applyBorder="1" applyAlignment="1">
      <alignment vertical="center"/>
    </xf>
    <xf numFmtId="213" fontId="16" fillId="0" borderId="1" xfId="2" applyNumberFormat="1" applyFont="1" applyBorder="1" applyAlignment="1">
      <alignment vertical="center"/>
    </xf>
    <xf numFmtId="210" fontId="16" fillId="5" borderId="2" xfId="2" applyNumberFormat="1" applyFont="1" applyFill="1" applyBorder="1" applyAlignment="1">
      <alignment horizontal="right" vertical="center"/>
    </xf>
    <xf numFmtId="196" fontId="16" fillId="8" borderId="1" xfId="2" applyNumberFormat="1" applyFont="1" applyFill="1" applyBorder="1" applyAlignment="1">
      <alignment vertical="center"/>
    </xf>
    <xf numFmtId="0" fontId="52" fillId="0" borderId="0" xfId="2" applyFont="1"/>
    <xf numFmtId="0" fontId="16" fillId="0" borderId="0" xfId="2" applyFont="1"/>
    <xf numFmtId="0" fontId="16" fillId="0" borderId="0" xfId="2" applyFont="1" applyAlignment="1">
      <alignment horizontal="center"/>
    </xf>
    <xf numFmtId="0" fontId="53" fillId="0" borderId="0" xfId="2" applyFont="1"/>
    <xf numFmtId="0" fontId="50" fillId="0" borderId="0" xfId="2" applyFont="1" applyAlignment="1">
      <alignment horizontal="centerContinuous" vertical="top"/>
    </xf>
    <xf numFmtId="186" fontId="16" fillId="0" borderId="0" xfId="2" applyNumberFormat="1" applyFont="1" applyAlignment="1">
      <alignment horizontal="centerContinuous"/>
    </xf>
    <xf numFmtId="1" fontId="17" fillId="0" borderId="0" xfId="2" applyNumberFormat="1" applyFont="1" applyAlignment="1">
      <alignment vertical="center"/>
    </xf>
    <xf numFmtId="2" fontId="17" fillId="0" borderId="0" xfId="2" applyNumberFormat="1" applyFont="1" applyAlignment="1">
      <alignment vertical="center"/>
    </xf>
    <xf numFmtId="0" fontId="17" fillId="0" borderId="0" xfId="2" applyFont="1" applyAlignment="1">
      <alignment vertical="center"/>
    </xf>
    <xf numFmtId="199" fontId="17" fillId="0" borderId="0" xfId="2" applyNumberFormat="1" applyFont="1" applyAlignment="1">
      <alignment vertical="center"/>
    </xf>
    <xf numFmtId="1" fontId="54" fillId="15" borderId="32" xfId="2" applyNumberFormat="1" applyFont="1" applyFill="1" applyBorder="1" applyAlignment="1">
      <alignment vertical="center"/>
    </xf>
    <xf numFmtId="0" fontId="54" fillId="15" borderId="33" xfId="2" applyFont="1" applyFill="1" applyBorder="1" applyAlignment="1">
      <alignment vertical="center"/>
    </xf>
    <xf numFmtId="0" fontId="54" fillId="15" borderId="35" xfId="2" applyFont="1" applyFill="1" applyBorder="1" applyAlignment="1">
      <alignment vertical="center"/>
    </xf>
    <xf numFmtId="0" fontId="14" fillId="0" borderId="0" xfId="5" applyFont="1" applyAlignment="1">
      <alignment horizontal="left" vertical="center"/>
    </xf>
    <xf numFmtId="0" fontId="17" fillId="0" borderId="0" xfId="5" applyFont="1" applyAlignment="1">
      <alignment horizontal="center" vertical="center"/>
    </xf>
    <xf numFmtId="178" fontId="14" fillId="0" borderId="0" xfId="5" applyNumberFormat="1" applyFont="1" applyAlignment="1">
      <alignment horizontal="center" vertical="center"/>
    </xf>
    <xf numFmtId="0" fontId="6" fillId="0" borderId="0" xfId="2" applyFont="1" applyAlignment="1">
      <alignment vertical="center"/>
    </xf>
    <xf numFmtId="0" fontId="3" fillId="0" borderId="1" xfId="2" applyFont="1" applyBorder="1" applyAlignment="1">
      <alignment horizontal="center" vertical="center"/>
    </xf>
    <xf numFmtId="0" fontId="6" fillId="0" borderId="0" xfId="2" applyFont="1" applyAlignment="1">
      <alignment horizontal="center" vertical="center"/>
    </xf>
    <xf numFmtId="0" fontId="11" fillId="0" borderId="0" xfId="2" applyFont="1" applyAlignment="1">
      <alignment horizontal="center" vertical="center"/>
    </xf>
    <xf numFmtId="0" fontId="20" fillId="8" borderId="1" xfId="2" applyFont="1" applyFill="1" applyBorder="1" applyAlignment="1">
      <alignment horizontal="center" vertical="center"/>
    </xf>
    <xf numFmtId="0" fontId="14" fillId="0" borderId="1" xfId="2" applyFont="1" applyBorder="1" applyAlignment="1">
      <alignment horizontal="center" vertical="center"/>
    </xf>
    <xf numFmtId="1" fontId="3" fillId="0" borderId="0" xfId="2" applyNumberFormat="1" applyFont="1" applyAlignment="1">
      <alignment horizontal="center" vertical="center"/>
    </xf>
    <xf numFmtId="176" fontId="3" fillId="0" borderId="0" xfId="2" applyNumberFormat="1" applyFont="1" applyAlignment="1">
      <alignment horizontal="center" vertical="center"/>
    </xf>
    <xf numFmtId="2" fontId="3" fillId="0" borderId="0" xfId="2" applyNumberFormat="1" applyFont="1" applyAlignment="1">
      <alignment horizontal="center" vertical="center"/>
    </xf>
    <xf numFmtId="177" fontId="3" fillId="0" borderId="0" xfId="2" applyNumberFormat="1" applyFont="1" applyAlignment="1">
      <alignment horizontal="center" vertical="center"/>
    </xf>
    <xf numFmtId="2" fontId="9" fillId="0" borderId="1" xfId="2" applyNumberFormat="1" applyFont="1" applyBorder="1" applyAlignment="1">
      <alignment horizontal="center" vertical="center"/>
    </xf>
    <xf numFmtId="178" fontId="3" fillId="0" borderId="0" xfId="2" applyNumberFormat="1" applyFont="1" applyAlignment="1">
      <alignment horizontal="center" vertical="center"/>
    </xf>
    <xf numFmtId="179" fontId="2" fillId="0" borderId="0" xfId="2" applyNumberFormat="1" applyAlignment="1">
      <alignment horizontal="center" vertical="center"/>
    </xf>
    <xf numFmtId="0" fontId="2" fillId="0" borderId="0" xfId="2" applyAlignment="1">
      <alignment horizontal="center" vertical="center"/>
    </xf>
    <xf numFmtId="1" fontId="3" fillId="0" borderId="1" xfId="2" applyNumberFormat="1" applyFont="1" applyBorder="1" applyAlignment="1">
      <alignment horizontal="center" vertical="center"/>
    </xf>
    <xf numFmtId="2" fontId="3" fillId="4" borderId="1" xfId="2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80" fontId="6" fillId="0" borderId="0" xfId="3" applyFont="1" applyBorder="1" applyAlignment="1">
      <alignment horizontal="center" vertical="center"/>
    </xf>
    <xf numFmtId="0" fontId="3" fillId="0" borderId="5" xfId="2" applyFont="1" applyBorder="1" applyAlignment="1">
      <alignment horizontal="center" vertical="center"/>
    </xf>
    <xf numFmtId="0" fontId="9" fillId="0" borderId="0" xfId="2" applyFont="1" applyAlignment="1">
      <alignment horizontal="center" vertical="center"/>
    </xf>
    <xf numFmtId="181" fontId="9" fillId="0" borderId="0" xfId="2" applyNumberFormat="1" applyFont="1" applyAlignment="1">
      <alignment horizontal="center" vertical="center"/>
    </xf>
    <xf numFmtId="2" fontId="9" fillId="0" borderId="0" xfId="2" applyNumberFormat="1" applyFont="1" applyAlignment="1">
      <alignment horizontal="center" vertical="center"/>
    </xf>
    <xf numFmtId="182" fontId="3" fillId="0" borderId="0" xfId="2" applyNumberFormat="1" applyFont="1" applyAlignment="1">
      <alignment horizontal="center" vertical="center"/>
    </xf>
    <xf numFmtId="180" fontId="6" fillId="0" borderId="0" xfId="2" applyNumberFormat="1" applyFont="1" applyAlignment="1">
      <alignment horizontal="center" vertical="center"/>
    </xf>
    <xf numFmtId="183" fontId="6" fillId="0" borderId="0" xfId="2" applyNumberFormat="1" applyFont="1" applyAlignment="1">
      <alignment horizontal="center" vertical="center"/>
    </xf>
    <xf numFmtId="184" fontId="6" fillId="0" borderId="0" xfId="2" applyNumberFormat="1" applyFont="1" applyAlignment="1">
      <alignment horizontal="center" vertical="center"/>
    </xf>
    <xf numFmtId="0" fontId="3" fillId="8" borderId="0" xfId="2" applyFont="1" applyFill="1" applyAlignment="1">
      <alignment horizontal="center" vertical="center"/>
    </xf>
    <xf numFmtId="0" fontId="14" fillId="8" borderId="1" xfId="2" applyFont="1" applyFill="1" applyBorder="1" applyAlignment="1">
      <alignment horizontal="center" vertical="center"/>
    </xf>
    <xf numFmtId="1" fontId="14" fillId="8" borderId="1" xfId="2" applyNumberFormat="1" applyFont="1" applyFill="1" applyBorder="1" applyAlignment="1">
      <alignment horizontal="center" vertical="center"/>
    </xf>
    <xf numFmtId="2" fontId="14" fillId="8" borderId="1" xfId="2" applyNumberFormat="1" applyFont="1" applyFill="1" applyBorder="1" applyAlignment="1">
      <alignment horizontal="center" vertical="center"/>
    </xf>
    <xf numFmtId="0" fontId="21" fillId="10" borderId="1" xfId="2" applyFont="1" applyFill="1" applyBorder="1" applyAlignment="1">
      <alignment horizontal="center" vertical="center"/>
    </xf>
    <xf numFmtId="176" fontId="14" fillId="0" borderId="0" xfId="2" applyNumberFormat="1" applyFont="1" applyAlignment="1">
      <alignment horizontal="center" vertical="center"/>
    </xf>
    <xf numFmtId="0" fontId="17" fillId="11" borderId="1" xfId="2" applyFont="1" applyFill="1" applyBorder="1" applyAlignment="1">
      <alignment horizontal="center" vertical="center"/>
    </xf>
    <xf numFmtId="1" fontId="3" fillId="4" borderId="1" xfId="2" applyNumberFormat="1" applyFont="1" applyFill="1" applyBorder="1" applyAlignment="1">
      <alignment horizontal="center" vertical="center"/>
    </xf>
    <xf numFmtId="1" fontId="9" fillId="4" borderId="1" xfId="2" applyNumberFormat="1" applyFont="1" applyFill="1" applyBorder="1" applyAlignment="1">
      <alignment horizontal="center" vertical="center"/>
    </xf>
    <xf numFmtId="2" fontId="6" fillId="0" borderId="1" xfId="2" applyNumberFormat="1" applyFont="1" applyBorder="1" applyAlignment="1">
      <alignment horizontal="center" vertical="center"/>
    </xf>
    <xf numFmtId="177" fontId="6" fillId="0" borderId="1" xfId="2" applyNumberFormat="1" applyFont="1" applyBorder="1" applyAlignment="1">
      <alignment horizontal="center" vertical="center"/>
    </xf>
    <xf numFmtId="181" fontId="33" fillId="14" borderId="4" xfId="5" applyNumberFormat="1" applyFont="1" applyFill="1" applyBorder="1" applyAlignment="1">
      <alignment horizontal="center" vertical="center"/>
    </xf>
    <xf numFmtId="0" fontId="14" fillId="14" borderId="4" xfId="5" quotePrefix="1" applyFont="1" applyFill="1" applyBorder="1" applyAlignment="1">
      <alignment horizontal="center" vertical="center"/>
    </xf>
    <xf numFmtId="0" fontId="14" fillId="14" borderId="4" xfId="5" applyFont="1" applyFill="1" applyBorder="1" applyAlignment="1">
      <alignment horizontal="center" vertical="center"/>
    </xf>
    <xf numFmtId="0" fontId="14" fillId="0" borderId="4" xfId="5" applyFont="1" applyBorder="1" applyAlignment="1">
      <alignment horizontal="right" vertical="center"/>
    </xf>
    <xf numFmtId="0" fontId="14" fillId="14" borderId="26" xfId="5" applyFont="1" applyFill="1" applyBorder="1" applyAlignment="1">
      <alignment horizontal="right" vertical="center"/>
    </xf>
    <xf numFmtId="0" fontId="14" fillId="0" borderId="26" xfId="5" applyFont="1" applyBorder="1" applyAlignment="1">
      <alignment horizontal="right" vertical="center"/>
    </xf>
    <xf numFmtId="0" fontId="34" fillId="0" borderId="30" xfId="5" applyFont="1" applyBorder="1" applyAlignment="1">
      <alignment horizontal="right" vertical="center"/>
    </xf>
    <xf numFmtId="0" fontId="2" fillId="0" borderId="29" xfId="2" applyBorder="1"/>
    <xf numFmtId="0" fontId="14" fillId="0" borderId="29" xfId="5" applyFont="1" applyBorder="1">
      <alignment vertical="center"/>
    </xf>
    <xf numFmtId="0" fontId="2" fillId="0" borderId="31" xfId="2" applyBorder="1" applyAlignment="1">
      <alignment horizontal="center"/>
    </xf>
    <xf numFmtId="0" fontId="21" fillId="21" borderId="16" xfId="5" applyFont="1" applyFill="1" applyBorder="1" applyAlignment="1">
      <alignment horizontal="center" vertical="center"/>
    </xf>
    <xf numFmtId="197" fontId="14" fillId="14" borderId="29" xfId="5" applyNumberFormat="1" applyFont="1" applyFill="1" applyBorder="1" applyAlignment="1">
      <alignment horizontal="center" vertical="center"/>
    </xf>
    <xf numFmtId="197" fontId="58" fillId="14" borderId="29" xfId="5" applyNumberFormat="1" applyFont="1" applyFill="1" applyBorder="1" applyAlignment="1">
      <alignment horizontal="center" vertical="center"/>
    </xf>
    <xf numFmtId="189" fontId="58" fillId="14" borderId="29" xfId="5" applyNumberFormat="1" applyFont="1" applyFill="1" applyBorder="1" applyAlignment="1">
      <alignment horizontal="center" vertical="center"/>
    </xf>
    <xf numFmtId="193" fontId="58" fillId="14" borderId="30" xfId="5" applyNumberFormat="1" applyFont="1" applyFill="1" applyBorder="1" applyAlignment="1">
      <alignment horizontal="center" vertical="center"/>
    </xf>
    <xf numFmtId="0" fontId="14" fillId="14" borderId="29" xfId="5" applyFont="1" applyFill="1" applyBorder="1" applyAlignment="1">
      <alignment horizontal="center" vertical="center"/>
    </xf>
    <xf numFmtId="194" fontId="17" fillId="14" borderId="20" xfId="5" applyNumberFormat="1" applyFont="1" applyFill="1" applyBorder="1" applyAlignment="1">
      <alignment horizontal="center" vertical="center"/>
    </xf>
    <xf numFmtId="0" fontId="59" fillId="0" borderId="0" xfId="0" applyFont="1">
      <alignment vertical="center"/>
    </xf>
    <xf numFmtId="0" fontId="62" fillId="0" borderId="0" xfId="2" applyFont="1" applyAlignment="1">
      <alignment horizontal="center" vertical="center"/>
    </xf>
    <xf numFmtId="0" fontId="22" fillId="23" borderId="1" xfId="2" applyFont="1" applyFill="1" applyBorder="1" applyAlignment="1">
      <alignment horizontal="center" vertical="center"/>
    </xf>
    <xf numFmtId="0" fontId="13" fillId="0" borderId="1" xfId="2" applyFont="1" applyBorder="1" applyAlignment="1">
      <alignment horizontal="center" vertical="center"/>
    </xf>
    <xf numFmtId="14" fontId="48" fillId="24" borderId="1" xfId="2" applyNumberFormat="1" applyFont="1" applyFill="1" applyBorder="1" applyAlignment="1">
      <alignment horizontal="center" vertical="center"/>
    </xf>
    <xf numFmtId="0" fontId="15" fillId="26" borderId="1" xfId="2" applyFont="1" applyFill="1" applyBorder="1" applyAlignment="1">
      <alignment horizontal="center" vertical="center"/>
    </xf>
    <xf numFmtId="0" fontId="13" fillId="26" borderId="1" xfId="2" applyFont="1" applyFill="1" applyBorder="1" applyAlignment="1">
      <alignment horizontal="center" vertical="center"/>
    </xf>
    <xf numFmtId="0" fontId="62" fillId="26" borderId="1" xfId="2" applyFont="1" applyFill="1" applyBorder="1" applyAlignment="1">
      <alignment horizontal="center" vertical="center"/>
    </xf>
    <xf numFmtId="188" fontId="24" fillId="27" borderId="1" xfId="2" applyNumberFormat="1" applyFont="1" applyFill="1" applyBorder="1" applyAlignment="1">
      <alignment horizontal="center" vertical="center"/>
    </xf>
    <xf numFmtId="0" fontId="14" fillId="27" borderId="1" xfId="2" applyFont="1" applyFill="1" applyBorder="1" applyAlignment="1">
      <alignment horizontal="center" vertical="center"/>
    </xf>
    <xf numFmtId="0" fontId="17" fillId="27" borderId="1" xfId="2" applyFont="1" applyFill="1" applyBorder="1" applyAlignment="1">
      <alignment horizontal="center" vertical="center"/>
    </xf>
    <xf numFmtId="0" fontId="62" fillId="0" borderId="14" xfId="2" applyFont="1" applyBorder="1" applyAlignment="1">
      <alignment horizontal="center" vertical="center"/>
    </xf>
    <xf numFmtId="0" fontId="62" fillId="25" borderId="34" xfId="2" applyFont="1" applyFill="1" applyBorder="1" applyAlignment="1">
      <alignment horizontal="center" vertical="center"/>
    </xf>
    <xf numFmtId="0" fontId="62" fillId="20" borderId="12" xfId="2" applyFont="1" applyFill="1" applyBorder="1" applyAlignment="1">
      <alignment horizontal="center" vertical="center"/>
    </xf>
    <xf numFmtId="0" fontId="3" fillId="27" borderId="1" xfId="2" applyFont="1" applyFill="1" applyBorder="1" applyAlignment="1">
      <alignment horizontal="center" vertical="center"/>
    </xf>
    <xf numFmtId="0" fontId="3" fillId="27" borderId="0" xfId="2" applyFont="1" applyFill="1" applyAlignment="1">
      <alignment horizontal="center" vertical="center"/>
    </xf>
    <xf numFmtId="0" fontId="64" fillId="27" borderId="0" xfId="2" applyFont="1" applyFill="1" applyAlignment="1">
      <alignment horizontal="center" vertical="center"/>
    </xf>
    <xf numFmtId="0" fontId="11" fillId="25" borderId="1" xfId="2" applyFont="1" applyFill="1" applyBorder="1" applyAlignment="1">
      <alignment horizontal="center" vertical="center"/>
    </xf>
    <xf numFmtId="0" fontId="3" fillId="25" borderId="1" xfId="2" applyFont="1" applyFill="1" applyBorder="1" applyAlignment="1">
      <alignment horizontal="center" vertical="center"/>
    </xf>
    <xf numFmtId="177" fontId="3" fillId="25" borderId="1" xfId="2" applyNumberFormat="1" applyFont="1" applyFill="1" applyBorder="1" applyAlignment="1">
      <alignment horizontal="center" vertical="center"/>
    </xf>
    <xf numFmtId="0" fontId="3" fillId="5" borderId="1" xfId="2" applyFont="1" applyFill="1" applyBorder="1" applyAlignment="1">
      <alignment horizontal="center" vertical="center"/>
    </xf>
    <xf numFmtId="1" fontId="9" fillId="0" borderId="1" xfId="2" applyNumberFormat="1" applyFont="1" applyBorder="1" applyAlignment="1">
      <alignment horizontal="center" vertical="center"/>
    </xf>
    <xf numFmtId="0" fontId="3" fillId="5" borderId="7" xfId="2" applyFont="1" applyFill="1" applyBorder="1" applyAlignment="1">
      <alignment horizontal="center" vertical="center"/>
    </xf>
    <xf numFmtId="2" fontId="3" fillId="27" borderId="1" xfId="2" applyNumberFormat="1" applyFont="1" applyFill="1" applyBorder="1" applyAlignment="1">
      <alignment horizontal="center" vertical="center"/>
    </xf>
    <xf numFmtId="0" fontId="14" fillId="0" borderId="28" xfId="2" applyFont="1" applyBorder="1" applyAlignment="1">
      <alignment horizontal="center" vertical="center" wrapText="1"/>
    </xf>
    <xf numFmtId="0" fontId="14" fillId="0" borderId="24" xfId="2" applyFont="1" applyBorder="1" applyAlignment="1">
      <alignment horizontal="center" vertical="center" wrapText="1"/>
    </xf>
    <xf numFmtId="0" fontId="14" fillId="0" borderId="55" xfId="2" applyFont="1" applyBorder="1" applyAlignment="1">
      <alignment horizontal="center" vertical="center" wrapText="1"/>
    </xf>
    <xf numFmtId="0" fontId="17" fillId="25" borderId="1" xfId="2" applyFont="1" applyFill="1" applyBorder="1" applyAlignment="1">
      <alignment horizontal="center" vertical="center"/>
    </xf>
    <xf numFmtId="0" fontId="12" fillId="7" borderId="12" xfId="2" applyFont="1" applyFill="1" applyBorder="1" applyAlignment="1">
      <alignment horizontal="center" vertical="center"/>
    </xf>
    <xf numFmtId="0" fontId="12" fillId="7" borderId="13" xfId="2" applyFont="1" applyFill="1" applyBorder="1" applyAlignment="1">
      <alignment horizontal="center" vertical="center"/>
    </xf>
    <xf numFmtId="0" fontId="12" fillId="7" borderId="32" xfId="2" applyFont="1" applyFill="1" applyBorder="1" applyAlignment="1">
      <alignment horizontal="center" vertical="center"/>
    </xf>
    <xf numFmtId="0" fontId="6" fillId="0" borderId="33" xfId="2" applyFont="1" applyBorder="1" applyAlignment="1">
      <alignment horizontal="center" vertical="center"/>
    </xf>
    <xf numFmtId="2" fontId="6" fillId="0" borderId="17" xfId="2" applyNumberFormat="1" applyFont="1" applyBorder="1" applyAlignment="1">
      <alignment horizontal="center" vertical="center"/>
    </xf>
    <xf numFmtId="177" fontId="6" fillId="0" borderId="17" xfId="2" applyNumberFormat="1" applyFont="1" applyBorder="1" applyAlignment="1">
      <alignment horizontal="center" vertical="center"/>
    </xf>
    <xf numFmtId="0" fontId="6" fillId="0" borderId="35" xfId="2" applyFont="1" applyBorder="1" applyAlignment="1">
      <alignment horizontal="center" vertical="center"/>
    </xf>
    <xf numFmtId="0" fontId="6" fillId="20" borderId="0" xfId="2" applyFont="1" applyFill="1"/>
    <xf numFmtId="2" fontId="3" fillId="22" borderId="0" xfId="2" applyNumberFormat="1" applyFont="1" applyFill="1" applyAlignment="1">
      <alignment horizontal="center" vertical="center"/>
    </xf>
    <xf numFmtId="1" fontId="3" fillId="22" borderId="0" xfId="2" applyNumberFormat="1" applyFont="1" applyFill="1" applyAlignment="1">
      <alignment horizontal="center" vertical="center"/>
    </xf>
    <xf numFmtId="0" fontId="54" fillId="13" borderId="1" xfId="5" applyFont="1" applyFill="1" applyBorder="1" applyAlignment="1">
      <alignment horizontal="center" vertical="center"/>
    </xf>
    <xf numFmtId="189" fontId="54" fillId="13" borderId="23" xfId="5" applyNumberFormat="1" applyFont="1" applyFill="1" applyBorder="1" applyAlignment="1">
      <alignment horizontal="center" vertical="center"/>
    </xf>
    <xf numFmtId="179" fontId="54" fillId="13" borderId="31" xfId="5" applyNumberFormat="1" applyFont="1" applyFill="1" applyBorder="1" applyAlignment="1">
      <alignment horizontal="center" vertical="center"/>
    </xf>
    <xf numFmtId="0" fontId="34" fillId="20" borderId="14" xfId="5" applyFont="1" applyFill="1" applyBorder="1" applyAlignment="1">
      <alignment horizontal="right" vertical="center"/>
    </xf>
    <xf numFmtId="0" fontId="34" fillId="20" borderId="34" xfId="5" applyFont="1" applyFill="1" applyBorder="1" applyAlignment="1">
      <alignment horizontal="right" vertical="center"/>
    </xf>
    <xf numFmtId="0" fontId="57" fillId="20" borderId="32" xfId="5" applyFont="1" applyFill="1" applyBorder="1" applyAlignment="1">
      <alignment horizontal="center" vertical="center"/>
    </xf>
    <xf numFmtId="0" fontId="57" fillId="20" borderId="33" xfId="5" applyFont="1" applyFill="1" applyBorder="1" applyAlignment="1">
      <alignment horizontal="center" vertical="center"/>
    </xf>
    <xf numFmtId="182" fontId="65" fillId="14" borderId="12" xfId="5" applyNumberFormat="1" applyFont="1" applyFill="1" applyBorder="1" applyAlignment="1">
      <alignment horizontal="center" vertical="center"/>
    </xf>
    <xf numFmtId="182" fontId="65" fillId="14" borderId="14" xfId="5" applyNumberFormat="1" applyFont="1" applyFill="1" applyBorder="1" applyAlignment="1">
      <alignment horizontal="center" vertical="center"/>
    </xf>
    <xf numFmtId="178" fontId="67" fillId="14" borderId="33" xfId="5" applyNumberFormat="1" applyFont="1" applyFill="1" applyBorder="1" applyAlignment="1">
      <alignment horizontal="center" vertical="center"/>
    </xf>
    <xf numFmtId="0" fontId="67" fillId="14" borderId="33" xfId="5" applyFont="1" applyFill="1" applyBorder="1" applyAlignment="1">
      <alignment horizontal="center" vertical="center"/>
    </xf>
    <xf numFmtId="0" fontId="67" fillId="14" borderId="35" xfId="5" applyFont="1" applyFill="1" applyBorder="1" applyAlignment="1">
      <alignment horizontal="center" vertical="center"/>
    </xf>
    <xf numFmtId="0" fontId="13" fillId="28" borderId="15" xfId="5" applyFont="1" applyFill="1" applyBorder="1" applyAlignment="1">
      <alignment horizontal="center" vertical="center"/>
    </xf>
    <xf numFmtId="0" fontId="13" fillId="28" borderId="49" xfId="5" applyFont="1" applyFill="1" applyBorder="1" applyAlignment="1">
      <alignment horizontal="center" vertical="center"/>
    </xf>
    <xf numFmtId="193" fontId="17" fillId="14" borderId="50" xfId="5" applyNumberFormat="1" applyFont="1" applyFill="1" applyBorder="1" applyAlignment="1">
      <alignment horizontal="center" vertical="center"/>
    </xf>
    <xf numFmtId="0" fontId="14" fillId="0" borderId="18" xfId="5" applyFont="1" applyBorder="1">
      <alignment vertical="center"/>
    </xf>
    <xf numFmtId="189" fontId="54" fillId="13" borderId="19" xfId="5" applyNumberFormat="1" applyFont="1" applyFill="1" applyBorder="1" applyAlignment="1">
      <alignment horizontal="center" vertical="center"/>
    </xf>
    <xf numFmtId="0" fontId="34" fillId="0" borderId="19" xfId="5" applyFont="1" applyBorder="1">
      <alignment vertical="center"/>
    </xf>
    <xf numFmtId="0" fontId="14" fillId="0" borderId="56" xfId="5" applyFont="1" applyBorder="1" applyAlignment="1">
      <alignment horizontal="center" vertical="center"/>
    </xf>
    <xf numFmtId="1" fontId="17" fillId="14" borderId="1" xfId="5" applyNumberFormat="1" applyFont="1" applyFill="1" applyBorder="1" applyAlignment="1">
      <alignment horizontal="center" vertical="center"/>
    </xf>
    <xf numFmtId="189" fontId="17" fillId="14" borderId="1" xfId="5" applyNumberFormat="1" applyFont="1" applyFill="1" applyBorder="1" applyAlignment="1">
      <alignment horizontal="center" vertical="center"/>
    </xf>
    <xf numFmtId="0" fontId="17" fillId="14" borderId="1" xfId="5" applyFont="1" applyFill="1" applyBorder="1" applyAlignment="1">
      <alignment horizontal="center" vertical="center"/>
    </xf>
    <xf numFmtId="0" fontId="13" fillId="28" borderId="50" xfId="5" applyFont="1" applyFill="1" applyBorder="1" applyAlignment="1">
      <alignment horizontal="center" vertical="center"/>
    </xf>
    <xf numFmtId="194" fontId="17" fillId="14" borderId="50" xfId="5" applyNumberFormat="1" applyFont="1" applyFill="1" applyBorder="1" applyAlignment="1">
      <alignment horizontal="center" vertical="center"/>
    </xf>
    <xf numFmtId="0" fontId="17" fillId="28" borderId="12" xfId="5" applyFont="1" applyFill="1" applyBorder="1" applyAlignment="1">
      <alignment horizontal="center" vertical="center"/>
    </xf>
    <xf numFmtId="0" fontId="17" fillId="28" borderId="13" xfId="5" applyFont="1" applyFill="1" applyBorder="1" applyAlignment="1">
      <alignment horizontal="center" vertical="center"/>
    </xf>
    <xf numFmtId="0" fontId="17" fillId="28" borderId="32" xfId="5" applyFont="1" applyFill="1" applyBorder="1" applyAlignment="1">
      <alignment horizontal="center" vertical="center"/>
    </xf>
    <xf numFmtId="193" fontId="17" fillId="14" borderId="14" xfId="5" applyNumberFormat="1" applyFont="1" applyFill="1" applyBorder="1" applyAlignment="1">
      <alignment horizontal="center" vertical="center"/>
    </xf>
    <xf numFmtId="198" fontId="17" fillId="5" borderId="25" xfId="5" applyNumberFormat="1" applyFont="1" applyFill="1" applyBorder="1" applyAlignment="1">
      <alignment horizontal="center" vertical="center"/>
    </xf>
    <xf numFmtId="0" fontId="65" fillId="0" borderId="21" xfId="5" applyFont="1" applyBorder="1" applyAlignment="1">
      <alignment horizontal="right" vertical="center"/>
    </xf>
    <xf numFmtId="181" fontId="14" fillId="8" borderId="23" xfId="5" applyNumberFormat="1" applyFont="1" applyFill="1" applyBorder="1">
      <alignment vertical="center"/>
    </xf>
    <xf numFmtId="197" fontId="63" fillId="9" borderId="16" xfId="5" applyNumberFormat="1" applyFont="1" applyFill="1" applyBorder="1" applyAlignment="1">
      <alignment horizontal="center" vertical="center"/>
    </xf>
    <xf numFmtId="0" fontId="36" fillId="27" borderId="0" xfId="2" applyFont="1" applyFill="1" applyAlignment="1">
      <alignment vertical="center"/>
    </xf>
    <xf numFmtId="177" fontId="36" fillId="27" borderId="1" xfId="2" applyNumberFormat="1" applyFont="1" applyFill="1" applyBorder="1" applyAlignment="1">
      <alignment vertical="center"/>
    </xf>
    <xf numFmtId="0" fontId="36" fillId="27" borderId="1" xfId="2" applyFont="1" applyFill="1" applyBorder="1" applyAlignment="1">
      <alignment vertical="center"/>
    </xf>
    <xf numFmtId="177" fontId="36" fillId="12" borderId="1" xfId="2" applyNumberFormat="1" applyFont="1" applyFill="1" applyBorder="1" applyAlignment="1">
      <alignment vertical="center"/>
    </xf>
    <xf numFmtId="177" fontId="38" fillId="21" borderId="1" xfId="2" applyNumberFormat="1" applyFont="1" applyFill="1" applyBorder="1" applyAlignment="1">
      <alignment horizontal="center" vertical="center"/>
    </xf>
    <xf numFmtId="0" fontId="68" fillId="0" borderId="0" xfId="2" applyFont="1" applyAlignment="1">
      <alignment horizontal="center" vertical="center"/>
    </xf>
    <xf numFmtId="0" fontId="68" fillId="0" borderId="0" xfId="2" applyFont="1" applyAlignment="1">
      <alignment horizontal="center" vertical="center" shrinkToFit="1"/>
    </xf>
    <xf numFmtId="0" fontId="36" fillId="27" borderId="0" xfId="2" applyFont="1" applyFill="1" applyAlignment="1">
      <alignment horizontal="center"/>
    </xf>
    <xf numFmtId="0" fontId="36" fillId="27" borderId="0" xfId="2" applyFont="1" applyFill="1"/>
    <xf numFmtId="181" fontId="36" fillId="27" borderId="0" xfId="2" applyNumberFormat="1" applyFont="1" applyFill="1"/>
    <xf numFmtId="181" fontId="36" fillId="27" borderId="0" xfId="2" applyNumberFormat="1" applyFont="1" applyFill="1" applyAlignment="1">
      <alignment vertical="center"/>
    </xf>
    <xf numFmtId="0" fontId="36" fillId="11" borderId="0" xfId="2" applyFont="1" applyFill="1" applyAlignment="1">
      <alignment vertical="center"/>
    </xf>
    <xf numFmtId="0" fontId="69" fillId="0" borderId="1" xfId="2" applyFont="1" applyBorder="1" applyAlignment="1">
      <alignment horizontal="center" vertical="center"/>
    </xf>
    <xf numFmtId="0" fontId="69" fillId="0" borderId="2" xfId="2" applyFont="1" applyBorder="1" applyAlignment="1">
      <alignment horizontal="left" vertical="center"/>
    </xf>
    <xf numFmtId="0" fontId="69" fillId="0" borderId="6" xfId="2" applyFont="1" applyBorder="1" applyAlignment="1">
      <alignment vertical="center"/>
    </xf>
    <xf numFmtId="186" fontId="69" fillId="0" borderId="6" xfId="2" applyNumberFormat="1" applyFont="1" applyBorder="1"/>
    <xf numFmtId="0" fontId="69" fillId="0" borderId="7" xfId="2" applyFont="1" applyBorder="1" applyAlignment="1">
      <alignment horizontal="center" vertical="center"/>
    </xf>
    <xf numFmtId="194" fontId="69" fillId="0" borderId="2" xfId="2" applyNumberFormat="1" applyFont="1" applyBorder="1" applyAlignment="1">
      <alignment horizontal="left" vertical="center"/>
    </xf>
    <xf numFmtId="0" fontId="69" fillId="0" borderId="6" xfId="2" applyFont="1" applyBorder="1" applyAlignment="1">
      <alignment horizontal="right" vertical="center"/>
    </xf>
    <xf numFmtId="186" fontId="69" fillId="0" borderId="6" xfId="2" applyNumberFormat="1" applyFont="1" applyBorder="1" applyAlignment="1">
      <alignment horizontal="centerContinuous" vertical="center"/>
    </xf>
    <xf numFmtId="0" fontId="69" fillId="0" borderId="7" xfId="2" applyFont="1" applyBorder="1" applyAlignment="1">
      <alignment horizontal="centerContinuous" vertical="center"/>
    </xf>
    <xf numFmtId="0" fontId="69" fillId="0" borderId="2" xfId="2" applyFont="1" applyBorder="1" applyAlignment="1">
      <alignment vertical="center"/>
    </xf>
    <xf numFmtId="0" fontId="69" fillId="0" borderId="6" xfId="2" applyFont="1" applyBorder="1" applyAlignment="1">
      <alignment horizontal="left" vertical="center"/>
    </xf>
    <xf numFmtId="0" fontId="69" fillId="0" borderId="0" xfId="2" applyFont="1" applyAlignment="1">
      <alignment vertical="center"/>
    </xf>
    <xf numFmtId="0" fontId="70" fillId="0" borderId="6" xfId="2" applyFont="1" applyBorder="1" applyAlignment="1">
      <alignment horizontal="centerContinuous" vertical="center"/>
    </xf>
    <xf numFmtId="187" fontId="70" fillId="0" borderId="6" xfId="2" applyNumberFormat="1" applyFont="1" applyBorder="1" applyAlignment="1">
      <alignment horizontal="centerContinuous" vertical="center"/>
    </xf>
    <xf numFmtId="186" fontId="70" fillId="0" borderId="6" xfId="2" applyNumberFormat="1" applyFont="1" applyBorder="1" applyAlignment="1">
      <alignment horizontal="centerContinuous"/>
    </xf>
    <xf numFmtId="0" fontId="70" fillId="0" borderId="7" xfId="2" applyFont="1" applyBorder="1" applyAlignment="1">
      <alignment horizontal="centerContinuous" vertical="center"/>
    </xf>
    <xf numFmtId="0" fontId="69" fillId="0" borderId="1" xfId="2" applyFont="1" applyBorder="1" applyAlignment="1">
      <alignment horizontal="centerContinuous" vertical="center"/>
    </xf>
    <xf numFmtId="0" fontId="70" fillId="0" borderId="2" xfId="2" applyFont="1" applyBorder="1" applyAlignment="1">
      <alignment horizontal="centerContinuous" vertical="center"/>
    </xf>
    <xf numFmtId="186" fontId="70" fillId="0" borderId="7" xfId="2" applyNumberFormat="1" applyFont="1" applyBorder="1" applyAlignment="1">
      <alignment horizontal="centerContinuous"/>
    </xf>
    <xf numFmtId="202" fontId="69" fillId="0" borderId="1" xfId="2" applyNumberFormat="1" applyFont="1" applyBorder="1" applyAlignment="1">
      <alignment horizontal="center" vertical="center"/>
    </xf>
    <xf numFmtId="0" fontId="69" fillId="0" borderId="6" xfId="2" applyFont="1" applyBorder="1" applyAlignment="1">
      <alignment horizontal="center" vertical="center"/>
    </xf>
    <xf numFmtId="0" fontId="69" fillId="0" borderId="1" xfId="2" applyFont="1" applyBorder="1" applyAlignment="1">
      <alignment horizontal="center" vertical="center" wrapText="1"/>
    </xf>
    <xf numFmtId="0" fontId="69" fillId="0" borderId="1" xfId="2" applyFont="1" applyBorder="1" applyAlignment="1">
      <alignment vertical="center"/>
    </xf>
    <xf numFmtId="1" fontId="69" fillId="0" borderId="1" xfId="2" applyNumberFormat="1" applyFont="1" applyBorder="1" applyAlignment="1">
      <alignment vertical="center"/>
    </xf>
    <xf numFmtId="202" fontId="69" fillId="0" borderId="1" xfId="2" applyNumberFormat="1" applyFont="1" applyBorder="1" applyAlignment="1">
      <alignment vertical="center"/>
    </xf>
    <xf numFmtId="208" fontId="69" fillId="0" borderId="1" xfId="2" applyNumberFormat="1" applyFont="1" applyBorder="1" applyAlignment="1">
      <alignment vertical="center"/>
    </xf>
    <xf numFmtId="208" fontId="69" fillId="0" borderId="1" xfId="2" applyNumberFormat="1" applyFont="1" applyBorder="1" applyAlignment="1">
      <alignment horizontal="center" vertical="center"/>
    </xf>
    <xf numFmtId="186" fontId="71" fillId="0" borderId="0" xfId="2" applyNumberFormat="1" applyFont="1"/>
    <xf numFmtId="0" fontId="16" fillId="0" borderId="0" xfId="2" applyFont="1" applyAlignment="1">
      <alignment vertical="center"/>
    </xf>
    <xf numFmtId="205" fontId="38" fillId="29" borderId="0" xfId="2" applyNumberFormat="1" applyFont="1" applyFill="1" applyAlignment="1">
      <alignment vertical="center"/>
    </xf>
    <xf numFmtId="0" fontId="68" fillId="0" borderId="0" xfId="2" applyFont="1" applyAlignment="1">
      <alignment vertical="center"/>
    </xf>
    <xf numFmtId="0" fontId="68" fillId="3" borderId="0" xfId="2" applyFont="1" applyFill="1" applyAlignment="1">
      <alignment vertical="center"/>
    </xf>
    <xf numFmtId="196" fontId="68" fillId="3" borderId="0" xfId="2" applyNumberFormat="1" applyFont="1" applyFill="1" applyAlignment="1">
      <alignment horizontal="center" vertical="center"/>
    </xf>
    <xf numFmtId="0" fontId="68" fillId="0" borderId="1" xfId="2" applyFont="1" applyBorder="1" applyAlignment="1">
      <alignment horizontal="center" vertical="center"/>
    </xf>
    <xf numFmtId="2" fontId="68" fillId="0" borderId="1" xfId="2" applyNumberFormat="1" applyFont="1" applyBorder="1" applyAlignment="1">
      <alignment horizontal="center" vertical="center"/>
    </xf>
    <xf numFmtId="2" fontId="68" fillId="0" borderId="0" xfId="2" applyNumberFormat="1" applyFont="1" applyAlignment="1">
      <alignment horizontal="center" vertical="center"/>
    </xf>
    <xf numFmtId="196" fontId="68" fillId="0" borderId="0" xfId="2" applyNumberFormat="1" applyFont="1" applyAlignment="1">
      <alignment horizontal="center" vertical="center"/>
    </xf>
    <xf numFmtId="0" fontId="68" fillId="0" borderId="0" xfId="2" applyFont="1" applyAlignment="1">
      <alignment horizontal="right" vertical="center"/>
    </xf>
    <xf numFmtId="0" fontId="68" fillId="0" borderId="1" xfId="2" applyFont="1" applyBorder="1" applyAlignment="1">
      <alignment vertical="center"/>
    </xf>
    <xf numFmtId="2" fontId="68" fillId="0" borderId="1" xfId="2" applyNumberFormat="1" applyFont="1" applyBorder="1" applyAlignment="1">
      <alignment vertical="center"/>
    </xf>
    <xf numFmtId="2" fontId="68" fillId="0" borderId="0" xfId="2" applyNumberFormat="1" applyFont="1" applyAlignment="1">
      <alignment vertical="center"/>
    </xf>
    <xf numFmtId="0" fontId="74" fillId="0" borderId="1" xfId="2" applyFont="1" applyBorder="1" applyAlignment="1">
      <alignment vertical="center"/>
    </xf>
    <xf numFmtId="176" fontId="68" fillId="0" borderId="0" xfId="2" applyNumberFormat="1" applyFont="1" applyAlignment="1">
      <alignment vertical="center"/>
    </xf>
    <xf numFmtId="0" fontId="74" fillId="0" borderId="0" xfId="2" applyFont="1" applyAlignment="1">
      <alignment vertical="center"/>
    </xf>
    <xf numFmtId="2" fontId="74" fillId="0" borderId="1" xfId="2" applyNumberFormat="1" applyFont="1" applyBorder="1" applyAlignment="1">
      <alignment vertical="center"/>
    </xf>
    <xf numFmtId="2" fontId="74" fillId="0" borderId="0" xfId="2" applyNumberFormat="1" applyFont="1" applyAlignment="1">
      <alignment vertical="center"/>
    </xf>
    <xf numFmtId="2" fontId="68" fillId="8" borderId="1" xfId="2" applyNumberFormat="1" applyFont="1" applyFill="1" applyBorder="1" applyAlignment="1">
      <alignment vertical="center"/>
    </xf>
    <xf numFmtId="2" fontId="68" fillId="8" borderId="0" xfId="2" applyNumberFormat="1" applyFont="1" applyFill="1" applyAlignment="1">
      <alignment vertical="center"/>
    </xf>
    <xf numFmtId="0" fontId="13" fillId="20" borderId="13" xfId="2" applyFont="1" applyFill="1" applyBorder="1" applyAlignment="1">
      <alignment horizontal="center" vertical="center"/>
    </xf>
    <xf numFmtId="2" fontId="13" fillId="20" borderId="13" xfId="2" applyNumberFormat="1" applyFont="1" applyFill="1" applyBorder="1" applyAlignment="1">
      <alignment horizontal="center" vertical="center"/>
    </xf>
    <xf numFmtId="0" fontId="13" fillId="27" borderId="1" xfId="2" applyFont="1" applyFill="1" applyBorder="1" applyAlignment="1">
      <alignment horizontal="center" vertical="center"/>
    </xf>
    <xf numFmtId="189" fontId="13" fillId="0" borderId="1" xfId="2" applyNumberFormat="1" applyFont="1" applyBorder="1" applyAlignment="1">
      <alignment horizontal="center" vertical="center"/>
    </xf>
    <xf numFmtId="182" fontId="13" fillId="0" borderId="1" xfId="2" applyNumberFormat="1" applyFont="1" applyBorder="1" applyAlignment="1">
      <alignment horizontal="center" vertical="center"/>
    </xf>
    <xf numFmtId="0" fontId="13" fillId="0" borderId="33" xfId="2" applyFont="1" applyBorder="1" applyAlignment="1">
      <alignment horizontal="center" vertical="center"/>
    </xf>
    <xf numFmtId="182" fontId="13" fillId="0" borderId="33" xfId="2" applyNumberFormat="1" applyFont="1" applyBorder="1" applyAlignment="1">
      <alignment horizontal="center" vertical="center"/>
    </xf>
    <xf numFmtId="191" fontId="13" fillId="0" borderId="1" xfId="2" applyNumberFormat="1" applyFont="1" applyBorder="1" applyAlignment="1">
      <alignment horizontal="center" vertical="center"/>
    </xf>
    <xf numFmtId="0" fontId="13" fillId="25" borderId="17" xfId="2" applyFont="1" applyFill="1" applyBorder="1" applyAlignment="1">
      <alignment horizontal="center" vertical="center"/>
    </xf>
    <xf numFmtId="181" fontId="13" fillId="25" borderId="17" xfId="2" applyNumberFormat="1" applyFont="1" applyFill="1" applyBorder="1" applyAlignment="1">
      <alignment horizontal="center" vertical="center"/>
    </xf>
    <xf numFmtId="0" fontId="13" fillId="0" borderId="17" xfId="2" applyFont="1" applyBorder="1" applyAlignment="1">
      <alignment horizontal="center" vertical="center"/>
    </xf>
    <xf numFmtId="0" fontId="13" fillId="27" borderId="17" xfId="2" applyFont="1" applyFill="1" applyBorder="1" applyAlignment="1">
      <alignment horizontal="center" vertical="center"/>
    </xf>
    <xf numFmtId="182" fontId="13" fillId="27" borderId="17" xfId="2" applyNumberFormat="1" applyFont="1" applyFill="1" applyBorder="1" applyAlignment="1">
      <alignment horizontal="center" vertical="center"/>
    </xf>
    <xf numFmtId="0" fontId="13" fillId="8" borderId="17" xfId="2" applyFont="1" applyFill="1" applyBorder="1" applyAlignment="1">
      <alignment horizontal="center" vertical="center"/>
    </xf>
    <xf numFmtId="0" fontId="13" fillId="8" borderId="35" xfId="2" applyFont="1" applyFill="1" applyBorder="1" applyAlignment="1">
      <alignment horizontal="center" vertical="center"/>
    </xf>
    <xf numFmtId="0" fontId="13" fillId="0" borderId="0" xfId="2" applyFont="1" applyAlignment="1">
      <alignment horizontal="center" vertical="center"/>
    </xf>
    <xf numFmtId="0" fontId="15" fillId="0" borderId="0" xfId="2" applyFont="1" applyAlignment="1">
      <alignment horizontal="center" vertical="center"/>
    </xf>
    <xf numFmtId="177" fontId="13" fillId="0" borderId="0" xfId="2" applyNumberFormat="1" applyFont="1" applyAlignment="1">
      <alignment horizontal="center" vertical="center"/>
    </xf>
    <xf numFmtId="9" fontId="15" fillId="0" borderId="0" xfId="4" applyFont="1" applyAlignment="1">
      <alignment horizontal="center" vertical="center"/>
    </xf>
    <xf numFmtId="2" fontId="15" fillId="0" borderId="0" xfId="2" applyNumberFormat="1" applyFont="1" applyAlignment="1">
      <alignment horizontal="center" vertical="center"/>
    </xf>
    <xf numFmtId="1" fontId="6" fillId="0" borderId="14" xfId="2" applyNumberFormat="1" applyFont="1" applyBorder="1" applyAlignment="1">
      <alignment horizontal="right" vertical="center"/>
    </xf>
    <xf numFmtId="1" fontId="6" fillId="0" borderId="34" xfId="2" applyNumberFormat="1" applyFont="1" applyBorder="1" applyAlignment="1">
      <alignment horizontal="right" vertical="center"/>
    </xf>
    <xf numFmtId="177" fontId="38" fillId="17" borderId="0" xfId="2" applyNumberFormat="1" applyFont="1" applyFill="1" applyAlignment="1">
      <alignment horizontal="center" vertical="center"/>
    </xf>
    <xf numFmtId="2" fontId="36" fillId="27" borderId="1" xfId="2" applyNumberFormat="1" applyFont="1" applyFill="1" applyBorder="1" applyAlignment="1">
      <alignment vertical="center"/>
    </xf>
    <xf numFmtId="0" fontId="36" fillId="27" borderId="1" xfId="2" applyFont="1" applyFill="1" applyBorder="1" applyAlignment="1">
      <alignment horizontal="center" vertical="center"/>
    </xf>
    <xf numFmtId="0" fontId="36" fillId="0" borderId="1" xfId="2" applyFont="1" applyBorder="1" applyAlignment="1">
      <alignment horizontal="center" vertical="center"/>
    </xf>
    <xf numFmtId="176" fontId="36" fillId="0" borderId="1" xfId="2" applyNumberFormat="1" applyFont="1" applyBorder="1" applyAlignment="1">
      <alignment horizontal="center" vertical="center"/>
    </xf>
    <xf numFmtId="197" fontId="75" fillId="9" borderId="1" xfId="2" applyNumberFormat="1" applyFont="1" applyFill="1" applyBorder="1" applyAlignment="1">
      <alignment horizontal="center" vertical="center"/>
    </xf>
    <xf numFmtId="197" fontId="63" fillId="9" borderId="1" xfId="5" applyNumberFormat="1" applyFont="1" applyFill="1" applyBorder="1" applyAlignment="1">
      <alignment horizontal="center" vertical="center"/>
    </xf>
    <xf numFmtId="0" fontId="63" fillId="30" borderId="1" xfId="5" applyFont="1" applyFill="1" applyBorder="1" applyAlignment="1">
      <alignment horizontal="center" vertical="center"/>
    </xf>
    <xf numFmtId="189" fontId="14" fillId="0" borderId="0" xfId="5" applyNumberFormat="1" applyFont="1" applyAlignment="1">
      <alignment horizontal="center" vertical="center"/>
    </xf>
    <xf numFmtId="179" fontId="14" fillId="0" borderId="0" xfId="5" applyNumberFormat="1" applyFont="1" applyAlignment="1">
      <alignment horizontal="center" vertical="center"/>
    </xf>
    <xf numFmtId="182" fontId="66" fillId="0" borderId="0" xfId="5" applyNumberFormat="1" applyFont="1" applyAlignment="1">
      <alignment horizontal="center" vertical="center"/>
    </xf>
    <xf numFmtId="0" fontId="14" fillId="5" borderId="0" xfId="5" applyFont="1" applyFill="1" applyAlignment="1">
      <alignment horizontal="center" vertical="center"/>
    </xf>
    <xf numFmtId="189" fontId="76" fillId="14" borderId="29" xfId="5" applyNumberFormat="1" applyFont="1" applyFill="1" applyBorder="1" applyAlignment="1">
      <alignment horizontal="center" vertical="center"/>
    </xf>
    <xf numFmtId="189" fontId="76" fillId="14" borderId="4" xfId="5" applyNumberFormat="1" applyFont="1" applyFill="1" applyBorder="1" applyAlignment="1">
      <alignment horizontal="center" vertical="center"/>
    </xf>
    <xf numFmtId="0" fontId="17" fillId="0" borderId="27" xfId="5" applyFont="1" applyBorder="1" applyAlignment="1">
      <alignment horizontal="center" vertical="center"/>
    </xf>
    <xf numFmtId="0" fontId="17" fillId="0" borderId="23" xfId="5" applyFont="1" applyBorder="1" applyAlignment="1">
      <alignment horizontal="right" vertical="center"/>
    </xf>
    <xf numFmtId="0" fontId="73" fillId="22" borderId="1" xfId="2" applyFont="1" applyFill="1" applyBorder="1" applyAlignment="1">
      <alignment horizontal="center" vertical="center"/>
    </xf>
    <xf numFmtId="0" fontId="72" fillId="22" borderId="1" xfId="2" applyFont="1" applyFill="1" applyBorder="1" applyAlignment="1">
      <alignment horizontal="center" vertical="center"/>
    </xf>
    <xf numFmtId="0" fontId="14" fillId="0" borderId="0" xfId="2" applyFont="1" applyAlignment="1">
      <alignment horizontal="left" vertical="center"/>
    </xf>
    <xf numFmtId="0" fontId="45" fillId="0" borderId="0" xfId="2" applyFont="1" applyAlignment="1">
      <alignment horizontal="center" vertical="center"/>
    </xf>
    <xf numFmtId="0" fontId="46" fillId="0" borderId="0" xfId="2" applyFont="1" applyAlignment="1">
      <alignment horizontal="center" vertical="center"/>
    </xf>
    <xf numFmtId="0" fontId="46" fillId="0" borderId="0" xfId="2" applyFont="1" applyAlignment="1">
      <alignment vertical="center"/>
    </xf>
    <xf numFmtId="0" fontId="14" fillId="0" borderId="12" xfId="2" applyFont="1" applyBorder="1" applyAlignment="1">
      <alignment horizontal="center" vertical="center"/>
    </xf>
    <xf numFmtId="215" fontId="14" fillId="0" borderId="32" xfId="2" applyNumberFormat="1" applyFont="1" applyBorder="1" applyAlignment="1">
      <alignment horizontal="center" vertical="center"/>
    </xf>
    <xf numFmtId="215" fontId="14" fillId="0" borderId="0" xfId="2" applyNumberFormat="1" applyFont="1" applyAlignment="1">
      <alignment horizontal="center" vertical="center"/>
    </xf>
    <xf numFmtId="0" fontId="14" fillId="0" borderId="14" xfId="2" applyFont="1" applyBorder="1" applyAlignment="1">
      <alignment horizontal="center" vertical="center"/>
    </xf>
    <xf numFmtId="216" fontId="14" fillId="0" borderId="33" xfId="2" applyNumberFormat="1" applyFont="1" applyBorder="1" applyAlignment="1">
      <alignment horizontal="center" vertical="center"/>
    </xf>
    <xf numFmtId="0" fontId="14" fillId="0" borderId="34" xfId="2" applyFont="1" applyBorder="1" applyAlignment="1">
      <alignment horizontal="center" vertical="center"/>
    </xf>
    <xf numFmtId="40" fontId="14" fillId="0" borderId="35" xfId="2" applyNumberFormat="1" applyFont="1" applyBorder="1" applyAlignment="1">
      <alignment horizontal="center" vertical="center"/>
    </xf>
    <xf numFmtId="216" fontId="14" fillId="0" borderId="0" xfId="2" applyNumberFormat="1" applyFont="1" applyAlignment="1">
      <alignment horizontal="center" vertical="center"/>
    </xf>
    <xf numFmtId="0" fontId="14" fillId="0" borderId="36" xfId="2" applyFont="1" applyBorder="1" applyAlignment="1">
      <alignment horizontal="center" vertical="center"/>
    </xf>
    <xf numFmtId="0" fontId="14" fillId="0" borderId="37" xfId="2" applyFont="1" applyBorder="1" applyAlignment="1">
      <alignment horizontal="center" vertical="center"/>
    </xf>
    <xf numFmtId="0" fontId="14" fillId="0" borderId="38" xfId="2" applyFont="1" applyBorder="1" applyAlignment="1">
      <alignment horizontal="center" vertical="center"/>
    </xf>
    <xf numFmtId="0" fontId="14" fillId="0" borderId="3" xfId="2" applyFont="1" applyBorder="1" applyAlignment="1">
      <alignment horizontal="center" vertical="center"/>
    </xf>
    <xf numFmtId="217" fontId="14" fillId="0" borderId="39" xfId="2" applyNumberFormat="1" applyFont="1" applyBorder="1" applyAlignment="1">
      <alignment horizontal="center" vertical="center"/>
    </xf>
    <xf numFmtId="0" fontId="14" fillId="0" borderId="40" xfId="2" applyFont="1" applyBorder="1" applyAlignment="1">
      <alignment horizontal="center" vertical="center"/>
    </xf>
    <xf numFmtId="182" fontId="14" fillId="0" borderId="41" xfId="2" applyNumberFormat="1" applyFont="1" applyBorder="1" applyAlignment="1">
      <alignment horizontal="center" vertical="center"/>
    </xf>
    <xf numFmtId="38" fontId="14" fillId="0" borderId="42" xfId="2" applyNumberFormat="1" applyFont="1" applyBorder="1" applyAlignment="1">
      <alignment horizontal="center" vertical="center"/>
    </xf>
    <xf numFmtId="218" fontId="14" fillId="0" borderId="40" xfId="2" applyNumberFormat="1" applyFont="1" applyBorder="1" applyAlignment="1">
      <alignment horizontal="center" vertical="center"/>
    </xf>
    <xf numFmtId="217" fontId="14" fillId="0" borderId="36" xfId="2" applyNumberFormat="1" applyFont="1" applyBorder="1" applyAlignment="1">
      <alignment horizontal="center" vertical="center"/>
    </xf>
    <xf numFmtId="182" fontId="14" fillId="0" borderId="38" xfId="2" applyNumberFormat="1" applyFont="1" applyBorder="1" applyAlignment="1">
      <alignment horizontal="center" vertical="center"/>
    </xf>
    <xf numFmtId="38" fontId="14" fillId="0" borderId="3" xfId="2" applyNumberFormat="1" applyFont="1" applyBorder="1" applyAlignment="1">
      <alignment horizontal="center" vertical="center"/>
    </xf>
    <xf numFmtId="218" fontId="14" fillId="0" borderId="37" xfId="2" applyNumberFormat="1" applyFont="1" applyBorder="1" applyAlignment="1">
      <alignment horizontal="center" vertical="center"/>
    </xf>
    <xf numFmtId="0" fontId="14" fillId="0" borderId="43" xfId="2" applyFont="1" applyBorder="1" applyAlignment="1">
      <alignment horizontal="center" vertical="center"/>
    </xf>
    <xf numFmtId="0" fontId="14" fillId="0" borderId="44" xfId="2" applyFont="1" applyBorder="1" applyAlignment="1">
      <alignment horizontal="center" vertical="center"/>
    </xf>
    <xf numFmtId="0" fontId="14" fillId="0" borderId="45" xfId="2" applyFont="1" applyBorder="1" applyAlignment="1">
      <alignment horizontal="center" vertical="center"/>
    </xf>
    <xf numFmtId="0" fontId="14" fillId="0" borderId="46" xfId="2" applyFont="1" applyBorder="1" applyAlignment="1">
      <alignment horizontal="center" vertical="center"/>
    </xf>
    <xf numFmtId="0" fontId="14" fillId="0" borderId="0" xfId="2" applyFont="1" applyAlignment="1">
      <alignment horizontal="center"/>
    </xf>
    <xf numFmtId="0" fontId="14" fillId="0" borderId="0" xfId="2" applyFont="1"/>
    <xf numFmtId="0" fontId="13" fillId="0" borderId="2" xfId="2" applyFont="1" applyBorder="1" applyAlignment="1">
      <alignment horizontal="center" vertical="center"/>
    </xf>
    <xf numFmtId="0" fontId="13" fillId="0" borderId="7" xfId="2" applyFont="1" applyBorder="1" applyAlignment="1">
      <alignment horizontal="center" vertical="center"/>
    </xf>
    <xf numFmtId="0" fontId="13" fillId="25" borderId="53" xfId="2" applyFont="1" applyFill="1" applyBorder="1" applyAlignment="1">
      <alignment horizontal="center" vertical="center"/>
    </xf>
    <xf numFmtId="0" fontId="13" fillId="25" borderId="54" xfId="2" applyFont="1" applyFill="1" applyBorder="1" applyAlignment="1">
      <alignment horizontal="center" vertical="center"/>
    </xf>
    <xf numFmtId="179" fontId="13" fillId="25" borderId="53" xfId="2" applyNumberFormat="1" applyFont="1" applyFill="1" applyBorder="1" applyAlignment="1">
      <alignment horizontal="center" vertical="center"/>
    </xf>
    <xf numFmtId="179" fontId="13" fillId="25" borderId="54" xfId="2" applyNumberFormat="1" applyFont="1" applyFill="1" applyBorder="1" applyAlignment="1">
      <alignment horizontal="center" vertical="center"/>
    </xf>
    <xf numFmtId="0" fontId="13" fillId="20" borderId="51" xfId="2" applyFont="1" applyFill="1" applyBorder="1" applyAlignment="1">
      <alignment horizontal="center" vertical="center"/>
    </xf>
    <xf numFmtId="0" fontId="13" fillId="20" borderId="52" xfId="2" applyFont="1" applyFill="1" applyBorder="1" applyAlignment="1">
      <alignment horizontal="center" vertical="center"/>
    </xf>
    <xf numFmtId="0" fontId="13" fillId="20" borderId="49" xfId="2" applyFont="1" applyFill="1" applyBorder="1" applyAlignment="1">
      <alignment horizontal="center" vertical="center"/>
    </xf>
    <xf numFmtId="181" fontId="13" fillId="0" borderId="8" xfId="2" applyNumberFormat="1" applyFont="1" applyBorder="1" applyAlignment="1">
      <alignment horizontal="center" vertical="center"/>
    </xf>
    <xf numFmtId="181" fontId="13" fillId="0" borderId="9" xfId="2" applyNumberFormat="1" applyFont="1" applyBorder="1" applyAlignment="1">
      <alignment horizontal="center" vertical="center"/>
    </xf>
    <xf numFmtId="190" fontId="13" fillId="27" borderId="2" xfId="2" applyNumberFormat="1" applyFont="1" applyFill="1" applyBorder="1" applyAlignment="1">
      <alignment horizontal="center" vertical="center"/>
    </xf>
    <xf numFmtId="190" fontId="13" fillId="27" borderId="7" xfId="2" applyNumberFormat="1" applyFont="1" applyFill="1" applyBorder="1" applyAlignment="1">
      <alignment horizontal="center" vertical="center"/>
    </xf>
    <xf numFmtId="179" fontId="13" fillId="0" borderId="10" xfId="2" applyNumberFormat="1" applyFont="1" applyBorder="1" applyAlignment="1">
      <alignment horizontal="center" vertical="center"/>
    </xf>
    <xf numFmtId="179" fontId="13" fillId="0" borderId="47" xfId="2" applyNumberFormat="1" applyFont="1" applyBorder="1" applyAlignment="1">
      <alignment horizontal="center" vertical="center"/>
    </xf>
    <xf numFmtId="179" fontId="13" fillId="0" borderId="11" xfId="2" applyNumberFormat="1" applyFont="1" applyBorder="1" applyAlignment="1">
      <alignment horizontal="center" vertical="center"/>
    </xf>
    <xf numFmtId="179" fontId="13" fillId="0" borderId="48" xfId="2" applyNumberFormat="1" applyFont="1" applyBorder="1" applyAlignment="1">
      <alignment horizontal="center" vertical="center"/>
    </xf>
    <xf numFmtId="0" fontId="19" fillId="8" borderId="5" xfId="2" applyFont="1" applyFill="1" applyBorder="1" applyAlignment="1">
      <alignment horizontal="right" vertical="center"/>
    </xf>
    <xf numFmtId="0" fontId="9" fillId="0" borderId="0" xfId="2" applyFont="1" applyAlignment="1">
      <alignment horizontal="center" vertical="center"/>
    </xf>
    <xf numFmtId="0" fontId="13" fillId="27" borderId="2" xfId="2" applyFont="1" applyFill="1" applyBorder="1" applyAlignment="1">
      <alignment horizontal="left" vertical="center"/>
    </xf>
    <xf numFmtId="0" fontId="13" fillId="27" borderId="6" xfId="2" applyFont="1" applyFill="1" applyBorder="1" applyAlignment="1">
      <alignment horizontal="left" vertical="center"/>
    </xf>
    <xf numFmtId="0" fontId="13" fillId="27" borderId="7" xfId="2" applyFont="1" applyFill="1" applyBorder="1" applyAlignment="1">
      <alignment horizontal="left" vertical="center"/>
    </xf>
    <xf numFmtId="0" fontId="15" fillId="0" borderId="0" xfId="2" applyFont="1" applyAlignment="1">
      <alignment horizontal="center" vertical="center"/>
    </xf>
    <xf numFmtId="186" fontId="18" fillId="9" borderId="1" xfId="2" applyNumberFormat="1" applyFont="1" applyFill="1" applyBorder="1" applyAlignment="1">
      <alignment horizontal="center" vertical="center"/>
    </xf>
    <xf numFmtId="187" fontId="16" fillId="27" borderId="1" xfId="2" applyNumberFormat="1" applyFont="1" applyFill="1" applyBorder="1" applyAlignment="1">
      <alignment horizontal="center" vertical="center"/>
    </xf>
    <xf numFmtId="187" fontId="19" fillId="8" borderId="2" xfId="2" applyNumberFormat="1" applyFont="1" applyFill="1" applyBorder="1" applyAlignment="1">
      <alignment horizontal="right" vertical="center"/>
    </xf>
    <xf numFmtId="187" fontId="19" fillId="8" borderId="6" xfId="2" applyNumberFormat="1" applyFont="1" applyFill="1" applyBorder="1" applyAlignment="1">
      <alignment horizontal="right" vertical="center"/>
    </xf>
    <xf numFmtId="187" fontId="19" fillId="8" borderId="7" xfId="2" applyNumberFormat="1" applyFont="1" applyFill="1" applyBorder="1" applyAlignment="1">
      <alignment horizontal="right" vertical="center"/>
    </xf>
    <xf numFmtId="185" fontId="13" fillId="27" borderId="2" xfId="2" applyNumberFormat="1" applyFont="1" applyFill="1" applyBorder="1" applyAlignment="1">
      <alignment horizontal="left" vertical="center"/>
    </xf>
    <xf numFmtId="185" fontId="13" fillId="27" borderId="6" xfId="2" applyNumberFormat="1" applyFont="1" applyFill="1" applyBorder="1" applyAlignment="1">
      <alignment horizontal="left" vertical="center"/>
    </xf>
    <xf numFmtId="185" fontId="13" fillId="27" borderId="7" xfId="2" applyNumberFormat="1" applyFont="1" applyFill="1" applyBorder="1" applyAlignment="1">
      <alignment horizontal="left" vertical="center"/>
    </xf>
    <xf numFmtId="0" fontId="13" fillId="27" borderId="2" xfId="2" applyFont="1" applyFill="1" applyBorder="1" applyAlignment="1">
      <alignment horizontal="center" vertical="center"/>
    </xf>
    <xf numFmtId="0" fontId="13" fillId="27" borderId="6" xfId="2" applyFont="1" applyFill="1" applyBorder="1" applyAlignment="1">
      <alignment horizontal="center" vertical="center"/>
    </xf>
    <xf numFmtId="0" fontId="13" fillId="27" borderId="7" xfId="2" applyFont="1" applyFill="1" applyBorder="1" applyAlignment="1">
      <alignment horizontal="center" vertical="center"/>
    </xf>
    <xf numFmtId="0" fontId="8" fillId="0" borderId="1" xfId="2" applyFont="1" applyBorder="1" applyAlignment="1">
      <alignment horizontal="center" vertical="center"/>
    </xf>
    <xf numFmtId="2" fontId="9" fillId="0" borderId="1" xfId="2" applyNumberFormat="1" applyFont="1" applyBorder="1" applyAlignment="1">
      <alignment horizontal="center" vertical="center"/>
    </xf>
    <xf numFmtId="207" fontId="69" fillId="0" borderId="1" xfId="2" applyNumberFormat="1" applyFont="1" applyBorder="1" applyAlignment="1">
      <alignment horizontal="center" vertical="center"/>
    </xf>
    <xf numFmtId="208" fontId="69" fillId="0" borderId="1" xfId="2" applyNumberFormat="1" applyFont="1" applyBorder="1" applyAlignment="1">
      <alignment horizontal="center" vertical="center"/>
    </xf>
    <xf numFmtId="0" fontId="69" fillId="0" borderId="1" xfId="2" applyFont="1" applyBorder="1" applyAlignment="1">
      <alignment horizontal="center" vertical="center"/>
    </xf>
    <xf numFmtId="201" fontId="69" fillId="0" borderId="2" xfId="2" applyNumberFormat="1" applyFont="1" applyBorder="1" applyAlignment="1">
      <alignment horizontal="center" vertical="center"/>
    </xf>
    <xf numFmtId="201" fontId="69" fillId="0" borderId="6" xfId="2" applyNumberFormat="1" applyFont="1" applyBorder="1" applyAlignment="1">
      <alignment horizontal="center" vertical="center"/>
    </xf>
    <xf numFmtId="201" fontId="69" fillId="0" borderId="7" xfId="2" applyNumberFormat="1" applyFont="1" applyBorder="1" applyAlignment="1">
      <alignment horizontal="center" vertical="center"/>
    </xf>
    <xf numFmtId="203" fontId="69" fillId="0" borderId="1" xfId="2" applyNumberFormat="1" applyFont="1" applyBorder="1" applyAlignment="1">
      <alignment horizontal="center" vertical="center"/>
    </xf>
    <xf numFmtId="204" fontId="69" fillId="0" borderId="1" xfId="2" applyNumberFormat="1" applyFont="1" applyBorder="1" applyAlignment="1">
      <alignment horizontal="center" vertical="center"/>
    </xf>
    <xf numFmtId="205" fontId="69" fillId="0" borderId="2" xfId="2" applyNumberFormat="1" applyFont="1" applyBorder="1" applyAlignment="1">
      <alignment horizontal="center" vertical="center"/>
    </xf>
    <xf numFmtId="205" fontId="69" fillId="0" borderId="6" xfId="2" applyNumberFormat="1" applyFont="1" applyBorder="1" applyAlignment="1">
      <alignment horizontal="center" vertical="center"/>
    </xf>
    <xf numFmtId="206" fontId="69" fillId="0" borderId="6" xfId="2" applyNumberFormat="1" applyFont="1" applyBorder="1" applyAlignment="1">
      <alignment horizontal="center" vertical="center"/>
    </xf>
    <xf numFmtId="202" fontId="69" fillId="0" borderId="1" xfId="2" applyNumberFormat="1" applyFont="1" applyBorder="1" applyAlignment="1">
      <alignment horizontal="center" vertical="center" wrapText="1"/>
    </xf>
    <xf numFmtId="0" fontId="69" fillId="0" borderId="1" xfId="2" applyFont="1" applyBorder="1" applyAlignment="1">
      <alignment horizontal="center" vertical="center" wrapText="1"/>
    </xf>
    <xf numFmtId="213" fontId="16" fillId="0" borderId="1" xfId="2" applyNumberFormat="1" applyFont="1" applyBorder="1" applyAlignment="1">
      <alignment horizontal="center" vertical="center"/>
    </xf>
    <xf numFmtId="0" fontId="40" fillId="8" borderId="0" xfId="2" applyFont="1" applyFill="1" applyAlignment="1">
      <alignment horizontal="right" vertical="center" wrapText="1"/>
    </xf>
    <xf numFmtId="211" fontId="16" fillId="0" borderId="1" xfId="2" applyNumberFormat="1" applyFont="1" applyBorder="1" applyAlignment="1">
      <alignment horizontal="left" vertical="center"/>
    </xf>
    <xf numFmtId="211" fontId="16" fillId="0" borderId="2" xfId="2" applyNumberFormat="1" applyFont="1" applyBorder="1" applyAlignment="1">
      <alignment horizontal="left" vertical="center"/>
    </xf>
    <xf numFmtId="0" fontId="16" fillId="0" borderId="1" xfId="2" applyFont="1" applyBorder="1" applyAlignment="1">
      <alignment horizontal="center" vertical="center" wrapText="1"/>
    </xf>
    <xf numFmtId="0" fontId="14" fillId="0" borderId="62" xfId="2" applyFont="1" applyBorder="1" applyAlignment="1">
      <alignment horizontal="center" vertical="center"/>
    </xf>
    <xf numFmtId="0" fontId="14" fillId="0" borderId="63" xfId="2" applyFont="1" applyBorder="1" applyAlignment="1">
      <alignment horizontal="center" vertical="center"/>
    </xf>
    <xf numFmtId="0" fontId="17" fillId="0" borderId="59" xfId="2" applyFont="1" applyBorder="1" applyAlignment="1">
      <alignment horizontal="center" vertical="center"/>
    </xf>
    <xf numFmtId="0" fontId="17" fillId="0" borderId="61" xfId="2" applyFont="1" applyBorder="1" applyAlignment="1">
      <alignment horizontal="center" vertical="center"/>
    </xf>
    <xf numFmtId="0" fontId="17" fillId="0" borderId="60" xfId="2" applyFont="1" applyBorder="1" applyAlignment="1">
      <alignment horizontal="center" vertical="center"/>
    </xf>
    <xf numFmtId="0" fontId="14" fillId="0" borderId="57" xfId="2" applyFont="1" applyBorder="1" applyAlignment="1">
      <alignment horizontal="center" vertical="center"/>
    </xf>
    <xf numFmtId="0" fontId="14" fillId="0" borderId="58" xfId="2" applyFont="1" applyBorder="1" applyAlignment="1">
      <alignment horizontal="center" vertical="center"/>
    </xf>
  </cellXfs>
  <cellStyles count="6">
    <cellStyle name="나쁨" xfId="1" builtinId="27"/>
    <cellStyle name="백분율 2" xfId="4" xr:uid="{E7427DB0-7200-4499-906F-EAD0A4D93108}"/>
    <cellStyle name="쉼표 [0] 2" xfId="3" xr:uid="{F2628F4A-E587-4A59-B19D-7F35CFD6E758}"/>
    <cellStyle name="표준" xfId="0" builtinId="0"/>
    <cellStyle name="표준 2" xfId="2" xr:uid="{58E96D6F-E26D-4F9A-AD14-1E2187070458}"/>
    <cellStyle name="표준 2 2" xfId="5" xr:uid="{34750C69-1395-48AD-9044-A3C85406A852}"/>
  </cellStyles>
  <dxfs count="2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FFFFCD"/>
      <color rgb="FF993300"/>
      <color rgb="FF9E7E98"/>
      <color rgb="FF2DA5FF"/>
      <color rgb="FFDBF3D9"/>
      <color rgb="FFFFFF99"/>
      <color rgb="FFE7E7FF"/>
      <color rgb="FFCCCCFF"/>
      <color rgb="FFFFCCCC"/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603300141485644"/>
          <c:y val="3.5135135135135137E-2"/>
          <c:w val="0.82449799376034916"/>
          <c:h val="0.9027027027027027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Sheet1!$A$1:$A$100</c:f>
              <c:numCache>
                <c:formatCode>\ 0\ \ 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121</c:v>
                </c:pt>
                <c:pt idx="21">
                  <c:v>122</c:v>
                </c:pt>
                <c:pt idx="22">
                  <c:v>123</c:v>
                </c:pt>
                <c:pt idx="23">
                  <c:v>124</c:v>
                </c:pt>
                <c:pt idx="24">
                  <c:v>125</c:v>
                </c:pt>
                <c:pt idx="25">
                  <c:v>130</c:v>
                </c:pt>
                <c:pt idx="26">
                  <c:v>135</c:v>
                </c:pt>
                <c:pt idx="27">
                  <c:v>140</c:v>
                </c:pt>
                <c:pt idx="28">
                  <c:v>145</c:v>
                </c:pt>
                <c:pt idx="29">
                  <c:v>150</c:v>
                </c:pt>
                <c:pt idx="30">
                  <c:v>155</c:v>
                </c:pt>
                <c:pt idx="31">
                  <c:v>160</c:v>
                </c:pt>
                <c:pt idx="32">
                  <c:v>165</c:v>
                </c:pt>
                <c:pt idx="33">
                  <c:v>170</c:v>
                </c:pt>
                <c:pt idx="34">
                  <c:v>175</c:v>
                </c:pt>
                <c:pt idx="35">
                  <c:v>180</c:v>
                </c:pt>
                <c:pt idx="36">
                  <c:v>195</c:v>
                </c:pt>
                <c:pt idx="37">
                  <c:v>210</c:v>
                </c:pt>
                <c:pt idx="38">
                  <c:v>225</c:v>
                </c:pt>
                <c:pt idx="39">
                  <c:v>240</c:v>
                </c:pt>
                <c:pt idx="40">
                  <c:v>241</c:v>
                </c:pt>
                <c:pt idx="41">
                  <c:v>242</c:v>
                </c:pt>
                <c:pt idx="42">
                  <c:v>243</c:v>
                </c:pt>
                <c:pt idx="43">
                  <c:v>244</c:v>
                </c:pt>
                <c:pt idx="44">
                  <c:v>245</c:v>
                </c:pt>
                <c:pt idx="45">
                  <c:v>250</c:v>
                </c:pt>
                <c:pt idx="46">
                  <c:v>255</c:v>
                </c:pt>
                <c:pt idx="47">
                  <c:v>260</c:v>
                </c:pt>
                <c:pt idx="48">
                  <c:v>265</c:v>
                </c:pt>
                <c:pt idx="49">
                  <c:v>270</c:v>
                </c:pt>
                <c:pt idx="50">
                  <c:v>275</c:v>
                </c:pt>
                <c:pt idx="51">
                  <c:v>280</c:v>
                </c:pt>
                <c:pt idx="52">
                  <c:v>285</c:v>
                </c:pt>
                <c:pt idx="53">
                  <c:v>290</c:v>
                </c:pt>
                <c:pt idx="54">
                  <c:v>295</c:v>
                </c:pt>
                <c:pt idx="55">
                  <c:v>300</c:v>
                </c:pt>
                <c:pt idx="56">
                  <c:v>315</c:v>
                </c:pt>
                <c:pt idx="57">
                  <c:v>330</c:v>
                </c:pt>
                <c:pt idx="58">
                  <c:v>345</c:v>
                </c:pt>
                <c:pt idx="59">
                  <c:v>360</c:v>
                </c:pt>
                <c:pt idx="60">
                  <c:v>361</c:v>
                </c:pt>
                <c:pt idx="61">
                  <c:v>362</c:v>
                </c:pt>
                <c:pt idx="62">
                  <c:v>363</c:v>
                </c:pt>
                <c:pt idx="63">
                  <c:v>364</c:v>
                </c:pt>
                <c:pt idx="64">
                  <c:v>365</c:v>
                </c:pt>
                <c:pt idx="65">
                  <c:v>370</c:v>
                </c:pt>
                <c:pt idx="66">
                  <c:v>375</c:v>
                </c:pt>
                <c:pt idx="67">
                  <c:v>380</c:v>
                </c:pt>
                <c:pt idx="68">
                  <c:v>385</c:v>
                </c:pt>
                <c:pt idx="69">
                  <c:v>390</c:v>
                </c:pt>
                <c:pt idx="70">
                  <c:v>395</c:v>
                </c:pt>
                <c:pt idx="71">
                  <c:v>400</c:v>
                </c:pt>
                <c:pt idx="72">
                  <c:v>405</c:v>
                </c:pt>
                <c:pt idx="73">
                  <c:v>410</c:v>
                </c:pt>
                <c:pt idx="74">
                  <c:v>415</c:v>
                </c:pt>
                <c:pt idx="75">
                  <c:v>420</c:v>
                </c:pt>
                <c:pt idx="76">
                  <c:v>435</c:v>
                </c:pt>
                <c:pt idx="77">
                  <c:v>450</c:v>
                </c:pt>
                <c:pt idx="78">
                  <c:v>465</c:v>
                </c:pt>
                <c:pt idx="79">
                  <c:v>480</c:v>
                </c:pt>
                <c:pt idx="80">
                  <c:v>481</c:v>
                </c:pt>
                <c:pt idx="81">
                  <c:v>482</c:v>
                </c:pt>
                <c:pt idx="82">
                  <c:v>483</c:v>
                </c:pt>
                <c:pt idx="83">
                  <c:v>484</c:v>
                </c:pt>
                <c:pt idx="84">
                  <c:v>485</c:v>
                </c:pt>
                <c:pt idx="85">
                  <c:v>490</c:v>
                </c:pt>
                <c:pt idx="86">
                  <c:v>495</c:v>
                </c:pt>
                <c:pt idx="87">
                  <c:v>500</c:v>
                </c:pt>
                <c:pt idx="88">
                  <c:v>505</c:v>
                </c:pt>
                <c:pt idx="89">
                  <c:v>510</c:v>
                </c:pt>
                <c:pt idx="90">
                  <c:v>515</c:v>
                </c:pt>
                <c:pt idx="91">
                  <c:v>520</c:v>
                </c:pt>
                <c:pt idx="92">
                  <c:v>525</c:v>
                </c:pt>
                <c:pt idx="93">
                  <c:v>530</c:v>
                </c:pt>
                <c:pt idx="94">
                  <c:v>535</c:v>
                </c:pt>
                <c:pt idx="95">
                  <c:v>540</c:v>
                </c:pt>
                <c:pt idx="96">
                  <c:v>555</c:v>
                </c:pt>
                <c:pt idx="97">
                  <c:v>570</c:v>
                </c:pt>
                <c:pt idx="98">
                  <c:v>585</c:v>
                </c:pt>
                <c:pt idx="99">
                  <c:v>600</c:v>
                </c:pt>
              </c:numCache>
            </c:numRef>
          </c:xVal>
          <c:yVal>
            <c:numRef>
              <c:f>Sheet1!$B$1:$B$100</c:f>
              <c:numCache>
                <c:formatCode>General</c:formatCode>
                <c:ptCount val="100"/>
                <c:pt idx="0">
                  <c:v>-0.9</c:v>
                </c:pt>
                <c:pt idx="1">
                  <c:v>-0.36</c:v>
                </c:pt>
                <c:pt idx="2">
                  <c:v>-0.04</c:v>
                </c:pt>
                <c:pt idx="3">
                  <c:v>0.19</c:v>
                </c:pt>
                <c:pt idx="4">
                  <c:v>0.37</c:v>
                </c:pt>
                <c:pt idx="5">
                  <c:v>0.91</c:v>
                </c:pt>
                <c:pt idx="6">
                  <c:v>1.23</c:v>
                </c:pt>
                <c:pt idx="7">
                  <c:v>1.46</c:v>
                </c:pt>
                <c:pt idx="8">
                  <c:v>1.64</c:v>
                </c:pt>
                <c:pt idx="9">
                  <c:v>1.78</c:v>
                </c:pt>
                <c:pt idx="10">
                  <c:v>1.9</c:v>
                </c:pt>
                <c:pt idx="11">
                  <c:v>2.0099999999999998</c:v>
                </c:pt>
                <c:pt idx="12">
                  <c:v>2.1</c:v>
                </c:pt>
                <c:pt idx="13">
                  <c:v>2.1800000000000002</c:v>
                </c:pt>
                <c:pt idx="14">
                  <c:v>2.2599999999999998</c:v>
                </c:pt>
                <c:pt idx="15">
                  <c:v>2.33</c:v>
                </c:pt>
                <c:pt idx="16">
                  <c:v>2.5</c:v>
                </c:pt>
                <c:pt idx="17">
                  <c:v>2.65</c:v>
                </c:pt>
                <c:pt idx="18">
                  <c:v>2.77</c:v>
                </c:pt>
                <c:pt idx="19">
                  <c:v>2.88</c:v>
                </c:pt>
                <c:pt idx="20" formatCode="\ 0.00\ ">
                  <c:v>3.04</c:v>
                </c:pt>
                <c:pt idx="21" formatCode="\ 0.00\ ">
                  <c:v>3.19</c:v>
                </c:pt>
                <c:pt idx="22" formatCode="\ 0.00\ ">
                  <c:v>3.33</c:v>
                </c:pt>
                <c:pt idx="23" formatCode="\ 0.00\ ">
                  <c:v>3.46</c:v>
                </c:pt>
                <c:pt idx="24" formatCode="\ 0.00\ ">
                  <c:v>3.59</c:v>
                </c:pt>
                <c:pt idx="25">
                  <c:v>3.46</c:v>
                </c:pt>
                <c:pt idx="26" formatCode="\ 0.00\ ">
                  <c:v>3.57</c:v>
                </c:pt>
                <c:pt idx="27">
                  <c:v>3.55</c:v>
                </c:pt>
                <c:pt idx="28" formatCode="\ 0.00\ ">
                  <c:v>3.65</c:v>
                </c:pt>
                <c:pt idx="29">
                  <c:v>3.65</c:v>
                </c:pt>
                <c:pt idx="30" formatCode="\ 0.00\ ">
                  <c:v>3.71</c:v>
                </c:pt>
                <c:pt idx="31" formatCode="\ 0.00\ ">
                  <c:v>3.76</c:v>
                </c:pt>
                <c:pt idx="32" formatCode="\ 0.00\ ">
                  <c:v>3.8</c:v>
                </c:pt>
                <c:pt idx="33" formatCode="\ 0.00\ ">
                  <c:v>3.8299999999999996</c:v>
                </c:pt>
                <c:pt idx="34" formatCode="\ 0.00\ ">
                  <c:v>3.8499999999999996</c:v>
                </c:pt>
                <c:pt idx="35">
                  <c:v>3.75</c:v>
                </c:pt>
                <c:pt idx="36" formatCode="\ 0.00\ ">
                  <c:v>3.82</c:v>
                </c:pt>
                <c:pt idx="37" formatCode="\ 0.00\ ">
                  <c:v>3.88</c:v>
                </c:pt>
                <c:pt idx="38" formatCode="\ 0.00\ ">
                  <c:v>3.9299999999999997</c:v>
                </c:pt>
                <c:pt idx="39">
                  <c:v>3.85</c:v>
                </c:pt>
                <c:pt idx="40" formatCode="\ 0.00\ ">
                  <c:v>4.03</c:v>
                </c:pt>
                <c:pt idx="41" formatCode="\ 0.00\ ">
                  <c:v>4.1900000000000004</c:v>
                </c:pt>
                <c:pt idx="42" formatCode="\ 0.00\ ">
                  <c:v>4.3400000000000007</c:v>
                </c:pt>
                <c:pt idx="43" formatCode="\ 0.00\ ">
                  <c:v>4.4800000000000004</c:v>
                </c:pt>
                <c:pt idx="44" formatCode="\ 0.00\ ">
                  <c:v>4.6100000000000003</c:v>
                </c:pt>
                <c:pt idx="45">
                  <c:v>4.49</c:v>
                </c:pt>
                <c:pt idx="46" formatCode="\ 0.00\ ">
                  <c:v>4.6000000000000005</c:v>
                </c:pt>
                <c:pt idx="47">
                  <c:v>4.5999999999999996</c:v>
                </c:pt>
                <c:pt idx="48" formatCode="\ 0.00\ ">
                  <c:v>4.71</c:v>
                </c:pt>
                <c:pt idx="49">
                  <c:v>4.71</c:v>
                </c:pt>
                <c:pt idx="50" formatCode="\ 0.00\ ">
                  <c:v>4.78</c:v>
                </c:pt>
                <c:pt idx="51" formatCode="\ 0.00\ ">
                  <c:v>4.83</c:v>
                </c:pt>
                <c:pt idx="52" formatCode="\ 0.00\ ">
                  <c:v>4.87</c:v>
                </c:pt>
                <c:pt idx="53" formatCode="\ 0.00\ ">
                  <c:v>4.9000000000000004</c:v>
                </c:pt>
                <c:pt idx="54" formatCode="\ 0.00\ ">
                  <c:v>4.92</c:v>
                </c:pt>
                <c:pt idx="55">
                  <c:v>4.82</c:v>
                </c:pt>
                <c:pt idx="56" formatCode="\ 0.00\ ">
                  <c:v>4.9000000000000004</c:v>
                </c:pt>
                <c:pt idx="57" formatCode="\ 0.00\ ">
                  <c:v>4.96</c:v>
                </c:pt>
                <c:pt idx="58" formatCode="\ 0.00\ ">
                  <c:v>5.01</c:v>
                </c:pt>
                <c:pt idx="59">
                  <c:v>4.93</c:v>
                </c:pt>
                <c:pt idx="60" formatCode="\ 0.00\ ">
                  <c:v>5.12</c:v>
                </c:pt>
                <c:pt idx="61" formatCode="\ 0.00\ ">
                  <c:v>5.29</c:v>
                </c:pt>
                <c:pt idx="62" formatCode="\ 0.00\ ">
                  <c:v>5.45</c:v>
                </c:pt>
                <c:pt idx="63" formatCode="\ 0.00\ ">
                  <c:v>5.6000000000000005</c:v>
                </c:pt>
                <c:pt idx="64" formatCode="\ 0.00\ ">
                  <c:v>5.74</c:v>
                </c:pt>
                <c:pt idx="65">
                  <c:v>5.65</c:v>
                </c:pt>
                <c:pt idx="66" formatCode="\ 0.00\ ">
                  <c:v>5.7700000000000005</c:v>
                </c:pt>
                <c:pt idx="67" formatCode="\ 0.00\ ">
                  <c:v>5.77</c:v>
                </c:pt>
                <c:pt idx="68" formatCode="\ 0.00\ ">
                  <c:v>5.89</c:v>
                </c:pt>
                <c:pt idx="69" formatCode="\ 0.00\ ">
                  <c:v>5.89</c:v>
                </c:pt>
                <c:pt idx="70" formatCode="\ 0.00\ ">
                  <c:v>5.96</c:v>
                </c:pt>
                <c:pt idx="71" formatCode="\ 0.00\ ">
                  <c:v>6.01</c:v>
                </c:pt>
                <c:pt idx="72" formatCode="\ 0.00\ ">
                  <c:v>6.05</c:v>
                </c:pt>
                <c:pt idx="73" formatCode="\ 0.00\ ">
                  <c:v>6.08</c:v>
                </c:pt>
                <c:pt idx="74" formatCode="\ 0.00\ ">
                  <c:v>6.11</c:v>
                </c:pt>
                <c:pt idx="75" formatCode="\ 0.00\ ">
                  <c:v>6.01</c:v>
                </c:pt>
                <c:pt idx="76" formatCode="\ 0.00\ ">
                  <c:v>6.1</c:v>
                </c:pt>
                <c:pt idx="77" formatCode="\ 0.00\ ">
                  <c:v>6.17</c:v>
                </c:pt>
                <c:pt idx="78" formatCode="\ 0.00\ ">
                  <c:v>6.22</c:v>
                </c:pt>
                <c:pt idx="79" formatCode="\ 0.00\ ">
                  <c:v>6.14</c:v>
                </c:pt>
                <c:pt idx="80" formatCode="\ 0.00\ ">
                  <c:v>6.35</c:v>
                </c:pt>
                <c:pt idx="81" formatCode="\ 0.00\ ">
                  <c:v>6.54</c:v>
                </c:pt>
                <c:pt idx="82" formatCode="\ 0.00\ ">
                  <c:v>6.71</c:v>
                </c:pt>
                <c:pt idx="83" formatCode="\ 0.00\ ">
                  <c:v>6.87</c:v>
                </c:pt>
                <c:pt idx="84" formatCode="\ 0.00\ ">
                  <c:v>7.01</c:v>
                </c:pt>
                <c:pt idx="85" formatCode="\ 0.00\ ">
                  <c:v>6.87</c:v>
                </c:pt>
                <c:pt idx="86" formatCode="\ 0.00\ ">
                  <c:v>7.18</c:v>
                </c:pt>
                <c:pt idx="87" formatCode="\ 0.00\ ">
                  <c:v>7.15</c:v>
                </c:pt>
                <c:pt idx="88" formatCode="\ 0.00\ ">
                  <c:v>7.45</c:v>
                </c:pt>
                <c:pt idx="89" formatCode="\ 0.00\ ">
                  <c:v>7.42</c:v>
                </c:pt>
                <c:pt idx="90" formatCode="\ 0.00\ ">
                  <c:v>7.57</c:v>
                </c:pt>
                <c:pt idx="91" formatCode="\ 0.00\ ">
                  <c:v>7.7</c:v>
                </c:pt>
                <c:pt idx="92" formatCode="\ 0.00\ ">
                  <c:v>7.8100000000000005</c:v>
                </c:pt>
                <c:pt idx="93" formatCode="\ 0.00\ ">
                  <c:v>7.8900000000000006</c:v>
                </c:pt>
                <c:pt idx="94" formatCode="\ 0.00\ ">
                  <c:v>7.9600000000000009</c:v>
                </c:pt>
                <c:pt idx="95" formatCode="\ 0.00\ ">
                  <c:v>7.7</c:v>
                </c:pt>
                <c:pt idx="96" formatCode="\ 0.00\ ">
                  <c:v>7.8900000000000006</c:v>
                </c:pt>
                <c:pt idx="97" formatCode="\ 0.00\ ">
                  <c:v>8.0500000000000007</c:v>
                </c:pt>
                <c:pt idx="98" formatCode="\ 0.00\ ">
                  <c:v>8.1900000000000013</c:v>
                </c:pt>
                <c:pt idx="99" formatCode="\ 0.00\ ">
                  <c:v>7.98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28A-4849-A153-14EB45726F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60704"/>
        <c:axId val="1"/>
      </c:scatterChart>
      <c:valAx>
        <c:axId val="408360704"/>
        <c:scaling>
          <c:orientation val="minMax"/>
        </c:scaling>
        <c:delete val="0"/>
        <c:axPos val="b"/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6070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7142857142857141E-2"/>
          <c:y val="0"/>
          <c:w val="0.88775510204081631"/>
          <c:h val="0"/>
        </c:manualLayout>
      </c:layout>
      <c:scatterChart>
        <c:scatterStyle val="lineMarker"/>
        <c:varyColors val="0"/>
        <c:ser>
          <c:idx val="0"/>
          <c:order val="0"/>
          <c:spPr>
            <a:ln w="3175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3F6-4E9B-B5C7-E5F877C0A3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1504"/>
        <c:axId val="1"/>
      </c:scatterChart>
      <c:valAx>
        <c:axId val="40837150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71504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84061780339715"/>
          <c:y val="7.7586370189525078E-2"/>
          <c:w val="0.72877994140613156"/>
          <c:h val="0.59913919201911037"/>
        </c:manualLayout>
      </c:layout>
      <c:scatterChart>
        <c:scatterStyle val="lineMarker"/>
        <c:varyColors val="0"/>
        <c:ser>
          <c:idx val="0"/>
          <c:order val="0"/>
          <c:spPr>
            <a:ln w="254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Input!$D$3:$D$7</c:f>
              <c:numCache>
                <c:formatCode>0</c:formatCode>
                <c:ptCount val="5"/>
                <c:pt idx="0">
                  <c:v>189</c:v>
                </c:pt>
                <c:pt idx="1">
                  <c:v>240</c:v>
                </c:pt>
                <c:pt idx="2">
                  <c:v>292.39999999999998</c:v>
                </c:pt>
                <c:pt idx="3">
                  <c:v>344</c:v>
                </c:pt>
                <c:pt idx="4">
                  <c:v>395.59999999999997</c:v>
                </c:pt>
              </c:numCache>
            </c:numRef>
          </c:xVal>
          <c:yVal>
            <c:numRef>
              <c:f>Input!$F$3:$F$7</c:f>
              <c:numCache>
                <c:formatCode>0.000</c:formatCode>
                <c:ptCount val="5"/>
                <c:pt idx="0">
                  <c:v>1.5238095238095238E-2</c:v>
                </c:pt>
                <c:pt idx="1">
                  <c:v>1.6041666666666666E-2</c:v>
                </c:pt>
                <c:pt idx="2">
                  <c:v>1.6860465116279071E-2</c:v>
                </c:pt>
                <c:pt idx="3">
                  <c:v>1.7848837209302325E-2</c:v>
                </c:pt>
                <c:pt idx="4">
                  <c:v>2.0171890798786656E-2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A9-463A-8AB7-53919E3EA4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73280"/>
        <c:axId val="1"/>
      </c:scatterChart>
      <c:valAx>
        <c:axId val="409373280"/>
        <c:scaling>
          <c:orientation val="minMax"/>
          <c:max val="232.39999999999998"/>
          <c:min val="59.400000000000006"/>
        </c:scaling>
        <c:delete val="0"/>
        <c:axPos val="b"/>
        <c:majorGridlines>
          <c:spPr>
            <a:ln w="3175" cmpd="sng"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4099465827641104"/>
              <c:y val="0.80172594804959718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  <c:majorUnit val="17.299999999999997"/>
      </c:valAx>
      <c:valAx>
        <c:axId val="1"/>
        <c:scaling>
          <c:orientation val="minMax"/>
          <c:max val="0.20079602578720537"/>
          <c:min val="0.12679567440426248"/>
        </c:scaling>
        <c:delete val="0"/>
        <c:axPos val="l"/>
        <c:majorGridlines>
          <c:spPr>
            <a:ln w="3175"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비수위강하량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(day/㎡)</a:t>
                </a:r>
              </a:p>
            </c:rich>
          </c:tx>
          <c:layout>
            <c:manualLayout>
              <c:xMode val="edge"/>
              <c:yMode val="edge"/>
              <c:x val="3.9716514308950818E-2"/>
              <c:y val="0.10488505747126436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73280"/>
        <c:crosses val="autoZero"/>
        <c:crossBetween val="midCat"/>
        <c:majorUnit val="1.8500087845735723E-2"/>
      </c:valAx>
      <c:spPr>
        <a:solidFill>
          <a:srgbClr val="FFFFFF"/>
        </a:solidFill>
        <a:ln w="22225" cmpd="thickThin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473707657708431"/>
          <c:y val="0.10794365843711767"/>
          <c:w val="0.77083490160095536"/>
          <c:h val="0.67227028679401668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0.15532303860790408"/>
                  <c:y val="-0.24654139348119333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>
                  <a:solidFill>
                    <a:srgbClr val="000000"/>
                  </a:solidFill>
                </a:ln>
                <a:effectLst>
                  <a:outerShdw dist="38100" dir="2700000" algn="tl" rotWithShape="0">
                    <a:prstClr val="black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ko-KR"/>
                </a:p>
              </c:txPr>
            </c:trendlineLbl>
          </c:trendline>
          <c:xVal>
            <c:numRef>
              <c:f>Input!$D$31:$D$36</c:f>
              <c:numCache>
                <c:formatCode>0</c:formatCode>
                <c:ptCount val="6"/>
                <c:pt idx="0">
                  <c:v>170</c:v>
                </c:pt>
                <c:pt idx="1">
                  <c:v>189</c:v>
                </c:pt>
                <c:pt idx="2">
                  <c:v>240</c:v>
                </c:pt>
                <c:pt idx="3">
                  <c:v>292.39999999999998</c:v>
                </c:pt>
                <c:pt idx="4">
                  <c:v>344</c:v>
                </c:pt>
                <c:pt idx="5">
                  <c:v>395.59999999999997</c:v>
                </c:pt>
              </c:numCache>
            </c:numRef>
          </c:xVal>
          <c:yVal>
            <c:numRef>
              <c:f>Input!$F$31:$F$36</c:f>
              <c:numCache>
                <c:formatCode>0.0</c:formatCode>
                <c:ptCount val="6"/>
                <c:pt idx="1">
                  <c:v>67.077714738560985</c:v>
                </c:pt>
                <c:pt idx="2">
                  <c:v>61.604866951921224</c:v>
                </c:pt>
                <c:pt idx="3">
                  <c:v>56.840004930572483</c:v>
                </c:pt>
                <c:pt idx="4">
                  <c:v>52.81719896540563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837-4B27-97DE-5EDEE1D0BA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56432"/>
        <c:axId val="1"/>
      </c:scatterChart>
      <c:valAx>
        <c:axId val="409356432"/>
        <c:scaling>
          <c:orientation val="minMax"/>
          <c:max val="232.39999999999998"/>
          <c:min val="59.400000000000006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양수량(㎥/day)</a:t>
                </a:r>
              </a:p>
            </c:rich>
          </c:tx>
          <c:layout>
            <c:manualLayout>
              <c:xMode val="edge"/>
              <c:yMode val="edge"/>
              <c:x val="0.44583420999500567"/>
              <c:y val="0.8748217628174964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0"/>
        <c:crossBetween val="midCat"/>
        <c:majorUnit val="17.299999999999997"/>
      </c:valAx>
      <c:valAx>
        <c:axId val="1"/>
        <c:scaling>
          <c:orientation val="minMax"/>
          <c:max val="100"/>
          <c:min val="4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우물효율(%)</a:t>
                </a:r>
              </a:p>
            </c:rich>
          </c:tx>
          <c:layout>
            <c:manualLayout>
              <c:xMode val="edge"/>
              <c:yMode val="edge"/>
              <c:x val="2.6610985367719719E-2"/>
              <c:y val="0.23418431261829323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56432"/>
        <c:crosses val="autoZero"/>
        <c:crossBetween val="midCat"/>
        <c:majorUnit val="15"/>
      </c:valAx>
      <c:spPr>
        <a:noFill/>
        <a:ln w="19050" cmpd="sng">
          <a:solidFill>
            <a:schemeClr val="tx1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022518261497582"/>
          <c:y val="0.10389654312323764"/>
          <c:w val="0.82475948989484671"/>
          <c:h val="0.6320373039996956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Input!$D$20:$D$24</c:f>
              <c:numCache>
                <c:formatCode>0</c:formatCode>
                <c:ptCount val="5"/>
                <c:pt idx="0">
                  <c:v>189</c:v>
                </c:pt>
                <c:pt idx="1">
                  <c:v>240</c:v>
                </c:pt>
                <c:pt idx="2">
                  <c:v>292.39999999999998</c:v>
                </c:pt>
                <c:pt idx="3">
                  <c:v>344</c:v>
                </c:pt>
                <c:pt idx="4">
                  <c:v>395.59999999999997</c:v>
                </c:pt>
              </c:numCache>
            </c:numRef>
          </c:xVal>
          <c:yVal>
            <c:numRef>
              <c:f>Input!$B$20:$B$24</c:f>
              <c:numCache>
                <c:formatCode>0.00</c:formatCode>
                <c:ptCount val="5"/>
                <c:pt idx="0">
                  <c:v>2.88</c:v>
                </c:pt>
                <c:pt idx="1">
                  <c:v>3.85</c:v>
                </c:pt>
                <c:pt idx="2">
                  <c:v>4.93</c:v>
                </c:pt>
                <c:pt idx="3">
                  <c:v>6.14</c:v>
                </c:pt>
                <c:pt idx="4">
                  <c:v>7.98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0B5-48E9-92BF-B6E401C44B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85808"/>
        <c:axId val="1"/>
      </c:scatterChart>
      <c:valAx>
        <c:axId val="409385808"/>
        <c:scaling>
          <c:logBase val="10"/>
          <c:orientation val="minMax"/>
          <c:min val="10"/>
        </c:scaling>
        <c:delete val="0"/>
        <c:axPos val="b"/>
        <c:maj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ajorGridlines>
        <c:min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(Q)(W-1)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51481715358411628"/>
              <c:y val="0.80375180375180377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0"/>
        </c:scaling>
        <c:delete val="0"/>
        <c:axPos val="l"/>
        <c:maj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ajorGridlines>
        <c:min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(Sw)</a:t>
                </a:r>
              </a:p>
            </c:rich>
          </c:tx>
          <c:layout>
            <c:manualLayout>
              <c:xMode val="edge"/>
              <c:yMode val="edge"/>
              <c:x val="2.5723472668810289E-2"/>
              <c:y val="0.22078012975650771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85808"/>
        <c:crosses val="autoZero"/>
        <c:crossBetween val="midCat"/>
      </c:valAx>
      <c:spPr>
        <a:solidFill>
          <a:srgbClr val="FFFFFF"/>
        </a:solidFill>
        <a:ln w="15875" cmpd="sng">
          <a:solidFill>
            <a:schemeClr val="tx1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925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1250043233323634"/>
          <c:y val="6.5502323072297766E-2"/>
          <c:w val="0.73958483802253827"/>
          <c:h val="0.63755594457036491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3.9205406072707172E-2"/>
                  <c:y val="-0.13454182855963964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 w="3175">
                  <a:solidFill>
                    <a:srgbClr val="000000"/>
                  </a:solidFill>
                  <a:prstDash val="solid"/>
                </a:ln>
                <a:effectLst>
                  <a:outerShdw dist="35921" dir="2700000" algn="br">
                    <a:srgbClr val="000000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ko-KR"/>
                </a:p>
              </c:txPr>
            </c:trendlineLbl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xVal>
            <c:numRef>
              <c:f>Input!$D$19:$D$24</c:f>
              <c:numCache>
                <c:formatCode>0</c:formatCode>
                <c:ptCount val="6"/>
                <c:pt idx="0">
                  <c:v>170</c:v>
                </c:pt>
                <c:pt idx="1">
                  <c:v>189</c:v>
                </c:pt>
                <c:pt idx="2">
                  <c:v>240</c:v>
                </c:pt>
                <c:pt idx="3">
                  <c:v>292.39999999999998</c:v>
                </c:pt>
                <c:pt idx="4">
                  <c:v>344</c:v>
                </c:pt>
                <c:pt idx="5">
                  <c:v>395.59999999999997</c:v>
                </c:pt>
              </c:numCache>
            </c:numRef>
          </c:xVal>
          <c:yVal>
            <c:numRef>
              <c:f>Input!$F$19:$F$24</c:f>
              <c:numCache>
                <c:formatCode>0.000</c:formatCode>
                <c:ptCount val="6"/>
                <c:pt idx="1">
                  <c:v>1.5238095238095238E-2</c:v>
                </c:pt>
                <c:pt idx="2">
                  <c:v>1.6041666666666666E-2</c:v>
                </c:pt>
                <c:pt idx="3">
                  <c:v>1.6860465116279071E-2</c:v>
                </c:pt>
                <c:pt idx="4">
                  <c:v>1.7848837209302325E-2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B64-4707-B637-3FADF006EC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64640"/>
        <c:axId val="1"/>
      </c:scatterChart>
      <c:valAx>
        <c:axId val="409364640"/>
        <c:scaling>
          <c:orientation val="minMax"/>
          <c:max val="232.39999999999998"/>
          <c:min val="59.400000000000006"/>
        </c:scaling>
        <c:delete val="0"/>
        <c:axPos val="b"/>
        <c:majorGridlines>
          <c:spPr>
            <a:ln w="3175"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6875087489063866"/>
              <c:y val="0.82969615697601107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  <c:majorUnit val="17.299999999999997"/>
      </c:valAx>
      <c:valAx>
        <c:axId val="1"/>
        <c:scaling>
          <c:orientation val="minMax"/>
          <c:max val="0.20079602578720537"/>
          <c:min val="0.12679567440426248"/>
        </c:scaling>
        <c:delete val="0"/>
        <c:axPos val="l"/>
        <c:majorGridlines>
          <c:spPr>
            <a:ln w="3175">
              <a:solidFill>
                <a:schemeClr val="tx1">
                  <a:lumMod val="85000"/>
                  <a:lumOff val="1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비수위강하량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(day/㎡)</a:t>
                </a:r>
              </a:p>
            </c:rich>
          </c:tx>
          <c:layout>
            <c:manualLayout>
              <c:xMode val="edge"/>
              <c:yMode val="edge"/>
              <c:x val="4.5466351445523405E-2"/>
              <c:y val="5.8224163027656477E-2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64640"/>
        <c:crosses val="autoZero"/>
        <c:crossBetween val="midCat"/>
        <c:majorUnit val="1.8500087845735723E-2"/>
      </c:valAx>
      <c:spPr>
        <a:solidFill>
          <a:srgbClr val="FFFFFF"/>
        </a:solidFill>
        <a:ln w="22225" cmpd="sng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105263157894736"/>
          <c:y val="8.0924969694061724E-2"/>
          <c:w val="0.66842105263157892"/>
          <c:h val="0.79479880949524917"/>
        </c:manualLayout>
      </c:layout>
      <c:scatterChart>
        <c:scatterStyle val="lineMarker"/>
        <c:varyColors val="0"/>
        <c:ser>
          <c:idx val="2"/>
          <c:order val="0"/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StepTest!$D$12:$D$51</c:f>
              <c:numCache>
                <c:formatCode>\ 0\ \ 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StepTest!$G$12:$G$51</c:f>
              <c:numCache>
                <c:formatCode>\ 0.00\ </c:formatCode>
                <c:ptCount val="40"/>
                <c:pt idx="0">
                  <c:v>-0.9</c:v>
                </c:pt>
                <c:pt idx="1">
                  <c:v>-0.36</c:v>
                </c:pt>
                <c:pt idx="2">
                  <c:v>-0.04</c:v>
                </c:pt>
                <c:pt idx="3">
                  <c:v>0.19</c:v>
                </c:pt>
                <c:pt idx="4">
                  <c:v>0.37</c:v>
                </c:pt>
                <c:pt idx="5">
                  <c:v>0.91</c:v>
                </c:pt>
                <c:pt idx="6">
                  <c:v>1.23</c:v>
                </c:pt>
                <c:pt idx="7">
                  <c:v>1.46</c:v>
                </c:pt>
                <c:pt idx="8">
                  <c:v>1.64</c:v>
                </c:pt>
                <c:pt idx="9">
                  <c:v>1.78</c:v>
                </c:pt>
                <c:pt idx="10">
                  <c:v>1.9</c:v>
                </c:pt>
                <c:pt idx="11">
                  <c:v>2.0099999999999998</c:v>
                </c:pt>
                <c:pt idx="12">
                  <c:v>2.1</c:v>
                </c:pt>
                <c:pt idx="13">
                  <c:v>2.1800000000000002</c:v>
                </c:pt>
                <c:pt idx="14">
                  <c:v>2.2599999999999998</c:v>
                </c:pt>
                <c:pt idx="15">
                  <c:v>2.33</c:v>
                </c:pt>
                <c:pt idx="16">
                  <c:v>2.5</c:v>
                </c:pt>
                <c:pt idx="17">
                  <c:v>2.65</c:v>
                </c:pt>
                <c:pt idx="18">
                  <c:v>2.77</c:v>
                </c:pt>
                <c:pt idx="19">
                  <c:v>2.88</c:v>
                </c:pt>
                <c:pt idx="20">
                  <c:v>3.46</c:v>
                </c:pt>
                <c:pt idx="21">
                  <c:v>3.55</c:v>
                </c:pt>
                <c:pt idx="22">
                  <c:v>3.65</c:v>
                </c:pt>
                <c:pt idx="23">
                  <c:v>3.75</c:v>
                </c:pt>
                <c:pt idx="24">
                  <c:v>3.85</c:v>
                </c:pt>
                <c:pt idx="25">
                  <c:v>4.49</c:v>
                </c:pt>
                <c:pt idx="26">
                  <c:v>4.5999999999999996</c:v>
                </c:pt>
                <c:pt idx="27">
                  <c:v>4.71</c:v>
                </c:pt>
                <c:pt idx="28">
                  <c:v>4.82</c:v>
                </c:pt>
                <c:pt idx="29">
                  <c:v>4.93</c:v>
                </c:pt>
                <c:pt idx="30">
                  <c:v>5.65</c:v>
                </c:pt>
                <c:pt idx="31">
                  <c:v>5.77</c:v>
                </c:pt>
                <c:pt idx="32">
                  <c:v>5.89</c:v>
                </c:pt>
                <c:pt idx="33">
                  <c:v>6.01</c:v>
                </c:pt>
                <c:pt idx="34">
                  <c:v>6.14</c:v>
                </c:pt>
                <c:pt idx="35">
                  <c:v>6.87</c:v>
                </c:pt>
                <c:pt idx="36">
                  <c:v>7.15</c:v>
                </c:pt>
                <c:pt idx="37">
                  <c:v>7.42</c:v>
                </c:pt>
                <c:pt idx="38">
                  <c:v>7.7</c:v>
                </c:pt>
                <c:pt idx="39">
                  <c:v>7.98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C9-41F6-B257-A05A327513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8416"/>
        <c:axId val="1"/>
      </c:scatterChart>
      <c:valAx>
        <c:axId val="408378416"/>
        <c:scaling>
          <c:logBase val="10"/>
          <c:orientation val="minMax"/>
          <c:max val="1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81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경과시간</a:t>
                </a:r>
              </a:p>
            </c:rich>
          </c:tx>
          <c:layout>
            <c:manualLayout>
              <c:xMode val="edge"/>
              <c:yMode val="edge"/>
              <c:x val="0.46980940152412087"/>
              <c:y val="0.92685934237424494"/>
            </c:manualLayout>
          </c:layout>
          <c:overlay val="0"/>
        </c:title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0.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98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000"/>
                </a:pPr>
                <a:r>
                  <a:rPr lang="ko-KR" altLang="en-US" sz="1000"/>
                  <a:t>수위강하량</a:t>
                </a:r>
              </a:p>
            </c:rich>
          </c:tx>
          <c:layout>
            <c:manualLayout>
              <c:xMode val="edge"/>
              <c:yMode val="edge"/>
              <c:x val="3.7153699001794202E-2"/>
              <c:y val="0.18174164773372464"/>
            </c:manualLayout>
          </c:layout>
          <c:overlay val="0"/>
        </c:title>
        <c:numFmt formatCode="\ 0\ &quot;m&quot;\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78416"/>
        <c:crossesAt val="1"/>
        <c:crossBetween val="midCat"/>
        <c:majorUnit val="10"/>
        <c:minorUnit val="10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047732696897375"/>
          <c:y val="0.11722501731765068"/>
          <c:w val="0.72076372315035797"/>
          <c:h val="0.75226335040978398"/>
        </c:manualLayout>
      </c:layout>
      <c:scatterChart>
        <c:scatterStyle val="lineMarker"/>
        <c:varyColors val="0"/>
        <c:ser>
          <c:idx val="0"/>
          <c:order val="0"/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StepTest!$AB$4:$AB$43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StepTest!$AC$4:$AC$43</c:f>
              <c:numCache>
                <c:formatCode>0.00</c:formatCode>
                <c:ptCount val="40"/>
                <c:pt idx="0">
                  <c:v>-0.89788141312399938</c:v>
                </c:pt>
                <c:pt idx="1">
                  <c:v>-0.35090859506227723</c:v>
                </c:pt>
                <c:pt idx="2">
                  <c:v>-3.0950007582394079E-2</c:v>
                </c:pt>
                <c:pt idx="3">
                  <c:v>0.19606422299944537</c:v>
                </c:pt>
                <c:pt idx="4">
                  <c:v>0.37215014027322724</c:v>
                </c:pt>
                <c:pt idx="5">
                  <c:v>0.91912295833494984</c:v>
                </c:pt>
                <c:pt idx="6">
                  <c:v>1.239081545814833</c:v>
                </c:pt>
                <c:pt idx="7">
                  <c:v>1.4660957763966724</c:v>
                </c:pt>
                <c:pt idx="8">
                  <c:v>1.6421816936704543</c:v>
                </c:pt>
                <c:pt idx="9">
                  <c:v>1.7860543638765556</c:v>
                </c:pt>
                <c:pt idx="10">
                  <c:v>1.9076969732905225</c:v>
                </c:pt>
                <c:pt idx="11">
                  <c:v>2.013068594458395</c:v>
                </c:pt>
                <c:pt idx="12">
                  <c:v>2.1060129513564378</c:v>
                </c:pt>
                <c:pt idx="13">
                  <c:v>2.1891545117321769</c:v>
                </c:pt>
                <c:pt idx="14">
                  <c:v>2.2643652016110956</c:v>
                </c:pt>
                <c:pt idx="15">
                  <c:v>2.3330271819382773</c:v>
                </c:pt>
                <c:pt idx="16">
                  <c:v>2.50911309921206</c:v>
                </c:pt>
                <c:pt idx="17">
                  <c:v>2.6529857694181604</c:v>
                </c:pt>
                <c:pt idx="18">
                  <c:v>2.7746283788321282</c:v>
                </c:pt>
                <c:pt idx="19">
                  <c:v>2.88</c:v>
                </c:pt>
                <c:pt idx="20">
                  <c:v>3.2356381980601725</c:v>
                </c:pt>
                <c:pt idx="21">
                  <c:v>3.309898147748882</c:v>
                </c:pt>
                <c:pt idx="22">
                  <c:v>3.3790325069359497</c:v>
                </c:pt>
                <c:pt idx="23">
                  <c:v>3.5617279611659196</c:v>
                </c:pt>
                <c:pt idx="24">
                  <c:v>3.8499999999999996</c:v>
                </c:pt>
                <c:pt idx="25">
                  <c:v>4.4848320765263079</c:v>
                </c:pt>
                <c:pt idx="26">
                  <c:v>4.5327139719494998</c:v>
                </c:pt>
                <c:pt idx="27">
                  <c:v>4.5787885660204761</c:v>
                </c:pt>
                <c:pt idx="28">
                  <c:v>4.7074160382631529</c:v>
                </c:pt>
                <c:pt idx="29">
                  <c:v>4.93</c:v>
                </c:pt>
                <c:pt idx="30">
                  <c:v>5.7661624777709992</c:v>
                </c:pt>
                <c:pt idx="31">
                  <c:v>5.8044653544383387</c:v>
                </c:pt>
                <c:pt idx="32">
                  <c:v>5.8417732378178862</c:v>
                </c:pt>
                <c:pt idx="33">
                  <c:v>5.9482124990383678</c:v>
                </c:pt>
                <c:pt idx="34">
                  <c:v>6.1399999999999988</c:v>
                </c:pt>
                <c:pt idx="35">
                  <c:v>7.645487905167446</c:v>
                </c:pt>
                <c:pt idx="36">
                  <c:v>7.6788569929442687</c:v>
                </c:pt>
                <c:pt idx="37">
                  <c:v>7.7115652630821501</c:v>
                </c:pt>
                <c:pt idx="38">
                  <c:v>7.8059745963775597</c:v>
                </c:pt>
                <c:pt idx="39">
                  <c:v>7.98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DFE-4CC5-A12C-F6D6A9130DDB}"/>
            </c:ext>
          </c:extLst>
        </c:ser>
        <c:ser>
          <c:idx val="1"/>
          <c:order val="1"/>
          <c:spPr>
            <a:ln w="2222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StepTest!$AB$4:$AB$43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StepTest!$AD$4:$AD$43</c:f>
              <c:numCache>
                <c:formatCode>0.000</c:formatCode>
                <c:ptCount val="40"/>
                <c:pt idx="0">
                  <c:v>-0.9</c:v>
                </c:pt>
                <c:pt idx="1">
                  <c:v>-0.36</c:v>
                </c:pt>
                <c:pt idx="2">
                  <c:v>-0.04</c:v>
                </c:pt>
                <c:pt idx="3">
                  <c:v>0.19</c:v>
                </c:pt>
                <c:pt idx="4">
                  <c:v>0.37</c:v>
                </c:pt>
                <c:pt idx="5">
                  <c:v>0.91</c:v>
                </c:pt>
                <c:pt idx="6">
                  <c:v>1.23</c:v>
                </c:pt>
                <c:pt idx="7">
                  <c:v>1.46</c:v>
                </c:pt>
                <c:pt idx="8">
                  <c:v>1.64</c:v>
                </c:pt>
                <c:pt idx="9">
                  <c:v>1.78</c:v>
                </c:pt>
                <c:pt idx="10">
                  <c:v>1.9</c:v>
                </c:pt>
                <c:pt idx="11">
                  <c:v>2.0099999999999998</c:v>
                </c:pt>
                <c:pt idx="12">
                  <c:v>2.1</c:v>
                </c:pt>
                <c:pt idx="13">
                  <c:v>2.1800000000000002</c:v>
                </c:pt>
                <c:pt idx="14">
                  <c:v>2.2599999999999998</c:v>
                </c:pt>
                <c:pt idx="15">
                  <c:v>2.33</c:v>
                </c:pt>
                <c:pt idx="16">
                  <c:v>2.5</c:v>
                </c:pt>
                <c:pt idx="17">
                  <c:v>2.65</c:v>
                </c:pt>
                <c:pt idx="18">
                  <c:v>2.77</c:v>
                </c:pt>
                <c:pt idx="19">
                  <c:v>2.88</c:v>
                </c:pt>
                <c:pt idx="20">
                  <c:v>3.46</c:v>
                </c:pt>
                <c:pt idx="21">
                  <c:v>3.55</c:v>
                </c:pt>
                <c:pt idx="22">
                  <c:v>3.65</c:v>
                </c:pt>
                <c:pt idx="23">
                  <c:v>3.75</c:v>
                </c:pt>
                <c:pt idx="24">
                  <c:v>3.85</c:v>
                </c:pt>
                <c:pt idx="25">
                  <c:v>4.49</c:v>
                </c:pt>
                <c:pt idx="26">
                  <c:v>4.5999999999999996</c:v>
                </c:pt>
                <c:pt idx="27">
                  <c:v>4.71</c:v>
                </c:pt>
                <c:pt idx="28">
                  <c:v>4.82</c:v>
                </c:pt>
                <c:pt idx="29">
                  <c:v>4.93</c:v>
                </c:pt>
                <c:pt idx="30">
                  <c:v>5.65</c:v>
                </c:pt>
                <c:pt idx="31">
                  <c:v>5.77</c:v>
                </c:pt>
                <c:pt idx="32">
                  <c:v>5.89</c:v>
                </c:pt>
                <c:pt idx="33">
                  <c:v>6.01</c:v>
                </c:pt>
                <c:pt idx="34">
                  <c:v>6.14</c:v>
                </c:pt>
                <c:pt idx="35">
                  <c:v>6.87</c:v>
                </c:pt>
                <c:pt idx="36">
                  <c:v>7.15</c:v>
                </c:pt>
                <c:pt idx="37">
                  <c:v>7.42</c:v>
                </c:pt>
                <c:pt idx="38">
                  <c:v>7.7</c:v>
                </c:pt>
                <c:pt idx="39">
                  <c:v>7.98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DFE-4CC5-A12C-F6D6A9130D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80576"/>
        <c:axId val="1"/>
      </c:scatterChart>
      <c:valAx>
        <c:axId val="408380576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경과시간</a:t>
                </a:r>
                <a:endParaRPr lang="en-US" altLang="ko-KR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수위강하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083805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31858407079647"/>
          <c:y val="4.9523901644162281E-2"/>
          <c:w val="0.77433628318584069"/>
          <c:h val="0.86285874787713523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FFFF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FFFF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LongTest!$E$10:$E$77</c:f>
              <c:numCache>
                <c:formatCode>General</c:formatCode>
                <c:ptCount val="68"/>
                <c:pt idx="0">
                  <c:v>6.9444444444444447E-4</c:v>
                </c:pt>
                <c:pt idx="1">
                  <c:v>1.3888888888888889E-3</c:v>
                </c:pt>
                <c:pt idx="2">
                  <c:v>2.0833333333333333E-3</c:v>
                </c:pt>
                <c:pt idx="3">
                  <c:v>2.7777777777777779E-3</c:v>
                </c:pt>
                <c:pt idx="4">
                  <c:v>3.472222222222222E-3</c:v>
                </c:pt>
                <c:pt idx="5">
                  <c:v>6.9444444444444441E-3</c:v>
                </c:pt>
                <c:pt idx="6">
                  <c:v>1.0416666666666666E-2</c:v>
                </c:pt>
                <c:pt idx="7">
                  <c:v>1.3888888888888888E-2</c:v>
                </c:pt>
                <c:pt idx="8">
                  <c:v>1.7361111111111112E-2</c:v>
                </c:pt>
                <c:pt idx="9">
                  <c:v>2.0833333333333332E-2</c:v>
                </c:pt>
                <c:pt idx="10">
                  <c:v>2.4305555555555556E-2</c:v>
                </c:pt>
                <c:pt idx="11">
                  <c:v>2.7777777777777776E-2</c:v>
                </c:pt>
                <c:pt idx="12">
                  <c:v>3.125E-2</c:v>
                </c:pt>
                <c:pt idx="13">
                  <c:v>3.4722222222222224E-2</c:v>
                </c:pt>
                <c:pt idx="14">
                  <c:v>3.8194444444444448E-2</c:v>
                </c:pt>
                <c:pt idx="15">
                  <c:v>4.1666666666666664E-2</c:v>
                </c:pt>
                <c:pt idx="16">
                  <c:v>5.2083333333333336E-2</c:v>
                </c:pt>
                <c:pt idx="17">
                  <c:v>6.25E-2</c:v>
                </c:pt>
                <c:pt idx="18">
                  <c:v>7.2916666666666671E-2</c:v>
                </c:pt>
                <c:pt idx="19">
                  <c:v>8.3333333333333329E-2</c:v>
                </c:pt>
                <c:pt idx="20">
                  <c:v>9.7222222222222224E-2</c:v>
                </c:pt>
                <c:pt idx="21">
                  <c:v>0.1111111111111111</c:v>
                </c:pt>
                <c:pt idx="22">
                  <c:v>0.125</c:v>
                </c:pt>
                <c:pt idx="23">
                  <c:v>0.16666666666666666</c:v>
                </c:pt>
                <c:pt idx="24">
                  <c:v>0.20833333333333334</c:v>
                </c:pt>
                <c:pt idx="25">
                  <c:v>0.25</c:v>
                </c:pt>
                <c:pt idx="26">
                  <c:v>0.29166666666666669</c:v>
                </c:pt>
                <c:pt idx="27">
                  <c:v>0.33333333333333331</c:v>
                </c:pt>
                <c:pt idx="28">
                  <c:v>0.375</c:v>
                </c:pt>
                <c:pt idx="29">
                  <c:v>0.41666666666666669</c:v>
                </c:pt>
                <c:pt idx="30">
                  <c:v>0.45833333333333331</c:v>
                </c:pt>
                <c:pt idx="31">
                  <c:v>0.5</c:v>
                </c:pt>
                <c:pt idx="32">
                  <c:v>0.54166666666666663</c:v>
                </c:pt>
                <c:pt idx="33">
                  <c:v>0.58333333333333337</c:v>
                </c:pt>
                <c:pt idx="34">
                  <c:v>0.625</c:v>
                </c:pt>
                <c:pt idx="35">
                  <c:v>0.66666666666666663</c:v>
                </c:pt>
                <c:pt idx="36">
                  <c:v>0.70833333333333337</c:v>
                </c:pt>
                <c:pt idx="37">
                  <c:v>0.75</c:v>
                </c:pt>
                <c:pt idx="38">
                  <c:v>0.79166666666666663</c:v>
                </c:pt>
                <c:pt idx="39">
                  <c:v>0.83333333333333337</c:v>
                </c:pt>
                <c:pt idx="40">
                  <c:v>0.875</c:v>
                </c:pt>
                <c:pt idx="41">
                  <c:v>0.91666666666666663</c:v>
                </c:pt>
                <c:pt idx="42">
                  <c:v>0.95833333333333337</c:v>
                </c:pt>
                <c:pt idx="43">
                  <c:v>1</c:v>
                </c:pt>
                <c:pt idx="44">
                  <c:v>1.0416666666666667</c:v>
                </c:pt>
                <c:pt idx="45">
                  <c:v>1.0833333333333333</c:v>
                </c:pt>
                <c:pt idx="46">
                  <c:v>1.125</c:v>
                </c:pt>
                <c:pt idx="47">
                  <c:v>1.1666666666666667</c:v>
                </c:pt>
                <c:pt idx="48">
                  <c:v>1.2083333333333333</c:v>
                </c:pt>
                <c:pt idx="49">
                  <c:v>1.25</c:v>
                </c:pt>
                <c:pt idx="50">
                  <c:v>1.2916666666666667</c:v>
                </c:pt>
                <c:pt idx="51">
                  <c:v>1.3333333333333333</c:v>
                </c:pt>
                <c:pt idx="52">
                  <c:v>1.375</c:v>
                </c:pt>
                <c:pt idx="53">
                  <c:v>1.4166666666666667</c:v>
                </c:pt>
                <c:pt idx="54">
                  <c:v>1.4583333333333333</c:v>
                </c:pt>
                <c:pt idx="55">
                  <c:v>1.5</c:v>
                </c:pt>
                <c:pt idx="56">
                  <c:v>1.5416666666666667</c:v>
                </c:pt>
                <c:pt idx="57">
                  <c:v>1.5833333333333333</c:v>
                </c:pt>
                <c:pt idx="58">
                  <c:v>1.625</c:v>
                </c:pt>
                <c:pt idx="59">
                  <c:v>1.6666666666666667</c:v>
                </c:pt>
                <c:pt idx="60">
                  <c:v>1.7083333333333333</c:v>
                </c:pt>
                <c:pt idx="61">
                  <c:v>1.75</c:v>
                </c:pt>
                <c:pt idx="62">
                  <c:v>1.7916666666666667</c:v>
                </c:pt>
                <c:pt idx="63">
                  <c:v>1.8333333333333333</c:v>
                </c:pt>
                <c:pt idx="64">
                  <c:v>1.875</c:v>
                </c:pt>
                <c:pt idx="65">
                  <c:v>1.9166666666666667</c:v>
                </c:pt>
                <c:pt idx="66">
                  <c:v>1.9583333333333333</c:v>
                </c:pt>
                <c:pt idx="67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3A-4A2E-8C81-785191A9180E}"/>
            </c:ext>
          </c:extLst>
        </c:ser>
        <c:ser>
          <c:idx val="2"/>
          <c:order val="1"/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LongTest!$G$10:$G$77</c:f>
              <c:numCache>
                <c:formatCode>\ 0.00</c:formatCode>
                <c:ptCount val="68"/>
                <c:pt idx="0">
                  <c:v>1.0947958279694281</c:v>
                </c:pt>
                <c:pt idx="1">
                  <c:v>1.6990432080894191</c:v>
                </c:pt>
                <c:pt idx="2">
                  <c:v>2.0525052666186161</c:v>
                </c:pt>
                <c:pt idx="3">
                  <c:v>2.3032905882094097</c:v>
                </c:pt>
                <c:pt idx="4">
                  <c:v>2.4978147961321184</c:v>
                </c:pt>
                <c:pt idx="5">
                  <c:v>3.102062176252109</c:v>
                </c:pt>
                <c:pt idx="6">
                  <c:v>3.455524234781306</c:v>
                </c:pt>
                <c:pt idx="7">
                  <c:v>3.7063095563721005</c:v>
                </c:pt>
                <c:pt idx="8">
                  <c:v>3.9008337642948083</c:v>
                </c:pt>
                <c:pt idx="9">
                  <c:v>4.0597716149012975</c:v>
                </c:pt>
                <c:pt idx="10">
                  <c:v>4.194151652852387</c:v>
                </c:pt>
                <c:pt idx="11">
                  <c:v>4.310556936492091</c:v>
                </c:pt>
                <c:pt idx="12">
                  <c:v>4.4132336734304936</c:v>
                </c:pt>
                <c:pt idx="13">
                  <c:v>4.5050811444147989</c:v>
                </c:pt>
                <c:pt idx="14">
                  <c:v>4.5881672883979645</c:v>
                </c:pt>
                <c:pt idx="15">
                  <c:v>4.6640189950212871</c:v>
                </c:pt>
                <c:pt idx="16">
                  <c:v>4.8585432029439959</c:v>
                </c:pt>
                <c:pt idx="17">
                  <c:v>5.0174810535504841</c:v>
                </c:pt>
                <c:pt idx="18">
                  <c:v>5.1518610915015746</c:v>
                </c:pt>
                <c:pt idx="19">
                  <c:v>5.2682663751412786</c:v>
                </c:pt>
                <c:pt idx="20">
                  <c:v>5.4026464130923681</c:v>
                </c:pt>
                <c:pt idx="21">
                  <c:v>5.5190516967320722</c:v>
                </c:pt>
                <c:pt idx="22">
                  <c:v>5.6217284336704765</c:v>
                </c:pt>
                <c:pt idx="23">
                  <c:v>5.8725137552612701</c:v>
                </c:pt>
                <c:pt idx="24">
                  <c:v>6.0670379631839779</c:v>
                </c:pt>
                <c:pt idx="25">
                  <c:v>6.2259758137904662</c:v>
                </c:pt>
                <c:pt idx="26">
                  <c:v>6.3603558517415557</c:v>
                </c:pt>
                <c:pt idx="27">
                  <c:v>6.4767611353812615</c:v>
                </c:pt>
                <c:pt idx="28">
                  <c:v>6.5794378723196623</c:v>
                </c:pt>
                <c:pt idx="29">
                  <c:v>6.6712853433039694</c:v>
                </c:pt>
                <c:pt idx="30">
                  <c:v>6.7543714872871323</c:v>
                </c:pt>
                <c:pt idx="31">
                  <c:v>6.8302231939104558</c:v>
                </c:pt>
                <c:pt idx="32">
                  <c:v>6.9</c:v>
                </c:pt>
                <c:pt idx="33">
                  <c:v>6.9</c:v>
                </c:pt>
                <c:pt idx="34">
                  <c:v>6.9</c:v>
                </c:pt>
                <c:pt idx="35">
                  <c:v>6.9</c:v>
                </c:pt>
                <c:pt idx="36">
                  <c:v>6.9</c:v>
                </c:pt>
                <c:pt idx="37">
                  <c:v>6.9</c:v>
                </c:pt>
                <c:pt idx="38">
                  <c:v>6.9</c:v>
                </c:pt>
                <c:pt idx="39">
                  <c:v>6.9</c:v>
                </c:pt>
                <c:pt idx="40">
                  <c:v>6.9</c:v>
                </c:pt>
                <c:pt idx="41">
                  <c:v>6.9</c:v>
                </c:pt>
                <c:pt idx="42">
                  <c:v>6.9</c:v>
                </c:pt>
                <c:pt idx="43">
                  <c:v>6.9</c:v>
                </c:pt>
                <c:pt idx="44">
                  <c:v>6.9</c:v>
                </c:pt>
                <c:pt idx="45">
                  <c:v>6.9</c:v>
                </c:pt>
                <c:pt idx="46">
                  <c:v>6.9</c:v>
                </c:pt>
                <c:pt idx="47">
                  <c:v>6.9</c:v>
                </c:pt>
                <c:pt idx="48">
                  <c:v>6.9</c:v>
                </c:pt>
                <c:pt idx="49">
                  <c:v>6.9</c:v>
                </c:pt>
                <c:pt idx="50">
                  <c:v>6.9</c:v>
                </c:pt>
                <c:pt idx="51">
                  <c:v>6.9</c:v>
                </c:pt>
                <c:pt idx="52">
                  <c:v>6.9</c:v>
                </c:pt>
                <c:pt idx="53">
                  <c:v>6.9</c:v>
                </c:pt>
                <c:pt idx="54">
                  <c:v>6.9</c:v>
                </c:pt>
                <c:pt idx="55">
                  <c:v>6.9</c:v>
                </c:pt>
                <c:pt idx="56">
                  <c:v>6.9</c:v>
                </c:pt>
                <c:pt idx="57">
                  <c:v>6.9</c:v>
                </c:pt>
                <c:pt idx="58">
                  <c:v>6.9</c:v>
                </c:pt>
                <c:pt idx="59">
                  <c:v>6.9</c:v>
                </c:pt>
                <c:pt idx="60">
                  <c:v>6.9</c:v>
                </c:pt>
                <c:pt idx="61">
                  <c:v>6.9</c:v>
                </c:pt>
                <c:pt idx="62">
                  <c:v>6.9</c:v>
                </c:pt>
                <c:pt idx="63">
                  <c:v>6.9</c:v>
                </c:pt>
                <c:pt idx="64">
                  <c:v>6.9</c:v>
                </c:pt>
                <c:pt idx="65">
                  <c:v>6.9</c:v>
                </c:pt>
                <c:pt idx="66">
                  <c:v>6.9</c:v>
                </c:pt>
                <c:pt idx="67">
                  <c:v>6.9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33A-4A2E-8C81-785191A9180E}"/>
            </c:ext>
          </c:extLst>
        </c:ser>
        <c:ser>
          <c:idx val="3"/>
          <c:order val="2"/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LongTest!$H$10:$H$77</c:f>
              <c:numCache>
                <c:formatCode>yyyy"년"\ m"월"\ d"일";@</c:formatCode>
                <c:ptCount val="68"/>
                <c:pt idx="6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33A-4A2E-8C81-785191A918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54752"/>
        <c:axId val="1"/>
      </c:scatterChart>
      <c:valAx>
        <c:axId val="410054752"/>
        <c:scaling>
          <c:logBase val="10"/>
          <c:orientation val="minMax"/>
          <c:max val="10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54752"/>
        <c:crossesAt val="1"/>
        <c:crossBetween val="midCat"/>
        <c:majorUnit val="10"/>
        <c:minorUnit val="10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0876314931734924"/>
          <c:y val="6.8062914224724699E-2"/>
          <c:w val="0.67406581869574"/>
          <c:h val="0.76439888283152357"/>
        </c:manualLayout>
      </c:layout>
      <c:scatterChart>
        <c:scatterStyle val="lineMarker"/>
        <c:varyColors val="0"/>
        <c:ser>
          <c:idx val="0"/>
          <c:order val="0"/>
          <c:tx>
            <c:strRef>
              <c:f>LongTest!$AF$1</c:f>
              <c:strCache>
                <c:ptCount val="1"/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circle"/>
            <c:size val="5"/>
          </c:marker>
          <c:xVal>
            <c:numRef>
              <c:f>LongTest!$AA$2:$AA$83</c:f>
              <c:numCache>
                <c:formatCode>\ 0\ "분"\ </c:formatCode>
                <c:ptCount val="8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  <c:pt idx="68">
                  <c:v>1</c:v>
                </c:pt>
                <c:pt idx="69">
                  <c:v>2</c:v>
                </c:pt>
                <c:pt idx="70">
                  <c:v>3</c:v>
                </c:pt>
                <c:pt idx="71">
                  <c:v>4</c:v>
                </c:pt>
                <c:pt idx="72">
                  <c:v>5</c:v>
                </c:pt>
                <c:pt idx="73">
                  <c:v>10</c:v>
                </c:pt>
                <c:pt idx="74">
                  <c:v>15</c:v>
                </c:pt>
                <c:pt idx="75">
                  <c:v>20</c:v>
                </c:pt>
                <c:pt idx="76">
                  <c:v>25</c:v>
                </c:pt>
                <c:pt idx="77">
                  <c:v>30</c:v>
                </c:pt>
                <c:pt idx="78">
                  <c:v>45</c:v>
                </c:pt>
                <c:pt idx="79">
                  <c:v>60</c:v>
                </c:pt>
                <c:pt idx="80">
                  <c:v>120</c:v>
                </c:pt>
                <c:pt idx="81">
                  <c:v>180</c:v>
                </c:pt>
              </c:numCache>
            </c:numRef>
          </c:xVal>
          <c:yVal>
            <c:numRef>
              <c:f>LongTest!$AF$2:$AF$83</c:f>
              <c:numCache>
                <c:formatCode>0.00</c:formatCode>
                <c:ptCount val="82"/>
                <c:pt idx="0">
                  <c:v>1.0947958279694281</c:v>
                </c:pt>
                <c:pt idx="1">
                  <c:v>1.6990432080894191</c:v>
                </c:pt>
                <c:pt idx="2">
                  <c:v>2.0525052666186161</c:v>
                </c:pt>
                <c:pt idx="3">
                  <c:v>2.3032905882094097</c:v>
                </c:pt>
                <c:pt idx="4">
                  <c:v>2.4978147961321184</c:v>
                </c:pt>
                <c:pt idx="5">
                  <c:v>3.102062176252109</c:v>
                </c:pt>
                <c:pt idx="6">
                  <c:v>3.455524234781306</c:v>
                </c:pt>
                <c:pt idx="7">
                  <c:v>3.7063095563721005</c:v>
                </c:pt>
                <c:pt idx="8">
                  <c:v>3.9008337642948083</c:v>
                </c:pt>
                <c:pt idx="9">
                  <c:v>4.0597716149012975</c:v>
                </c:pt>
                <c:pt idx="10">
                  <c:v>4.194151652852387</c:v>
                </c:pt>
                <c:pt idx="11">
                  <c:v>4.310556936492091</c:v>
                </c:pt>
                <c:pt idx="12">
                  <c:v>4.4132336734304936</c:v>
                </c:pt>
                <c:pt idx="13">
                  <c:v>4.5050811444147989</c:v>
                </c:pt>
                <c:pt idx="14">
                  <c:v>4.5881672883979645</c:v>
                </c:pt>
                <c:pt idx="15">
                  <c:v>4.6640189950212871</c:v>
                </c:pt>
                <c:pt idx="16">
                  <c:v>4.8585432029439959</c:v>
                </c:pt>
                <c:pt idx="17">
                  <c:v>5.0174810535504841</c:v>
                </c:pt>
                <c:pt idx="18">
                  <c:v>5.1518610915015746</c:v>
                </c:pt>
                <c:pt idx="19">
                  <c:v>5.2682663751412786</c:v>
                </c:pt>
                <c:pt idx="20">
                  <c:v>5.4026464130923681</c:v>
                </c:pt>
                <c:pt idx="21">
                  <c:v>5.5190516967320722</c:v>
                </c:pt>
                <c:pt idx="22">
                  <c:v>5.6217284336704765</c:v>
                </c:pt>
                <c:pt idx="23">
                  <c:v>5.8725137552612701</c:v>
                </c:pt>
                <c:pt idx="24">
                  <c:v>6.0670379631839779</c:v>
                </c:pt>
                <c:pt idx="25">
                  <c:v>6.2259758137904662</c:v>
                </c:pt>
                <c:pt idx="26">
                  <c:v>6.3603558517415557</c:v>
                </c:pt>
                <c:pt idx="27">
                  <c:v>6.4767611353812615</c:v>
                </c:pt>
                <c:pt idx="28">
                  <c:v>6.5794378723196623</c:v>
                </c:pt>
                <c:pt idx="29">
                  <c:v>6.6712853433039694</c:v>
                </c:pt>
                <c:pt idx="30">
                  <c:v>6.7543714872871323</c:v>
                </c:pt>
                <c:pt idx="31">
                  <c:v>6.8302231939104558</c:v>
                </c:pt>
                <c:pt idx="32">
                  <c:v>6.9</c:v>
                </c:pt>
                <c:pt idx="33">
                  <c:v>6.9</c:v>
                </c:pt>
                <c:pt idx="34">
                  <c:v>6.9</c:v>
                </c:pt>
                <c:pt idx="35">
                  <c:v>6.9</c:v>
                </c:pt>
                <c:pt idx="36">
                  <c:v>6.9</c:v>
                </c:pt>
                <c:pt idx="37">
                  <c:v>6.9</c:v>
                </c:pt>
                <c:pt idx="38">
                  <c:v>6.9</c:v>
                </c:pt>
                <c:pt idx="39">
                  <c:v>6.9</c:v>
                </c:pt>
                <c:pt idx="40">
                  <c:v>6.9</c:v>
                </c:pt>
                <c:pt idx="41">
                  <c:v>6.9</c:v>
                </c:pt>
                <c:pt idx="42">
                  <c:v>6.9</c:v>
                </c:pt>
                <c:pt idx="43">
                  <c:v>6.9</c:v>
                </c:pt>
                <c:pt idx="44">
                  <c:v>6.9</c:v>
                </c:pt>
                <c:pt idx="45">
                  <c:v>6.9</c:v>
                </c:pt>
                <c:pt idx="46">
                  <c:v>6.9</c:v>
                </c:pt>
                <c:pt idx="47">
                  <c:v>6.9</c:v>
                </c:pt>
                <c:pt idx="48">
                  <c:v>6.9</c:v>
                </c:pt>
                <c:pt idx="49">
                  <c:v>6.9</c:v>
                </c:pt>
                <c:pt idx="50">
                  <c:v>6.9</c:v>
                </c:pt>
                <c:pt idx="51">
                  <c:v>6.9</c:v>
                </c:pt>
                <c:pt idx="52">
                  <c:v>6.9</c:v>
                </c:pt>
                <c:pt idx="53">
                  <c:v>6.9</c:v>
                </c:pt>
                <c:pt idx="54">
                  <c:v>6.9</c:v>
                </c:pt>
                <c:pt idx="55">
                  <c:v>6.9</c:v>
                </c:pt>
                <c:pt idx="56">
                  <c:v>6.9</c:v>
                </c:pt>
                <c:pt idx="57">
                  <c:v>6.9</c:v>
                </c:pt>
                <c:pt idx="58">
                  <c:v>6.9</c:v>
                </c:pt>
                <c:pt idx="59">
                  <c:v>6.9</c:v>
                </c:pt>
                <c:pt idx="60">
                  <c:v>6.9</c:v>
                </c:pt>
                <c:pt idx="61">
                  <c:v>6.9</c:v>
                </c:pt>
                <c:pt idx="62">
                  <c:v>6.9</c:v>
                </c:pt>
                <c:pt idx="63">
                  <c:v>6.9</c:v>
                </c:pt>
                <c:pt idx="64">
                  <c:v>6.9</c:v>
                </c:pt>
                <c:pt idx="65">
                  <c:v>6.9</c:v>
                </c:pt>
                <c:pt idx="66">
                  <c:v>6.9</c:v>
                </c:pt>
                <c:pt idx="67">
                  <c:v>6.9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23A-4E64-90DF-F889B176D1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46544"/>
        <c:axId val="1"/>
      </c:scatterChart>
      <c:valAx>
        <c:axId val="410046544"/>
        <c:scaling>
          <c:logBase val="10"/>
          <c:orientation val="minMax"/>
        </c:scaling>
        <c:delete val="0"/>
        <c:axPos val="b"/>
        <c:majorGridlines>
          <c:spPr>
            <a:ln w="3175">
              <a:solidFill>
                <a:schemeClr val="bg1">
                  <a:lumMod val="50000"/>
                </a:schemeClr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76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경과시간</a:t>
                </a:r>
              </a:p>
            </c:rich>
          </c:tx>
          <c:layout>
            <c:manualLayout>
              <c:xMode val="edge"/>
              <c:yMode val="edge"/>
              <c:x val="0.48996677139495493"/>
              <c:y val="0.91658950850321796"/>
            </c:manualLayout>
          </c:layout>
          <c:overlay val="0"/>
        </c:title>
        <c:numFmt formatCode="\ 0\ &quot;분&quot;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chemeClr val="bg1">
                  <a:lumMod val="50000"/>
                </a:schemeClr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98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수위강하량</a:t>
                </a:r>
              </a:p>
            </c:rich>
          </c:tx>
          <c:layout>
            <c:manualLayout>
              <c:xMode val="edge"/>
              <c:yMode val="edge"/>
              <c:x val="2.4591495028638662E-2"/>
              <c:y val="0.35711156653363535"/>
            </c:manualLayout>
          </c:layout>
          <c:overlay val="0"/>
        </c:title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46544"/>
        <c:crosses val="autoZero"/>
        <c:crossBetween val="midCat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5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065778283125834"/>
          <c:y val="7.9268410686825164E-2"/>
          <c:w val="0.70187954326113022"/>
          <c:h val="0.77744018173616991"/>
        </c:manualLayout>
      </c:layout>
      <c:scatterChart>
        <c:scatterStyle val="smoothMarker"/>
        <c:varyColors val="0"/>
        <c:ser>
          <c:idx val="2"/>
          <c:order val="0"/>
          <c:spPr>
            <a:ln w="2222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LongTest!$D$78:$D$101</c:f>
              <c:numCache>
                <c:formatCode>\ 0\ 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180</c:v>
                </c:pt>
                <c:pt idx="21">
                  <c:v>240</c:v>
                </c:pt>
                <c:pt idx="22">
                  <c:v>300</c:v>
                </c:pt>
                <c:pt idx="23">
                  <c:v>360</c:v>
                </c:pt>
              </c:numCache>
            </c:numRef>
          </c:xVal>
          <c:yVal>
            <c:numRef>
              <c:f>LongTest!$G$78:$G$101</c:f>
              <c:numCache>
                <c:formatCode>\ 0.00</c:formatCode>
                <c:ptCount val="24"/>
                <c:pt idx="0">
                  <c:v>5.2651435700456766</c:v>
                </c:pt>
                <c:pt idx="1">
                  <c:v>4.9687225338701575</c:v>
                </c:pt>
                <c:pt idx="2">
                  <c:v>4.6889896334536063</c:v>
                </c:pt>
                <c:pt idx="3">
                  <c:v>4.425005347503256</c:v>
                </c:pt>
                <c:pt idx="4">
                  <c:v>4.1758830486069032</c:v>
                </c:pt>
                <c:pt idx="5">
                  <c:v>3.5095538373844262</c:v>
                </c:pt>
                <c:pt idx="6">
                  <c:v>3.3765635438876087</c:v>
                </c:pt>
                <c:pt idx="7">
                  <c:v>3.0070730728144244</c:v>
                </c:pt>
                <c:pt idx="8">
                  <c:v>2.8377785978887546</c:v>
                </c:pt>
                <c:pt idx="9">
                  <c:v>2.6780151913961947</c:v>
                </c:pt>
                <c:pt idx="10">
                  <c:v>2.6267851073127395</c:v>
                </c:pt>
                <c:pt idx="11">
                  <c:v>2.5765350481087661</c:v>
                </c:pt>
                <c:pt idx="12">
                  <c:v>2.5272462660351422</c:v>
                </c:pt>
                <c:pt idx="13">
                  <c:v>2.4789003719847513</c:v>
                </c:pt>
                <c:pt idx="14">
                  <c:v>2.431479328631716</c:v>
                </c:pt>
                <c:pt idx="15">
                  <c:v>2.3849654437018684</c:v>
                </c:pt>
                <c:pt idx="16">
                  <c:v>2.339341363371958</c:v>
                </c:pt>
                <c:pt idx="17">
                  <c:v>2.2945900657951253</c:v>
                </c:pt>
                <c:pt idx="18">
                  <c:v>2.2506948547502401</c:v>
                </c:pt>
                <c:pt idx="19">
                  <c:v>2.1239835330010046</c:v>
                </c:pt>
                <c:pt idx="20">
                  <c:v>2.083352002852445</c:v>
                </c:pt>
                <c:pt idx="21">
                  <c:v>1.8553750366440953</c:v>
                </c:pt>
                <c:pt idx="22">
                  <c:v>1.6523451254943258</c:v>
                </c:pt>
                <c:pt idx="23">
                  <c:v>1.4715323639813442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93C-4D73-BC2D-84EE1285BD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72464"/>
        <c:axId val="1"/>
      </c:scatterChart>
      <c:valAx>
        <c:axId val="4100724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경과시간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\ 0\ 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회복수위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\ 0.00\ &quot;m&quot;\ 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10072464"/>
        <c:crosses val="autoZero"/>
        <c:crossBetween val="midCat"/>
        <c:minorUnit val="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png"/><Relationship Id="rId3" Type="http://schemas.openxmlformats.org/officeDocument/2006/relationships/image" Target="../media/image2.png"/><Relationship Id="rId7" Type="http://schemas.openxmlformats.org/officeDocument/2006/relationships/image" Target="../media/image6.png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6" Type="http://schemas.openxmlformats.org/officeDocument/2006/relationships/image" Target="../media/image5.png"/><Relationship Id="rId5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0.emf"/><Relationship Id="rId7" Type="http://schemas.openxmlformats.org/officeDocument/2006/relationships/image" Target="../media/image14.emf"/><Relationship Id="rId2" Type="http://schemas.openxmlformats.org/officeDocument/2006/relationships/image" Target="../media/image9.emf"/><Relationship Id="rId1" Type="http://schemas.openxmlformats.org/officeDocument/2006/relationships/image" Target="../media/image8.emf"/><Relationship Id="rId6" Type="http://schemas.openxmlformats.org/officeDocument/2006/relationships/image" Target="../media/image13.emf"/><Relationship Id="rId5" Type="http://schemas.openxmlformats.org/officeDocument/2006/relationships/image" Target="../media/image12.emf"/><Relationship Id="rId4" Type="http://schemas.openxmlformats.org/officeDocument/2006/relationships/image" Target="../media/image1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5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6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9.emf"/><Relationship Id="rId2" Type="http://schemas.openxmlformats.org/officeDocument/2006/relationships/image" Target="../media/image21.emf"/><Relationship Id="rId1" Type="http://schemas.openxmlformats.org/officeDocument/2006/relationships/image" Target="../media/image20.emf"/><Relationship Id="rId5" Type="http://schemas.openxmlformats.org/officeDocument/2006/relationships/image" Target="../media/image17.emf"/><Relationship Id="rId4" Type="http://schemas.openxmlformats.org/officeDocument/2006/relationships/image" Target="../media/image18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4.emf"/><Relationship Id="rId2" Type="http://schemas.openxmlformats.org/officeDocument/2006/relationships/image" Target="../media/image23.emf"/><Relationship Id="rId1" Type="http://schemas.openxmlformats.org/officeDocument/2006/relationships/image" Target="../media/image22.emf"/><Relationship Id="rId6" Type="http://schemas.openxmlformats.org/officeDocument/2006/relationships/image" Target="../media/image27.emf"/><Relationship Id="rId5" Type="http://schemas.openxmlformats.org/officeDocument/2006/relationships/image" Target="../media/image26.emf"/><Relationship Id="rId4" Type="http://schemas.openxmlformats.org/officeDocument/2006/relationships/image" Target="../media/image25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29.emf"/><Relationship Id="rId1" Type="http://schemas.openxmlformats.org/officeDocument/2006/relationships/image" Target="../media/image28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32.emf"/><Relationship Id="rId2" Type="http://schemas.openxmlformats.org/officeDocument/2006/relationships/image" Target="../media/image31.emf"/><Relationship Id="rId1" Type="http://schemas.openxmlformats.org/officeDocument/2006/relationships/image" Target="../media/image30.emf"/><Relationship Id="rId4" Type="http://schemas.openxmlformats.org/officeDocument/2006/relationships/image" Target="../media/image33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35.emf"/><Relationship Id="rId1" Type="http://schemas.openxmlformats.org/officeDocument/2006/relationships/image" Target="../media/image34.emf"/></Relationships>
</file>

<file path=xl/drawings/_rels/vmlDrawing9.vml.rels><?xml version="1.0" encoding="UTF-8" standalone="yes"?>
<Relationships xmlns="http://schemas.openxmlformats.org/package/2006/relationships"><Relationship Id="rId2" Type="http://schemas.openxmlformats.org/officeDocument/2006/relationships/image" Target="../media/image37.emf"/><Relationship Id="rId1" Type="http://schemas.openxmlformats.org/officeDocument/2006/relationships/image" Target="../media/image3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66675</xdr:colOff>
      <xdr:row>50</xdr:row>
      <xdr:rowOff>142875</xdr:rowOff>
    </xdr:from>
    <xdr:to>
      <xdr:col>15</xdr:col>
      <xdr:colOff>704850</xdr:colOff>
      <xdr:row>91</xdr:row>
      <xdr:rowOff>161925</xdr:rowOff>
    </xdr:to>
    <xdr:graphicFrame macro="">
      <xdr:nvGraphicFramePr>
        <xdr:cNvPr id="2" name="Chart 2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571500</xdr:colOff>
      <xdr:row>4</xdr:row>
      <xdr:rowOff>95250</xdr:rowOff>
    </xdr:from>
    <xdr:to>
      <xdr:col>11</xdr:col>
      <xdr:colOff>381399</xdr:colOff>
      <xdr:row>9</xdr:row>
      <xdr:rowOff>38212</xdr:rowOff>
    </xdr:to>
    <xdr:pic>
      <xdr:nvPicPr>
        <xdr:cNvPr id="3" name="그림 10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05500" y="781050"/>
          <a:ext cx="2857899" cy="80021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12</xdr:col>
      <xdr:colOff>295275</xdr:colOff>
      <xdr:row>4</xdr:row>
      <xdr:rowOff>142875</xdr:rowOff>
    </xdr:from>
    <xdr:to>
      <xdr:col>14</xdr:col>
      <xdr:colOff>647465</xdr:colOff>
      <xdr:row>9</xdr:row>
      <xdr:rowOff>57054</xdr:rowOff>
    </xdr:to>
    <xdr:pic>
      <xdr:nvPicPr>
        <xdr:cNvPr id="4" name="그림 11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439275" y="828675"/>
          <a:ext cx="1876190" cy="771429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704850</xdr:colOff>
      <xdr:row>10</xdr:row>
      <xdr:rowOff>85725</xdr:rowOff>
    </xdr:from>
    <xdr:to>
      <xdr:col>10</xdr:col>
      <xdr:colOff>447421</xdr:colOff>
      <xdr:row>15</xdr:row>
      <xdr:rowOff>9427</xdr:rowOff>
    </xdr:to>
    <xdr:pic>
      <xdr:nvPicPr>
        <xdr:cNvPr id="5" name="그림 1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038850" y="1800225"/>
          <a:ext cx="2028571" cy="78095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638175</xdr:colOff>
      <xdr:row>17</xdr:row>
      <xdr:rowOff>123825</xdr:rowOff>
    </xdr:from>
    <xdr:to>
      <xdr:col>10</xdr:col>
      <xdr:colOff>495032</xdr:colOff>
      <xdr:row>23</xdr:row>
      <xdr:rowOff>47506</xdr:rowOff>
    </xdr:to>
    <xdr:pic>
      <xdr:nvPicPr>
        <xdr:cNvPr id="6" name="그림 7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972175" y="3038475"/>
          <a:ext cx="2142857" cy="952381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628650</xdr:colOff>
      <xdr:row>24</xdr:row>
      <xdr:rowOff>142875</xdr:rowOff>
    </xdr:from>
    <xdr:to>
      <xdr:col>10</xdr:col>
      <xdr:colOff>542650</xdr:colOff>
      <xdr:row>29</xdr:row>
      <xdr:rowOff>85625</xdr:rowOff>
    </xdr:to>
    <xdr:pic>
      <xdr:nvPicPr>
        <xdr:cNvPr id="7" name="그림 8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962650" y="4257675"/>
          <a:ext cx="2200000" cy="8000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704850</xdr:colOff>
      <xdr:row>31</xdr:row>
      <xdr:rowOff>66675</xdr:rowOff>
    </xdr:from>
    <xdr:to>
      <xdr:col>10</xdr:col>
      <xdr:colOff>199802</xdr:colOff>
      <xdr:row>35</xdr:row>
      <xdr:rowOff>57065</xdr:rowOff>
    </xdr:to>
    <xdr:pic>
      <xdr:nvPicPr>
        <xdr:cNvPr id="8" name="그림 9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038850" y="5381625"/>
          <a:ext cx="1780952" cy="67619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11</xdr:col>
      <xdr:colOff>266700</xdr:colOff>
      <xdr:row>14</xdr:row>
      <xdr:rowOff>114300</xdr:rowOff>
    </xdr:from>
    <xdr:to>
      <xdr:col>15</xdr:col>
      <xdr:colOff>552033</xdr:colOff>
      <xdr:row>29</xdr:row>
      <xdr:rowOff>28264</xdr:rowOff>
    </xdr:to>
    <xdr:pic>
      <xdr:nvPicPr>
        <xdr:cNvPr id="9" name="그림 6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648700" y="2514600"/>
          <a:ext cx="3333333" cy="2485714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9525</xdr:colOff>
      <xdr:row>0</xdr:row>
      <xdr:rowOff>0</xdr:rowOff>
    </xdr:from>
    <xdr:to>
      <xdr:col>12</xdr:col>
      <xdr:colOff>752475</xdr:colOff>
      <xdr:row>0</xdr:row>
      <xdr:rowOff>0</xdr:rowOff>
    </xdr:to>
    <xdr:graphicFrame macro="">
      <xdr:nvGraphicFramePr>
        <xdr:cNvPr id="2" name="Chart 4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9525</xdr:colOff>
      <xdr:row>1</xdr:row>
      <xdr:rowOff>9525</xdr:rowOff>
    </xdr:from>
    <xdr:to>
      <xdr:col>12</xdr:col>
      <xdr:colOff>685800</xdr:colOff>
      <xdr:row>13</xdr:row>
      <xdr:rowOff>161925</xdr:rowOff>
    </xdr:to>
    <xdr:graphicFrame macro="">
      <xdr:nvGraphicFramePr>
        <xdr:cNvPr id="3" name="Chart 5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38100</xdr:colOff>
      <xdr:row>28</xdr:row>
      <xdr:rowOff>57149</xdr:rowOff>
    </xdr:from>
    <xdr:to>
      <xdr:col>12</xdr:col>
      <xdr:colOff>685800</xdr:colOff>
      <xdr:row>42</xdr:row>
      <xdr:rowOff>47624</xdr:rowOff>
    </xdr:to>
    <xdr:graphicFrame macro="">
      <xdr:nvGraphicFramePr>
        <xdr:cNvPr id="4" name="Chart 8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28575</xdr:colOff>
      <xdr:row>1</xdr:row>
      <xdr:rowOff>0</xdr:rowOff>
    </xdr:from>
    <xdr:to>
      <xdr:col>20</xdr:col>
      <xdr:colOff>0</xdr:colOff>
      <xdr:row>13</xdr:row>
      <xdr:rowOff>142875</xdr:rowOff>
    </xdr:to>
    <xdr:graphicFrame macro="">
      <xdr:nvGraphicFramePr>
        <xdr:cNvPr id="5" name="Chart 9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161925</xdr:colOff>
          <xdr:row>36</xdr:row>
          <xdr:rowOff>47625</xdr:rowOff>
        </xdr:from>
        <xdr:to>
          <xdr:col>14</xdr:col>
          <xdr:colOff>847725</xdr:colOff>
          <xdr:row>38</xdr:row>
          <xdr:rowOff>47625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7</xdr:col>
      <xdr:colOff>66675</xdr:colOff>
      <xdr:row>14</xdr:row>
      <xdr:rowOff>38100</xdr:rowOff>
    </xdr:from>
    <xdr:to>
      <xdr:col>12</xdr:col>
      <xdr:colOff>714375</xdr:colOff>
      <xdr:row>26</xdr:row>
      <xdr:rowOff>161925</xdr:rowOff>
    </xdr:to>
    <xdr:graphicFrame macro="">
      <xdr:nvGraphicFramePr>
        <xdr:cNvPr id="7" name="Chart 7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152400</xdr:colOff>
          <xdr:row>17</xdr:row>
          <xdr:rowOff>142875</xdr:rowOff>
        </xdr:from>
        <xdr:to>
          <xdr:col>14</xdr:col>
          <xdr:colOff>790575</xdr:colOff>
          <xdr:row>19</xdr:row>
          <xdr:rowOff>142875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152400</xdr:colOff>
          <xdr:row>20</xdr:row>
          <xdr:rowOff>28575</xdr:rowOff>
        </xdr:from>
        <xdr:to>
          <xdr:col>14</xdr:col>
          <xdr:colOff>790575</xdr:colOff>
          <xdr:row>21</xdr:row>
          <xdr:rowOff>161925</xdr:rowOff>
        </xdr:to>
        <xdr:sp macro="" textlink="">
          <xdr:nvSpPr>
            <xdr:cNvPr id="1027" name="CommandButton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152400</xdr:colOff>
          <xdr:row>28</xdr:row>
          <xdr:rowOff>85725</xdr:rowOff>
        </xdr:from>
        <xdr:to>
          <xdr:col>14</xdr:col>
          <xdr:colOff>838200</xdr:colOff>
          <xdr:row>30</xdr:row>
          <xdr:rowOff>85725</xdr:rowOff>
        </xdr:to>
        <xdr:sp macro="" textlink="">
          <xdr:nvSpPr>
            <xdr:cNvPr id="1028" name="CommandButton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2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152400</xdr:colOff>
          <xdr:row>30</xdr:row>
          <xdr:rowOff>152400</xdr:rowOff>
        </xdr:from>
        <xdr:to>
          <xdr:col>14</xdr:col>
          <xdr:colOff>838200</xdr:colOff>
          <xdr:row>32</xdr:row>
          <xdr:rowOff>152400</xdr:rowOff>
        </xdr:to>
        <xdr:sp macro="" textlink="">
          <xdr:nvSpPr>
            <xdr:cNvPr id="1029" name="CommandButton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2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152400</xdr:colOff>
          <xdr:row>22</xdr:row>
          <xdr:rowOff>38100</xdr:rowOff>
        </xdr:from>
        <xdr:to>
          <xdr:col>14</xdr:col>
          <xdr:colOff>790575</xdr:colOff>
          <xdr:row>24</xdr:row>
          <xdr:rowOff>38100</xdr:rowOff>
        </xdr:to>
        <xdr:sp macro="" textlink="">
          <xdr:nvSpPr>
            <xdr:cNvPr id="1030" name="CommandButton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2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152400</xdr:colOff>
          <xdr:row>33</xdr:row>
          <xdr:rowOff>38100</xdr:rowOff>
        </xdr:from>
        <xdr:to>
          <xdr:col>14</xdr:col>
          <xdr:colOff>838200</xdr:colOff>
          <xdr:row>35</xdr:row>
          <xdr:rowOff>38100</xdr:rowOff>
        </xdr:to>
        <xdr:sp macro="" textlink="">
          <xdr:nvSpPr>
            <xdr:cNvPr id="1031" name="CommandButton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2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3</xdr:col>
      <xdr:colOff>333375</xdr:colOff>
      <xdr:row>48</xdr:row>
      <xdr:rowOff>47625</xdr:rowOff>
    </xdr:from>
    <xdr:ext cx="1762126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200-00000E000000}"/>
                </a:ext>
              </a:extLst>
            </xdr:cNvPr>
            <xdr:cNvSpPr txBox="1"/>
          </xdr:nvSpPr>
          <xdr:spPr>
            <a:xfrm>
              <a:off x="2562225" y="8658225"/>
              <a:ext cx="1762126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10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5.46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200-00000E000000}"/>
                </a:ext>
              </a:extLst>
            </xdr:cNvPr>
            <xdr:cNvSpPr txBox="1"/>
          </xdr:nvSpPr>
          <xdr:spPr>
            <a:xfrm>
              <a:off x="2562225" y="8658225"/>
              <a:ext cx="1762126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2.25𝑇𝑡^∗)/(𝑆∗10^5.46𝑇𝐵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57150</xdr:colOff>
          <xdr:row>2</xdr:row>
          <xdr:rowOff>38100</xdr:rowOff>
        </xdr:from>
        <xdr:to>
          <xdr:col>11</xdr:col>
          <xdr:colOff>57150</xdr:colOff>
          <xdr:row>3</xdr:row>
          <xdr:rowOff>171450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11</xdr:col>
      <xdr:colOff>571500</xdr:colOff>
      <xdr:row>5</xdr:row>
      <xdr:rowOff>111171</xdr:rowOff>
    </xdr:from>
    <xdr:ext cx="1724025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13525500" y="1539921"/>
              <a:ext cx="1724025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10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5.46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13525500" y="1539921"/>
              <a:ext cx="1724025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1</a:t>
              </a:r>
              <a:r>
                <a:rPr lang="ko-KR" altLang="en-US" sz="1400" i="0">
                  <a:latin typeface="Cambria Math" panose="02040503050406030204" pitchFamily="18" charset="0"/>
                </a:rPr>
                <a:t>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2.25𝑇𝑡^∗)/(𝑆∗10^5.46𝑇𝐵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xdr:oneCellAnchor>
    <xdr:from>
      <xdr:col>11</xdr:col>
      <xdr:colOff>571500</xdr:colOff>
      <xdr:row>8</xdr:row>
      <xdr:rowOff>7526</xdr:rowOff>
    </xdr:from>
    <xdr:ext cx="1609726" cy="90409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300-000004000000}"/>
                </a:ext>
              </a:extLst>
            </xdr:cNvPr>
            <xdr:cNvSpPr txBox="1"/>
          </xdr:nvSpPr>
          <xdr:spPr>
            <a:xfrm>
              <a:off x="13525500" y="2293526"/>
              <a:ext cx="1609726" cy="90409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𝑒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4</m:t>
                                </m:r>
                                <m:r>
                                  <a:rPr lang="ko-KR" altLang="en-US" sz="1400" b="0" i="1">
                                    <a:latin typeface="Cambria Math" panose="02040503050406030204" pitchFamily="18" charset="0"/>
                                  </a:rPr>
                                  <m:t>𝜋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300-000004000000}"/>
                </a:ext>
              </a:extLst>
            </xdr:cNvPr>
            <xdr:cNvSpPr txBox="1"/>
          </xdr:nvSpPr>
          <xdr:spPr>
            <a:xfrm>
              <a:off x="13525500" y="2293526"/>
              <a:ext cx="1609726" cy="90409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</a:t>
              </a:r>
              <a:r>
                <a:rPr lang="ko-KR" altLang="en-US" sz="1400" i="0">
                  <a:latin typeface="Cambria Math" panose="02040503050406030204" pitchFamily="18" charset="0"/>
                </a:rPr>
                <a:t>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2.25𝑇𝑡^∗)/(𝑆∗𝑒^4</a:t>
              </a:r>
              <a:r>
                <a:rPr lang="ko-KR" altLang="en-US" sz="1400" b="0" i="0">
                  <a:latin typeface="Cambria Math" panose="02040503050406030204" pitchFamily="18" charset="0"/>
                </a:rPr>
                <a:t>𝜋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xdr:oneCellAnchor>
    <xdr:from>
      <xdr:col>11</xdr:col>
      <xdr:colOff>723900</xdr:colOff>
      <xdr:row>10</xdr:row>
      <xdr:rowOff>200025</xdr:rowOff>
    </xdr:from>
    <xdr:ext cx="1003480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 txBox="1"/>
          </xdr:nvSpPr>
          <xdr:spPr>
            <a:xfrm>
              <a:off x="13677900" y="3057525"/>
              <a:ext cx="1003480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3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𝜔</m:t>
                        </m:r>
                      </m:sub>
                    </m:sSub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ko-KR" altLang="en-US" sz="14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ko-KR" altLang="en-US" sz="14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ko-KR" altLang="en-US" sz="1400" i="1">
                                    <a:latin typeface="Cambria Math" panose="02040503050406030204" pitchFamily="18" charset="0"/>
                                  </a:rPr>
                                  <m:t>𝑆</m:t>
                                </m:r>
                              </m:e>
                              <m:sub>
                                <m:r>
                                  <a:rPr lang="ko-KR" altLang="en-US" sz="1400" i="1">
                                    <a:latin typeface="Cambria Math" panose="02040503050406030204" pitchFamily="18" charset="0"/>
                                  </a:rPr>
                                  <m:t>𝑃</m:t>
                                </m:r>
                              </m:sub>
                            </m:sSub>
                          </m:num>
                          <m:den>
                            <m:r>
                              <a:rPr lang="ko-KR" altLang="en-US" sz="1400" i="1">
                                <a:latin typeface="Cambria Math" panose="02040503050406030204" pitchFamily="18" charset="0"/>
                              </a:rPr>
                              <m:t>𝑆𝑎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000"/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 txBox="1"/>
          </xdr:nvSpPr>
          <xdr:spPr>
            <a:xfrm>
              <a:off x="13677900" y="3057525"/>
              <a:ext cx="1003480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3</a:t>
              </a:r>
              <a:r>
                <a:rPr lang="ko-KR" altLang="en-US" sz="1400" i="0">
                  <a:latin typeface="Cambria Math" panose="02040503050406030204" pitchFamily="18" charset="0"/>
                </a:rPr>
                <a:t>=𝑟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𝜔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 √(</a:t>
              </a:r>
              <a:r>
                <a:rPr lang="ko-KR" altLang="en-US" sz="1400" i="0">
                  <a:latin typeface="Cambria Math" panose="02040503050406030204" pitchFamily="18" charset="0"/>
                </a:rPr>
                <a:t>𝑆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𝑃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400" i="0">
                  <a:latin typeface="Cambria Math" panose="02040503050406030204" pitchFamily="18" charset="0"/>
                </a:rPr>
                <a:t>𝑆𝑎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000"/>
            </a:p>
          </xdr:txBody>
        </xdr:sp>
      </mc:Fallback>
    </mc:AlternateContent>
    <xdr:clientData/>
  </xdr:oneCellAnchor>
  <xdr:oneCellAnchor>
    <xdr:from>
      <xdr:col>11</xdr:col>
      <xdr:colOff>514350</xdr:colOff>
      <xdr:row>2</xdr:row>
      <xdr:rowOff>28575</xdr:rowOff>
    </xdr:from>
    <xdr:ext cx="2676630" cy="5179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300-000006000000}"/>
                </a:ext>
              </a:extLst>
            </xdr:cNvPr>
            <xdr:cNvSpPr txBox="1"/>
          </xdr:nvSpPr>
          <xdr:spPr>
            <a:xfrm>
              <a:off x="13468350" y="600075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ko-KR" altLang="en-US" sz="1600" i="1">
                        <a:latin typeface="Cambria Math" panose="02040503050406030204" pitchFamily="18" charset="0"/>
                      </a:rPr>
                      <m:t>𝜎</m:t>
                    </m:r>
                    <m:r>
                      <a:rPr lang="ko-KR" altLang="en-US" sz="160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ko-KR" altLang="en-US" sz="16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ko-KR" altLang="en-US" sz="1600" i="0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𝜋</m:t>
                        </m:r>
                        <m:r>
                          <m:rPr>
                            <m:sty m:val="p"/>
                          </m:rPr>
                          <a:rPr lang="en-US" altLang="ko-KR" sz="1600" b="0" i="0">
                            <a:latin typeface="Cambria Math" panose="02040503050406030204" pitchFamily="18" charset="0"/>
                          </a:rPr>
                          <m:t>T</m:t>
                        </m:r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𝑠</m:t>
                        </m:r>
                      </m:num>
                      <m:den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𝑄</m:t>
                        </m:r>
                      </m:den>
                    </m:f>
                    <m:r>
                      <a:rPr lang="ko-KR" altLang="en-US" sz="1600" i="0">
                        <a:latin typeface="Cambria Math" panose="02040503050406030204" pitchFamily="18" charset="0"/>
                      </a:rPr>
                      <m:t>−1⋅15</m:t>
                    </m:r>
                    <m:func>
                      <m:funcPr>
                        <m:ctrlPr>
                          <a:rPr lang="ko-KR" altLang="en-US" sz="16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f>
                          <m:fPr>
                            <m:ctrlPr>
                              <a:rPr lang="ko-KR" altLang="en-US" sz="16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ko-KR" altLang="en-US" sz="1600" i="0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𝑇𝑡</m:t>
                            </m:r>
                          </m:num>
                          <m:den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sSubSup>
                              <m:sSubSupPr>
                                <m:ctrlPr>
                                  <a:rPr lang="ko-KR" altLang="en-US" sz="16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𝜔</m:t>
                                </m:r>
                              </m:sub>
                              <m:sup>
                                <m:r>
                                  <a:rPr lang="ko-KR" altLang="en-US" sz="1600" i="0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func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300-000006000000}"/>
                </a:ext>
              </a:extLst>
            </xdr:cNvPr>
            <xdr:cNvSpPr txBox="1"/>
          </xdr:nvSpPr>
          <xdr:spPr>
            <a:xfrm>
              <a:off x="13468350" y="600075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600" i="0">
                  <a:latin typeface="Cambria Math" panose="02040503050406030204" pitchFamily="18" charset="0"/>
                </a:rPr>
                <a:t>𝜎=2𝜋</a:t>
              </a:r>
              <a:r>
                <a:rPr lang="en-US" altLang="ko-KR" sz="1600" b="0" i="0">
                  <a:latin typeface="Cambria Math" panose="02040503050406030204" pitchFamily="18" charset="0"/>
                </a:rPr>
                <a:t>T</a:t>
              </a:r>
              <a:r>
                <a:rPr lang="ko-KR" altLang="en-US" sz="1600" i="0">
                  <a:latin typeface="Cambria Math" panose="02040503050406030204" pitchFamily="18" charset="0"/>
                </a:rPr>
                <a:t>Δ𝑠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600" i="0">
                  <a:latin typeface="Cambria Math" panose="02040503050406030204" pitchFamily="18" charset="0"/>
                </a:rPr>
                <a:t>𝑄−1⋅15 log⁡〖2.25𝑇𝑡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/(</a:t>
              </a:r>
              <a:r>
                <a:rPr lang="ko-KR" altLang="en-US" sz="1600" i="0">
                  <a:latin typeface="Cambria Math" panose="02040503050406030204" pitchFamily="18" charset="0"/>
                </a:rPr>
                <a:t>𝑆𝑟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600" i="0">
                  <a:latin typeface="Cambria Math" panose="02040503050406030204" pitchFamily="18" charset="0"/>
                </a:rPr>
                <a:t>𝜔^2 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)〗</a:t>
              </a:r>
              <a:endParaRPr lang="ko-KR" altLang="en-US" sz="1600"/>
            </a:p>
          </xdr:txBody>
        </xdr:sp>
      </mc:Fallback>
    </mc:AlternateContent>
    <xdr:clientData/>
  </xdr:oneCellAnchor>
  <xdr:oneCellAnchor>
    <xdr:from>
      <xdr:col>9</xdr:col>
      <xdr:colOff>133350</xdr:colOff>
      <xdr:row>12</xdr:row>
      <xdr:rowOff>271462</xdr:rowOff>
    </xdr:from>
    <xdr:ext cx="1571624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 txBox="1"/>
          </xdr:nvSpPr>
          <xdr:spPr>
            <a:xfrm>
              <a:off x="11029950" y="360521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𝑅</m:t>
                    </m:r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en-US" altLang="ko-KR" sz="14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6⋅</m:t>
                            </m:r>
                            <m:r>
                              <m:rPr>
                                <m:sty m:val="p"/>
                              </m:r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Δ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h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𝐾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</m:num>
                          <m:den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𝑆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40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F482B908-930F-8B31-BF8F-495B8FA9CE3F}"/>
                </a:ext>
              </a:extLst>
            </xdr:cNvPr>
            <xdr:cNvSpPr txBox="1"/>
          </xdr:nvSpPr>
          <xdr:spPr>
            <a:xfrm>
              <a:off x="11029950" y="360521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𝑅=√((6⋅Δℎ⋅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𝐾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⋅𝑡)/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𝑆)</a:t>
              </a:r>
              <a:endParaRPr lang="ko-KR" altLang="en-US" sz="140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  <xdr:oneCellAnchor>
    <xdr:from>
      <xdr:col>9</xdr:col>
      <xdr:colOff>104775</xdr:colOff>
      <xdr:row>17</xdr:row>
      <xdr:rowOff>176212</xdr:rowOff>
    </xdr:from>
    <xdr:ext cx="1571624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3" name="TextBox 12">
              <a:extLst>
                <a:ext uri="{FF2B5EF4-FFF2-40B4-BE49-F238E27FC236}">
                  <a16:creationId xmlns:a16="http://schemas.microsoft.com/office/drawing/2014/main" id="{00000000-0008-0000-0300-00000D000000}"/>
                </a:ext>
              </a:extLst>
            </xdr:cNvPr>
            <xdr:cNvSpPr txBox="1"/>
          </xdr:nvSpPr>
          <xdr:spPr>
            <a:xfrm>
              <a:off x="11001375" y="495776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𝑅</m:t>
                    </m:r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=3</m:t>
                    </m:r>
                    <m:rad>
                      <m:radPr>
                        <m:degHide m:val="on"/>
                        <m:ctrlPr>
                          <a:rPr lang="en-US" altLang="ko-KR" sz="14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m:rPr>
                                <m:sty m:val="p"/>
                              </m:r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Δ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h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𝐾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</m:num>
                          <m:den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𝑆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40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13" name="TextBox 12">
              <a:extLst>
                <a:ext uri="{FF2B5EF4-FFF2-40B4-BE49-F238E27FC236}">
                  <a16:creationId xmlns:a16="http://schemas.microsoft.com/office/drawing/2014/main" id="{D5018EC3-56A6-48C8-B8A1-ECEAB10BF7D5}"/>
                </a:ext>
              </a:extLst>
            </xdr:cNvPr>
            <xdr:cNvSpPr txBox="1"/>
          </xdr:nvSpPr>
          <xdr:spPr>
            <a:xfrm>
              <a:off x="11001375" y="495776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𝑅=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3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√((Δℎ⋅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𝐾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⋅𝑡)/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𝑆)</a:t>
              </a:r>
              <a:endParaRPr lang="ko-KR" altLang="en-US" sz="140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  <xdr:oneCellAnchor>
    <xdr:from>
      <xdr:col>9</xdr:col>
      <xdr:colOff>190500</xdr:colOff>
      <xdr:row>22</xdr:row>
      <xdr:rowOff>119062</xdr:rowOff>
    </xdr:from>
    <xdr:ext cx="1571624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300-00000E000000}"/>
                </a:ext>
              </a:extLst>
            </xdr:cNvPr>
            <xdr:cNvSpPr txBox="1"/>
          </xdr:nvSpPr>
          <xdr:spPr>
            <a:xfrm>
              <a:off x="11087100" y="634841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𝑅</m:t>
                    </m:r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en-US" altLang="ko-KR" sz="14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𝐾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</m:num>
                          <m:den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𝑆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40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2BBF0B4A-91B0-45C4-AF68-CB7AB24A91CC}"/>
                </a:ext>
              </a:extLst>
            </xdr:cNvPr>
            <xdr:cNvSpPr txBox="1"/>
          </xdr:nvSpPr>
          <xdr:spPr>
            <a:xfrm>
              <a:off x="11087100" y="634841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𝑅=√((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2.25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𝐾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⋅𝑡)/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𝑆)</a:t>
              </a:r>
              <a:endParaRPr lang="ko-KR" altLang="en-US" sz="140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</xdr:row>
          <xdr:rowOff>57150</xdr:rowOff>
        </xdr:from>
        <xdr:to>
          <xdr:col>8</xdr:col>
          <xdr:colOff>0</xdr:colOff>
          <xdr:row>2</xdr:row>
          <xdr:rowOff>228600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2</xdr:col>
      <xdr:colOff>104775</xdr:colOff>
      <xdr:row>0</xdr:row>
      <xdr:rowOff>200025</xdr:rowOff>
    </xdr:from>
    <xdr:ext cx="1809750" cy="61177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400-000006000000}"/>
                </a:ext>
              </a:extLst>
            </xdr:cNvPr>
            <xdr:cNvSpPr txBox="1"/>
          </xdr:nvSpPr>
          <xdr:spPr>
            <a:xfrm>
              <a:off x="2324100" y="2000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600" i="0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en-US" altLang="ko-KR" sz="160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×</m:t>
                    </m:r>
                    <m:sSup>
                      <m:sSupPr>
                        <m:ctrlPr>
                          <a:rPr lang="en-US" altLang="ko-KR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n-US" altLang="ko-KR" sz="16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n-US" altLang="ko-KR" sz="16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2</m:t>
                                    </m:r>
                                  </m:sub>
                                </m:sSub>
                              </m:num>
                              <m:den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1</m:t>
                                    </m:r>
                                  </m:sub>
                                </m:sSub>
                              </m:den>
                            </m:f>
                          </m:e>
                        </m:d>
                      </m:e>
                      <m:sup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2/3</m:t>
                        </m:r>
                      </m:sup>
                    </m:sSup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2E0DB397-4AD0-4907-844D-C5FD19DBA969}"/>
                </a:ext>
              </a:extLst>
            </xdr:cNvPr>
            <xdr:cNvSpPr txBox="1"/>
          </xdr:nvSpPr>
          <xdr:spPr>
            <a:xfrm>
              <a:off x="2324100" y="2000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</a:t>
              </a:r>
              <a:r>
                <a:rPr lang="ko-KR" altLang="en-US" sz="1600" i="0">
                  <a:solidFill>
                    <a:schemeClr val="tx1"/>
                  </a:solidFill>
                  <a:latin typeface="Cambria Math" panose="02040503050406030204" pitchFamily="18" charset="0"/>
                </a:rPr>
                <a:t>=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1</a:t>
              </a:r>
              <a:r>
                <a:rPr lang="en-US" altLang="ko-KR" sz="160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×</a:t>
              </a:r>
              <a:r>
                <a:rPr lang="en-US" altLang="ko-KR" sz="16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(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𝑆_2/𝑆_1 )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^(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2/3)</a:t>
              </a:r>
              <a:endParaRPr lang="ko-KR" altLang="en-US" sz="1600"/>
            </a:p>
          </xdr:txBody>
        </xdr:sp>
      </mc:Fallback>
    </mc:AlternateContent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28576</xdr:colOff>
      <xdr:row>2</xdr:row>
      <xdr:rowOff>296933</xdr:rowOff>
    </xdr:from>
    <xdr:to>
      <xdr:col>15</xdr:col>
      <xdr:colOff>409576</xdr:colOff>
      <xdr:row>13</xdr:row>
      <xdr:rowOff>85725</xdr:rowOff>
    </xdr:to>
    <xdr:graphicFrame macro="">
      <xdr:nvGraphicFramePr>
        <xdr:cNvPr id="2" name="Chart 5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33</xdr:col>
      <xdr:colOff>348284</xdr:colOff>
      <xdr:row>3</xdr:row>
      <xdr:rowOff>59635</xdr:rowOff>
    </xdr:from>
    <xdr:to>
      <xdr:col>39</xdr:col>
      <xdr:colOff>184702</xdr:colOff>
      <xdr:row>16</xdr:row>
      <xdr:rowOff>276225</xdr:rowOff>
    </xdr:to>
    <xdr:graphicFrame macro="">
      <xdr:nvGraphicFramePr>
        <xdr:cNvPr id="3" name="Chart 36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85725</xdr:colOff>
          <xdr:row>16</xdr:row>
          <xdr:rowOff>0</xdr:rowOff>
        </xdr:from>
        <xdr:to>
          <xdr:col>17</xdr:col>
          <xdr:colOff>533400</xdr:colOff>
          <xdr:row>17</xdr:row>
          <xdr:rowOff>123825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</xdr:colOff>
          <xdr:row>17</xdr:row>
          <xdr:rowOff>190500</xdr:rowOff>
        </xdr:from>
        <xdr:to>
          <xdr:col>17</xdr:col>
          <xdr:colOff>542925</xdr:colOff>
          <xdr:row>19</xdr:row>
          <xdr:rowOff>28575</xdr:rowOff>
        </xdr:to>
        <xdr:sp macro="" textlink="">
          <xdr:nvSpPr>
            <xdr:cNvPr id="5122" name="CommandButton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4</xdr:row>
          <xdr:rowOff>47625</xdr:rowOff>
        </xdr:from>
        <xdr:to>
          <xdr:col>10</xdr:col>
          <xdr:colOff>552450</xdr:colOff>
          <xdr:row>5</xdr:row>
          <xdr:rowOff>161925</xdr:rowOff>
        </xdr:to>
        <xdr:sp macro="" textlink="">
          <xdr:nvSpPr>
            <xdr:cNvPr id="5128" name="CommandButton3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5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3</xdr:row>
          <xdr:rowOff>0</xdr:rowOff>
        </xdr:from>
        <xdr:to>
          <xdr:col>10</xdr:col>
          <xdr:colOff>552450</xdr:colOff>
          <xdr:row>4</xdr:row>
          <xdr:rowOff>9525</xdr:rowOff>
        </xdr:to>
        <xdr:sp macro="" textlink="">
          <xdr:nvSpPr>
            <xdr:cNvPr id="5129" name="ComboBox1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5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5</xdr:row>
          <xdr:rowOff>228600</xdr:rowOff>
        </xdr:from>
        <xdr:to>
          <xdr:col>10</xdr:col>
          <xdr:colOff>552450</xdr:colOff>
          <xdr:row>7</xdr:row>
          <xdr:rowOff>57150</xdr:rowOff>
        </xdr:to>
        <xdr:sp macro="" textlink="">
          <xdr:nvSpPr>
            <xdr:cNvPr id="5130" name="CommandButton4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5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92</xdr:col>
      <xdr:colOff>647700</xdr:colOff>
      <xdr:row>0</xdr:row>
      <xdr:rowOff>0</xdr:rowOff>
    </xdr:from>
    <xdr:to>
      <xdr:col>98</xdr:col>
      <xdr:colOff>381000</xdr:colOff>
      <xdr:row>18</xdr:row>
      <xdr:rowOff>76200</xdr:rowOff>
    </xdr:to>
    <xdr:graphicFrame macro="">
      <xdr:nvGraphicFramePr>
        <xdr:cNvPr id="2" name="Chart 4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161925</xdr:colOff>
      <xdr:row>2</xdr:row>
      <xdr:rowOff>19051</xdr:rowOff>
    </xdr:from>
    <xdr:to>
      <xdr:col>21</xdr:col>
      <xdr:colOff>266700</xdr:colOff>
      <xdr:row>14</xdr:row>
      <xdr:rowOff>133350</xdr:rowOff>
    </xdr:to>
    <xdr:graphicFrame macro="">
      <xdr:nvGraphicFramePr>
        <xdr:cNvPr id="3" name="Chart 9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333375</xdr:colOff>
      <xdr:row>108</xdr:row>
      <xdr:rowOff>114300</xdr:rowOff>
    </xdr:from>
    <xdr:to>
      <xdr:col>16</xdr:col>
      <xdr:colOff>38100</xdr:colOff>
      <xdr:row>132</xdr:row>
      <xdr:rowOff>95250</xdr:rowOff>
    </xdr:to>
    <xdr:graphicFrame macro="">
      <xdr:nvGraphicFramePr>
        <xdr:cNvPr id="4" name="Chart 16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23</xdr:row>
          <xdr:rowOff>0</xdr:rowOff>
        </xdr:from>
        <xdr:to>
          <xdr:col>20</xdr:col>
          <xdr:colOff>142875</xdr:colOff>
          <xdr:row>24</xdr:row>
          <xdr:rowOff>142875</xdr:rowOff>
        </xdr:to>
        <xdr:sp macro="" textlink="">
          <xdr:nvSpPr>
            <xdr:cNvPr id="6145" name="CommandButton2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6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17</xdr:row>
          <xdr:rowOff>200025</xdr:rowOff>
        </xdr:from>
        <xdr:to>
          <xdr:col>20</xdr:col>
          <xdr:colOff>142875</xdr:colOff>
          <xdr:row>19</xdr:row>
          <xdr:rowOff>85725</xdr:rowOff>
        </xdr:to>
        <xdr:sp macro="" textlink="">
          <xdr:nvSpPr>
            <xdr:cNvPr id="6146" name="CommandButton4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6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16</xdr:row>
          <xdr:rowOff>9525</xdr:rowOff>
        </xdr:from>
        <xdr:to>
          <xdr:col>20</xdr:col>
          <xdr:colOff>142875</xdr:colOff>
          <xdr:row>17</xdr:row>
          <xdr:rowOff>152400</xdr:rowOff>
        </xdr:to>
        <xdr:sp macro="" textlink="">
          <xdr:nvSpPr>
            <xdr:cNvPr id="6147" name="CommandButton5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6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114300</xdr:colOff>
          <xdr:row>10</xdr:row>
          <xdr:rowOff>57150</xdr:rowOff>
        </xdr:from>
        <xdr:to>
          <xdr:col>12</xdr:col>
          <xdr:colOff>219075</xdr:colOff>
          <xdr:row>11</xdr:row>
          <xdr:rowOff>190500</xdr:rowOff>
        </xdr:to>
        <xdr:sp macro="" textlink="">
          <xdr:nvSpPr>
            <xdr:cNvPr id="6149" name="CommandButton6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6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19</xdr:row>
          <xdr:rowOff>133350</xdr:rowOff>
        </xdr:from>
        <xdr:to>
          <xdr:col>20</xdr:col>
          <xdr:colOff>142875</xdr:colOff>
          <xdr:row>21</xdr:row>
          <xdr:rowOff>9525</xdr:rowOff>
        </xdr:to>
        <xdr:sp macro="" textlink="">
          <xdr:nvSpPr>
            <xdr:cNvPr id="6150" name="CommandButton7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6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21</xdr:row>
          <xdr:rowOff>219075</xdr:rowOff>
        </xdr:from>
        <xdr:to>
          <xdr:col>20</xdr:col>
          <xdr:colOff>142875</xdr:colOff>
          <xdr:row>22</xdr:row>
          <xdr:rowOff>219075</xdr:rowOff>
        </xdr:to>
        <xdr:sp macro="" textlink="">
          <xdr:nvSpPr>
            <xdr:cNvPr id="6151" name="ComboBox1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6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1</xdr:row>
          <xdr:rowOff>47625</xdr:rowOff>
        </xdr:from>
        <xdr:to>
          <xdr:col>8</xdr:col>
          <xdr:colOff>476250</xdr:colOff>
          <xdr:row>3</xdr:row>
          <xdr:rowOff>28575</xdr:rowOff>
        </xdr:to>
        <xdr:sp macro="" textlink="">
          <xdr:nvSpPr>
            <xdr:cNvPr id="7169" name="CommandButton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7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3</xdr:row>
          <xdr:rowOff>123825</xdr:rowOff>
        </xdr:from>
        <xdr:to>
          <xdr:col>8</xdr:col>
          <xdr:colOff>476250</xdr:colOff>
          <xdr:row>5</xdr:row>
          <xdr:rowOff>104775</xdr:rowOff>
        </xdr:to>
        <xdr:sp macro="" textlink="">
          <xdr:nvSpPr>
            <xdr:cNvPr id="7170" name="CommandButton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7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1</xdr:row>
          <xdr:rowOff>47625</xdr:rowOff>
        </xdr:from>
        <xdr:to>
          <xdr:col>8</xdr:col>
          <xdr:colOff>523875</xdr:colOff>
          <xdr:row>3</xdr:row>
          <xdr:rowOff>28575</xdr:rowOff>
        </xdr:to>
        <xdr:sp macro="" textlink="">
          <xdr:nvSpPr>
            <xdr:cNvPr id="8193" name="CommandButton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8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3</xdr:row>
          <xdr:rowOff>104775</xdr:rowOff>
        </xdr:from>
        <xdr:to>
          <xdr:col>8</xdr:col>
          <xdr:colOff>523875</xdr:colOff>
          <xdr:row>5</xdr:row>
          <xdr:rowOff>76200</xdr:rowOff>
        </xdr:to>
        <xdr:sp macro="" textlink="">
          <xdr:nvSpPr>
            <xdr:cNvPr id="8194" name="CommandButton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8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5</xdr:row>
          <xdr:rowOff>152400</xdr:rowOff>
        </xdr:from>
        <xdr:to>
          <xdr:col>8</xdr:col>
          <xdr:colOff>523875</xdr:colOff>
          <xdr:row>7</xdr:row>
          <xdr:rowOff>133350</xdr:rowOff>
        </xdr:to>
        <xdr:sp macro="" textlink="">
          <xdr:nvSpPr>
            <xdr:cNvPr id="8195" name="CommandButton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8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8</xdr:row>
          <xdr:rowOff>0</xdr:rowOff>
        </xdr:from>
        <xdr:to>
          <xdr:col>8</xdr:col>
          <xdr:colOff>533400</xdr:colOff>
          <xdr:row>9</xdr:row>
          <xdr:rowOff>190500</xdr:rowOff>
        </xdr:to>
        <xdr:sp macro="" textlink="">
          <xdr:nvSpPr>
            <xdr:cNvPr id="8196" name="CommandButton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8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1</xdr:row>
          <xdr:rowOff>57150</xdr:rowOff>
        </xdr:from>
        <xdr:to>
          <xdr:col>8</xdr:col>
          <xdr:colOff>561975</xdr:colOff>
          <xdr:row>3</xdr:row>
          <xdr:rowOff>38100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9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3</xdr:row>
          <xdr:rowOff>104775</xdr:rowOff>
        </xdr:from>
        <xdr:to>
          <xdr:col>8</xdr:col>
          <xdr:colOff>571500</xdr:colOff>
          <xdr:row>5</xdr:row>
          <xdr:rowOff>85725</xdr:rowOff>
        </xdr:to>
        <xdr:sp macro="" textlink="">
          <xdr:nvSpPr>
            <xdr:cNvPr id="9218" name="CommandButton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9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5</xdr:row>
          <xdr:rowOff>19050</xdr:rowOff>
        </xdr:from>
        <xdr:to>
          <xdr:col>5</xdr:col>
          <xdr:colOff>133350</xdr:colOff>
          <xdr:row>6</xdr:row>
          <xdr:rowOff>95250</xdr:rowOff>
        </xdr:to>
        <xdr:sp macro="" textlink="">
          <xdr:nvSpPr>
            <xdr:cNvPr id="10241" name="CommandButton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A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6</xdr:row>
          <xdr:rowOff>142875</xdr:rowOff>
        </xdr:from>
        <xdr:to>
          <xdr:col>5</xdr:col>
          <xdr:colOff>133350</xdr:colOff>
          <xdr:row>7</xdr:row>
          <xdr:rowOff>219075</xdr:rowOff>
        </xdr:to>
        <xdr:sp macro="" textlink="">
          <xdr:nvSpPr>
            <xdr:cNvPr id="10242" name="CommandButton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A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D7B8BB0-41F8-41B4-B417-F1903185CC63}" name="tableCorp" displayName="tableCorp" ref="J3:J19" totalsRowShown="0" headerRowDxfId="20" dataDxfId="19" headerRowCellStyle="표준 2" dataCellStyle="표준 2">
  <autoFilter ref="J3:J19" xr:uid="{ED7B8BB0-41F8-41B4-B417-F1903185CC63}"/>
  <tableColumns count="1">
    <tableColumn id="1" xr3:uid="{73373B9B-E3A5-4DA6-B25C-BFF142822A1D}" name="조사자" dataDxfId="18" dataCellStyle="표준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3A128E7-606F-448E-BD0D-B8DFBF4016C9}" name="표3" displayName="표3" ref="H3:H7" totalsRowShown="0" headerRowDxfId="17" dataDxfId="16" headerRowCellStyle="표준 2" dataCellStyle="표준 2">
  <autoFilter ref="H3:H7" xr:uid="{E3A128E7-606F-448E-BD0D-B8DFBF4016C9}"/>
  <tableColumns count="1">
    <tableColumn id="1" xr3:uid="{1424B003-0D83-4A15-8DE2-905AFA0FED39}" name="유효우물반경" dataDxfId="15" dataCellStyle="표준 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5BC2798-820A-44A7-B34D-158303E757A7}" name="표4" displayName="표4" ref="G3:G6" totalsRowShown="0" headerRowDxfId="14" dataDxfId="13" headerRowCellStyle="표준 2" dataCellStyle="표준 2">
  <autoFilter ref="G3:G6" xr:uid="{25BC2798-820A-44A7-B34D-158303E757A7}"/>
  <tableColumns count="1">
    <tableColumn id="1" xr3:uid="{DC77E887-1561-4E8A-A912-7C363D1AADB6}" name="저류계수" dataDxfId="12" dataCellStyle="표준 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7665B14-CDFA-4481-8166-B4D7B93641A7}" name="표5" displayName="표5" ref="F3:F7" totalsRowShown="0" headerRowDxfId="11" dataDxfId="10" headerRowCellStyle="표준 2" dataCellStyle="표준 2">
  <autoFilter ref="F3:F7" xr:uid="{37665B14-CDFA-4481-8166-B4D7B93641A7}"/>
  <tableColumns count="1">
    <tableColumn id="1" xr3:uid="{F0660956-0693-47E8-8ECF-E756500FF929}" name="우물직경" dataDxfId="9" dataCellStyle="표준 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D6F5D56-B7DC-4926-9229-1B9BE575FA98}" name="표6" displayName="표6" ref="E3:E36" totalsRowShown="0" headerRowDxfId="8" dataDxfId="7" headerRowCellStyle="표준 2" dataCellStyle="표준 2">
  <autoFilter ref="E3:E36" xr:uid="{BD6F5D56-B7DC-4926-9229-1B9BE575FA98}"/>
  <tableColumns count="1">
    <tableColumn id="1" xr3:uid="{D396419C-61EA-4651-8D9C-1B6952524D8E}" name="공번2" dataDxfId="6" dataCellStyle="표준 2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FCF2A89-C7B8-48E5-8E97-BF0C722715AF}" name="표7" displayName="표7" ref="D3:D36" totalsRowShown="0" headerRowDxfId="5" dataDxfId="4" headerRowCellStyle="표준 2" dataCellStyle="표준 2">
  <autoFilter ref="D3:D36" xr:uid="{6FCF2A89-C7B8-48E5-8E97-BF0C722715AF}"/>
  <tableColumns count="1">
    <tableColumn id="1" xr3:uid="{5835FC76-1E6A-49B8-9B5E-5D3D346D8254}" name="공번" dataDxfId="3" dataCellStyle="표준 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A6F6CC0E-B250-43F8-88B9-E2BEFDDA2D54}" name="표8" displayName="표8" ref="C3:C13" totalsRowShown="0" headerRowDxfId="2" dataDxfId="1" headerRowCellStyle="표준 2" dataCellStyle="표준 2">
  <autoFilter ref="C3:C13" xr:uid="{A6F6CC0E-B250-43F8-88B9-E2BEFDDA2D54}"/>
  <tableColumns count="1">
    <tableColumn id="1" xr3:uid="{21DD6643-E5E6-424E-A67A-3951CFF3FFCF}" name="수중모터" dataDxfId="0" dataCellStyle="표준 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12.emf"/><Relationship Id="rId1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9.emf"/><Relationship Id="rId12" Type="http://schemas.openxmlformats.org/officeDocument/2006/relationships/control" Target="../activeX/activeX5.xml"/><Relationship Id="rId17" Type="http://schemas.openxmlformats.org/officeDocument/2006/relationships/image" Target="../media/image14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11" Type="http://schemas.openxmlformats.org/officeDocument/2006/relationships/image" Target="../media/image11.emf"/><Relationship Id="rId5" Type="http://schemas.openxmlformats.org/officeDocument/2006/relationships/image" Target="../media/image8.emf"/><Relationship Id="rId15" Type="http://schemas.openxmlformats.org/officeDocument/2006/relationships/image" Target="../media/image13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10.emf"/><Relationship Id="rId14" Type="http://schemas.openxmlformats.org/officeDocument/2006/relationships/control" Target="../activeX/activeX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omments" Target="../comments2.xml"/><Relationship Id="rId5" Type="http://schemas.openxmlformats.org/officeDocument/2006/relationships/image" Target="../media/image15.emf"/><Relationship Id="rId4" Type="http://schemas.openxmlformats.org/officeDocument/2006/relationships/control" Target="../activeX/activeX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16.emf"/><Relationship Id="rId4" Type="http://schemas.openxmlformats.org/officeDocument/2006/relationships/control" Target="../activeX/activeX9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2.xml"/><Relationship Id="rId13" Type="http://schemas.openxmlformats.org/officeDocument/2006/relationships/image" Target="../media/image21.emf"/><Relationship Id="rId3" Type="http://schemas.openxmlformats.org/officeDocument/2006/relationships/vmlDrawing" Target="../drawings/vmlDrawing4.vml"/><Relationship Id="rId7" Type="http://schemas.openxmlformats.org/officeDocument/2006/relationships/image" Target="../media/image18.emf"/><Relationship Id="rId12" Type="http://schemas.openxmlformats.org/officeDocument/2006/relationships/control" Target="../activeX/activeX1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1.xml"/><Relationship Id="rId11" Type="http://schemas.openxmlformats.org/officeDocument/2006/relationships/image" Target="../media/image20.emf"/><Relationship Id="rId5" Type="http://schemas.openxmlformats.org/officeDocument/2006/relationships/image" Target="../media/image17.emf"/><Relationship Id="rId10" Type="http://schemas.openxmlformats.org/officeDocument/2006/relationships/control" Target="../activeX/activeX13.xml"/><Relationship Id="rId4" Type="http://schemas.openxmlformats.org/officeDocument/2006/relationships/control" Target="../activeX/activeX10.xml"/><Relationship Id="rId9" Type="http://schemas.openxmlformats.org/officeDocument/2006/relationships/image" Target="../media/image19.emf"/><Relationship Id="rId14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13" Type="http://schemas.openxmlformats.org/officeDocument/2006/relationships/image" Target="../media/image26.emf"/><Relationship Id="rId3" Type="http://schemas.openxmlformats.org/officeDocument/2006/relationships/vmlDrawing" Target="../drawings/vmlDrawing5.vml"/><Relationship Id="rId7" Type="http://schemas.openxmlformats.org/officeDocument/2006/relationships/image" Target="../media/image23.emf"/><Relationship Id="rId12" Type="http://schemas.openxmlformats.org/officeDocument/2006/relationships/control" Target="../activeX/activeX19.xml"/><Relationship Id="rId2" Type="http://schemas.openxmlformats.org/officeDocument/2006/relationships/drawing" Target="../drawings/drawing6.xml"/><Relationship Id="rId16" Type="http://schemas.openxmlformats.org/officeDocument/2006/relationships/comments" Target="../comments4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16.xml"/><Relationship Id="rId11" Type="http://schemas.openxmlformats.org/officeDocument/2006/relationships/image" Target="../media/image25.emf"/><Relationship Id="rId5" Type="http://schemas.openxmlformats.org/officeDocument/2006/relationships/image" Target="../media/image22.emf"/><Relationship Id="rId15" Type="http://schemas.openxmlformats.org/officeDocument/2006/relationships/image" Target="../media/image27.emf"/><Relationship Id="rId10" Type="http://schemas.openxmlformats.org/officeDocument/2006/relationships/control" Target="../activeX/activeX18.xml"/><Relationship Id="rId4" Type="http://schemas.openxmlformats.org/officeDocument/2006/relationships/control" Target="../activeX/activeX15.xml"/><Relationship Id="rId9" Type="http://schemas.openxmlformats.org/officeDocument/2006/relationships/image" Target="../media/image24.emf"/><Relationship Id="rId14" Type="http://schemas.openxmlformats.org/officeDocument/2006/relationships/control" Target="../activeX/activeX20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7" Type="http://schemas.openxmlformats.org/officeDocument/2006/relationships/image" Target="../media/image29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22.xml"/><Relationship Id="rId5" Type="http://schemas.openxmlformats.org/officeDocument/2006/relationships/image" Target="../media/image28.emf"/><Relationship Id="rId4" Type="http://schemas.openxmlformats.org/officeDocument/2006/relationships/control" Target="../activeX/activeX21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5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31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24.xml"/><Relationship Id="rId11" Type="http://schemas.openxmlformats.org/officeDocument/2006/relationships/image" Target="../media/image33.emf"/><Relationship Id="rId5" Type="http://schemas.openxmlformats.org/officeDocument/2006/relationships/image" Target="../media/image30.emf"/><Relationship Id="rId10" Type="http://schemas.openxmlformats.org/officeDocument/2006/relationships/control" Target="../activeX/activeX26.xml"/><Relationship Id="rId4" Type="http://schemas.openxmlformats.org/officeDocument/2006/relationships/control" Target="../activeX/activeX23.xml"/><Relationship Id="rId9" Type="http://schemas.openxmlformats.org/officeDocument/2006/relationships/image" Target="../media/image32.emf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7" Type="http://schemas.openxmlformats.org/officeDocument/2006/relationships/image" Target="../media/image35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28.xml"/><Relationship Id="rId5" Type="http://schemas.openxmlformats.org/officeDocument/2006/relationships/image" Target="../media/image34.emf"/><Relationship Id="rId4" Type="http://schemas.openxmlformats.org/officeDocument/2006/relationships/control" Target="../activeX/activeX27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7" Type="http://schemas.openxmlformats.org/officeDocument/2006/relationships/image" Target="../media/image37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30.xml"/><Relationship Id="rId5" Type="http://schemas.openxmlformats.org/officeDocument/2006/relationships/image" Target="../media/image36.emf"/><Relationship Id="rId4" Type="http://schemas.openxmlformats.org/officeDocument/2006/relationships/control" Target="../activeX/activeX2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15C6DF-4EA1-43CA-8BDE-B53399D2B729}">
  <sheetPr codeName="Sheet11">
    <tabColor theme="9" tint="0.79998168889431442"/>
  </sheetPr>
  <dimension ref="C3:J36"/>
  <sheetViews>
    <sheetView workbookViewId="0">
      <selection activeCell="G7" sqref="G7"/>
    </sheetView>
  </sheetViews>
  <sheetFormatPr defaultColWidth="9" defaultRowHeight="18" customHeight="1"/>
  <cols>
    <col min="1" max="2" width="13.375" style="10" customWidth="1"/>
    <col min="3" max="3" width="14.75" style="10" customWidth="1"/>
    <col min="4" max="4" width="21" style="10" customWidth="1"/>
    <col min="5" max="5" width="12.875" style="10" customWidth="1"/>
    <col min="6" max="6" width="11.75" style="10" customWidth="1"/>
    <col min="7" max="7" width="14.375" style="10" customWidth="1"/>
    <col min="8" max="8" width="16.875" style="10" customWidth="1"/>
    <col min="9" max="9" width="9" style="10"/>
    <col min="10" max="10" width="26.125" style="10" customWidth="1"/>
    <col min="11" max="16384" width="9" style="10"/>
  </cols>
  <sheetData>
    <row r="3" spans="3:10" ht="18" customHeight="1">
      <c r="C3" s="9" t="s">
        <v>43</v>
      </c>
      <c r="D3" s="9" t="s">
        <v>58</v>
      </c>
      <c r="E3" s="9" t="s">
        <v>80</v>
      </c>
      <c r="F3" s="9" t="s">
        <v>30</v>
      </c>
      <c r="G3" s="10" t="s">
        <v>81</v>
      </c>
      <c r="H3" s="11" t="s">
        <v>82</v>
      </c>
      <c r="J3" s="10" t="s">
        <v>222</v>
      </c>
    </row>
    <row r="4" spans="3:10" ht="18" customHeight="1">
      <c r="C4" s="10">
        <v>1</v>
      </c>
      <c r="D4" s="12" t="s">
        <v>83</v>
      </c>
      <c r="E4" s="10" t="s">
        <v>59</v>
      </c>
      <c r="F4" s="10">
        <v>150</v>
      </c>
      <c r="G4" s="10">
        <v>5.0000000000000001E-4</v>
      </c>
      <c r="H4" s="10" t="s">
        <v>84</v>
      </c>
      <c r="J4" s="10" t="s">
        <v>218</v>
      </c>
    </row>
    <row r="5" spans="3:10" ht="18" customHeight="1">
      <c r="C5" s="10">
        <v>2</v>
      </c>
      <c r="D5" s="10" t="s">
        <v>85</v>
      </c>
      <c r="E5" s="10" t="s">
        <v>86</v>
      </c>
      <c r="F5" s="10">
        <v>200</v>
      </c>
      <c r="G5" s="10">
        <v>1E-3</v>
      </c>
      <c r="H5" s="13" t="s">
        <v>87</v>
      </c>
      <c r="J5" s="10" t="s">
        <v>223</v>
      </c>
    </row>
    <row r="6" spans="3:10" ht="18" customHeight="1">
      <c r="C6" s="10">
        <v>3</v>
      </c>
      <c r="D6" s="10" t="s">
        <v>88</v>
      </c>
      <c r="E6" s="10" t="s">
        <v>89</v>
      </c>
      <c r="F6" s="10">
        <v>250</v>
      </c>
      <c r="G6" s="10">
        <v>0.1</v>
      </c>
      <c r="H6" s="13" t="s">
        <v>90</v>
      </c>
      <c r="J6" s="10" t="s">
        <v>232</v>
      </c>
    </row>
    <row r="7" spans="3:10" ht="18" customHeight="1">
      <c r="C7" s="10">
        <v>5</v>
      </c>
      <c r="D7" s="10" t="s">
        <v>91</v>
      </c>
      <c r="E7" s="10" t="s">
        <v>92</v>
      </c>
      <c r="F7" s="10">
        <v>1700</v>
      </c>
      <c r="H7" s="13" t="s">
        <v>93</v>
      </c>
      <c r="J7" s="10" t="s">
        <v>231</v>
      </c>
    </row>
    <row r="8" spans="3:10" ht="18" customHeight="1">
      <c r="C8" s="10">
        <v>7.5</v>
      </c>
      <c r="D8" s="10" t="s">
        <v>94</v>
      </c>
      <c r="E8" s="10" t="s">
        <v>95</v>
      </c>
      <c r="H8" s="12"/>
      <c r="J8" s="10" t="s">
        <v>225</v>
      </c>
    </row>
    <row r="9" spans="3:10" ht="18" customHeight="1">
      <c r="C9" s="10">
        <v>10</v>
      </c>
      <c r="D9" s="12" t="s">
        <v>96</v>
      </c>
      <c r="E9" s="10" t="s">
        <v>97</v>
      </c>
      <c r="H9" s="12"/>
      <c r="J9" s="10" t="s">
        <v>230</v>
      </c>
    </row>
    <row r="10" spans="3:10" ht="18" customHeight="1">
      <c r="C10" s="10">
        <v>15</v>
      </c>
      <c r="D10" s="12" t="s">
        <v>98</v>
      </c>
      <c r="E10" s="10" t="s">
        <v>99</v>
      </c>
      <c r="H10" s="12"/>
      <c r="J10" s="10" t="s">
        <v>226</v>
      </c>
    </row>
    <row r="11" spans="3:10" ht="18" customHeight="1">
      <c r="C11" s="10">
        <v>20</v>
      </c>
      <c r="D11" s="10" t="s">
        <v>100</v>
      </c>
      <c r="E11" s="10" t="s">
        <v>101</v>
      </c>
      <c r="H11" s="12"/>
      <c r="J11" s="10" t="s">
        <v>229</v>
      </c>
    </row>
    <row r="12" spans="3:10" ht="18" customHeight="1">
      <c r="C12" s="10">
        <v>25</v>
      </c>
      <c r="D12" s="12" t="s">
        <v>102</v>
      </c>
      <c r="E12" s="10" t="s">
        <v>103</v>
      </c>
      <c r="H12" s="12"/>
      <c r="J12" s="10" t="s">
        <v>224</v>
      </c>
    </row>
    <row r="13" spans="3:10" ht="18" customHeight="1">
      <c r="C13" s="10">
        <v>30</v>
      </c>
      <c r="D13" s="12" t="s">
        <v>104</v>
      </c>
      <c r="E13" s="10" t="s">
        <v>105</v>
      </c>
      <c r="H13" s="12"/>
      <c r="J13" s="10" t="s">
        <v>228</v>
      </c>
    </row>
    <row r="14" spans="3:10" ht="18" customHeight="1">
      <c r="D14" s="12" t="s">
        <v>106</v>
      </c>
      <c r="E14" s="10" t="s">
        <v>107</v>
      </c>
      <c r="H14" s="12"/>
      <c r="J14" s="10" t="s">
        <v>227</v>
      </c>
    </row>
    <row r="15" spans="3:10" ht="18" customHeight="1">
      <c r="D15" s="12" t="s">
        <v>108</v>
      </c>
      <c r="E15" s="10" t="s">
        <v>109</v>
      </c>
      <c r="J15" s="10" t="s">
        <v>252</v>
      </c>
    </row>
    <row r="16" spans="3:10" ht="18" customHeight="1">
      <c r="D16" s="12" t="s">
        <v>110</v>
      </c>
      <c r="E16" s="10" t="s">
        <v>111</v>
      </c>
      <c r="J16" s="10" t="s">
        <v>253</v>
      </c>
    </row>
    <row r="17" spans="4:10" ht="18" customHeight="1">
      <c r="D17" s="12" t="s">
        <v>112</v>
      </c>
      <c r="E17" s="10" t="s">
        <v>113</v>
      </c>
      <c r="J17" s="11" t="s">
        <v>254</v>
      </c>
    </row>
    <row r="18" spans="4:10" ht="18" customHeight="1">
      <c r="D18" s="12" t="s">
        <v>114</v>
      </c>
      <c r="E18" s="10" t="s">
        <v>115</v>
      </c>
      <c r="J18" s="10" t="s">
        <v>255</v>
      </c>
    </row>
    <row r="19" spans="4:10" ht="18" customHeight="1">
      <c r="D19" s="12" t="s">
        <v>256</v>
      </c>
      <c r="E19" s="10" t="s">
        <v>274</v>
      </c>
      <c r="J19" s="10" t="s">
        <v>292</v>
      </c>
    </row>
    <row r="20" spans="4:10" ht="18" customHeight="1">
      <c r="D20" s="10" t="s">
        <v>257</v>
      </c>
      <c r="E20" s="10" t="s">
        <v>275</v>
      </c>
    </row>
    <row r="21" spans="4:10" ht="18" customHeight="1">
      <c r="D21" s="10" t="s">
        <v>258</v>
      </c>
      <c r="E21" s="10" t="s">
        <v>276</v>
      </c>
    </row>
    <row r="22" spans="4:10" ht="18" customHeight="1">
      <c r="D22" s="10" t="s">
        <v>259</v>
      </c>
      <c r="E22" s="10" t="s">
        <v>277</v>
      </c>
    </row>
    <row r="23" spans="4:10" ht="18" customHeight="1">
      <c r="D23" s="10" t="s">
        <v>260</v>
      </c>
      <c r="E23" s="10" t="s">
        <v>278</v>
      </c>
    </row>
    <row r="24" spans="4:10" ht="18" customHeight="1">
      <c r="D24" s="10" t="s">
        <v>261</v>
      </c>
      <c r="E24" s="10" t="s">
        <v>279</v>
      </c>
    </row>
    <row r="25" spans="4:10" ht="18" customHeight="1">
      <c r="D25" s="10" t="s">
        <v>262</v>
      </c>
      <c r="E25" s="10" t="s">
        <v>280</v>
      </c>
    </row>
    <row r="26" spans="4:10" ht="18" customHeight="1">
      <c r="D26" s="10" t="s">
        <v>263</v>
      </c>
      <c r="E26" s="10" t="s">
        <v>281</v>
      </c>
    </row>
    <row r="27" spans="4:10" ht="18" customHeight="1">
      <c r="D27" s="10" t="s">
        <v>264</v>
      </c>
      <c r="E27" s="10" t="s">
        <v>282</v>
      </c>
    </row>
    <row r="28" spans="4:10" ht="18" customHeight="1">
      <c r="D28" s="10" t="s">
        <v>265</v>
      </c>
      <c r="E28" s="10" t="s">
        <v>283</v>
      </c>
    </row>
    <row r="29" spans="4:10" ht="18" customHeight="1">
      <c r="D29" s="10" t="s">
        <v>266</v>
      </c>
      <c r="E29" s="10" t="s">
        <v>284</v>
      </c>
    </row>
    <row r="30" spans="4:10" ht="18" customHeight="1">
      <c r="D30" s="10" t="s">
        <v>267</v>
      </c>
      <c r="E30" s="10" t="s">
        <v>285</v>
      </c>
    </row>
    <row r="31" spans="4:10" ht="18" customHeight="1">
      <c r="D31" s="10" t="s">
        <v>268</v>
      </c>
      <c r="E31" s="10" t="s">
        <v>286</v>
      </c>
    </row>
    <row r="32" spans="4:10" ht="18" customHeight="1">
      <c r="D32" s="10" t="s">
        <v>269</v>
      </c>
      <c r="E32" s="10" t="s">
        <v>287</v>
      </c>
    </row>
    <row r="33" spans="4:5" ht="18" customHeight="1">
      <c r="D33" s="10" t="s">
        <v>270</v>
      </c>
      <c r="E33" s="10" t="s">
        <v>288</v>
      </c>
    </row>
    <row r="34" spans="4:5" ht="18" customHeight="1">
      <c r="D34" s="10" t="s">
        <v>271</v>
      </c>
      <c r="E34" s="10" t="s">
        <v>289</v>
      </c>
    </row>
    <row r="35" spans="4:5" ht="18" customHeight="1">
      <c r="D35" s="10" t="s">
        <v>272</v>
      </c>
      <c r="E35" s="10" t="s">
        <v>290</v>
      </c>
    </row>
    <row r="36" spans="4:5" ht="18" customHeight="1">
      <c r="D36" s="10" t="s">
        <v>273</v>
      </c>
      <c r="E36" s="10" t="s">
        <v>291</v>
      </c>
    </row>
  </sheetData>
  <phoneticPr fontId="4" type="noConversion"/>
  <pageMargins left="0.7" right="0.7" top="0.75" bottom="0.75" header="0.3" footer="0.3"/>
  <pageSetup paperSize="9" orientation="portrait"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94F4F-F00D-415B-98E0-B246B9074319}">
  <sheetPr codeName="Sheet1"/>
  <dimension ref="A1:F100"/>
  <sheetViews>
    <sheetView workbookViewId="0"/>
  </sheetViews>
  <sheetFormatPr defaultColWidth="9" defaultRowHeight="13.5"/>
  <cols>
    <col min="1" max="5" width="9" style="6"/>
    <col min="6" max="6" width="29" style="6" customWidth="1"/>
    <col min="7" max="16384" width="9" style="6"/>
  </cols>
  <sheetData>
    <row r="1" spans="1:6">
      <c r="A1" s="100">
        <v>1</v>
      </c>
      <c r="B1" s="6">
        <f>F1</f>
        <v>-0.9</v>
      </c>
      <c r="E1" s="6">
        <v>1</v>
      </c>
      <c r="F1" s="6">
        <f>StepTest!G12</f>
        <v>-0.9</v>
      </c>
    </row>
    <row r="2" spans="1:6">
      <c r="A2" s="100">
        <v>2</v>
      </c>
      <c r="B2" s="6">
        <f t="shared" ref="B2:B20" si="0">F2</f>
        <v>-0.36</v>
      </c>
      <c r="E2" s="6">
        <v>2</v>
      </c>
      <c r="F2" s="6">
        <f>StepTest!G13</f>
        <v>-0.36</v>
      </c>
    </row>
    <row r="3" spans="1:6">
      <c r="A3" s="100">
        <v>3</v>
      </c>
      <c r="B3" s="6">
        <f t="shared" si="0"/>
        <v>-0.04</v>
      </c>
      <c r="E3" s="6">
        <v>3</v>
      </c>
      <c r="F3" s="6">
        <f>StepTest!G14</f>
        <v>-0.04</v>
      </c>
    </row>
    <row r="4" spans="1:6">
      <c r="A4" s="100">
        <v>4</v>
      </c>
      <c r="B4" s="6">
        <f t="shared" si="0"/>
        <v>0.19</v>
      </c>
      <c r="E4" s="6">
        <v>4</v>
      </c>
      <c r="F4" s="6">
        <f>StepTest!G15</f>
        <v>0.19</v>
      </c>
    </row>
    <row r="5" spans="1:6">
      <c r="A5" s="100">
        <v>5</v>
      </c>
      <c r="B5" s="6">
        <f t="shared" si="0"/>
        <v>0.37</v>
      </c>
      <c r="E5" s="6">
        <v>5</v>
      </c>
      <c r="F5" s="6">
        <f>StepTest!G16</f>
        <v>0.37</v>
      </c>
    </row>
    <row r="6" spans="1:6">
      <c r="A6" s="100">
        <v>10</v>
      </c>
      <c r="B6" s="6">
        <f t="shared" si="0"/>
        <v>0.91</v>
      </c>
      <c r="E6" s="6">
        <v>10</v>
      </c>
      <c r="F6" s="6">
        <f>StepTest!G17</f>
        <v>0.91</v>
      </c>
    </row>
    <row r="7" spans="1:6">
      <c r="A7" s="100">
        <v>15</v>
      </c>
      <c r="B7" s="6">
        <f t="shared" si="0"/>
        <v>1.23</v>
      </c>
      <c r="E7" s="6">
        <v>15</v>
      </c>
      <c r="F7" s="6">
        <f>StepTest!G18</f>
        <v>1.23</v>
      </c>
    </row>
    <row r="8" spans="1:6">
      <c r="A8" s="100">
        <v>20</v>
      </c>
      <c r="B8" s="6">
        <f t="shared" si="0"/>
        <v>1.46</v>
      </c>
      <c r="E8" s="6">
        <v>20</v>
      </c>
      <c r="F8" s="6">
        <f>StepTest!G19</f>
        <v>1.46</v>
      </c>
    </row>
    <row r="9" spans="1:6">
      <c r="A9" s="100">
        <v>25</v>
      </c>
      <c r="B9" s="6">
        <f t="shared" si="0"/>
        <v>1.64</v>
      </c>
      <c r="E9" s="6">
        <v>25</v>
      </c>
      <c r="F9" s="6">
        <f>StepTest!G20</f>
        <v>1.64</v>
      </c>
    </row>
    <row r="10" spans="1:6">
      <c r="A10" s="100">
        <v>30</v>
      </c>
      <c r="B10" s="6">
        <f t="shared" si="0"/>
        <v>1.78</v>
      </c>
      <c r="E10" s="6">
        <v>30</v>
      </c>
      <c r="F10" s="6">
        <f>StepTest!G21</f>
        <v>1.78</v>
      </c>
    </row>
    <row r="11" spans="1:6">
      <c r="A11" s="100">
        <v>35</v>
      </c>
      <c r="B11" s="6">
        <f t="shared" si="0"/>
        <v>1.9</v>
      </c>
      <c r="E11" s="6">
        <v>35</v>
      </c>
      <c r="F11" s="6">
        <f>StepTest!G22</f>
        <v>1.9</v>
      </c>
    </row>
    <row r="12" spans="1:6">
      <c r="A12" s="100">
        <v>40</v>
      </c>
      <c r="B12" s="6">
        <f t="shared" si="0"/>
        <v>2.0099999999999998</v>
      </c>
      <c r="E12" s="6">
        <v>40</v>
      </c>
      <c r="F12" s="6">
        <f>StepTest!G23</f>
        <v>2.0099999999999998</v>
      </c>
    </row>
    <row r="13" spans="1:6">
      <c r="A13" s="100">
        <v>45</v>
      </c>
      <c r="B13" s="6">
        <f t="shared" si="0"/>
        <v>2.1</v>
      </c>
      <c r="E13" s="6">
        <v>45</v>
      </c>
      <c r="F13" s="6">
        <f>StepTest!G24</f>
        <v>2.1</v>
      </c>
    </row>
    <row r="14" spans="1:6">
      <c r="A14" s="100">
        <v>50</v>
      </c>
      <c r="B14" s="6">
        <f t="shared" si="0"/>
        <v>2.1800000000000002</v>
      </c>
      <c r="E14" s="6">
        <v>50</v>
      </c>
      <c r="F14" s="6">
        <f>StepTest!G25</f>
        <v>2.1800000000000002</v>
      </c>
    </row>
    <row r="15" spans="1:6">
      <c r="A15" s="100">
        <v>55</v>
      </c>
      <c r="B15" s="6">
        <f t="shared" si="0"/>
        <v>2.2599999999999998</v>
      </c>
      <c r="E15" s="6">
        <v>55</v>
      </c>
      <c r="F15" s="6">
        <f>StepTest!G26</f>
        <v>2.2599999999999998</v>
      </c>
    </row>
    <row r="16" spans="1:6">
      <c r="A16" s="100">
        <v>60</v>
      </c>
      <c r="B16" s="6">
        <f t="shared" si="0"/>
        <v>2.33</v>
      </c>
      <c r="E16" s="6">
        <v>60</v>
      </c>
      <c r="F16" s="6">
        <f>StepTest!G27</f>
        <v>2.33</v>
      </c>
    </row>
    <row r="17" spans="1:6">
      <c r="A17" s="100">
        <v>75</v>
      </c>
      <c r="B17" s="6">
        <f t="shared" si="0"/>
        <v>2.5</v>
      </c>
      <c r="E17" s="6">
        <v>75</v>
      </c>
      <c r="F17" s="6">
        <f>StepTest!G28</f>
        <v>2.5</v>
      </c>
    </row>
    <row r="18" spans="1:6">
      <c r="A18" s="100">
        <v>90</v>
      </c>
      <c r="B18" s="6">
        <f t="shared" si="0"/>
        <v>2.65</v>
      </c>
      <c r="E18" s="6">
        <v>90</v>
      </c>
      <c r="F18" s="6">
        <f>StepTest!G29</f>
        <v>2.65</v>
      </c>
    </row>
    <row r="19" spans="1:6">
      <c r="A19" s="100">
        <v>105</v>
      </c>
      <c r="B19" s="6">
        <f t="shared" si="0"/>
        <v>2.77</v>
      </c>
      <c r="E19" s="6">
        <v>105</v>
      </c>
      <c r="F19" s="6">
        <f>StepTest!G30</f>
        <v>2.77</v>
      </c>
    </row>
    <row r="20" spans="1:6">
      <c r="A20" s="101">
        <v>120</v>
      </c>
      <c r="B20" s="102">
        <f t="shared" si="0"/>
        <v>2.88</v>
      </c>
      <c r="C20" s="102">
        <f>B26-B20</f>
        <v>0.58000000000000007</v>
      </c>
      <c r="D20" s="103">
        <f>C20/10</f>
        <v>5.800000000000001E-2</v>
      </c>
      <c r="E20" s="6">
        <v>120</v>
      </c>
      <c r="F20" s="6">
        <f>StepTest!G31</f>
        <v>2.88</v>
      </c>
    </row>
    <row r="21" spans="1:6">
      <c r="A21" s="100">
        <v>121</v>
      </c>
      <c r="B21" s="104">
        <f>B20+D21</f>
        <v>3.04</v>
      </c>
      <c r="D21" s="6">
        <v>0.16</v>
      </c>
      <c r="E21" s="6">
        <v>130</v>
      </c>
      <c r="F21" s="6">
        <f>StepTest!G32</f>
        <v>3.46</v>
      </c>
    </row>
    <row r="22" spans="1:6">
      <c r="A22" s="100">
        <v>122</v>
      </c>
      <c r="B22" s="104">
        <f>B21+D22</f>
        <v>3.19</v>
      </c>
      <c r="D22" s="6">
        <v>0.15</v>
      </c>
      <c r="E22" s="6">
        <v>140</v>
      </c>
      <c r="F22" s="6">
        <f>StepTest!G33</f>
        <v>3.55</v>
      </c>
    </row>
    <row r="23" spans="1:6">
      <c r="A23" s="100">
        <v>123</v>
      </c>
      <c r="B23" s="104">
        <f>B22+D23</f>
        <v>3.33</v>
      </c>
      <c r="D23" s="6">
        <v>0.14000000000000001</v>
      </c>
      <c r="E23" s="6">
        <v>150</v>
      </c>
      <c r="F23" s="6">
        <f>StepTest!G34</f>
        <v>3.65</v>
      </c>
    </row>
    <row r="24" spans="1:6">
      <c r="A24" s="100">
        <v>124</v>
      </c>
      <c r="B24" s="104">
        <f>B23+D24</f>
        <v>3.46</v>
      </c>
      <c r="D24" s="6">
        <v>0.13</v>
      </c>
      <c r="E24" s="6">
        <v>180</v>
      </c>
      <c r="F24" s="6">
        <f>StepTest!G35</f>
        <v>3.75</v>
      </c>
    </row>
    <row r="25" spans="1:6">
      <c r="A25" s="100">
        <v>125</v>
      </c>
      <c r="B25" s="104">
        <f>B24+D25</f>
        <v>3.59</v>
      </c>
      <c r="D25" s="6">
        <v>0.13</v>
      </c>
      <c r="E25" s="6">
        <v>240</v>
      </c>
      <c r="F25" s="6">
        <f>StepTest!G36</f>
        <v>3.85</v>
      </c>
    </row>
    <row r="26" spans="1:6">
      <c r="A26" s="100">
        <v>130</v>
      </c>
      <c r="B26" s="102">
        <f>F21</f>
        <v>3.46</v>
      </c>
      <c r="C26" s="102">
        <f>B28-B26</f>
        <v>8.9999999999999858E-2</v>
      </c>
      <c r="D26" s="102">
        <f>C26/2</f>
        <v>4.4999999999999929E-2</v>
      </c>
      <c r="E26" s="6">
        <v>250</v>
      </c>
      <c r="F26" s="6">
        <f>StepTest!G37</f>
        <v>4.49</v>
      </c>
    </row>
    <row r="27" spans="1:6">
      <c r="A27" s="100">
        <v>135</v>
      </c>
      <c r="B27" s="104">
        <f>B26+D27</f>
        <v>3.57</v>
      </c>
      <c r="D27" s="6">
        <v>0.11</v>
      </c>
      <c r="E27" s="6">
        <v>260</v>
      </c>
      <c r="F27" s="6">
        <f>StepTest!G38</f>
        <v>4.5999999999999996</v>
      </c>
    </row>
    <row r="28" spans="1:6">
      <c r="A28" s="100">
        <v>140</v>
      </c>
      <c r="B28" s="102">
        <f>F22</f>
        <v>3.55</v>
      </c>
      <c r="C28" s="102">
        <f>B30-B28</f>
        <v>0.10000000000000009</v>
      </c>
      <c r="D28" s="102">
        <f>C28/2</f>
        <v>5.0000000000000044E-2</v>
      </c>
      <c r="E28" s="6">
        <v>270</v>
      </c>
      <c r="F28" s="6">
        <f>StepTest!G39</f>
        <v>4.71</v>
      </c>
    </row>
    <row r="29" spans="1:6">
      <c r="A29" s="100">
        <v>145</v>
      </c>
      <c r="B29" s="104">
        <f>B28+D29</f>
        <v>3.65</v>
      </c>
      <c r="D29" s="6">
        <v>0.1</v>
      </c>
      <c r="E29" s="6">
        <v>300</v>
      </c>
      <c r="F29" s="6">
        <f>StepTest!G40</f>
        <v>4.82</v>
      </c>
    </row>
    <row r="30" spans="1:6">
      <c r="A30" s="100">
        <v>150</v>
      </c>
      <c r="B30" s="102">
        <f>F23</f>
        <v>3.65</v>
      </c>
      <c r="C30" s="102">
        <f>B36-B30</f>
        <v>0.10000000000000009</v>
      </c>
      <c r="D30" s="105">
        <f>C30/6</f>
        <v>1.666666666666668E-2</v>
      </c>
      <c r="E30" s="6">
        <v>360</v>
      </c>
      <c r="F30" s="6">
        <f>StepTest!G41</f>
        <v>4.93</v>
      </c>
    </row>
    <row r="31" spans="1:6">
      <c r="A31" s="100">
        <v>155</v>
      </c>
      <c r="B31" s="104">
        <f>B30+D31</f>
        <v>3.71</v>
      </c>
      <c r="D31" s="6">
        <v>0.06</v>
      </c>
    </row>
    <row r="32" spans="1:6">
      <c r="A32" s="100">
        <v>160</v>
      </c>
      <c r="B32" s="104">
        <f t="shared" ref="B32:B39" si="1">B31+D32</f>
        <v>3.76</v>
      </c>
      <c r="D32" s="6">
        <v>0.05</v>
      </c>
    </row>
    <row r="33" spans="1:4">
      <c r="A33" s="100">
        <v>165</v>
      </c>
      <c r="B33" s="104">
        <f t="shared" si="1"/>
        <v>3.8</v>
      </c>
      <c r="D33" s="6">
        <v>0.04</v>
      </c>
    </row>
    <row r="34" spans="1:4">
      <c r="A34" s="100">
        <v>170</v>
      </c>
      <c r="B34" s="104">
        <f t="shared" si="1"/>
        <v>3.8299999999999996</v>
      </c>
      <c r="D34" s="6">
        <v>0.03</v>
      </c>
    </row>
    <row r="35" spans="1:4">
      <c r="A35" s="100">
        <v>175</v>
      </c>
      <c r="B35" s="104">
        <f t="shared" si="1"/>
        <v>3.8499999999999996</v>
      </c>
      <c r="D35" s="6">
        <v>0.02</v>
      </c>
    </row>
    <row r="36" spans="1:4">
      <c r="A36" s="100">
        <v>180</v>
      </c>
      <c r="B36" s="102">
        <f>F24</f>
        <v>3.75</v>
      </c>
      <c r="C36" s="102">
        <f>B40-B36</f>
        <v>0.10000000000000009</v>
      </c>
      <c r="D36" s="102">
        <f>C36/4</f>
        <v>2.5000000000000022E-2</v>
      </c>
    </row>
    <row r="37" spans="1:4">
      <c r="A37" s="100">
        <v>195</v>
      </c>
      <c r="B37" s="104">
        <f t="shared" si="1"/>
        <v>3.82</v>
      </c>
      <c r="D37" s="6">
        <v>7.0000000000000007E-2</v>
      </c>
    </row>
    <row r="38" spans="1:4">
      <c r="A38" s="100">
        <v>210</v>
      </c>
      <c r="B38" s="104">
        <f t="shared" si="1"/>
        <v>3.88</v>
      </c>
      <c r="D38" s="6">
        <v>0.06</v>
      </c>
    </row>
    <row r="39" spans="1:4">
      <c r="A39" s="100">
        <v>225</v>
      </c>
      <c r="B39" s="104">
        <f t="shared" si="1"/>
        <v>3.9299999999999997</v>
      </c>
      <c r="D39" s="6">
        <v>0.05</v>
      </c>
    </row>
    <row r="40" spans="1:4">
      <c r="A40" s="101">
        <v>240</v>
      </c>
      <c r="B40" s="102">
        <f>F25</f>
        <v>3.85</v>
      </c>
      <c r="C40" s="102">
        <f>B46-B40</f>
        <v>0.64000000000000012</v>
      </c>
      <c r="D40" s="103">
        <f>C40/10</f>
        <v>6.4000000000000015E-2</v>
      </c>
    </row>
    <row r="41" spans="1:4">
      <c r="A41" s="100">
        <v>241</v>
      </c>
      <c r="B41" s="104">
        <f>B40+D41</f>
        <v>4.03</v>
      </c>
      <c r="D41" s="6">
        <v>0.18</v>
      </c>
    </row>
    <row r="42" spans="1:4">
      <c r="A42" s="100">
        <v>242</v>
      </c>
      <c r="B42" s="104">
        <f>B41+D42</f>
        <v>4.1900000000000004</v>
      </c>
      <c r="D42" s="6">
        <v>0.16</v>
      </c>
    </row>
    <row r="43" spans="1:4">
      <c r="A43" s="100">
        <v>243</v>
      </c>
      <c r="B43" s="104">
        <f>B42+D43</f>
        <v>4.3400000000000007</v>
      </c>
      <c r="D43" s="6">
        <v>0.15</v>
      </c>
    </row>
    <row r="44" spans="1:4">
      <c r="A44" s="100">
        <v>244</v>
      </c>
      <c r="B44" s="104">
        <f>B43+D44</f>
        <v>4.4800000000000004</v>
      </c>
      <c r="D44" s="6">
        <v>0.14000000000000001</v>
      </c>
    </row>
    <row r="45" spans="1:4">
      <c r="A45" s="100">
        <v>245</v>
      </c>
      <c r="B45" s="104">
        <f>B44+D45</f>
        <v>4.6100000000000003</v>
      </c>
      <c r="D45" s="6">
        <v>0.13</v>
      </c>
    </row>
    <row r="46" spans="1:4">
      <c r="A46" s="100">
        <v>250</v>
      </c>
      <c r="B46" s="102">
        <f>F26</f>
        <v>4.49</v>
      </c>
      <c r="C46" s="102">
        <f>B48-B46</f>
        <v>0.10999999999999943</v>
      </c>
      <c r="D46" s="102">
        <f>C46/2</f>
        <v>5.4999999999999716E-2</v>
      </c>
    </row>
    <row r="47" spans="1:4">
      <c r="A47" s="100">
        <v>255</v>
      </c>
      <c r="B47" s="104">
        <f>B46+D47</f>
        <v>4.6000000000000005</v>
      </c>
      <c r="D47" s="6">
        <v>0.11</v>
      </c>
    </row>
    <row r="48" spans="1:4">
      <c r="A48" s="100">
        <v>260</v>
      </c>
      <c r="B48" s="102">
        <f>F27</f>
        <v>4.5999999999999996</v>
      </c>
      <c r="C48" s="102">
        <f>B50-B48</f>
        <v>0.11000000000000032</v>
      </c>
      <c r="D48" s="102">
        <f>C48/2</f>
        <v>5.500000000000016E-2</v>
      </c>
    </row>
    <row r="49" spans="1:6">
      <c r="A49" s="100">
        <v>265</v>
      </c>
      <c r="B49" s="104">
        <f>B48+D49</f>
        <v>4.71</v>
      </c>
      <c r="D49" s="6">
        <v>0.11</v>
      </c>
    </row>
    <row r="50" spans="1:6">
      <c r="A50" s="100">
        <v>270</v>
      </c>
      <c r="B50" s="102">
        <f>F28</f>
        <v>4.71</v>
      </c>
      <c r="C50" s="102">
        <f>B56-B50</f>
        <v>0.11000000000000032</v>
      </c>
      <c r="D50" s="105">
        <f>C50/6</f>
        <v>1.8333333333333385E-2</v>
      </c>
    </row>
    <row r="51" spans="1:6">
      <c r="A51" s="100">
        <v>275</v>
      </c>
      <c r="B51" s="104">
        <f>B50+D51</f>
        <v>4.78</v>
      </c>
      <c r="D51" s="6">
        <v>7.0000000000000007E-2</v>
      </c>
    </row>
    <row r="52" spans="1:6">
      <c r="A52" s="100">
        <v>280</v>
      </c>
      <c r="B52" s="104">
        <f>B51+D52</f>
        <v>4.83</v>
      </c>
      <c r="D52" s="6">
        <v>0.05</v>
      </c>
    </row>
    <row r="53" spans="1:6">
      <c r="A53" s="100">
        <v>285</v>
      </c>
      <c r="B53" s="104">
        <f>B52+D53</f>
        <v>4.87</v>
      </c>
      <c r="D53" s="6">
        <v>0.04</v>
      </c>
    </row>
    <row r="54" spans="1:6">
      <c r="A54" s="100">
        <v>290</v>
      </c>
      <c r="B54" s="104">
        <f>B53+D54</f>
        <v>4.9000000000000004</v>
      </c>
      <c r="D54" s="6">
        <v>0.03</v>
      </c>
    </row>
    <row r="55" spans="1:6">
      <c r="A55" s="100">
        <v>295</v>
      </c>
      <c r="B55" s="104">
        <f>B54+D55</f>
        <v>4.92</v>
      </c>
      <c r="D55" s="6">
        <v>0.02</v>
      </c>
    </row>
    <row r="56" spans="1:6">
      <c r="A56" s="100">
        <v>300</v>
      </c>
      <c r="B56" s="102">
        <f>F29</f>
        <v>4.82</v>
      </c>
      <c r="C56" s="102">
        <f>B60-B56</f>
        <v>0.10999999999999943</v>
      </c>
      <c r="D56" s="102">
        <f>C56/4</f>
        <v>2.7499999999999858E-2</v>
      </c>
    </row>
    <row r="57" spans="1:6">
      <c r="A57" s="100">
        <v>315</v>
      </c>
      <c r="B57" s="104">
        <f>B56+D57</f>
        <v>4.9000000000000004</v>
      </c>
      <c r="D57" s="6">
        <v>0.08</v>
      </c>
    </row>
    <row r="58" spans="1:6">
      <c r="A58" s="100">
        <v>330</v>
      </c>
      <c r="B58" s="104">
        <f>B57+D58</f>
        <v>4.96</v>
      </c>
      <c r="D58" s="6">
        <v>0.06</v>
      </c>
    </row>
    <row r="59" spans="1:6">
      <c r="A59" s="100">
        <v>345</v>
      </c>
      <c r="B59" s="104">
        <f>B58+D59</f>
        <v>5.01</v>
      </c>
      <c r="D59" s="6">
        <v>0.05</v>
      </c>
    </row>
    <row r="60" spans="1:6">
      <c r="A60" s="101">
        <v>360</v>
      </c>
      <c r="B60" s="102">
        <f>F30</f>
        <v>4.93</v>
      </c>
      <c r="C60" s="102">
        <f>B66-B60</f>
        <v>0.72000000000000064</v>
      </c>
      <c r="D60" s="103">
        <f>C60/10</f>
        <v>7.2000000000000064E-2</v>
      </c>
    </row>
    <row r="61" spans="1:6">
      <c r="A61" s="100">
        <v>361</v>
      </c>
      <c r="B61" s="104">
        <f>B60+D61</f>
        <v>5.12</v>
      </c>
      <c r="D61" s="6">
        <v>0.19</v>
      </c>
    </row>
    <row r="62" spans="1:6">
      <c r="A62" s="100">
        <v>362</v>
      </c>
      <c r="B62" s="104">
        <f>B61+D62</f>
        <v>5.29</v>
      </c>
      <c r="D62" s="6">
        <v>0.17</v>
      </c>
    </row>
    <row r="63" spans="1:6">
      <c r="A63" s="100">
        <v>363</v>
      </c>
      <c r="B63" s="104">
        <f>B62+D63</f>
        <v>5.45</v>
      </c>
      <c r="D63" s="6">
        <v>0.16</v>
      </c>
      <c r="E63" s="6">
        <v>370</v>
      </c>
      <c r="F63" s="6">
        <f>StepTest!G42</f>
        <v>5.65</v>
      </c>
    </row>
    <row r="64" spans="1:6">
      <c r="A64" s="100">
        <v>364</v>
      </c>
      <c r="B64" s="104">
        <f>B63+D64</f>
        <v>5.6000000000000005</v>
      </c>
      <c r="D64" s="6">
        <v>0.15</v>
      </c>
      <c r="E64" s="6">
        <v>380</v>
      </c>
      <c r="F64" s="6">
        <f>StepTest!G43</f>
        <v>5.77</v>
      </c>
    </row>
    <row r="65" spans="1:6">
      <c r="A65" s="100">
        <v>365</v>
      </c>
      <c r="B65" s="104">
        <f>B64+D65</f>
        <v>5.74</v>
      </c>
      <c r="D65" s="6">
        <v>0.14000000000000001</v>
      </c>
      <c r="E65" s="6">
        <v>390</v>
      </c>
      <c r="F65" s="6">
        <f>StepTest!G44</f>
        <v>5.89</v>
      </c>
    </row>
    <row r="66" spans="1:6">
      <c r="A66" s="100">
        <v>370</v>
      </c>
      <c r="B66" s="102">
        <f>F63</f>
        <v>5.65</v>
      </c>
      <c r="C66" s="106">
        <f>B68-B66</f>
        <v>0.11999999999999922</v>
      </c>
      <c r="D66" s="102">
        <f>C66/2</f>
        <v>5.9999999999999609E-2</v>
      </c>
      <c r="E66" s="6">
        <v>420</v>
      </c>
      <c r="F66" s="6">
        <f>StepTest!G45</f>
        <v>6.01</v>
      </c>
    </row>
    <row r="67" spans="1:6">
      <c r="A67" s="100">
        <v>375</v>
      </c>
      <c r="B67" s="104">
        <f>B66+D67</f>
        <v>5.7700000000000005</v>
      </c>
      <c r="D67" s="6">
        <v>0.12</v>
      </c>
      <c r="E67" s="6">
        <v>480</v>
      </c>
      <c r="F67" s="6">
        <f>StepTest!G46</f>
        <v>6.14</v>
      </c>
    </row>
    <row r="68" spans="1:6">
      <c r="A68" s="100">
        <v>380</v>
      </c>
      <c r="B68" s="107">
        <f>F64</f>
        <v>5.77</v>
      </c>
      <c r="C68" s="102">
        <f>B70-B68</f>
        <v>0.12000000000000011</v>
      </c>
      <c r="D68" s="102">
        <f>C68/2</f>
        <v>6.0000000000000053E-2</v>
      </c>
      <c r="E68" s="6">
        <v>490</v>
      </c>
      <c r="F68" s="6">
        <f>StepTest!G47</f>
        <v>6.87</v>
      </c>
    </row>
    <row r="69" spans="1:6">
      <c r="A69" s="100">
        <v>385</v>
      </c>
      <c r="B69" s="104">
        <f>B68+D69</f>
        <v>5.89</v>
      </c>
      <c r="D69" s="6">
        <v>0.12</v>
      </c>
      <c r="E69" s="6">
        <v>500</v>
      </c>
      <c r="F69" s="6">
        <f>StepTest!G48</f>
        <v>7.15</v>
      </c>
    </row>
    <row r="70" spans="1:6">
      <c r="A70" s="100">
        <v>390</v>
      </c>
      <c r="B70" s="107">
        <f>F65</f>
        <v>5.89</v>
      </c>
      <c r="C70" s="102">
        <f>B76-B70</f>
        <v>0.12000000000000011</v>
      </c>
      <c r="D70" s="105">
        <f>C70/6</f>
        <v>2.0000000000000018E-2</v>
      </c>
      <c r="E70" s="6">
        <v>510</v>
      </c>
      <c r="F70" s="6">
        <f>StepTest!G49</f>
        <v>7.42</v>
      </c>
    </row>
    <row r="71" spans="1:6">
      <c r="A71" s="100">
        <v>395</v>
      </c>
      <c r="B71" s="104">
        <f>B70+D71</f>
        <v>5.96</v>
      </c>
      <c r="D71" s="6">
        <v>7.0000000000000007E-2</v>
      </c>
      <c r="E71" s="6">
        <v>540</v>
      </c>
      <c r="F71" s="6">
        <f>StepTest!G50</f>
        <v>7.7</v>
      </c>
    </row>
    <row r="72" spans="1:6">
      <c r="A72" s="100">
        <v>400</v>
      </c>
      <c r="B72" s="104">
        <f>B71+D72</f>
        <v>6.01</v>
      </c>
      <c r="D72" s="6">
        <v>0.05</v>
      </c>
      <c r="E72" s="6">
        <v>600</v>
      </c>
      <c r="F72" s="6">
        <f>StepTest!G51</f>
        <v>7.98</v>
      </c>
    </row>
    <row r="73" spans="1:6">
      <c r="A73" s="100">
        <v>405</v>
      </c>
      <c r="B73" s="104">
        <f>B72+D73</f>
        <v>6.05</v>
      </c>
      <c r="D73" s="6">
        <v>0.04</v>
      </c>
    </row>
    <row r="74" spans="1:6">
      <c r="A74" s="100">
        <v>410</v>
      </c>
      <c r="B74" s="104">
        <f>B73+D74</f>
        <v>6.08</v>
      </c>
      <c r="D74" s="6">
        <v>0.03</v>
      </c>
    </row>
    <row r="75" spans="1:6">
      <c r="A75" s="100">
        <v>415</v>
      </c>
      <c r="B75" s="104">
        <f>B74+D75</f>
        <v>6.11</v>
      </c>
      <c r="D75" s="6">
        <v>0.03</v>
      </c>
    </row>
    <row r="76" spans="1:6">
      <c r="A76" s="100">
        <v>420</v>
      </c>
      <c r="B76" s="107">
        <f>F66</f>
        <v>6.01</v>
      </c>
      <c r="C76" s="102">
        <f>B80-B76</f>
        <v>0.12999999999999989</v>
      </c>
      <c r="D76" s="102">
        <f>C76/4</f>
        <v>3.2499999999999973E-2</v>
      </c>
    </row>
    <row r="77" spans="1:6">
      <c r="A77" s="100">
        <v>435</v>
      </c>
      <c r="B77" s="104">
        <f>B76+D77</f>
        <v>6.1</v>
      </c>
      <c r="D77" s="6">
        <v>0.09</v>
      </c>
    </row>
    <row r="78" spans="1:6">
      <c r="A78" s="100">
        <v>450</v>
      </c>
      <c r="B78" s="104">
        <f>B77+D78</f>
        <v>6.17</v>
      </c>
      <c r="D78" s="6">
        <v>7.0000000000000007E-2</v>
      </c>
    </row>
    <row r="79" spans="1:6">
      <c r="A79" s="100">
        <v>465</v>
      </c>
      <c r="B79" s="104">
        <f>B78+D79</f>
        <v>6.22</v>
      </c>
      <c r="D79" s="6">
        <v>0.05</v>
      </c>
    </row>
    <row r="80" spans="1:6">
      <c r="A80" s="101">
        <v>480</v>
      </c>
      <c r="B80" s="107">
        <f>F67</f>
        <v>6.14</v>
      </c>
      <c r="C80" s="102">
        <f>B86-B80</f>
        <v>0.73000000000000043</v>
      </c>
      <c r="D80" s="103">
        <f>C80/10</f>
        <v>7.3000000000000037E-2</v>
      </c>
    </row>
    <row r="81" spans="1:4">
      <c r="A81" s="100">
        <v>481</v>
      </c>
      <c r="B81" s="104">
        <f>B80+D81</f>
        <v>6.35</v>
      </c>
      <c r="D81" s="6">
        <v>0.21</v>
      </c>
    </row>
    <row r="82" spans="1:4">
      <c r="A82" s="100">
        <v>482</v>
      </c>
      <c r="B82" s="104">
        <f>B81+D82</f>
        <v>6.54</v>
      </c>
      <c r="D82" s="6">
        <v>0.19</v>
      </c>
    </row>
    <row r="83" spans="1:4">
      <c r="A83" s="100">
        <v>483</v>
      </c>
      <c r="B83" s="104">
        <f>B82+D83</f>
        <v>6.71</v>
      </c>
      <c r="D83" s="6">
        <v>0.17</v>
      </c>
    </row>
    <row r="84" spans="1:4">
      <c r="A84" s="100">
        <v>484</v>
      </c>
      <c r="B84" s="104">
        <f>B83+D84</f>
        <v>6.87</v>
      </c>
      <c r="D84" s="6">
        <v>0.16</v>
      </c>
    </row>
    <row r="85" spans="1:4">
      <c r="A85" s="100">
        <v>485</v>
      </c>
      <c r="B85" s="104">
        <f>B84+D85</f>
        <v>7.01</v>
      </c>
      <c r="D85" s="6">
        <v>0.14000000000000001</v>
      </c>
    </row>
    <row r="86" spans="1:4">
      <c r="A86" s="100">
        <v>490</v>
      </c>
      <c r="B86" s="107">
        <f>F68</f>
        <v>6.87</v>
      </c>
      <c r="C86" s="102">
        <f>B88-B86</f>
        <v>0.28000000000000025</v>
      </c>
      <c r="D86" s="102">
        <f>C86/2</f>
        <v>0.14000000000000012</v>
      </c>
    </row>
    <row r="87" spans="1:4">
      <c r="A87" s="100">
        <v>495</v>
      </c>
      <c r="B87" s="104">
        <f>B86+D87</f>
        <v>7.18</v>
      </c>
      <c r="D87" s="6">
        <v>0.31</v>
      </c>
    </row>
    <row r="88" spans="1:4">
      <c r="A88" s="100">
        <v>500</v>
      </c>
      <c r="B88" s="107">
        <f>F69</f>
        <v>7.15</v>
      </c>
      <c r="C88" s="102">
        <f>B90-B88</f>
        <v>0.26999999999999957</v>
      </c>
      <c r="D88" s="102">
        <f>C88/2</f>
        <v>0.13499999999999979</v>
      </c>
    </row>
    <row r="89" spans="1:4">
      <c r="A89" s="100">
        <v>505</v>
      </c>
      <c r="B89" s="104">
        <f>B88+D89</f>
        <v>7.45</v>
      </c>
      <c r="D89" s="6">
        <v>0.3</v>
      </c>
    </row>
    <row r="90" spans="1:4">
      <c r="A90" s="100">
        <v>510</v>
      </c>
      <c r="B90" s="107">
        <f>F70</f>
        <v>7.42</v>
      </c>
      <c r="C90" s="102">
        <f>B96-B90</f>
        <v>0.28000000000000025</v>
      </c>
      <c r="D90" s="105">
        <f>C90/6</f>
        <v>4.666666666666671E-2</v>
      </c>
    </row>
    <row r="91" spans="1:4">
      <c r="A91" s="100">
        <v>515</v>
      </c>
      <c r="B91" s="104">
        <f>B90+D91</f>
        <v>7.57</v>
      </c>
      <c r="D91" s="6">
        <v>0.15</v>
      </c>
    </row>
    <row r="92" spans="1:4">
      <c r="A92" s="100">
        <v>520</v>
      </c>
      <c r="B92" s="104">
        <f>B91+D92</f>
        <v>7.7</v>
      </c>
      <c r="D92" s="6">
        <v>0.13</v>
      </c>
    </row>
    <row r="93" spans="1:4">
      <c r="A93" s="100">
        <v>525</v>
      </c>
      <c r="B93" s="104">
        <f>B92+D93</f>
        <v>7.8100000000000005</v>
      </c>
      <c r="D93" s="6">
        <v>0.11</v>
      </c>
    </row>
    <row r="94" spans="1:4">
      <c r="A94" s="100">
        <v>530</v>
      </c>
      <c r="B94" s="104">
        <f>B93+D94</f>
        <v>7.8900000000000006</v>
      </c>
      <c r="D94" s="6">
        <v>0.08</v>
      </c>
    </row>
    <row r="95" spans="1:4">
      <c r="A95" s="100">
        <v>535</v>
      </c>
      <c r="B95" s="104">
        <f>B94+D95</f>
        <v>7.9600000000000009</v>
      </c>
      <c r="D95" s="6">
        <v>7.0000000000000007E-2</v>
      </c>
    </row>
    <row r="96" spans="1:4">
      <c r="A96" s="100">
        <v>540</v>
      </c>
      <c r="B96" s="107">
        <f>F71</f>
        <v>7.7</v>
      </c>
      <c r="C96" s="102">
        <f>B100-B96</f>
        <v>0.28000000000000025</v>
      </c>
      <c r="D96" s="102">
        <f>C96/4</f>
        <v>7.0000000000000062E-2</v>
      </c>
    </row>
    <row r="97" spans="1:4">
      <c r="A97" s="100">
        <v>555</v>
      </c>
      <c r="B97" s="104">
        <f>B96+D97</f>
        <v>7.8900000000000006</v>
      </c>
      <c r="D97" s="6">
        <v>0.19</v>
      </c>
    </row>
    <row r="98" spans="1:4">
      <c r="A98" s="100">
        <v>570</v>
      </c>
      <c r="B98" s="104">
        <f>B97+D98</f>
        <v>8.0500000000000007</v>
      </c>
      <c r="D98" s="6">
        <v>0.16</v>
      </c>
    </row>
    <row r="99" spans="1:4">
      <c r="A99" s="100">
        <v>585</v>
      </c>
      <c r="B99" s="104">
        <f>B98+D99</f>
        <v>8.1900000000000013</v>
      </c>
      <c r="D99" s="6">
        <v>0.14000000000000001</v>
      </c>
    </row>
    <row r="100" spans="1:4">
      <c r="A100" s="101">
        <v>600</v>
      </c>
      <c r="B100" s="65">
        <f>F72</f>
        <v>7.98</v>
      </c>
    </row>
  </sheetData>
  <phoneticPr fontId="4" type="noConversion"/>
  <pageMargins left="0.75" right="0.75" top="1" bottom="1" header="0.5" footer="0.5"/>
  <pageSetup paperSize="9"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9F0601-9A1F-4C59-B811-0DB4AF0AE753}">
  <sheetPr codeName="shInput">
    <tabColor rgb="FF002060"/>
  </sheetPr>
  <dimension ref="A1:X80"/>
  <sheetViews>
    <sheetView topLeftCell="B30" zoomScaleNormal="100" workbookViewId="0">
      <selection activeCell="X54" sqref="X54"/>
    </sheetView>
  </sheetViews>
  <sheetFormatPr defaultColWidth="9" defaultRowHeight="13.5"/>
  <cols>
    <col min="1" max="1" width="13.875" style="1" customWidth="1"/>
    <col min="2" max="2" width="10.125" style="1" customWidth="1"/>
    <col min="3" max="3" width="12.25" style="1" bestFit="1" customWidth="1"/>
    <col min="4" max="4" width="8.375" style="1" customWidth="1"/>
    <col min="5" max="5" width="7.125" style="1" customWidth="1"/>
    <col min="6" max="6" width="6" style="1" bestFit="1" customWidth="1"/>
    <col min="7" max="7" width="9.75" style="1" bestFit="1" customWidth="1"/>
    <col min="8" max="8" width="10.375" style="2" customWidth="1"/>
    <col min="9" max="9" width="11.625" style="2" bestFit="1" customWidth="1"/>
    <col min="10" max="10" width="9" style="2"/>
    <col min="11" max="11" width="11.875" style="2" customWidth="1"/>
    <col min="12" max="12" width="10.375" style="2" customWidth="1"/>
    <col min="13" max="14" width="9" style="2"/>
    <col min="15" max="15" width="13.375" style="2" customWidth="1"/>
    <col min="16" max="16" width="9" style="2" customWidth="1"/>
    <col min="17" max="17" width="11.375" style="2" bestFit="1" customWidth="1"/>
    <col min="18" max="18" width="10.875" style="2" customWidth="1"/>
    <col min="19" max="19" width="12.75" style="2" customWidth="1"/>
    <col min="20" max="21" width="10.375" style="2" bestFit="1" customWidth="1"/>
    <col min="22" max="24" width="9.75" style="2" customWidth="1"/>
    <col min="25" max="16384" width="9" style="2"/>
  </cols>
  <sheetData>
    <row r="1" spans="1:15" s="167" customFormat="1">
      <c r="A1" s="4"/>
      <c r="B1" s="4"/>
      <c r="C1" s="4"/>
      <c r="D1" s="4"/>
      <c r="E1" s="3">
        <f>SUM(E3:E6)</f>
        <v>88.783333333333331</v>
      </c>
      <c r="F1" s="3"/>
      <c r="G1" s="3">
        <f>E1/E2</f>
        <v>0.88783333333333336</v>
      </c>
    </row>
    <row r="2" spans="1:15" s="167" customFormat="1">
      <c r="A2" s="234" t="s">
        <v>0</v>
      </c>
      <c r="B2" s="234" t="s">
        <v>238</v>
      </c>
      <c r="C2" s="4"/>
      <c r="D2" s="171">
        <f>D19</f>
        <v>170</v>
      </c>
      <c r="E2" s="3">
        <f>M51/3</f>
        <v>100</v>
      </c>
      <c r="F2" s="235" t="s">
        <v>2</v>
      </c>
      <c r="G2" s="3" t="s">
        <v>3</v>
      </c>
    </row>
    <row r="3" spans="1:15" s="167" customFormat="1">
      <c r="A3" s="172">
        <f>B3+$M$48</f>
        <v>6.48</v>
      </c>
      <c r="B3" s="255">
        <f>B20</f>
        <v>2.88</v>
      </c>
      <c r="C3" s="173"/>
      <c r="D3" s="256">
        <f t="shared" ref="D3:D7" si="0">D20</f>
        <v>189</v>
      </c>
      <c r="E3" s="4">
        <f>D3/12</f>
        <v>15.75</v>
      </c>
      <c r="F3" s="174">
        <f>B3/D3</f>
        <v>1.5238095238095238E-2</v>
      </c>
      <c r="G3" s="174">
        <f>1/F3</f>
        <v>65.625</v>
      </c>
    </row>
    <row r="4" spans="1:15" s="167" customFormat="1">
      <c r="A4" s="172">
        <f>B4+$M$48</f>
        <v>7.45</v>
      </c>
      <c r="B4" s="173">
        <f>B21</f>
        <v>3.85</v>
      </c>
      <c r="C4" s="173"/>
      <c r="D4" s="171">
        <f t="shared" si="0"/>
        <v>240</v>
      </c>
      <c r="E4" s="4">
        <f>D4/12</f>
        <v>20</v>
      </c>
      <c r="F4" s="174">
        <f t="shared" ref="F4:F7" si="1">B4/D4</f>
        <v>1.6041666666666666E-2</v>
      </c>
      <c r="G4" s="174">
        <f t="shared" ref="G4:G7" si="2">1/F4</f>
        <v>62.337662337662344</v>
      </c>
    </row>
    <row r="5" spans="1:15" s="167" customFormat="1">
      <c r="A5" s="172">
        <f>B5+$M$48</f>
        <v>8.5299999999999994</v>
      </c>
      <c r="B5" s="173">
        <f>B22</f>
        <v>4.93</v>
      </c>
      <c r="C5" s="173"/>
      <c r="D5" s="171">
        <f t="shared" si="0"/>
        <v>292.39999999999998</v>
      </c>
      <c r="E5" s="4">
        <f>D5/12</f>
        <v>24.366666666666664</v>
      </c>
      <c r="F5" s="174">
        <f t="shared" si="1"/>
        <v>1.6860465116279071E-2</v>
      </c>
      <c r="G5" s="174">
        <f t="shared" si="2"/>
        <v>59.310344827586199</v>
      </c>
    </row>
    <row r="6" spans="1:15" s="167" customFormat="1">
      <c r="A6" s="172">
        <f>B6+$M$48</f>
        <v>9.74</v>
      </c>
      <c r="B6" s="255">
        <f>B23</f>
        <v>6.14</v>
      </c>
      <c r="C6" s="173"/>
      <c r="D6" s="171">
        <f>D23</f>
        <v>344</v>
      </c>
      <c r="E6" s="4">
        <f>D6/12</f>
        <v>28.666666666666668</v>
      </c>
      <c r="F6" s="174">
        <f t="shared" si="1"/>
        <v>1.7848837209302325E-2</v>
      </c>
      <c r="G6" s="174">
        <f t="shared" si="2"/>
        <v>56.026058631921828</v>
      </c>
    </row>
    <row r="7" spans="1:15" s="167" customFormat="1">
      <c r="A7" s="172">
        <f>B7+$M$48</f>
        <v>11.58</v>
      </c>
      <c r="B7" s="173">
        <f>B24</f>
        <v>7.98</v>
      </c>
      <c r="C7" s="173"/>
      <c r="D7" s="171">
        <f t="shared" si="0"/>
        <v>395.59999999999997</v>
      </c>
      <c r="E7" s="4">
        <f>D7/12</f>
        <v>32.966666666666661</v>
      </c>
      <c r="F7" s="174">
        <f t="shared" si="1"/>
        <v>2.0171890798786656E-2</v>
      </c>
      <c r="G7" s="174">
        <f t="shared" si="2"/>
        <v>49.573934837092722</v>
      </c>
    </row>
    <row r="8" spans="1:15" s="167" customFormat="1">
      <c r="A8" s="4"/>
      <c r="B8" s="4" t="s">
        <v>4</v>
      </c>
      <c r="C8" s="4"/>
      <c r="D8" s="4"/>
      <c r="E8" s="454" t="s">
        <v>5</v>
      </c>
      <c r="F8" s="454"/>
      <c r="G8" s="454"/>
    </row>
    <row r="9" spans="1:15" s="167" customFormat="1">
      <c r="A9" s="4" t="s">
        <v>6</v>
      </c>
      <c r="B9" s="4" t="s">
        <v>2</v>
      </c>
      <c r="C9" s="4"/>
      <c r="D9" s="4"/>
      <c r="E9" s="233">
        <v>0.98</v>
      </c>
      <c r="F9" s="455" t="s">
        <v>7</v>
      </c>
      <c r="G9" s="455"/>
    </row>
    <row r="10" spans="1:15" s="167" customFormat="1">
      <c r="A10" s="176">
        <f>D20/B20</f>
        <v>65.625</v>
      </c>
      <c r="B10" s="176">
        <f>B20/D20</f>
        <v>1.5238095238095238E-2</v>
      </c>
      <c r="C10" s="4"/>
      <c r="D10" s="4"/>
      <c r="E10" s="233">
        <v>0.98</v>
      </c>
      <c r="F10" s="455" t="s">
        <v>8</v>
      </c>
      <c r="G10" s="455"/>
    </row>
    <row r="11" spans="1:15" s="167" customFormat="1">
      <c r="A11" s="176">
        <f t="shared" ref="A11:A14" si="3">D21/B21</f>
        <v>62.337662337662337</v>
      </c>
      <c r="B11" s="176">
        <f t="shared" ref="B11:B14" si="4">B21/D21</f>
        <v>1.6041666666666666E-2</v>
      </c>
      <c r="C11" s="4"/>
      <c r="D11" s="4" t="s">
        <v>4</v>
      </c>
      <c r="E11" s="233">
        <v>0.98</v>
      </c>
      <c r="F11" s="455" t="s">
        <v>9</v>
      </c>
      <c r="G11" s="455"/>
    </row>
    <row r="12" spans="1:15" s="167" customFormat="1">
      <c r="A12" s="176">
        <f t="shared" si="3"/>
        <v>59.310344827586206</v>
      </c>
      <c r="B12" s="176">
        <f t="shared" si="4"/>
        <v>1.6860465116279071E-2</v>
      </c>
      <c r="C12" s="4"/>
      <c r="D12" s="4"/>
      <c r="E12" s="233">
        <v>1</v>
      </c>
      <c r="F12" s="455" t="s">
        <v>10</v>
      </c>
      <c r="G12" s="455"/>
    </row>
    <row r="13" spans="1:15" s="167" customFormat="1">
      <c r="A13" s="176">
        <f t="shared" si="3"/>
        <v>56.026058631921828</v>
      </c>
      <c r="B13" s="176">
        <f t="shared" si="4"/>
        <v>1.7848837209302325E-2</v>
      </c>
      <c r="C13" s="4"/>
      <c r="D13" s="4" t="s">
        <v>4</v>
      </c>
      <c r="E13" s="454" t="s">
        <v>11</v>
      </c>
      <c r="F13" s="454"/>
      <c r="G13" s="454"/>
    </row>
    <row r="14" spans="1:15" s="167" customFormat="1">
      <c r="A14" s="176">
        <f t="shared" si="3"/>
        <v>49.573934837092722</v>
      </c>
      <c r="B14" s="176">
        <f t="shared" si="4"/>
        <v>2.0171890798786656E-2</v>
      </c>
      <c r="C14" s="4"/>
      <c r="D14" s="4"/>
      <c r="E14" s="233">
        <v>1</v>
      </c>
      <c r="F14" s="455" t="s">
        <v>7</v>
      </c>
      <c r="G14" s="455"/>
    </row>
    <row r="15" spans="1:15" s="167" customFormat="1">
      <c r="A15" s="4"/>
      <c r="B15" s="4"/>
      <c r="C15" s="4"/>
      <c r="D15" s="4"/>
      <c r="E15" s="233">
        <v>1</v>
      </c>
      <c r="F15" s="455" t="s">
        <v>8</v>
      </c>
      <c r="G15" s="455"/>
    </row>
    <row r="16" spans="1:15" s="167" customFormat="1">
      <c r="A16" s="4"/>
      <c r="B16" s="166" t="s">
        <v>12</v>
      </c>
      <c r="C16" s="4"/>
      <c r="D16" s="166" t="s">
        <v>13</v>
      </c>
      <c r="E16" s="233">
        <v>1</v>
      </c>
      <c r="F16" s="455" t="s">
        <v>9</v>
      </c>
      <c r="G16" s="455"/>
      <c r="O16" s="223">
        <v>45024</v>
      </c>
    </row>
    <row r="17" spans="1:21" s="167" customFormat="1">
      <c r="A17" s="4"/>
      <c r="B17" s="175">
        <f>M52</f>
        <v>6.14</v>
      </c>
      <c r="C17" s="4"/>
      <c r="D17" s="240">
        <f>M47</f>
        <v>344</v>
      </c>
      <c r="E17" s="233">
        <v>1</v>
      </c>
      <c r="F17" s="455" t="s">
        <v>10</v>
      </c>
      <c r="G17" s="455"/>
      <c r="P17" s="5"/>
      <c r="Q17" s="177"/>
      <c r="S17" s="178"/>
    </row>
    <row r="18" spans="1:21" s="167" customFormat="1">
      <c r="A18" s="4"/>
      <c r="B18" s="4"/>
      <c r="C18" s="4"/>
      <c r="D18" s="4"/>
      <c r="E18" s="4"/>
      <c r="F18" s="173"/>
      <c r="G18" s="173"/>
      <c r="P18" s="5"/>
    </row>
    <row r="19" spans="1:21" s="167" customFormat="1">
      <c r="A19" s="4"/>
      <c r="B19" s="173"/>
      <c r="C19" s="173"/>
      <c r="D19" s="179">
        <f>INT(D20*0.9)</f>
        <v>170</v>
      </c>
      <c r="E19" s="4"/>
      <c r="F19" s="173"/>
      <c r="G19" s="173"/>
    </row>
    <row r="20" spans="1:21" s="167" customFormat="1">
      <c r="A20" s="234" t="s">
        <v>244</v>
      </c>
      <c r="B20" s="180">
        <f>INT(B$17*C20*100)/100</f>
        <v>2.88</v>
      </c>
      <c r="C20" s="4">
        <f>0.48*E9</f>
        <v>0.47039999999999998</v>
      </c>
      <c r="D20" s="198">
        <f>INT(D$17*E20)</f>
        <v>189</v>
      </c>
      <c r="E20" s="241">
        <f>0.55*E14</f>
        <v>0.55000000000000004</v>
      </c>
      <c r="F20" s="174">
        <f>B20/D20</f>
        <v>1.5238095238095238E-2</v>
      </c>
      <c r="G20" s="4">
        <f>F20-F19</f>
        <v>1.5238095238095238E-2</v>
      </c>
    </row>
    <row r="21" spans="1:21" s="167" customFormat="1" ht="16.5">
      <c r="A21" s="173">
        <f>B21-B20</f>
        <v>0.9700000000000002</v>
      </c>
      <c r="B21" s="180">
        <f>INT(B$17*C21*100)/100</f>
        <v>3.85</v>
      </c>
      <c r="C21" s="4">
        <f>0.64*E10</f>
        <v>0.62719999999999998</v>
      </c>
      <c r="D21" s="198">
        <f>INT(D$17*E21)</f>
        <v>240</v>
      </c>
      <c r="E21" s="241">
        <f>0.7*E15</f>
        <v>0.7</v>
      </c>
      <c r="F21" s="174">
        <f>B21/D21</f>
        <v>1.6041666666666666E-2</v>
      </c>
      <c r="G21" s="4">
        <f>F21-F20</f>
        <v>8.035714285714278E-4</v>
      </c>
      <c r="O21" s="181"/>
      <c r="P21" s="181"/>
      <c r="Q21" s="181"/>
      <c r="R21" s="181"/>
      <c r="S21" s="181"/>
      <c r="T21" s="181"/>
    </row>
    <row r="22" spans="1:21" s="167" customFormat="1">
      <c r="A22" s="173">
        <f>B22-B21</f>
        <v>1.0799999999999996</v>
      </c>
      <c r="B22" s="180">
        <f>INT(B$17*C22*100)/100</f>
        <v>4.93</v>
      </c>
      <c r="C22" s="4">
        <f>0.82*E11</f>
        <v>0.80359999999999998</v>
      </c>
      <c r="D22" s="199">
        <f>(D$17*E22)</f>
        <v>292.39999999999998</v>
      </c>
      <c r="E22" s="241">
        <f>0.85*E16</f>
        <v>0.85</v>
      </c>
      <c r="F22" s="174">
        <f>B22/D22</f>
        <v>1.6860465116279071E-2</v>
      </c>
      <c r="G22" s="4">
        <f>F22-F21</f>
        <v>8.1879844961240539E-4</v>
      </c>
    </row>
    <row r="23" spans="1:21" s="167" customFormat="1">
      <c r="A23" s="173">
        <f>B23-B22</f>
        <v>1.21</v>
      </c>
      <c r="B23" s="180">
        <f>INT(B$17*C23*100)/100</f>
        <v>6.14</v>
      </c>
      <c r="C23" s="4">
        <v>1</v>
      </c>
      <c r="D23" s="198">
        <f>D$17*E23</f>
        <v>344</v>
      </c>
      <c r="E23" s="239">
        <v>1</v>
      </c>
      <c r="F23" s="174">
        <f>B23/D23</f>
        <v>1.7848837209302325E-2</v>
      </c>
      <c r="G23" s="4">
        <f>F23-F22</f>
        <v>9.8837209302325355E-4</v>
      </c>
      <c r="O23" s="182"/>
      <c r="Q23" s="182"/>
      <c r="S23" s="182"/>
      <c r="U23" s="182"/>
    </row>
    <row r="24" spans="1:21" s="167" customFormat="1">
      <c r="A24" s="173">
        <f>B24-B23</f>
        <v>1.8400000000000007</v>
      </c>
      <c r="B24" s="180">
        <f>INT(B$17*C24*100)/100</f>
        <v>7.98</v>
      </c>
      <c r="C24" s="4">
        <f>1.3*E12</f>
        <v>1.3</v>
      </c>
      <c r="D24" s="198">
        <f>D$17*E24</f>
        <v>395.59999999999997</v>
      </c>
      <c r="E24" s="239">
        <f>1.15*E17</f>
        <v>1.1499999999999999</v>
      </c>
      <c r="F24" s="174"/>
      <c r="G24" s="173"/>
      <c r="O24" s="182"/>
      <c r="Q24" s="182"/>
      <c r="S24" s="182"/>
      <c r="U24" s="182"/>
    </row>
    <row r="25" spans="1:21" s="167" customFormat="1">
      <c r="A25" s="4"/>
      <c r="B25" s="4"/>
      <c r="C25" s="4"/>
      <c r="D25" s="183"/>
      <c r="E25" s="4"/>
      <c r="F25" s="174">
        <f>B24/D24</f>
        <v>2.0171890798786656E-2</v>
      </c>
      <c r="G25" s="173"/>
      <c r="O25" s="182"/>
      <c r="Q25" s="182"/>
      <c r="S25" s="182"/>
      <c r="U25" s="182"/>
    </row>
    <row r="26" spans="1:21" s="167" customFormat="1">
      <c r="A26" s="438" t="s">
        <v>14</v>
      </c>
      <c r="B26" s="438"/>
      <c r="C26" s="184">
        <f>INT(M51*1)</f>
        <v>300</v>
      </c>
      <c r="D26" s="4"/>
      <c r="E26" s="4"/>
      <c r="F26" s="185">
        <f>M50/M51</f>
        <v>2.3E-2</v>
      </c>
      <c r="G26" s="4"/>
      <c r="O26" s="182"/>
      <c r="Q26" s="182"/>
      <c r="S26" s="182"/>
      <c r="U26" s="182"/>
    </row>
    <row r="27" spans="1:21" s="167" customFormat="1">
      <c r="A27" s="438" t="s">
        <v>15</v>
      </c>
      <c r="B27" s="438"/>
      <c r="C27" s="186">
        <f>SafeYield!B7</f>
        <v>313.07308042315543</v>
      </c>
      <c r="D27" s="173">
        <f>(C27/D6)*100</f>
        <v>91.009616402080056</v>
      </c>
      <c r="E27" s="4"/>
      <c r="F27" s="4"/>
      <c r="G27" s="4"/>
      <c r="O27" s="182"/>
      <c r="Q27" s="182"/>
      <c r="S27" s="182"/>
      <c r="U27" s="182"/>
    </row>
    <row r="28" spans="1:21" s="167" customFormat="1">
      <c r="A28" s="4"/>
      <c r="B28" s="4"/>
      <c r="C28" s="4"/>
      <c r="D28" s="4"/>
      <c r="E28" s="4"/>
      <c r="F28" s="4"/>
      <c r="G28" s="4"/>
      <c r="O28" s="182"/>
      <c r="Q28" s="182"/>
      <c r="S28" s="182"/>
      <c r="U28" s="182"/>
    </row>
    <row r="29" spans="1:21" s="167" customFormat="1" ht="13.5" customHeight="1">
      <c r="A29" s="4"/>
      <c r="B29" s="4"/>
      <c r="C29" s="4"/>
      <c r="D29" s="4"/>
      <c r="E29" s="4"/>
      <c r="F29" s="4"/>
      <c r="G29" s="4"/>
      <c r="O29" s="182"/>
      <c r="Q29" s="182"/>
      <c r="S29" s="182"/>
      <c r="U29" s="182"/>
    </row>
    <row r="30" spans="1:21" s="167" customFormat="1" ht="13.5" customHeight="1">
      <c r="A30" s="166" t="s">
        <v>16</v>
      </c>
      <c r="B30" s="166" t="s">
        <v>17</v>
      </c>
      <c r="C30" s="4"/>
      <c r="D30" s="4"/>
      <c r="E30" s="187">
        <f>ROUNDUP(F32,-1)</f>
        <v>70</v>
      </c>
      <c r="F30" s="187">
        <f>ROUNDDOWN(F35,-1)</f>
        <v>50</v>
      </c>
      <c r="G30" s="4"/>
      <c r="O30" s="182"/>
      <c r="Q30" s="182"/>
      <c r="S30" s="182"/>
      <c r="U30" s="182"/>
    </row>
    <row r="31" spans="1:21" s="167" customFormat="1" ht="13.5" customHeight="1">
      <c r="A31" s="233">
        <v>2.9409999999999999E-4</v>
      </c>
      <c r="B31" s="233">
        <v>0.1132518</v>
      </c>
      <c r="C31" s="4"/>
      <c r="D31" s="171">
        <f t="shared" ref="D31:D36" si="5">D19</f>
        <v>170</v>
      </c>
      <c r="E31" s="4"/>
      <c r="F31" s="187"/>
      <c r="G31" s="187"/>
      <c r="O31" s="182"/>
      <c r="Q31" s="182"/>
      <c r="S31" s="182"/>
      <c r="U31" s="182"/>
    </row>
    <row r="32" spans="1:21" s="167" customFormat="1" ht="13.5" customHeight="1">
      <c r="A32" s="4">
        <f t="shared" ref="A32:B34" si="6">A31</f>
        <v>2.9409999999999999E-4</v>
      </c>
      <c r="B32" s="4">
        <f t="shared" si="6"/>
        <v>0.1132518</v>
      </c>
      <c r="C32" s="4"/>
      <c r="D32" s="171">
        <f t="shared" si="5"/>
        <v>189</v>
      </c>
      <c r="E32" s="4"/>
      <c r="F32" s="187">
        <f>B32*D32/(B32*D32+A32*D32*D32)*100</f>
        <v>67.077714738560985</v>
      </c>
      <c r="G32" s="187"/>
      <c r="O32" s="182"/>
      <c r="Q32" s="182"/>
      <c r="S32" s="182"/>
      <c r="U32" s="182"/>
    </row>
    <row r="33" spans="1:21" s="167" customFormat="1" ht="13.5" customHeight="1">
      <c r="A33" s="4">
        <f t="shared" si="6"/>
        <v>2.9409999999999999E-4</v>
      </c>
      <c r="B33" s="4">
        <f t="shared" si="6"/>
        <v>0.1132518</v>
      </c>
      <c r="C33" s="4"/>
      <c r="D33" s="171">
        <f t="shared" si="5"/>
        <v>240</v>
      </c>
      <c r="E33" s="4"/>
      <c r="F33" s="187">
        <f>B33*D33/(B33*D33+A33*D33*D33)*100</f>
        <v>61.604866951921224</v>
      </c>
      <c r="G33" s="187"/>
      <c r="N33" s="181"/>
      <c r="O33" s="188"/>
      <c r="P33" s="189"/>
      <c r="Q33" s="188"/>
      <c r="R33" s="189"/>
      <c r="S33" s="188"/>
      <c r="T33" s="189"/>
      <c r="U33" s="188"/>
    </row>
    <row r="34" spans="1:21" s="167" customFormat="1" ht="13.5" customHeight="1">
      <c r="A34" s="4">
        <f t="shared" si="6"/>
        <v>2.9409999999999999E-4</v>
      </c>
      <c r="B34" s="4">
        <f t="shared" si="6"/>
        <v>0.1132518</v>
      </c>
      <c r="C34" s="4"/>
      <c r="D34" s="171">
        <f t="shared" si="5"/>
        <v>292.39999999999998</v>
      </c>
      <c r="E34" s="4"/>
      <c r="F34" s="187">
        <f>B34*D34/(B34*D34+A34*D34*D34)*100</f>
        <v>56.840004930572483</v>
      </c>
      <c r="G34" s="187"/>
      <c r="N34" s="181"/>
      <c r="O34" s="188"/>
      <c r="P34" s="190"/>
      <c r="Q34" s="188"/>
      <c r="R34" s="190"/>
      <c r="S34" s="188"/>
      <c r="T34" s="190"/>
      <c r="U34" s="188"/>
    </row>
    <row r="35" spans="1:21" s="167" customFormat="1" ht="13.5" customHeight="1">
      <c r="A35" s="4">
        <f>A34</f>
        <v>2.9409999999999999E-4</v>
      </c>
      <c r="B35" s="4">
        <f>B34</f>
        <v>0.1132518</v>
      </c>
      <c r="C35" s="4"/>
      <c r="D35" s="171">
        <f t="shared" si="5"/>
        <v>344</v>
      </c>
      <c r="E35" s="4"/>
      <c r="F35" s="187">
        <f>B35*D35/(B35*D35+A35*D35*D35)*100</f>
        <v>52.81719896540563</v>
      </c>
      <c r="G35" s="187"/>
      <c r="N35" s="181"/>
    </row>
    <row r="36" spans="1:21" s="167" customFormat="1" ht="13.5" customHeight="1">
      <c r="A36" s="4"/>
      <c r="B36" s="4"/>
      <c r="C36" s="4"/>
      <c r="D36" s="171">
        <f t="shared" si="5"/>
        <v>395.59999999999997</v>
      </c>
      <c r="E36" s="4"/>
      <c r="F36" s="187"/>
      <c r="G36" s="187"/>
      <c r="N36" s="181"/>
    </row>
    <row r="37" spans="1:21" s="167" customFormat="1" ht="13.5" customHeight="1">
      <c r="A37" s="166" t="s">
        <v>18</v>
      </c>
      <c r="B37" s="166" t="s">
        <v>19</v>
      </c>
      <c r="C37" s="166" t="s">
        <v>20</v>
      </c>
      <c r="D37" s="4" t="s">
        <v>21</v>
      </c>
      <c r="E37" s="4" t="s">
        <v>21</v>
      </c>
      <c r="F37" s="187">
        <f>AVERAGE(F32:F35)</f>
        <v>59.584946396615081</v>
      </c>
      <c r="G37" s="4"/>
      <c r="P37" s="220">
        <v>2.9409999999999999E-4</v>
      </c>
      <c r="Q37" s="220">
        <v>0.14399999999999999</v>
      </c>
    </row>
    <row r="38" spans="1:21" s="167" customFormat="1" ht="13.5" customHeight="1">
      <c r="A38" s="242">
        <v>72.14500000000001</v>
      </c>
      <c r="B38" s="233">
        <v>0.14399999999999999</v>
      </c>
      <c r="C38" s="233">
        <v>93.745000000000005</v>
      </c>
      <c r="D38" s="4"/>
      <c r="E38" s="4" t="s">
        <v>21</v>
      </c>
      <c r="F38" s="4"/>
      <c r="G38" s="4"/>
      <c r="P38" s="220">
        <v>0.1132518</v>
      </c>
      <c r="Q38" s="220">
        <v>93.745000000000005</v>
      </c>
    </row>
    <row r="39" spans="1:21" s="167" customFormat="1" ht="13.5" customHeight="1">
      <c r="A39" s="168"/>
      <c r="B39" s="4" t="s">
        <v>22</v>
      </c>
      <c r="C39" s="173">
        <f>(C38-A38)/B38</f>
        <v>149.99999999999997</v>
      </c>
      <c r="D39" s="4">
        <f>C38-B38*M51</f>
        <v>50.545000000000009</v>
      </c>
      <c r="E39" s="4"/>
      <c r="F39" s="4"/>
      <c r="G39" s="4"/>
    </row>
    <row r="40" spans="1:21" s="167" customFormat="1" ht="13.5" customHeight="1">
      <c r="A40" s="168" t="s">
        <v>23</v>
      </c>
      <c r="B40" s="4" t="s">
        <v>22</v>
      </c>
      <c r="C40" s="4">
        <f>INT(C39)</f>
        <v>150</v>
      </c>
      <c r="D40" s="4"/>
      <c r="E40" s="4"/>
      <c r="F40" s="4"/>
      <c r="G40" s="4"/>
    </row>
    <row r="41" spans="1:21" s="167" customFormat="1" ht="13.5" customHeight="1">
      <c r="A41" s="4"/>
      <c r="B41" s="4"/>
      <c r="C41" s="4"/>
      <c r="D41" s="4"/>
      <c r="E41" s="4"/>
      <c r="F41" s="4"/>
      <c r="G41" s="4"/>
    </row>
    <row r="42" spans="1:21" s="167" customFormat="1" ht="17.25" customHeight="1" thickBot="1">
      <c r="A42" s="236" t="s">
        <v>24</v>
      </c>
      <c r="B42" s="237"/>
      <c r="C42" s="4"/>
      <c r="D42" s="4"/>
      <c r="E42" s="4"/>
      <c r="F42" s="4"/>
      <c r="G42" s="4"/>
    </row>
    <row r="43" spans="1:21" s="167" customFormat="1" ht="21" customHeight="1">
      <c r="A43" s="236" t="s">
        <v>25</v>
      </c>
      <c r="B43" s="238">
        <f>INT(SQRT((2.25*A44*A47)/(A45*10^(5.46*A44*A46)))*1000)/1000</f>
        <v>0</v>
      </c>
      <c r="C43" s="4" t="s">
        <v>26</v>
      </c>
      <c r="D43" s="4"/>
      <c r="E43" s="4"/>
      <c r="F43" s="4"/>
      <c r="G43" s="4"/>
      <c r="Q43" s="247" t="s">
        <v>27</v>
      </c>
      <c r="R43" s="248" t="s">
        <v>0</v>
      </c>
      <c r="S43" s="248" t="s">
        <v>1</v>
      </c>
      <c r="T43" s="248" t="s">
        <v>3</v>
      </c>
      <c r="U43" s="249" t="s">
        <v>2</v>
      </c>
    </row>
    <row r="44" spans="1:21" s="167" customFormat="1" ht="16.5">
      <c r="A44" s="191">
        <f>B58</f>
        <v>40.21</v>
      </c>
      <c r="B44" s="364" t="s">
        <v>28</v>
      </c>
      <c r="C44" s="365"/>
      <c r="D44" s="365"/>
      <c r="E44" s="4"/>
      <c r="F44" s="4"/>
      <c r="G44" s="4"/>
      <c r="H44" s="224" t="s">
        <v>29</v>
      </c>
      <c r="I44" s="439" t="s">
        <v>295</v>
      </c>
      <c r="J44" s="440"/>
      <c r="K44" s="441"/>
      <c r="L44" s="224" t="s">
        <v>30</v>
      </c>
      <c r="M44" s="228">
        <v>1700</v>
      </c>
      <c r="N44" s="224" t="s">
        <v>31</v>
      </c>
      <c r="Q44" s="369">
        <v>189</v>
      </c>
      <c r="R44" s="200">
        <v>6.48</v>
      </c>
      <c r="S44" s="200">
        <v>2.88</v>
      </c>
      <c r="T44" s="201">
        <v>65.625</v>
      </c>
      <c r="U44" s="250">
        <v>1.5238095238095238E-2</v>
      </c>
    </row>
    <row r="45" spans="1:21" s="167" customFormat="1" ht="16.5">
      <c r="A45" s="233">
        <v>5.0000000000000001E-4</v>
      </c>
      <c r="B45" s="364" t="s">
        <v>32</v>
      </c>
      <c r="C45" s="365"/>
      <c r="D45" s="365"/>
      <c r="E45" s="4"/>
      <c r="F45" s="4"/>
      <c r="G45" s="4"/>
      <c r="H45" s="224" t="s">
        <v>33</v>
      </c>
      <c r="I45" s="448" t="s">
        <v>296</v>
      </c>
      <c r="J45" s="449"/>
      <c r="K45" s="450"/>
      <c r="L45" s="224" t="s">
        <v>34</v>
      </c>
      <c r="M45" s="195">
        <v>20</v>
      </c>
      <c r="N45" s="229">
        <f>M44</f>
        <v>1700</v>
      </c>
      <c r="Q45" s="369">
        <v>240</v>
      </c>
      <c r="R45" s="200">
        <v>7.45</v>
      </c>
      <c r="S45" s="200">
        <v>3.85</v>
      </c>
      <c r="T45" s="201">
        <v>62.338000000000001</v>
      </c>
      <c r="U45" s="250">
        <v>1.6041666666666666E-2</v>
      </c>
    </row>
    <row r="46" spans="1:21" s="167" customFormat="1" ht="16.5">
      <c r="A46" s="4">
        <f>B34</f>
        <v>0.1132518</v>
      </c>
      <c r="B46" s="364" t="s">
        <v>35</v>
      </c>
      <c r="C46" s="442" t="s">
        <v>36</v>
      </c>
      <c r="D46" s="442"/>
      <c r="E46" s="4"/>
      <c r="F46" s="4"/>
      <c r="G46" s="4"/>
      <c r="H46" s="224" t="s">
        <v>37</v>
      </c>
      <c r="I46" s="439" t="s">
        <v>294</v>
      </c>
      <c r="J46" s="440"/>
      <c r="K46" s="441"/>
      <c r="L46" s="224" t="s">
        <v>38</v>
      </c>
      <c r="M46" s="192">
        <f>IF(I52&gt;M48, M45-I52,M45-M48)</f>
        <v>8</v>
      </c>
      <c r="N46" s="11"/>
      <c r="Q46" s="369">
        <v>292</v>
      </c>
      <c r="R46" s="200">
        <v>8.5299999999999994</v>
      </c>
      <c r="S46" s="200">
        <v>4.93</v>
      </c>
      <c r="T46" s="201">
        <v>59.31</v>
      </c>
      <c r="U46" s="250">
        <v>1.6860465116279071E-2</v>
      </c>
    </row>
    <row r="47" spans="1:21" s="167" customFormat="1" ht="16.5">
      <c r="A47" s="4">
        <f>120/1440</f>
        <v>8.3333333333333329E-2</v>
      </c>
      <c r="B47" s="364" t="s">
        <v>39</v>
      </c>
      <c r="C47" s="442" t="s">
        <v>40</v>
      </c>
      <c r="D47" s="442"/>
      <c r="E47" s="4"/>
      <c r="F47" s="4"/>
      <c r="G47" s="4"/>
      <c r="H47" s="224" t="s">
        <v>41</v>
      </c>
      <c r="I47" s="451" t="s">
        <v>224</v>
      </c>
      <c r="J47" s="452"/>
      <c r="K47" s="453"/>
      <c r="L47" s="224" t="s">
        <v>42</v>
      </c>
      <c r="M47" s="193">
        <f>INT((M51*100)/M53)</f>
        <v>344</v>
      </c>
      <c r="N47" s="11"/>
      <c r="Q47" s="369">
        <v>344</v>
      </c>
      <c r="R47" s="200">
        <v>9.74</v>
      </c>
      <c r="S47" s="200">
        <v>6.14</v>
      </c>
      <c r="T47" s="201">
        <v>56.026000000000003</v>
      </c>
      <c r="U47" s="250">
        <v>1.7848837209302325E-2</v>
      </c>
    </row>
    <row r="48" spans="1:21" s="167" customFormat="1" ht="17.25" thickBot="1">
      <c r="A48" s="4"/>
      <c r="B48" s="365"/>
      <c r="C48" s="365"/>
      <c r="D48" s="365"/>
      <c r="E48" s="4"/>
      <c r="F48" s="4"/>
      <c r="G48" s="4"/>
      <c r="H48" s="224" t="s">
        <v>43</v>
      </c>
      <c r="I48" s="246">
        <v>15</v>
      </c>
      <c r="J48" s="443" t="s">
        <v>293</v>
      </c>
      <c r="K48" s="443"/>
      <c r="L48" s="224" t="s">
        <v>44</v>
      </c>
      <c r="M48" s="195">
        <v>3.6</v>
      </c>
      <c r="N48" s="11"/>
      <c r="Q48" s="370">
        <v>396</v>
      </c>
      <c r="R48" s="251">
        <v>11.58</v>
      </c>
      <c r="S48" s="251">
        <v>7.98</v>
      </c>
      <c r="T48" s="252">
        <v>49.573999999999998</v>
      </c>
      <c r="U48" s="253">
        <v>2.0171890798786656E-2</v>
      </c>
    </row>
    <row r="49" spans="1:24" s="167" customFormat="1" ht="16.5">
      <c r="A49" s="4" t="s">
        <v>45</v>
      </c>
      <c r="B49" s="366">
        <f>INT(SQRT(B54)*1000)/1000</f>
        <v>0</v>
      </c>
      <c r="C49" s="364" t="s">
        <v>46</v>
      </c>
      <c r="D49" s="367" t="s">
        <v>21</v>
      </c>
      <c r="E49" s="4"/>
      <c r="F49" s="4"/>
      <c r="G49" s="4"/>
      <c r="H49" s="224" t="s">
        <v>47</v>
      </c>
      <c r="I49" s="444" t="str">
        <f>I45</f>
        <v>외산지구</v>
      </c>
      <c r="J49" s="444"/>
      <c r="K49" s="444"/>
      <c r="L49" s="224" t="s">
        <v>48</v>
      </c>
      <c r="M49" s="195">
        <v>10.5</v>
      </c>
      <c r="N49" s="11"/>
    </row>
    <row r="50" spans="1:24" s="167" customFormat="1" ht="16.5">
      <c r="A50" s="4" t="s">
        <v>49</v>
      </c>
      <c r="B50" s="364">
        <f>INT(2.25*A44*A47*1000)/1000</f>
        <v>7.5389999999999997</v>
      </c>
      <c r="C50" s="364">
        <f>B50</f>
        <v>7.5389999999999997</v>
      </c>
      <c r="D50" s="365"/>
      <c r="E50" s="4"/>
      <c r="F50" s="4"/>
      <c r="G50" s="4"/>
      <c r="H50" s="224"/>
      <c r="I50" s="444"/>
      <c r="J50" s="444"/>
      <c r="K50" s="444"/>
      <c r="L50" s="224" t="s">
        <v>50</v>
      </c>
      <c r="M50" s="194">
        <f>M49-M48</f>
        <v>6.9</v>
      </c>
      <c r="N50" s="11"/>
    </row>
    <row r="51" spans="1:24" s="167" customFormat="1" ht="16.5">
      <c r="A51" s="4" t="s">
        <v>51</v>
      </c>
      <c r="B51" s="364">
        <f>A45</f>
        <v>5.0000000000000001E-4</v>
      </c>
      <c r="C51" s="364" t="s">
        <v>35</v>
      </c>
      <c r="D51" s="368" t="s">
        <v>21</v>
      </c>
      <c r="E51" s="4"/>
      <c r="F51" s="4"/>
      <c r="G51" s="4"/>
      <c r="H51" s="224"/>
      <c r="I51" s="445"/>
      <c r="J51" s="446"/>
      <c r="K51" s="447"/>
      <c r="L51" s="169" t="s">
        <v>52</v>
      </c>
      <c r="M51" s="195">
        <v>300</v>
      </c>
      <c r="N51" s="11"/>
      <c r="O51" s="167">
        <f>M51</f>
        <v>300</v>
      </c>
      <c r="P51" s="165">
        <f>ROUND((O51/O52)*100,1)</f>
        <v>344.8</v>
      </c>
    </row>
    <row r="52" spans="1:24" s="167" customFormat="1" ht="16.5">
      <c r="A52" s="168" t="s">
        <v>53</v>
      </c>
      <c r="B52" s="364">
        <f>INT(10^((INT(5.46*A44*A46*1000))/1000)*1000)/1000</f>
        <v>7.3113908348342247E+24</v>
      </c>
      <c r="C52" s="364">
        <f>INT(B52*B51*1000)/1000</f>
        <v>3.6556954174171125E+21</v>
      </c>
      <c r="D52" s="365"/>
      <c r="E52" s="4"/>
      <c r="F52" s="4"/>
      <c r="G52" s="4"/>
      <c r="H52" s="225" t="s">
        <v>54</v>
      </c>
      <c r="I52" s="246">
        <v>12</v>
      </c>
      <c r="J52" s="222" t="s">
        <v>55</v>
      </c>
      <c r="K52" s="170">
        <v>0</v>
      </c>
      <c r="L52" s="221" t="s">
        <v>56</v>
      </c>
      <c r="M52" s="192">
        <f>INT(M50*0.89*100)/100</f>
        <v>6.14</v>
      </c>
      <c r="N52" s="196"/>
      <c r="O52" s="167">
        <f>M53</f>
        <v>87</v>
      </c>
      <c r="P52" s="165"/>
    </row>
    <row r="53" spans="1:24" s="167" customFormat="1" ht="16.5">
      <c r="A53" s="4"/>
      <c r="B53" s="4"/>
      <c r="C53" s="4"/>
      <c r="D53" s="4"/>
      <c r="E53" s="4"/>
      <c r="F53" s="4"/>
      <c r="G53" s="4"/>
      <c r="H53" s="11"/>
      <c r="I53" s="437" t="s">
        <v>243</v>
      </c>
      <c r="J53" s="437"/>
      <c r="K53" s="437"/>
      <c r="L53" s="437"/>
      <c r="M53" s="197">
        <v>87</v>
      </c>
      <c r="N53" s="11"/>
    </row>
    <row r="54" spans="1:24" ht="18.75" customHeight="1">
      <c r="A54" s="7" t="s">
        <v>57</v>
      </c>
      <c r="B54" s="1">
        <f>INT(C50/C52*1000)/1000</f>
        <v>0</v>
      </c>
      <c r="H54" s="226" t="s">
        <v>58</v>
      </c>
      <c r="I54" s="227" t="s">
        <v>59</v>
      </c>
      <c r="J54" s="165"/>
      <c r="K54" s="165"/>
      <c r="L54" s="165"/>
      <c r="M54" s="165"/>
      <c r="N54" s="165"/>
    </row>
    <row r="55" spans="1:24">
      <c r="A55" s="7"/>
      <c r="R55" s="254"/>
    </row>
    <row r="56" spans="1:24" ht="14.25" thickBot="1">
      <c r="A56" s="7"/>
    </row>
    <row r="57" spans="1:24" s="167" customFormat="1" ht="18" customHeight="1">
      <c r="A57" s="232"/>
      <c r="B57" s="349" t="s">
        <v>60</v>
      </c>
      <c r="C57" s="349" t="s">
        <v>61</v>
      </c>
      <c r="D57" s="426" t="s">
        <v>62</v>
      </c>
      <c r="E57" s="427"/>
      <c r="F57" s="426" t="s">
        <v>61</v>
      </c>
      <c r="G57" s="427"/>
      <c r="H57" s="349" t="s">
        <v>63</v>
      </c>
      <c r="I57" s="350">
        <f>M50</f>
        <v>6.9</v>
      </c>
      <c r="J57" s="349" t="s">
        <v>64</v>
      </c>
      <c r="K57" s="349" t="s">
        <v>65</v>
      </c>
      <c r="L57" s="426" t="s">
        <v>66</v>
      </c>
      <c r="M57" s="428"/>
    </row>
    <row r="58" spans="1:24" s="167" customFormat="1" ht="18" customHeight="1">
      <c r="A58" s="230" t="s">
        <v>67</v>
      </c>
      <c r="B58" s="351">
        <v>40.21</v>
      </c>
      <c r="C58" s="222"/>
      <c r="D58" s="420">
        <v>0.22439999999999999</v>
      </c>
      <c r="E58" s="421"/>
      <c r="F58" s="420"/>
      <c r="G58" s="421"/>
      <c r="H58" s="222" t="s">
        <v>68</v>
      </c>
      <c r="I58" s="352">
        <f>C62/M46</f>
        <v>5.6775000000000002</v>
      </c>
      <c r="J58" s="222" t="s">
        <v>69</v>
      </c>
      <c r="K58" s="353">
        <f>INT((6*I57*I58*I60/I59)^0.5)</f>
        <v>27</v>
      </c>
      <c r="L58" s="222" t="s">
        <v>70</v>
      </c>
      <c r="M58" s="354" t="s">
        <v>71</v>
      </c>
    </row>
    <row r="59" spans="1:24" s="167" customFormat="1" ht="18" customHeight="1">
      <c r="A59" s="230" t="s">
        <v>72</v>
      </c>
      <c r="B59" s="351">
        <v>59.61</v>
      </c>
      <c r="C59" s="429">
        <f>B59</f>
        <v>59.61</v>
      </c>
      <c r="D59" s="431">
        <v>0.15190000000000001</v>
      </c>
      <c r="E59" s="432"/>
      <c r="F59" s="433">
        <f>INT((D59+D60)/1*10000000)/10000000</f>
        <v>0.15190000000000001</v>
      </c>
      <c r="G59" s="434"/>
      <c r="H59" s="222" t="s">
        <v>32</v>
      </c>
      <c r="I59" s="222">
        <f>F62</f>
        <v>0.15190000000000001</v>
      </c>
      <c r="J59" s="222" t="s">
        <v>73</v>
      </c>
      <c r="K59" s="353">
        <f>INT(3*(I57*I58*I60/I59)^0.5)</f>
        <v>34</v>
      </c>
      <c r="L59" s="353"/>
      <c r="M59" s="355"/>
    </row>
    <row r="60" spans="1:24" s="167" customFormat="1" ht="18" customHeight="1">
      <c r="A60" s="230" t="s">
        <v>74</v>
      </c>
      <c r="B60" s="351"/>
      <c r="C60" s="430"/>
      <c r="D60" s="431"/>
      <c r="E60" s="432"/>
      <c r="F60" s="435"/>
      <c r="G60" s="436"/>
      <c r="H60" s="356">
        <f>LongTest!AE33</f>
        <v>720</v>
      </c>
      <c r="I60" s="352">
        <f>INT(H60/1440*10000)/10000</f>
        <v>0.5</v>
      </c>
      <c r="J60" s="222" t="s">
        <v>75</v>
      </c>
      <c r="K60" s="353">
        <f>(2.25*I61*I60/I59)^0.5</f>
        <v>18.340912511588275</v>
      </c>
      <c r="L60" s="353"/>
      <c r="M60" s="355"/>
    </row>
    <row r="61" spans="1:24" s="167" customFormat="1" ht="18" customHeight="1">
      <c r="A61" s="230" t="s">
        <v>76</v>
      </c>
      <c r="B61" s="351">
        <v>31.23</v>
      </c>
      <c r="C61" s="222">
        <f>B61</f>
        <v>31.23</v>
      </c>
      <c r="D61" s="420"/>
      <c r="E61" s="421"/>
      <c r="F61" s="420"/>
      <c r="G61" s="421"/>
      <c r="H61" s="222" t="s">
        <v>28</v>
      </c>
      <c r="I61" s="222">
        <f>C62</f>
        <v>45.42</v>
      </c>
      <c r="J61" s="222" t="s">
        <v>77</v>
      </c>
      <c r="K61" s="353">
        <f>((K58+K59+K60)/3)</f>
        <v>26.446970837196091</v>
      </c>
      <c r="L61" s="353"/>
      <c r="M61" s="355"/>
    </row>
    <row r="62" spans="1:24" s="167" customFormat="1" ht="18" customHeight="1" thickBot="1">
      <c r="A62" s="231" t="s">
        <v>61</v>
      </c>
      <c r="B62" s="357"/>
      <c r="C62" s="358">
        <f>INT((C58+C59+C61)*1000/2)/1000</f>
        <v>45.42</v>
      </c>
      <c r="D62" s="422"/>
      <c r="E62" s="423"/>
      <c r="F62" s="424">
        <f>F59</f>
        <v>0.15190000000000001</v>
      </c>
      <c r="G62" s="425"/>
      <c r="H62" s="359" t="s">
        <v>78</v>
      </c>
      <c r="I62" s="360">
        <v>70.33</v>
      </c>
      <c r="J62" s="359" t="s">
        <v>79</v>
      </c>
      <c r="K62" s="361">
        <f>MAX(K58:K60)</f>
        <v>34</v>
      </c>
      <c r="L62" s="362"/>
      <c r="M62" s="363"/>
    </row>
    <row r="63" spans="1:24" s="167" customFormat="1" ht="18" customHeight="1" thickBot="1">
      <c r="A63" s="4"/>
      <c r="B63" s="4"/>
      <c r="C63" s="4"/>
      <c r="D63" s="4"/>
      <c r="E63" s="4"/>
      <c r="F63" s="4"/>
      <c r="G63" s="4"/>
    </row>
    <row r="64" spans="1:24" s="109" customFormat="1" ht="97.5" customHeight="1" thickBot="1">
      <c r="A64" s="110"/>
      <c r="B64" s="110"/>
      <c r="C64" s="110"/>
      <c r="D64" s="110"/>
      <c r="E64" s="110"/>
      <c r="F64" s="110"/>
      <c r="G64" s="110"/>
      <c r="Q64" s="243" t="s">
        <v>297</v>
      </c>
      <c r="R64" s="244" t="s">
        <v>298</v>
      </c>
      <c r="S64" s="244" t="s">
        <v>299</v>
      </c>
      <c r="T64" s="244" t="s">
        <v>300</v>
      </c>
      <c r="U64" s="244" t="s">
        <v>301</v>
      </c>
      <c r="V64" s="244" t="s">
        <v>219</v>
      </c>
      <c r="W64" s="244" t="s">
        <v>220</v>
      </c>
      <c r="X64" s="245" t="s">
        <v>221</v>
      </c>
    </row>
    <row r="69" spans="17:17">
      <c r="Q69" s="8"/>
    </row>
    <row r="70" spans="17:17">
      <c r="Q70" s="8"/>
    </row>
    <row r="71" spans="17:17">
      <c r="Q71" s="8"/>
    </row>
    <row r="72" spans="17:17">
      <c r="Q72" s="8"/>
    </row>
    <row r="73" spans="17:17">
      <c r="Q73" s="8"/>
    </row>
    <row r="80" spans="17:17" ht="27.75" customHeight="1"/>
  </sheetData>
  <mergeCells count="36">
    <mergeCell ref="F14:G14"/>
    <mergeCell ref="F15:G15"/>
    <mergeCell ref="F16:G16"/>
    <mergeCell ref="F17:G17"/>
    <mergeCell ref="E13:G13"/>
    <mergeCell ref="E8:G8"/>
    <mergeCell ref="F9:G9"/>
    <mergeCell ref="F10:G10"/>
    <mergeCell ref="F11:G11"/>
    <mergeCell ref="F12:G12"/>
    <mergeCell ref="I53:L53"/>
    <mergeCell ref="A26:B26"/>
    <mergeCell ref="A27:B27"/>
    <mergeCell ref="I44:K44"/>
    <mergeCell ref="C46:D46"/>
    <mergeCell ref="C47:D47"/>
    <mergeCell ref="J48:K48"/>
    <mergeCell ref="I49:K49"/>
    <mergeCell ref="I50:K50"/>
    <mergeCell ref="I51:K51"/>
    <mergeCell ref="I45:K45"/>
    <mergeCell ref="I47:K47"/>
    <mergeCell ref="I46:K46"/>
    <mergeCell ref="L57:M57"/>
    <mergeCell ref="D58:E58"/>
    <mergeCell ref="F58:G58"/>
    <mergeCell ref="C59:C60"/>
    <mergeCell ref="D59:E59"/>
    <mergeCell ref="F59:G60"/>
    <mergeCell ref="D60:E60"/>
    <mergeCell ref="D61:E61"/>
    <mergeCell ref="F61:G61"/>
    <mergeCell ref="D62:E62"/>
    <mergeCell ref="F62:G62"/>
    <mergeCell ref="D57:E57"/>
    <mergeCell ref="F57:G57"/>
  </mergeCells>
  <phoneticPr fontId="7" type="noConversion"/>
  <dataValidations disablePrompts="1" count="5">
    <dataValidation type="list" allowBlank="1" showInputMessage="1" showErrorMessage="1" sqref="M44" xr:uid="{89434B35-4ADE-4199-9D72-8B9E18658185}">
      <formula1>well_radius</formula1>
    </dataValidation>
    <dataValidation type="list" allowBlank="1" showInputMessage="1" showErrorMessage="1" sqref="I54" xr:uid="{37D0ED02-1962-4DC7-A4C3-B58807E33DA6}">
      <formula1>gongbun2</formula1>
    </dataValidation>
    <dataValidation type="list" allowBlank="1" showInputMessage="1" showErrorMessage="1" sqref="J48:K48" xr:uid="{65694B5F-A176-4815-8B8F-14769819AAF7}">
      <formula1>gongbun</formula1>
    </dataValidation>
    <dataValidation type="list" allowBlank="1" showInputMessage="1" showErrorMessage="1" sqref="I48" xr:uid="{905AE607-597B-48C7-8CCC-4DDAB66435AF}">
      <formula1>pump_hp</formula1>
    </dataValidation>
    <dataValidation type="list" allowBlank="1" showInputMessage="1" showErrorMessage="1" sqref="I47:K47" xr:uid="{EEE4D69E-5A4C-4802-8D18-16E80E00DA8C}">
      <formula1>INDIRECT("tableCorp[조사자]")</formula1>
    </dataValidation>
  </dataValidations>
  <pageMargins left="0.27" right="0.23" top="0.69" bottom="0.68" header="0.51181102362204722" footer="0.59"/>
  <pageSetup paperSize="9" scale="90" orientation="portrait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autoPict="0" r:id="rId5">
            <anchor moveWithCells="1">
              <from>
                <xdr:col>13</xdr:col>
                <xdr:colOff>161925</xdr:colOff>
                <xdr:row>36</xdr:row>
                <xdr:rowOff>47625</xdr:rowOff>
              </from>
              <to>
                <xdr:col>14</xdr:col>
                <xdr:colOff>847725</xdr:colOff>
                <xdr:row>38</xdr:row>
                <xdr:rowOff>47625</xdr:rowOff>
              </to>
            </anchor>
          </controlPr>
        </control>
      </mc:Choice>
      <mc:Fallback>
        <control shapeId="1025" r:id="rId4" name="CommandButton1"/>
      </mc:Fallback>
    </mc:AlternateContent>
    <mc:AlternateContent xmlns:mc="http://schemas.openxmlformats.org/markup-compatibility/2006">
      <mc:Choice Requires="x14">
        <control shapeId="1026" r:id="rId6" name="CommandButton2">
          <controlPr defaultSize="0" autoLine="0" autoPict="0" r:id="rId7">
            <anchor moveWithCells="1">
              <from>
                <xdr:col>13</xdr:col>
                <xdr:colOff>152400</xdr:colOff>
                <xdr:row>17</xdr:row>
                <xdr:rowOff>142875</xdr:rowOff>
              </from>
              <to>
                <xdr:col>14</xdr:col>
                <xdr:colOff>790575</xdr:colOff>
                <xdr:row>19</xdr:row>
                <xdr:rowOff>142875</xdr:rowOff>
              </to>
            </anchor>
          </controlPr>
        </control>
      </mc:Choice>
      <mc:Fallback>
        <control shapeId="1026" r:id="rId6" name="CommandButton2"/>
      </mc:Fallback>
    </mc:AlternateContent>
    <mc:AlternateContent xmlns:mc="http://schemas.openxmlformats.org/markup-compatibility/2006">
      <mc:Choice Requires="x14">
        <control shapeId="1027" r:id="rId8" name="CommandButton3">
          <controlPr defaultSize="0" autoLine="0" autoPict="0" r:id="rId9">
            <anchor moveWithCells="1">
              <from>
                <xdr:col>13</xdr:col>
                <xdr:colOff>152400</xdr:colOff>
                <xdr:row>20</xdr:row>
                <xdr:rowOff>28575</xdr:rowOff>
              </from>
              <to>
                <xdr:col>14</xdr:col>
                <xdr:colOff>790575</xdr:colOff>
                <xdr:row>21</xdr:row>
                <xdr:rowOff>161925</xdr:rowOff>
              </to>
            </anchor>
          </controlPr>
        </control>
      </mc:Choice>
      <mc:Fallback>
        <control shapeId="1027" r:id="rId8" name="CommandButton3"/>
      </mc:Fallback>
    </mc:AlternateContent>
    <mc:AlternateContent xmlns:mc="http://schemas.openxmlformats.org/markup-compatibility/2006">
      <mc:Choice Requires="x14">
        <control shapeId="1028" r:id="rId10" name="CommandButton4">
          <controlPr defaultSize="0" autoLine="0" autoPict="0" r:id="rId11">
            <anchor moveWithCells="1">
              <from>
                <xdr:col>13</xdr:col>
                <xdr:colOff>152400</xdr:colOff>
                <xdr:row>28</xdr:row>
                <xdr:rowOff>85725</xdr:rowOff>
              </from>
              <to>
                <xdr:col>14</xdr:col>
                <xdr:colOff>838200</xdr:colOff>
                <xdr:row>30</xdr:row>
                <xdr:rowOff>85725</xdr:rowOff>
              </to>
            </anchor>
          </controlPr>
        </control>
      </mc:Choice>
      <mc:Fallback>
        <control shapeId="1028" r:id="rId10" name="CommandButton4"/>
      </mc:Fallback>
    </mc:AlternateContent>
    <mc:AlternateContent xmlns:mc="http://schemas.openxmlformats.org/markup-compatibility/2006">
      <mc:Choice Requires="x14">
        <control shapeId="1029" r:id="rId12" name="CommandButton5">
          <controlPr defaultSize="0" autoLine="0" autoPict="0" r:id="rId13">
            <anchor moveWithCells="1">
              <from>
                <xdr:col>13</xdr:col>
                <xdr:colOff>152400</xdr:colOff>
                <xdr:row>30</xdr:row>
                <xdr:rowOff>152400</xdr:rowOff>
              </from>
              <to>
                <xdr:col>14</xdr:col>
                <xdr:colOff>838200</xdr:colOff>
                <xdr:row>32</xdr:row>
                <xdr:rowOff>152400</xdr:rowOff>
              </to>
            </anchor>
          </controlPr>
        </control>
      </mc:Choice>
      <mc:Fallback>
        <control shapeId="1029" r:id="rId12" name="CommandButton5"/>
      </mc:Fallback>
    </mc:AlternateContent>
    <mc:AlternateContent xmlns:mc="http://schemas.openxmlformats.org/markup-compatibility/2006">
      <mc:Choice Requires="x14">
        <control shapeId="1030" r:id="rId14" name="CommandButton6">
          <controlPr defaultSize="0" autoLine="0" autoPict="0" r:id="rId15">
            <anchor moveWithCells="1">
              <from>
                <xdr:col>13</xdr:col>
                <xdr:colOff>152400</xdr:colOff>
                <xdr:row>22</xdr:row>
                <xdr:rowOff>38100</xdr:rowOff>
              </from>
              <to>
                <xdr:col>14</xdr:col>
                <xdr:colOff>790575</xdr:colOff>
                <xdr:row>24</xdr:row>
                <xdr:rowOff>38100</xdr:rowOff>
              </to>
            </anchor>
          </controlPr>
        </control>
      </mc:Choice>
      <mc:Fallback>
        <control shapeId="1030" r:id="rId14" name="CommandButton6"/>
      </mc:Fallback>
    </mc:AlternateContent>
    <mc:AlternateContent xmlns:mc="http://schemas.openxmlformats.org/markup-compatibility/2006">
      <mc:Choice Requires="x14">
        <control shapeId="1031" r:id="rId16" name="CommandButton7">
          <controlPr defaultSize="0" autoLine="0" autoPict="0" r:id="rId17">
            <anchor moveWithCells="1">
              <from>
                <xdr:col>13</xdr:col>
                <xdr:colOff>152400</xdr:colOff>
                <xdr:row>33</xdr:row>
                <xdr:rowOff>38100</xdr:rowOff>
              </from>
              <to>
                <xdr:col>14</xdr:col>
                <xdr:colOff>838200</xdr:colOff>
                <xdr:row>35</xdr:row>
                <xdr:rowOff>38100</xdr:rowOff>
              </to>
            </anchor>
          </controlPr>
        </control>
      </mc:Choice>
      <mc:Fallback>
        <control shapeId="1031" r:id="rId16" name="CommandButton7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14C998-1F0F-4A9D-94A2-0870D18A745B}">
  <sheetPr codeName="shW_aSkinFactor">
    <tabColor rgb="FFC00000"/>
  </sheetPr>
  <dimension ref="A1:O114"/>
  <sheetViews>
    <sheetView zoomScaleNormal="100" workbookViewId="0">
      <selection activeCell="G7" sqref="G7"/>
    </sheetView>
  </sheetViews>
  <sheetFormatPr defaultColWidth="9" defaultRowHeight="13.5"/>
  <cols>
    <col min="1" max="1" width="9" style="6"/>
    <col min="2" max="2" width="17.875" style="6" customWidth="1"/>
    <col min="3" max="3" width="16.375" style="6" customWidth="1"/>
    <col min="4" max="4" width="22.125" style="6" customWidth="1"/>
    <col min="5" max="5" width="14.375" style="6" customWidth="1"/>
    <col min="6" max="7" width="13.25" style="6" customWidth="1"/>
    <col min="8" max="8" width="18" style="39" customWidth="1"/>
    <col min="9" max="9" width="18.75" style="39" customWidth="1"/>
    <col min="10" max="10" width="13.875" style="6" customWidth="1"/>
    <col min="11" max="11" width="13.125" style="6" bestFit="1" customWidth="1"/>
    <col min="12" max="12" width="13.375" style="6" customWidth="1"/>
    <col min="13" max="13" width="11.625" style="6" customWidth="1"/>
    <col min="14" max="16384" width="9" style="6"/>
  </cols>
  <sheetData>
    <row r="1" spans="1:15" ht="22.7" customHeight="1">
      <c r="A1" s="14"/>
      <c r="B1" s="162" t="str">
        <f>Input!I45</f>
        <v>외산지구</v>
      </c>
      <c r="C1" s="14"/>
      <c r="D1" s="14"/>
      <c r="E1" s="14"/>
      <c r="F1" s="14"/>
      <c r="G1" s="14"/>
      <c r="H1" s="15"/>
      <c r="I1" s="15"/>
      <c r="J1" s="14"/>
      <c r="K1" s="14"/>
      <c r="L1" s="14"/>
      <c r="M1" s="14"/>
      <c r="N1" s="14"/>
      <c r="O1" s="14"/>
    </row>
    <row r="2" spans="1:15" ht="22.7" customHeight="1" thickBot="1">
      <c r="A2" s="14"/>
      <c r="B2" s="16" t="str">
        <f>Input!J48</f>
        <v>공  번 : W - 1</v>
      </c>
      <c r="C2" s="17" t="str">
        <f>Input!I46</f>
        <v>충청남도 부여군 외산면 반교리 574</v>
      </c>
      <c r="D2" s="14"/>
      <c r="E2" s="14"/>
      <c r="F2" s="14"/>
      <c r="G2" s="14"/>
      <c r="H2" s="15"/>
      <c r="I2" s="15"/>
      <c r="J2" s="14"/>
      <c r="K2" s="14"/>
      <c r="L2" s="14"/>
      <c r="M2" s="18"/>
      <c r="N2" s="18"/>
      <c r="O2" s="14"/>
    </row>
    <row r="3" spans="1:15" ht="22.7" customHeight="1">
      <c r="A3" s="14"/>
      <c r="B3" s="281" t="s">
        <v>116</v>
      </c>
      <c r="C3" s="282" t="s">
        <v>13</v>
      </c>
      <c r="D3" s="282" t="s">
        <v>28</v>
      </c>
      <c r="E3" s="282" t="s">
        <v>117</v>
      </c>
      <c r="F3" s="282" t="s">
        <v>32</v>
      </c>
      <c r="G3" s="282" t="s">
        <v>118</v>
      </c>
      <c r="H3" s="283" t="s">
        <v>35</v>
      </c>
      <c r="I3" s="270" t="s">
        <v>119</v>
      </c>
      <c r="J3" s="14"/>
      <c r="K3" s="14"/>
      <c r="L3" s="14"/>
      <c r="M3" s="14"/>
      <c r="N3" s="14"/>
      <c r="O3" s="14"/>
    </row>
    <row r="4" spans="1:15" ht="22.7" customHeight="1">
      <c r="A4" s="14"/>
      <c r="B4" s="284">
        <f>LongTest!G10</f>
        <v>1.0947958279694281</v>
      </c>
      <c r="C4" s="276">
        <f>LongTest!B10</f>
        <v>300</v>
      </c>
      <c r="D4" s="277">
        <v>1.855</v>
      </c>
      <c r="E4" s="278">
        <f>Input!M44/2000</f>
        <v>0.85</v>
      </c>
      <c r="F4" s="19">
        <v>5.0000000000000001E-4</v>
      </c>
      <c r="G4" s="19">
        <f>PI()</f>
        <v>3.1415926535897931</v>
      </c>
      <c r="H4" s="108">
        <f>Input!$A$46</f>
        <v>0.1132518</v>
      </c>
      <c r="I4" s="271">
        <f>Input!M48</f>
        <v>3.6</v>
      </c>
      <c r="J4" s="14"/>
      <c r="K4" s="14"/>
      <c r="L4" s="14"/>
      <c r="M4" s="14"/>
      <c r="N4" s="14"/>
      <c r="O4" s="14"/>
    </row>
    <row r="5" spans="1:15" ht="22.7" customHeight="1" thickBot="1">
      <c r="A5" s="14"/>
      <c r="B5" s="272"/>
      <c r="C5" s="21"/>
      <c r="D5" s="273">
        <v>19.029499999999999</v>
      </c>
      <c r="E5" s="274" t="s">
        <v>237</v>
      </c>
      <c r="F5" s="21"/>
      <c r="G5" s="21"/>
      <c r="H5" s="275"/>
      <c r="I5" s="279" t="s">
        <v>48</v>
      </c>
      <c r="J5" s="14"/>
      <c r="K5" s="14"/>
      <c r="L5" s="14"/>
      <c r="M5" s="14"/>
      <c r="N5" s="14"/>
      <c r="O5" s="14"/>
    </row>
    <row r="6" spans="1:15" ht="22.7" customHeight="1">
      <c r="A6" s="14"/>
      <c r="B6" s="206" t="s">
        <v>120</v>
      </c>
      <c r="C6" s="202">
        <f>(2*G4*B4*D5)/(C4)</f>
        <v>0.43633406967270277</v>
      </c>
      <c r="D6" s="203"/>
      <c r="E6" s="202">
        <f>1.15*LOG((2.25*D5*(1/1440))/(F4*E4^2))</f>
        <v>2.202755479744019</v>
      </c>
      <c r="F6" s="204" t="s">
        <v>121</v>
      </c>
      <c r="G6" s="384">
        <f>C6-E6</f>
        <v>-1.7664214100713163</v>
      </c>
      <c r="H6" s="35"/>
      <c r="I6" s="271">
        <f>Input!M49</f>
        <v>10.5</v>
      </c>
      <c r="J6" s="264">
        <f>MAX(C13,C18,C23)</f>
        <v>394.2</v>
      </c>
      <c r="K6" s="262" t="s">
        <v>215</v>
      </c>
      <c r="M6" s="20"/>
      <c r="N6" s="14"/>
      <c r="O6" s="14"/>
    </row>
    <row r="7" spans="1:15" ht="22.7" customHeight="1">
      <c r="A7" s="14"/>
      <c r="B7" s="207" t="s">
        <v>122</v>
      </c>
      <c r="C7" s="28">
        <f>2.25*D4*(120/1440)</f>
        <v>0.34781249999999997</v>
      </c>
      <c r="D7" s="27"/>
      <c r="E7" s="205" t="s">
        <v>123</v>
      </c>
      <c r="F7" s="28">
        <f>F4*10^(5.46*D4*H4)</f>
        <v>7.0148471155539009E-3</v>
      </c>
      <c r="G7" s="205" t="s">
        <v>124</v>
      </c>
      <c r="H7" s="35">
        <f>F4*EXP(4*G4*D4*H4)</f>
        <v>7.006387333756376E-3</v>
      </c>
      <c r="I7" s="279" t="s">
        <v>125</v>
      </c>
      <c r="J7" s="265">
        <f>ROUND((C13+C18+C23)/3,1)</f>
        <v>309.5</v>
      </c>
      <c r="K7" s="263" t="s">
        <v>216</v>
      </c>
      <c r="L7" s="14"/>
      <c r="M7" s="20"/>
      <c r="N7" s="14"/>
      <c r="O7" s="14"/>
    </row>
    <row r="8" spans="1:15" ht="22.7" customHeight="1" thickBot="1">
      <c r="A8" s="14"/>
      <c r="B8" s="208" t="s">
        <v>126</v>
      </c>
      <c r="C8" s="383">
        <f>ROUND(E4*EXP(-1*G6),3)</f>
        <v>4.9720000000000004</v>
      </c>
      <c r="D8" s="209"/>
      <c r="E8" s="209"/>
      <c r="F8" s="210"/>
      <c r="G8" s="209"/>
      <c r="H8" s="211"/>
      <c r="I8" s="280">
        <f>Input!M45</f>
        <v>20</v>
      </c>
      <c r="J8" s="260" t="s">
        <v>240</v>
      </c>
      <c r="K8" s="266">
        <f>ROUND(SQRT(C7/F7),4)</f>
        <v>7.0415000000000001</v>
      </c>
      <c r="L8" s="14"/>
      <c r="M8" s="14"/>
      <c r="N8" s="22"/>
      <c r="O8" s="14"/>
    </row>
    <row r="9" spans="1:15" ht="22.7" customHeight="1" thickBot="1">
      <c r="A9" s="14"/>
      <c r="B9" s="14"/>
      <c r="C9" s="14"/>
      <c r="D9" s="14"/>
      <c r="E9" s="14"/>
      <c r="F9" s="14"/>
      <c r="G9" s="14"/>
      <c r="H9" s="15"/>
      <c r="I9" s="269" t="s">
        <v>127</v>
      </c>
      <c r="J9" s="260" t="s">
        <v>241</v>
      </c>
      <c r="K9" s="267">
        <f>ROUND(SQRT(C7/H7),4)</f>
        <v>7.0457000000000001</v>
      </c>
      <c r="L9" s="14"/>
      <c r="M9" s="14"/>
      <c r="N9" s="14"/>
      <c r="O9" s="14"/>
    </row>
    <row r="10" spans="1:15" ht="22.7" customHeight="1" thickBot="1">
      <c r="A10" s="14"/>
      <c r="B10" s="14" t="s">
        <v>128</v>
      </c>
      <c r="C10" s="23">
        <f>LongTest!F101</f>
        <v>5.0715323639813441</v>
      </c>
      <c r="D10" s="24" t="s">
        <v>236</v>
      </c>
      <c r="E10" s="257">
        <v>9.0399999999999994E-2</v>
      </c>
      <c r="H10" s="212" t="s">
        <v>214</v>
      </c>
      <c r="I10" s="218">
        <f>Input!I52</f>
        <v>12</v>
      </c>
      <c r="J10" s="261" t="s">
        <v>242</v>
      </c>
      <c r="K10" s="268">
        <f>ROUND(E4*SQRT(E10/F4),4)</f>
        <v>11.4293</v>
      </c>
      <c r="L10" s="14"/>
      <c r="M10" s="14"/>
      <c r="N10" s="14"/>
      <c r="O10" s="14"/>
    </row>
    <row r="11" spans="1:15" ht="22.7" customHeight="1">
      <c r="A11" s="14"/>
      <c r="B11" s="14" t="s">
        <v>129</v>
      </c>
      <c r="C11" s="23">
        <f>I6-C10</f>
        <v>5.4284676360186559</v>
      </c>
      <c r="D11" s="14"/>
      <c r="E11" s="14"/>
      <c r="F11" s="14"/>
      <c r="G11" s="14"/>
      <c r="H11" s="15"/>
      <c r="J11" s="14"/>
      <c r="K11" s="14"/>
      <c r="L11" s="14"/>
      <c r="M11" s="14"/>
      <c r="N11" s="14"/>
      <c r="O11" s="14"/>
    </row>
    <row r="12" spans="1:15" ht="15" customHeight="1" thickBot="1">
      <c r="A12" s="14"/>
      <c r="B12" s="14"/>
      <c r="C12" s="14"/>
      <c r="D12" s="14"/>
      <c r="E12" s="14"/>
      <c r="F12" s="14"/>
      <c r="G12" s="14"/>
      <c r="H12" s="15"/>
      <c r="J12" s="14"/>
      <c r="K12" s="14"/>
      <c r="L12" s="14"/>
      <c r="M12" s="14"/>
      <c r="N12" s="14"/>
      <c r="O12" s="14"/>
    </row>
    <row r="13" spans="1:15" ht="22.7" customHeight="1" thickBot="1">
      <c r="A13" s="14"/>
      <c r="B13" s="286" t="s">
        <v>130</v>
      </c>
      <c r="C13" s="288">
        <f>ROUND(SQRT(6*B16*E16*H16/I16),1)</f>
        <v>321.89999999999998</v>
      </c>
      <c r="D13" s="25"/>
      <c r="E13" s="386" t="s">
        <v>251</v>
      </c>
      <c r="F13" s="287">
        <f>D5</f>
        <v>19.029499999999999</v>
      </c>
      <c r="G13" s="386" t="s">
        <v>250</v>
      </c>
      <c r="H13" s="258">
        <v>2.6640000000000001</v>
      </c>
      <c r="I13" s="285">
        <v>36.36</v>
      </c>
      <c r="J13" s="14"/>
      <c r="K13" s="14"/>
      <c r="L13" s="14"/>
      <c r="M13" s="14"/>
      <c r="N13" s="14"/>
      <c r="O13" s="14"/>
    </row>
    <row r="14" spans="1:15" ht="22.7" customHeight="1">
      <c r="A14" s="14"/>
      <c r="B14" s="26"/>
      <c r="C14" s="21"/>
      <c r="D14" s="27"/>
      <c r="E14" s="27"/>
      <c r="F14" s="27"/>
      <c r="G14" s="27"/>
      <c r="H14" s="28"/>
      <c r="I14" s="35"/>
      <c r="J14" s="14"/>
      <c r="K14" s="14"/>
      <c r="L14" s="14"/>
      <c r="M14" s="14"/>
      <c r="N14" s="14"/>
      <c r="O14" s="14"/>
    </row>
    <row r="15" spans="1:15" ht="22.7" customHeight="1">
      <c r="A15" s="14"/>
      <c r="B15" s="29" t="s">
        <v>131</v>
      </c>
      <c r="C15" s="28" t="s">
        <v>132</v>
      </c>
      <c r="D15" s="28" t="s">
        <v>133</v>
      </c>
      <c r="E15" s="28" t="s">
        <v>68</v>
      </c>
      <c r="F15" s="28" t="s">
        <v>134</v>
      </c>
      <c r="G15" s="28" t="s">
        <v>135</v>
      </c>
      <c r="H15" s="28" t="s">
        <v>136</v>
      </c>
      <c r="I15" s="385" t="s">
        <v>249</v>
      </c>
      <c r="J15" s="14"/>
      <c r="K15" s="14"/>
      <c r="L15" s="14"/>
      <c r="M15" s="14"/>
      <c r="N15" s="14"/>
      <c r="O15" s="14"/>
    </row>
    <row r="16" spans="1:15" ht="22.7" customHeight="1" thickBot="1">
      <c r="A16" s="14"/>
      <c r="B16" s="216">
        <f>I6-I4</f>
        <v>6.9</v>
      </c>
      <c r="C16" s="213">
        <f>I8-IF(I4&gt;I10,I4,I10)</f>
        <v>8</v>
      </c>
      <c r="D16" s="215">
        <f>(F13+H13)/2</f>
        <v>10.84675</v>
      </c>
      <c r="E16" s="30">
        <f>INT(D16/C16*100000)/100000</f>
        <v>1.3558399999999999</v>
      </c>
      <c r="F16" s="31">
        <v>1440</v>
      </c>
      <c r="G16" s="217">
        <v>780</v>
      </c>
      <c r="H16" s="215">
        <f>INT(G16/F16*10000)/10000</f>
        <v>0.54159999999999997</v>
      </c>
      <c r="I16" s="259">
        <v>2.9339999999999998E-4</v>
      </c>
      <c r="J16" s="14"/>
      <c r="K16" s="14"/>
      <c r="L16" s="14"/>
      <c r="M16" s="14"/>
      <c r="N16" s="14"/>
      <c r="O16" s="14"/>
    </row>
    <row r="17" spans="1:15" ht="24" customHeight="1" thickBot="1">
      <c r="A17" s="14"/>
      <c r="B17" s="14"/>
      <c r="C17" s="14"/>
      <c r="D17" s="14"/>
      <c r="E17" s="32"/>
      <c r="F17" s="14"/>
      <c r="G17" s="14"/>
      <c r="H17" s="15"/>
      <c r="I17" s="15"/>
      <c r="J17" s="14"/>
      <c r="K17" s="14"/>
      <c r="L17" s="14"/>
      <c r="M17" s="14"/>
      <c r="N17" s="14"/>
      <c r="O17" s="14"/>
    </row>
    <row r="18" spans="1:15" ht="22.7" customHeight="1" thickBot="1">
      <c r="A18" s="14"/>
      <c r="B18" s="286" t="s">
        <v>137</v>
      </c>
      <c r="C18" s="288">
        <f>ROUND(3*SQRT(B21*E21*H21/I21),1)</f>
        <v>394.2</v>
      </c>
      <c r="D18" s="25"/>
      <c r="E18" s="33"/>
      <c r="F18" s="33"/>
      <c r="G18" s="33"/>
      <c r="H18" s="34"/>
      <c r="I18" s="112"/>
      <c r="J18" s="14"/>
      <c r="K18" s="14"/>
      <c r="L18" s="14"/>
      <c r="M18" s="14"/>
      <c r="N18" s="14"/>
      <c r="O18" s="14"/>
    </row>
    <row r="19" spans="1:15" ht="22.7" customHeight="1">
      <c r="A19" s="14"/>
      <c r="B19" s="26"/>
      <c r="C19" s="21"/>
      <c r="D19" s="27"/>
      <c r="E19" s="27"/>
      <c r="F19" s="27"/>
      <c r="G19" s="27"/>
      <c r="H19" s="28"/>
      <c r="I19" s="35"/>
      <c r="J19" s="14"/>
      <c r="K19" s="14"/>
      <c r="L19" s="14"/>
      <c r="M19" s="14"/>
      <c r="N19" s="14"/>
      <c r="O19" s="14"/>
    </row>
    <row r="20" spans="1:15" ht="22.7" customHeight="1">
      <c r="A20" s="14"/>
      <c r="B20" s="29" t="s">
        <v>138</v>
      </c>
      <c r="C20" s="28" t="s">
        <v>38</v>
      </c>
      <c r="D20" s="28" t="s">
        <v>139</v>
      </c>
      <c r="E20" s="111" t="s">
        <v>68</v>
      </c>
      <c r="F20" s="28" t="s">
        <v>134</v>
      </c>
      <c r="G20" s="28" t="s">
        <v>140</v>
      </c>
      <c r="H20" s="28" t="s">
        <v>39</v>
      </c>
      <c r="I20" s="35" t="s">
        <v>32</v>
      </c>
      <c r="J20" s="14"/>
      <c r="K20" s="14"/>
      <c r="L20" s="14"/>
      <c r="M20" s="14"/>
      <c r="N20" s="219" t="s">
        <v>239</v>
      </c>
      <c r="O20" s="14"/>
    </row>
    <row r="21" spans="1:15" ht="22.7" customHeight="1" thickBot="1">
      <c r="A21" s="14"/>
      <c r="B21" s="36">
        <f t="shared" ref="B21:I21" si="0">B16</f>
        <v>6.9</v>
      </c>
      <c r="C21" s="214">
        <f t="shared" si="0"/>
        <v>8</v>
      </c>
      <c r="D21" s="31">
        <f t="shared" si="0"/>
        <v>10.84675</v>
      </c>
      <c r="E21" s="215">
        <f t="shared" si="0"/>
        <v>1.3558399999999999</v>
      </c>
      <c r="F21" s="31">
        <f t="shared" si="0"/>
        <v>1440</v>
      </c>
      <c r="G21" s="31">
        <f>G16</f>
        <v>780</v>
      </c>
      <c r="H21" s="31">
        <f t="shared" si="0"/>
        <v>0.54159999999999997</v>
      </c>
      <c r="I21" s="37">
        <f t="shared" si="0"/>
        <v>2.9339999999999998E-4</v>
      </c>
      <c r="J21" s="14"/>
      <c r="K21" s="14"/>
      <c r="L21" s="14"/>
      <c r="M21" s="14"/>
      <c r="N21" s="14"/>
      <c r="O21" s="14"/>
    </row>
    <row r="22" spans="1:15" ht="24" customHeight="1" thickBot="1">
      <c r="A22" s="14"/>
      <c r="B22" s="14"/>
      <c r="C22" s="14"/>
      <c r="D22" s="14"/>
      <c r="E22" s="14"/>
      <c r="F22" s="14"/>
      <c r="G22" s="14"/>
      <c r="H22" s="15"/>
      <c r="I22" s="15"/>
      <c r="J22" s="14"/>
      <c r="K22" s="14"/>
      <c r="L22" s="14"/>
      <c r="M22" s="14"/>
      <c r="N22" s="14"/>
      <c r="O22" s="14"/>
    </row>
    <row r="23" spans="1:15" ht="22.7" customHeight="1" thickBot="1">
      <c r="A23" s="14"/>
      <c r="B23" s="286" t="s">
        <v>141</v>
      </c>
      <c r="C23" s="288">
        <f>ROUND(SQRT((2.25*D26*H26)/I26),1)</f>
        <v>212.3</v>
      </c>
      <c r="D23" s="25"/>
      <c r="E23" s="33"/>
      <c r="F23" s="33"/>
      <c r="G23" s="33"/>
      <c r="H23" s="34"/>
      <c r="I23" s="112"/>
      <c r="J23" s="14"/>
      <c r="K23" s="14"/>
      <c r="L23" s="14"/>
      <c r="M23" s="14"/>
      <c r="N23" s="14"/>
      <c r="O23" s="14"/>
    </row>
    <row r="24" spans="1:15" ht="22.7" customHeight="1">
      <c r="A24" s="14"/>
      <c r="B24" s="26"/>
      <c r="C24" s="21"/>
      <c r="D24" s="27"/>
      <c r="E24" s="27"/>
      <c r="F24" s="27"/>
      <c r="G24" s="27"/>
      <c r="H24" s="28"/>
      <c r="I24" s="35"/>
      <c r="J24" s="14"/>
      <c r="K24" s="14"/>
      <c r="L24" s="14"/>
      <c r="M24" s="14"/>
      <c r="N24" s="162"/>
      <c r="O24" s="14"/>
    </row>
    <row r="25" spans="1:15" ht="22.7" customHeight="1">
      <c r="A25" s="14"/>
      <c r="B25" s="29" t="s">
        <v>138</v>
      </c>
      <c r="C25" s="28" t="s">
        <v>38</v>
      </c>
      <c r="D25" s="28" t="s">
        <v>139</v>
      </c>
      <c r="E25" s="28" t="s">
        <v>68</v>
      </c>
      <c r="F25" s="28" t="s">
        <v>134</v>
      </c>
      <c r="G25" s="28" t="s">
        <v>140</v>
      </c>
      <c r="H25" s="111" t="s">
        <v>39</v>
      </c>
      <c r="I25" s="35" t="s">
        <v>32</v>
      </c>
      <c r="J25" s="14"/>
      <c r="K25" s="14"/>
      <c r="L25" s="14"/>
      <c r="M25" s="14"/>
      <c r="N25" s="14"/>
      <c r="O25" s="14"/>
    </row>
    <row r="26" spans="1:15" ht="22.7" customHeight="1" thickBot="1">
      <c r="A26" s="14"/>
      <c r="B26" s="36">
        <f t="shared" ref="B26:I26" si="1">B21</f>
        <v>6.9</v>
      </c>
      <c r="C26" s="31">
        <f t="shared" si="1"/>
        <v>8</v>
      </c>
      <c r="D26" s="31">
        <f t="shared" si="1"/>
        <v>10.84675</v>
      </c>
      <c r="E26" s="30">
        <f t="shared" si="1"/>
        <v>1.3558399999999999</v>
      </c>
      <c r="F26" s="31">
        <f t="shared" si="1"/>
        <v>1440</v>
      </c>
      <c r="G26" s="31">
        <f t="shared" si="1"/>
        <v>780</v>
      </c>
      <c r="H26" s="215">
        <f>INT(G16/F16*10000)/10000</f>
        <v>0.54159999999999997</v>
      </c>
      <c r="I26" s="37">
        <f t="shared" si="1"/>
        <v>2.9339999999999998E-4</v>
      </c>
      <c r="J26" s="14"/>
      <c r="K26" s="14"/>
      <c r="L26" s="14"/>
      <c r="M26" s="14"/>
      <c r="N26" s="14"/>
      <c r="O26" s="14"/>
    </row>
    <row r="27" spans="1:15" ht="22.7" customHeight="1">
      <c r="A27" s="14"/>
      <c r="B27" s="15"/>
      <c r="C27" s="15"/>
      <c r="D27" s="163"/>
      <c r="E27" s="164"/>
      <c r="F27" s="15"/>
      <c r="G27" s="15"/>
      <c r="H27"/>
      <c r="I27" s="15"/>
      <c r="J27" s="14"/>
      <c r="K27" s="14"/>
      <c r="L27"/>
      <c r="M27" s="14"/>
      <c r="N27" s="14"/>
      <c r="O27" s="14"/>
    </row>
    <row r="28" spans="1:15" ht="22.7" customHeight="1">
      <c r="A28" s="14"/>
      <c r="B28" s="38" t="s">
        <v>142</v>
      </c>
      <c r="C28" s="379">
        <f>D16</f>
        <v>10.84675</v>
      </c>
      <c r="D28" s="382">
        <f>(C28/C16)*(100/86400)</f>
        <v>1.569263599537037E-3</v>
      </c>
      <c r="E28" s="162" t="s">
        <v>235</v>
      </c>
      <c r="F28" s="14"/>
      <c r="G28" s="14"/>
      <c r="H28" s="15"/>
      <c r="I28" s="15"/>
      <c r="J28" s="14" t="s">
        <v>21</v>
      </c>
      <c r="K28" s="14"/>
      <c r="L28"/>
      <c r="M28" s="14"/>
      <c r="N28" s="14"/>
      <c r="O28" s="14"/>
    </row>
    <row r="29" spans="1:15" ht="22.7" customHeight="1">
      <c r="A29" s="14"/>
      <c r="B29" s="38" t="s">
        <v>143</v>
      </c>
      <c r="C29" s="380">
        <f>I16</f>
        <v>2.9339999999999998E-4</v>
      </c>
      <c r="D29" s="15">
        <f>(C28*100)/(C16*86400)</f>
        <v>1.569263599537037E-3</v>
      </c>
      <c r="E29" s="14"/>
      <c r="F29" s="14"/>
      <c r="G29" s="14"/>
      <c r="H29" s="15"/>
      <c r="I29" s="15"/>
      <c r="J29" s="14"/>
      <c r="K29" s="14"/>
      <c r="L29" s="14"/>
      <c r="M29" s="14"/>
      <c r="N29" s="14"/>
      <c r="O29" s="14"/>
    </row>
    <row r="30" spans="1:15" ht="22.7" customHeight="1">
      <c r="A30" s="14"/>
      <c r="B30" s="38" t="s">
        <v>144</v>
      </c>
      <c r="C30" s="381">
        <f>(C13+C18+C23)/3</f>
        <v>309.46666666666664</v>
      </c>
      <c r="D30" s="14"/>
      <c r="E30" s="376">
        <f>(C13+C18)/2</f>
        <v>358.04999999999995</v>
      </c>
      <c r="F30" s="377">
        <f>MAX(C13,C18)</f>
        <v>394.2</v>
      </c>
      <c r="G30" s="378">
        <f>ROUND(C4/(G4*F30^2*I16),3)</f>
        <v>2.0939999999999999</v>
      </c>
      <c r="H30" s="15"/>
      <c r="I30" s="15"/>
      <c r="J30" s="14"/>
      <c r="K30" s="14"/>
      <c r="L30" s="14"/>
      <c r="M30" s="14"/>
      <c r="N30" s="14"/>
      <c r="O30" s="14"/>
    </row>
    <row r="31" spans="1:15" ht="22.7" customHeight="1">
      <c r="A31" s="14"/>
      <c r="F31" s="14"/>
      <c r="G31" s="14"/>
      <c r="H31" s="15"/>
      <c r="I31" s="15"/>
      <c r="J31" s="14"/>
      <c r="K31" s="14"/>
      <c r="L31" s="14"/>
      <c r="M31" s="14"/>
      <c r="N31" s="14"/>
      <c r="O31" s="14"/>
    </row>
    <row r="32" spans="1:15" ht="22.7" customHeight="1">
      <c r="A32" s="14"/>
      <c r="B32" s="14"/>
      <c r="C32" s="14"/>
      <c r="D32" s="14"/>
      <c r="E32" s="14"/>
      <c r="F32" s="14"/>
      <c r="G32" s="14"/>
      <c r="H32" s="15"/>
      <c r="I32" s="15"/>
      <c r="J32" s="14"/>
      <c r="K32" s="14"/>
      <c r="L32" s="14"/>
      <c r="M32" s="14"/>
      <c r="N32" s="14"/>
      <c r="O32" s="14"/>
    </row>
    <row r="33" spans="1:15" ht="22.7" customHeight="1">
      <c r="A33" s="14"/>
      <c r="D33" s="14"/>
      <c r="E33" s="14"/>
      <c r="F33" s="14"/>
      <c r="G33" s="14"/>
      <c r="H33" s="15"/>
      <c r="I33" s="15"/>
      <c r="J33" s="14"/>
      <c r="K33" s="14"/>
      <c r="L33" s="14"/>
      <c r="M33" s="14"/>
      <c r="N33" s="14"/>
      <c r="O33" s="14"/>
    </row>
    <row r="34" spans="1:15" ht="22.7" customHeight="1">
      <c r="A34" s="14"/>
      <c r="B34" s="14"/>
      <c r="C34" s="14"/>
      <c r="D34" s="14"/>
      <c r="E34" s="14"/>
      <c r="F34" s="14"/>
      <c r="G34" s="14"/>
      <c r="H34" s="15"/>
      <c r="I34" s="15"/>
      <c r="J34" s="14"/>
      <c r="K34" s="14"/>
      <c r="L34" s="14"/>
      <c r="M34" s="14"/>
      <c r="N34" s="14"/>
      <c r="O34" s="14"/>
    </row>
    <row r="35" spans="1:15" ht="22.7" customHeight="1">
      <c r="A35" s="14"/>
      <c r="B35" s="14"/>
      <c r="C35" s="14"/>
      <c r="D35" s="14"/>
      <c r="E35" s="14"/>
      <c r="F35" s="14"/>
      <c r="G35" s="14"/>
      <c r="H35" s="15"/>
      <c r="I35" s="15"/>
      <c r="J35" s="14"/>
      <c r="K35" s="14"/>
      <c r="L35" s="14"/>
      <c r="M35" s="14"/>
      <c r="N35" s="14"/>
      <c r="O35" s="14"/>
    </row>
    <row r="36" spans="1:15" ht="22.7" customHeight="1">
      <c r="A36" s="14"/>
      <c r="B36" s="14"/>
      <c r="C36" s="14"/>
      <c r="D36" s="14"/>
      <c r="E36" s="14"/>
      <c r="F36" s="14"/>
      <c r="G36" s="14"/>
      <c r="H36" s="15"/>
      <c r="I36" s="15"/>
      <c r="J36" s="14"/>
      <c r="K36" s="14"/>
      <c r="L36" s="14"/>
      <c r="M36" s="14"/>
      <c r="N36" s="14"/>
      <c r="O36" s="14"/>
    </row>
    <row r="37" spans="1:15" ht="22.7" customHeight="1">
      <c r="A37" s="14"/>
      <c r="B37" s="14"/>
      <c r="C37" s="14"/>
      <c r="D37" s="14"/>
      <c r="E37" s="14"/>
      <c r="F37" s="14"/>
      <c r="G37" s="14"/>
      <c r="H37" s="15"/>
      <c r="I37" s="15"/>
      <c r="J37" s="14"/>
      <c r="K37" s="14"/>
      <c r="L37" s="14"/>
      <c r="M37" s="14"/>
      <c r="N37" s="14"/>
      <c r="O37" s="14"/>
    </row>
    <row r="38" spans="1:15" ht="22.7" customHeight="1">
      <c r="A38" s="14"/>
      <c r="B38" s="14"/>
      <c r="C38" s="14"/>
      <c r="D38" s="14"/>
      <c r="E38" s="14"/>
      <c r="F38" s="14"/>
      <c r="G38" s="14"/>
      <c r="H38" s="15"/>
      <c r="I38" s="15"/>
      <c r="J38" s="14"/>
      <c r="K38" s="14"/>
      <c r="L38" s="14"/>
      <c r="M38" s="14"/>
      <c r="N38" s="14"/>
      <c r="O38" s="14"/>
    </row>
    <row r="39" spans="1:15" ht="22.7" customHeight="1">
      <c r="A39" s="14"/>
      <c r="B39" s="14"/>
      <c r="C39" s="14"/>
      <c r="D39" s="14"/>
      <c r="E39" s="14"/>
      <c r="F39" s="14"/>
      <c r="G39" s="14"/>
      <c r="H39" s="15"/>
      <c r="I39" s="15"/>
      <c r="J39" s="14"/>
      <c r="K39" s="14"/>
      <c r="L39" s="14"/>
      <c r="M39" s="14"/>
      <c r="N39" s="14"/>
      <c r="O39" s="14"/>
    </row>
    <row r="40" spans="1:15" ht="22.7" customHeight="1">
      <c r="A40" s="14"/>
      <c r="B40" s="14"/>
      <c r="C40" s="14"/>
      <c r="D40" s="14"/>
      <c r="E40" s="14"/>
      <c r="F40" s="14"/>
      <c r="G40" s="14"/>
      <c r="H40" s="15"/>
      <c r="I40" s="15"/>
      <c r="J40" s="14"/>
      <c r="K40" s="14"/>
      <c r="L40" s="14"/>
      <c r="M40" s="14"/>
      <c r="N40" s="14"/>
      <c r="O40" s="14"/>
    </row>
    <row r="41" spans="1:15" ht="16.5">
      <c r="A41" s="14"/>
      <c r="B41" s="14"/>
      <c r="C41" s="14"/>
      <c r="D41" s="14"/>
      <c r="E41" s="14"/>
      <c r="F41" s="14"/>
      <c r="G41" s="14"/>
      <c r="H41" s="15"/>
      <c r="I41" s="15"/>
      <c r="J41" s="14"/>
      <c r="K41" s="14"/>
      <c r="L41" s="14"/>
      <c r="M41" s="14"/>
      <c r="N41" s="14"/>
      <c r="O41" s="14"/>
    </row>
    <row r="42" spans="1:15" ht="16.5">
      <c r="A42" s="14"/>
      <c r="B42" s="14"/>
      <c r="C42" s="14"/>
      <c r="D42" s="14"/>
      <c r="E42" s="14"/>
      <c r="F42" s="14"/>
      <c r="G42" s="14"/>
      <c r="H42" s="15"/>
      <c r="I42" s="15"/>
      <c r="J42" s="14"/>
      <c r="K42" s="14"/>
      <c r="L42" s="14"/>
      <c r="M42" s="14"/>
      <c r="N42" s="14"/>
      <c r="O42" s="14"/>
    </row>
    <row r="43" spans="1:15" ht="16.5">
      <c r="A43" s="14"/>
      <c r="B43" s="14"/>
      <c r="C43" s="14"/>
      <c r="D43" s="14"/>
      <c r="E43" s="14"/>
      <c r="F43" s="14"/>
      <c r="G43" s="14"/>
      <c r="H43" s="15"/>
      <c r="I43" s="15"/>
      <c r="J43" s="14"/>
      <c r="K43" s="14"/>
      <c r="L43" s="14"/>
      <c r="M43" s="14"/>
      <c r="N43" s="14"/>
      <c r="O43" s="14"/>
    </row>
    <row r="44" spans="1:15" ht="16.5">
      <c r="A44" s="14"/>
      <c r="B44" s="14"/>
      <c r="C44" s="14"/>
      <c r="D44" s="14"/>
      <c r="E44" s="14"/>
      <c r="F44" s="14"/>
      <c r="G44" s="14"/>
      <c r="H44" s="15"/>
      <c r="I44" s="15"/>
      <c r="J44" s="14"/>
      <c r="K44" s="14"/>
      <c r="L44" s="14"/>
      <c r="M44" s="14"/>
      <c r="N44" s="14"/>
      <c r="O44" s="14"/>
    </row>
    <row r="45" spans="1:15" ht="16.5">
      <c r="A45" s="14"/>
      <c r="B45" s="14"/>
      <c r="C45" s="14"/>
      <c r="D45" s="14"/>
      <c r="E45" s="14"/>
      <c r="F45" s="14"/>
      <c r="G45" s="14"/>
      <c r="H45" s="15"/>
      <c r="I45" s="15"/>
      <c r="J45" s="14"/>
      <c r="K45" s="14"/>
      <c r="L45" s="14"/>
      <c r="M45" s="14"/>
      <c r="N45" s="14"/>
      <c r="O45" s="14"/>
    </row>
    <row r="46" spans="1:15" ht="16.5">
      <c r="A46" s="14"/>
      <c r="B46" s="14"/>
      <c r="C46" s="14"/>
      <c r="D46" s="14"/>
      <c r="E46" s="14"/>
      <c r="F46" s="14"/>
      <c r="G46" s="14"/>
      <c r="H46" s="15"/>
      <c r="I46" s="15"/>
      <c r="J46" s="14"/>
      <c r="K46" s="14"/>
      <c r="L46" s="14"/>
      <c r="M46" s="14"/>
      <c r="N46" s="14"/>
      <c r="O46" s="14"/>
    </row>
    <row r="47" spans="1:15" ht="16.5">
      <c r="A47" s="14"/>
      <c r="B47" s="14"/>
      <c r="C47" s="14"/>
      <c r="D47" s="14"/>
      <c r="E47" s="14"/>
      <c r="F47" s="14"/>
      <c r="G47" s="14"/>
      <c r="H47" s="15"/>
      <c r="I47" s="15"/>
      <c r="J47" s="14"/>
      <c r="K47" s="14"/>
      <c r="L47" s="14"/>
      <c r="M47" s="14"/>
      <c r="N47" s="14"/>
      <c r="O47" s="14"/>
    </row>
    <row r="48" spans="1:15" ht="16.5">
      <c r="A48" s="14"/>
      <c r="B48" s="14"/>
      <c r="C48" s="14"/>
      <c r="D48" s="14"/>
      <c r="E48" s="14"/>
      <c r="F48" s="14"/>
      <c r="G48" s="14"/>
      <c r="H48" s="15"/>
      <c r="I48" s="15"/>
      <c r="J48" s="14"/>
      <c r="K48" s="14"/>
      <c r="L48" s="14"/>
      <c r="M48" s="14"/>
      <c r="N48" s="14"/>
      <c r="O48" s="14"/>
    </row>
    <row r="49" spans="1:15" ht="16.5">
      <c r="A49" s="14"/>
      <c r="B49" s="14"/>
      <c r="C49" s="14"/>
      <c r="D49" s="14"/>
      <c r="E49" s="14"/>
      <c r="F49" s="14"/>
      <c r="G49" s="14"/>
      <c r="H49" s="15"/>
      <c r="I49" s="15"/>
      <c r="J49" s="14"/>
      <c r="K49" s="14"/>
      <c r="L49" s="14"/>
      <c r="M49" s="14"/>
      <c r="N49" s="14"/>
      <c r="O49" s="14"/>
    </row>
    <row r="50" spans="1:15" ht="16.5">
      <c r="A50" s="14"/>
      <c r="B50" s="14"/>
      <c r="C50" s="14"/>
      <c r="D50" s="14"/>
      <c r="E50" s="14"/>
      <c r="F50" s="14"/>
      <c r="G50" s="14"/>
      <c r="H50" s="15"/>
      <c r="I50" s="15"/>
      <c r="J50" s="14"/>
      <c r="K50" s="14"/>
      <c r="L50" s="14"/>
      <c r="M50" s="14"/>
      <c r="N50" s="14"/>
      <c r="O50" s="14"/>
    </row>
    <row r="51" spans="1:15" ht="16.5">
      <c r="A51" s="14"/>
      <c r="B51" s="14"/>
      <c r="C51" s="14"/>
      <c r="D51" s="14"/>
      <c r="E51" s="14"/>
      <c r="F51" s="14"/>
      <c r="G51" s="14"/>
      <c r="H51" s="15"/>
      <c r="I51" s="15"/>
      <c r="J51" s="14"/>
      <c r="K51" s="14"/>
      <c r="L51" s="14"/>
      <c r="M51" s="14"/>
      <c r="N51" s="14"/>
      <c r="O51" s="14"/>
    </row>
    <row r="52" spans="1:15" ht="16.5">
      <c r="A52" s="14"/>
      <c r="B52" s="14"/>
      <c r="C52" s="14"/>
      <c r="D52" s="14"/>
      <c r="E52" s="14"/>
      <c r="F52" s="14"/>
      <c r="G52" s="14"/>
      <c r="H52" s="15"/>
      <c r="I52" s="15"/>
      <c r="J52" s="14"/>
      <c r="K52" s="14"/>
      <c r="L52" s="14"/>
      <c r="M52" s="14"/>
      <c r="N52" s="14"/>
      <c r="O52" s="14"/>
    </row>
    <row r="53" spans="1:15" ht="16.5">
      <c r="A53" s="14"/>
      <c r="B53" s="14"/>
      <c r="C53" s="14"/>
      <c r="D53" s="14"/>
      <c r="E53" s="14"/>
      <c r="F53" s="14"/>
      <c r="G53" s="14"/>
      <c r="H53" s="15"/>
      <c r="I53" s="15"/>
      <c r="J53" s="14"/>
      <c r="K53" s="14"/>
      <c r="L53" s="14"/>
      <c r="M53" s="14"/>
      <c r="N53" s="14"/>
      <c r="O53" s="14"/>
    </row>
    <row r="54" spans="1:15" ht="16.5">
      <c r="A54" s="14"/>
      <c r="B54" s="14"/>
      <c r="C54" s="14"/>
      <c r="D54" s="14"/>
      <c r="E54" s="14"/>
      <c r="F54" s="14"/>
      <c r="G54" s="14"/>
      <c r="H54" s="15"/>
      <c r="I54" s="15"/>
      <c r="J54" s="14"/>
      <c r="K54" s="14"/>
      <c r="L54" s="14"/>
      <c r="M54" s="14"/>
      <c r="N54" s="14"/>
      <c r="O54" s="14"/>
    </row>
    <row r="55" spans="1:15" ht="16.5">
      <c r="A55" s="14"/>
      <c r="B55" s="14"/>
      <c r="C55" s="14"/>
      <c r="D55" s="14"/>
      <c r="E55" s="14"/>
      <c r="F55" s="14"/>
      <c r="G55" s="14"/>
      <c r="H55" s="15"/>
      <c r="I55" s="15"/>
      <c r="J55" s="14"/>
      <c r="K55" s="14"/>
      <c r="L55" s="14"/>
      <c r="M55" s="14"/>
      <c r="N55" s="14"/>
      <c r="O55" s="14"/>
    </row>
    <row r="56" spans="1:15" ht="16.5">
      <c r="A56" s="14"/>
      <c r="B56" s="14"/>
      <c r="C56" s="14"/>
      <c r="D56" s="14"/>
      <c r="E56" s="14"/>
      <c r="F56" s="14"/>
      <c r="G56" s="14"/>
      <c r="H56" s="15"/>
      <c r="I56" s="15"/>
      <c r="J56" s="14"/>
      <c r="K56" s="14"/>
      <c r="L56" s="14"/>
      <c r="M56" s="14"/>
      <c r="N56" s="14"/>
      <c r="O56" s="14"/>
    </row>
    <row r="57" spans="1:15" ht="16.5">
      <c r="A57" s="14"/>
      <c r="B57" s="14"/>
      <c r="C57" s="14"/>
      <c r="D57" s="14"/>
      <c r="E57" s="14"/>
      <c r="F57" s="14"/>
      <c r="G57" s="14"/>
      <c r="H57" s="15"/>
      <c r="I57" s="15"/>
      <c r="J57" s="14"/>
      <c r="K57" s="14"/>
      <c r="L57" s="14"/>
      <c r="M57" s="14"/>
      <c r="N57" s="14"/>
      <c r="O57" s="14"/>
    </row>
    <row r="58" spans="1:15" ht="16.5">
      <c r="A58" s="14"/>
      <c r="B58" s="14"/>
      <c r="C58" s="14"/>
      <c r="D58" s="14"/>
      <c r="E58" s="14"/>
      <c r="F58" s="14"/>
      <c r="G58" s="14"/>
      <c r="H58" s="15"/>
      <c r="I58" s="15"/>
      <c r="J58" s="14"/>
      <c r="K58" s="14"/>
      <c r="L58" s="14"/>
      <c r="M58" s="14"/>
      <c r="N58" s="14"/>
      <c r="O58" s="14"/>
    </row>
    <row r="59" spans="1:15" ht="16.5">
      <c r="A59" s="14"/>
      <c r="B59" s="14"/>
      <c r="C59" s="14"/>
      <c r="D59" s="14"/>
      <c r="E59" s="14"/>
      <c r="F59" s="14"/>
      <c r="G59" s="14"/>
      <c r="H59" s="15"/>
      <c r="I59" s="15"/>
      <c r="J59" s="14"/>
      <c r="K59" s="14"/>
      <c r="L59" s="14"/>
      <c r="M59" s="14"/>
      <c r="N59" s="14"/>
      <c r="O59" s="14"/>
    </row>
    <row r="60" spans="1:15" ht="16.5">
      <c r="A60" s="14"/>
      <c r="B60" s="14"/>
      <c r="C60" s="14"/>
      <c r="D60" s="14"/>
      <c r="E60" s="14"/>
      <c r="F60" s="14"/>
      <c r="G60" s="14"/>
      <c r="H60" s="15"/>
      <c r="I60" s="15"/>
      <c r="J60" s="14"/>
      <c r="K60" s="14"/>
      <c r="L60" s="14"/>
      <c r="M60" s="14"/>
      <c r="N60" s="14"/>
      <c r="O60" s="14"/>
    </row>
    <row r="61" spans="1:15" ht="16.5">
      <c r="A61" s="14"/>
      <c r="B61" s="14"/>
      <c r="C61" s="14"/>
      <c r="D61" s="14"/>
      <c r="E61" s="14"/>
      <c r="F61" s="14"/>
      <c r="G61" s="14"/>
      <c r="H61" s="15"/>
      <c r="I61" s="15"/>
      <c r="J61" s="14"/>
      <c r="K61" s="14"/>
      <c r="L61" s="14"/>
      <c r="M61" s="14"/>
      <c r="N61" s="14"/>
      <c r="O61" s="14"/>
    </row>
    <row r="62" spans="1:15" ht="16.5">
      <c r="A62" s="14"/>
      <c r="B62" s="14"/>
      <c r="C62" s="14"/>
      <c r="D62" s="14"/>
      <c r="E62" s="14"/>
      <c r="F62" s="14"/>
      <c r="G62" s="14"/>
      <c r="H62" s="15"/>
      <c r="I62" s="15"/>
      <c r="J62" s="14"/>
      <c r="K62" s="14"/>
      <c r="L62" s="14"/>
      <c r="M62" s="14"/>
      <c r="N62" s="14"/>
      <c r="O62" s="14"/>
    </row>
    <row r="63" spans="1:15" ht="16.5">
      <c r="A63" s="14"/>
      <c r="B63" s="14"/>
      <c r="C63" s="14"/>
      <c r="D63" s="14"/>
      <c r="E63" s="14"/>
      <c r="F63" s="14"/>
      <c r="G63" s="14"/>
      <c r="H63" s="15"/>
      <c r="I63" s="15"/>
      <c r="J63" s="14"/>
      <c r="K63" s="14"/>
      <c r="L63" s="14"/>
      <c r="M63" s="14"/>
      <c r="N63" s="14"/>
      <c r="O63" s="14"/>
    </row>
    <row r="64" spans="1:15" ht="16.5">
      <c r="A64" s="14"/>
      <c r="B64" s="14"/>
      <c r="C64" s="14"/>
      <c r="D64" s="14"/>
      <c r="E64" s="14"/>
      <c r="F64" s="14"/>
      <c r="G64" s="14"/>
      <c r="H64" s="15"/>
      <c r="I64" s="15"/>
      <c r="J64" s="14"/>
      <c r="K64" s="14"/>
      <c r="L64" s="14"/>
      <c r="M64" s="14"/>
      <c r="N64" s="14"/>
      <c r="O64" s="14"/>
    </row>
    <row r="65" spans="1:15" ht="16.5">
      <c r="A65" s="14"/>
      <c r="B65" s="14"/>
      <c r="C65" s="14"/>
      <c r="D65" s="14"/>
      <c r="E65" s="14"/>
      <c r="F65" s="14"/>
      <c r="G65" s="14"/>
      <c r="H65" s="15"/>
      <c r="I65" s="15"/>
      <c r="J65" s="14"/>
      <c r="K65" s="14"/>
      <c r="L65" s="14"/>
      <c r="M65" s="14"/>
      <c r="N65" s="14"/>
      <c r="O65" s="14"/>
    </row>
    <row r="66" spans="1:15" ht="16.5">
      <c r="A66" s="14"/>
      <c r="B66" s="14"/>
      <c r="C66" s="14"/>
      <c r="D66" s="14"/>
      <c r="E66" s="14"/>
      <c r="F66" s="14"/>
      <c r="G66" s="14"/>
      <c r="H66" s="15"/>
      <c r="I66" s="15"/>
      <c r="J66" s="14"/>
      <c r="K66" s="14"/>
      <c r="L66" s="14"/>
      <c r="M66" s="14"/>
      <c r="N66" s="14"/>
      <c r="O66" s="14"/>
    </row>
    <row r="67" spans="1:15" ht="16.5">
      <c r="A67" s="14"/>
      <c r="B67" s="14"/>
      <c r="C67" s="14"/>
      <c r="D67" s="14"/>
      <c r="E67" s="14"/>
      <c r="F67" s="14"/>
      <c r="G67" s="14"/>
      <c r="H67" s="15"/>
      <c r="I67" s="15"/>
      <c r="J67" s="14"/>
      <c r="K67" s="14"/>
      <c r="L67" s="14"/>
      <c r="M67" s="14"/>
      <c r="N67" s="14"/>
      <c r="O67" s="14"/>
    </row>
    <row r="68" spans="1:15" ht="16.5">
      <c r="A68" s="14"/>
      <c r="B68" s="14"/>
      <c r="C68" s="14"/>
      <c r="D68" s="14"/>
      <c r="E68" s="14"/>
      <c r="F68" s="14"/>
      <c r="G68" s="14"/>
      <c r="H68" s="15"/>
      <c r="I68" s="15"/>
      <c r="J68" s="14"/>
      <c r="K68" s="14"/>
      <c r="L68" s="14"/>
      <c r="M68" s="14"/>
      <c r="N68" s="14"/>
      <c r="O68" s="14"/>
    </row>
    <row r="69" spans="1:15" ht="16.5">
      <c r="A69" s="14"/>
      <c r="B69" s="14"/>
      <c r="C69" s="14"/>
      <c r="D69" s="14"/>
      <c r="E69" s="14"/>
      <c r="F69" s="14"/>
      <c r="G69" s="14"/>
      <c r="H69" s="15"/>
      <c r="I69" s="15"/>
      <c r="J69" s="14"/>
      <c r="K69" s="14"/>
      <c r="L69" s="14"/>
      <c r="M69" s="14"/>
      <c r="N69" s="14"/>
      <c r="O69" s="14"/>
    </row>
    <row r="70" spans="1:15" ht="16.5">
      <c r="A70" s="14"/>
      <c r="B70" s="14"/>
      <c r="C70" s="14"/>
      <c r="D70" s="14"/>
      <c r="E70" s="14"/>
      <c r="F70" s="14"/>
      <c r="G70" s="14"/>
      <c r="H70" s="15"/>
      <c r="I70" s="15"/>
      <c r="J70" s="14"/>
      <c r="K70" s="14"/>
      <c r="L70" s="14"/>
      <c r="M70" s="14"/>
      <c r="N70" s="14"/>
      <c r="O70" s="14"/>
    </row>
    <row r="71" spans="1:15" ht="16.5">
      <c r="A71" s="14"/>
      <c r="B71" s="14"/>
      <c r="C71" s="14"/>
      <c r="D71" s="14"/>
      <c r="E71" s="14"/>
      <c r="F71" s="14"/>
      <c r="G71" s="14"/>
      <c r="H71" s="15"/>
      <c r="I71" s="15"/>
      <c r="J71" s="14"/>
      <c r="K71" s="14"/>
      <c r="L71" s="14"/>
      <c r="M71" s="14"/>
      <c r="N71" s="14"/>
      <c r="O71" s="14"/>
    </row>
    <row r="72" spans="1:15" ht="16.5">
      <c r="A72" s="14"/>
      <c r="B72" s="14"/>
      <c r="C72" s="14"/>
      <c r="D72" s="14"/>
      <c r="E72" s="14"/>
      <c r="F72" s="14"/>
      <c r="G72" s="14"/>
      <c r="H72" s="15"/>
      <c r="I72" s="15"/>
      <c r="J72" s="14"/>
      <c r="K72" s="14"/>
      <c r="L72" s="14"/>
      <c r="M72" s="14"/>
      <c r="N72" s="14"/>
      <c r="O72" s="14"/>
    </row>
    <row r="73" spans="1:15" ht="16.5">
      <c r="A73" s="14"/>
      <c r="B73" s="14"/>
      <c r="C73" s="14"/>
      <c r="D73" s="14"/>
      <c r="E73" s="14"/>
      <c r="F73" s="14"/>
      <c r="G73" s="14"/>
      <c r="H73" s="15"/>
      <c r="I73" s="15"/>
      <c r="J73" s="14"/>
      <c r="K73" s="14"/>
      <c r="L73" s="14"/>
      <c r="M73" s="14"/>
      <c r="N73" s="14"/>
      <c r="O73" s="14"/>
    </row>
    <row r="74" spans="1:15" ht="16.5">
      <c r="A74" s="14"/>
      <c r="B74" s="14"/>
      <c r="C74" s="14"/>
      <c r="D74" s="14"/>
      <c r="E74" s="14"/>
      <c r="F74" s="14"/>
      <c r="G74" s="14"/>
      <c r="H74" s="15"/>
      <c r="I74" s="15"/>
      <c r="J74" s="14"/>
      <c r="K74" s="14"/>
      <c r="L74" s="14"/>
      <c r="M74" s="14"/>
      <c r="N74" s="14"/>
      <c r="O74" s="14"/>
    </row>
    <row r="75" spans="1:15" ht="16.5">
      <c r="A75" s="14"/>
      <c r="B75" s="14"/>
      <c r="C75" s="14"/>
      <c r="D75" s="14"/>
      <c r="E75" s="14"/>
      <c r="F75" s="14"/>
      <c r="G75" s="14"/>
      <c r="H75" s="15"/>
      <c r="I75" s="15"/>
      <c r="J75" s="14"/>
      <c r="K75" s="14"/>
      <c r="L75" s="14"/>
      <c r="M75" s="14"/>
      <c r="N75" s="14"/>
      <c r="O75" s="14"/>
    </row>
    <row r="76" spans="1:15" ht="16.5">
      <c r="A76" s="14"/>
      <c r="B76" s="14"/>
      <c r="C76" s="14"/>
      <c r="D76" s="14"/>
      <c r="E76" s="14"/>
      <c r="F76" s="14"/>
      <c r="G76" s="14"/>
      <c r="H76" s="15"/>
      <c r="I76" s="15"/>
      <c r="J76" s="14"/>
      <c r="K76" s="14"/>
      <c r="L76" s="14"/>
      <c r="M76" s="14"/>
      <c r="N76" s="14"/>
      <c r="O76" s="14"/>
    </row>
    <row r="77" spans="1:15" ht="16.5">
      <c r="A77" s="14"/>
      <c r="B77" s="14"/>
      <c r="C77" s="14"/>
      <c r="D77" s="14"/>
      <c r="E77" s="14"/>
      <c r="F77" s="14"/>
      <c r="G77" s="14"/>
      <c r="H77" s="15"/>
      <c r="I77" s="15"/>
      <c r="J77" s="14"/>
      <c r="K77" s="14"/>
      <c r="L77" s="14"/>
      <c r="M77" s="14"/>
      <c r="N77" s="14"/>
      <c r="O77" s="14"/>
    </row>
    <row r="78" spans="1:15" ht="16.5">
      <c r="A78" s="14"/>
      <c r="B78" s="14"/>
      <c r="C78" s="14"/>
      <c r="D78" s="14"/>
      <c r="E78" s="14"/>
      <c r="F78" s="14"/>
      <c r="G78" s="14"/>
      <c r="H78" s="15"/>
      <c r="I78" s="15"/>
      <c r="J78" s="14"/>
      <c r="K78" s="14"/>
      <c r="L78" s="14"/>
      <c r="M78" s="14"/>
      <c r="N78" s="14"/>
      <c r="O78" s="14"/>
    </row>
    <row r="79" spans="1:15" ht="16.5">
      <c r="A79" s="14"/>
      <c r="B79" s="14"/>
      <c r="C79" s="14"/>
      <c r="D79" s="14"/>
      <c r="E79" s="14"/>
      <c r="F79" s="14"/>
      <c r="G79" s="14"/>
      <c r="H79" s="15"/>
      <c r="I79" s="15"/>
      <c r="J79" s="14"/>
      <c r="K79" s="14"/>
      <c r="L79" s="14"/>
      <c r="M79" s="14"/>
      <c r="N79" s="14"/>
      <c r="O79" s="14"/>
    </row>
    <row r="80" spans="1:15" ht="16.5">
      <c r="A80" s="14"/>
      <c r="B80" s="14"/>
      <c r="C80" s="14"/>
      <c r="D80" s="14"/>
      <c r="E80" s="14"/>
      <c r="F80" s="14"/>
      <c r="G80" s="14"/>
      <c r="H80" s="15"/>
      <c r="I80" s="15"/>
      <c r="J80" s="14"/>
      <c r="K80" s="14"/>
      <c r="L80" s="14"/>
      <c r="M80" s="14"/>
      <c r="N80" s="14"/>
      <c r="O80" s="14"/>
    </row>
    <row r="81" spans="1:15" ht="16.5">
      <c r="A81" s="14"/>
      <c r="B81" s="14"/>
      <c r="C81" s="14"/>
      <c r="D81" s="14"/>
      <c r="E81" s="14"/>
      <c r="F81" s="14"/>
      <c r="G81" s="14"/>
      <c r="H81" s="15"/>
      <c r="I81" s="15"/>
      <c r="J81" s="14"/>
      <c r="K81" s="14"/>
      <c r="L81" s="14"/>
      <c r="M81" s="14"/>
      <c r="N81" s="14"/>
      <c r="O81" s="14"/>
    </row>
    <row r="82" spans="1:15" ht="16.5">
      <c r="A82" s="14"/>
      <c r="B82" s="14"/>
      <c r="C82" s="14"/>
      <c r="D82" s="14"/>
      <c r="E82" s="14"/>
      <c r="F82" s="14"/>
      <c r="G82" s="14"/>
      <c r="H82" s="15"/>
      <c r="I82" s="15"/>
      <c r="J82" s="14"/>
      <c r="K82" s="14"/>
      <c r="L82" s="14"/>
      <c r="M82" s="14"/>
      <c r="N82" s="14"/>
      <c r="O82" s="14"/>
    </row>
    <row r="83" spans="1:15" ht="16.5">
      <c r="A83" s="14"/>
      <c r="B83" s="14"/>
      <c r="C83" s="14"/>
      <c r="D83" s="14"/>
      <c r="E83" s="14"/>
      <c r="F83" s="14"/>
      <c r="G83" s="14"/>
      <c r="H83" s="15"/>
      <c r="I83" s="15"/>
      <c r="J83" s="14"/>
      <c r="K83" s="14"/>
      <c r="L83" s="14"/>
      <c r="M83" s="14"/>
      <c r="N83" s="14"/>
      <c r="O83" s="14"/>
    </row>
    <row r="84" spans="1:15" ht="16.5">
      <c r="A84" s="14"/>
      <c r="B84" s="14"/>
      <c r="C84" s="14"/>
      <c r="D84" s="14"/>
      <c r="E84" s="14"/>
      <c r="F84" s="14"/>
      <c r="G84" s="14"/>
      <c r="H84" s="15"/>
      <c r="I84" s="15"/>
      <c r="J84" s="14"/>
      <c r="K84" s="14"/>
      <c r="L84" s="14"/>
      <c r="M84" s="14"/>
      <c r="N84" s="14"/>
      <c r="O84" s="14"/>
    </row>
    <row r="85" spans="1:15" ht="16.5">
      <c r="A85" s="14"/>
      <c r="B85" s="14"/>
      <c r="C85" s="14"/>
      <c r="D85" s="14"/>
      <c r="E85" s="14"/>
      <c r="F85" s="14"/>
      <c r="G85" s="14"/>
      <c r="H85" s="15"/>
      <c r="I85" s="15"/>
      <c r="J85" s="14"/>
      <c r="K85" s="14"/>
      <c r="L85" s="14"/>
      <c r="M85" s="14"/>
      <c r="N85" s="14"/>
      <c r="O85" s="14"/>
    </row>
    <row r="86" spans="1:15" ht="16.5">
      <c r="A86" s="14"/>
      <c r="B86" s="14"/>
      <c r="C86" s="14"/>
      <c r="D86" s="14"/>
      <c r="E86" s="14"/>
      <c r="F86" s="14"/>
      <c r="G86" s="14"/>
      <c r="H86" s="15"/>
      <c r="I86" s="15"/>
      <c r="J86" s="14"/>
      <c r="K86" s="14"/>
      <c r="L86" s="14"/>
      <c r="M86" s="14"/>
      <c r="N86" s="14"/>
      <c r="O86" s="14"/>
    </row>
    <row r="87" spans="1:15" ht="16.5">
      <c r="A87" s="14"/>
      <c r="B87" s="14"/>
      <c r="C87" s="14"/>
      <c r="D87" s="14"/>
      <c r="E87" s="14"/>
      <c r="F87" s="14"/>
      <c r="G87" s="14"/>
      <c r="H87" s="15"/>
      <c r="I87" s="15"/>
      <c r="J87" s="14"/>
      <c r="K87" s="14"/>
      <c r="L87" s="14"/>
      <c r="M87" s="14"/>
      <c r="N87" s="14"/>
      <c r="O87" s="14"/>
    </row>
    <row r="88" spans="1:15" ht="16.5">
      <c r="A88" s="14"/>
      <c r="B88" s="14"/>
      <c r="C88" s="14"/>
      <c r="D88" s="14"/>
      <c r="E88" s="14"/>
      <c r="F88" s="14"/>
      <c r="G88" s="14"/>
      <c r="H88" s="15"/>
      <c r="I88" s="15"/>
      <c r="J88" s="14"/>
      <c r="K88" s="14"/>
      <c r="L88" s="14"/>
      <c r="M88" s="14"/>
      <c r="N88" s="14"/>
      <c r="O88" s="14"/>
    </row>
    <row r="89" spans="1:15" ht="16.5">
      <c r="A89" s="14"/>
      <c r="B89" s="14"/>
      <c r="C89" s="14"/>
      <c r="D89" s="14"/>
      <c r="E89" s="14"/>
      <c r="F89" s="14"/>
      <c r="G89" s="14"/>
      <c r="H89" s="15"/>
      <c r="I89" s="15"/>
      <c r="J89" s="14"/>
      <c r="K89" s="14"/>
      <c r="L89" s="14"/>
      <c r="M89" s="14"/>
      <c r="N89" s="14"/>
      <c r="O89" s="14"/>
    </row>
    <row r="90" spans="1:15" ht="16.5">
      <c r="A90" s="14"/>
      <c r="B90" s="14"/>
      <c r="C90" s="14"/>
      <c r="D90" s="14"/>
      <c r="E90" s="14"/>
      <c r="F90" s="14"/>
      <c r="G90" s="14"/>
      <c r="H90" s="15"/>
      <c r="I90" s="15"/>
      <c r="J90" s="14"/>
      <c r="K90" s="14"/>
      <c r="L90" s="14"/>
      <c r="M90" s="14"/>
      <c r="N90" s="14"/>
      <c r="O90" s="14"/>
    </row>
    <row r="91" spans="1:15" ht="16.5">
      <c r="A91" s="14"/>
      <c r="B91" s="14"/>
      <c r="C91" s="14"/>
      <c r="D91" s="14"/>
      <c r="E91" s="14"/>
      <c r="F91" s="14"/>
      <c r="G91" s="14"/>
      <c r="H91" s="15"/>
      <c r="I91" s="15"/>
      <c r="J91" s="14"/>
      <c r="K91" s="14"/>
      <c r="L91" s="14"/>
      <c r="M91" s="14"/>
      <c r="N91" s="14"/>
      <c r="O91" s="14"/>
    </row>
    <row r="92" spans="1:15" ht="16.5">
      <c r="A92" s="14"/>
      <c r="B92" s="14"/>
      <c r="C92" s="14"/>
      <c r="D92" s="14"/>
      <c r="E92" s="14"/>
      <c r="F92" s="14"/>
      <c r="G92" s="14"/>
      <c r="H92" s="15"/>
      <c r="I92" s="15"/>
      <c r="J92" s="14"/>
      <c r="K92" s="14"/>
      <c r="L92" s="14"/>
      <c r="M92" s="14"/>
      <c r="N92" s="14"/>
      <c r="O92" s="14"/>
    </row>
    <row r="93" spans="1:15" ht="16.5">
      <c r="A93" s="14"/>
      <c r="B93" s="14"/>
      <c r="C93" s="14"/>
      <c r="D93" s="14"/>
      <c r="E93" s="14"/>
      <c r="F93" s="14"/>
      <c r="G93" s="14"/>
      <c r="H93" s="15"/>
      <c r="I93" s="15"/>
      <c r="J93" s="14"/>
      <c r="K93" s="14"/>
      <c r="L93" s="14"/>
      <c r="M93" s="14"/>
      <c r="N93" s="14"/>
      <c r="O93" s="14"/>
    </row>
    <row r="94" spans="1:15" ht="16.5">
      <c r="A94" s="14"/>
      <c r="B94" s="14"/>
      <c r="C94" s="14"/>
      <c r="D94" s="14"/>
      <c r="E94" s="14"/>
      <c r="F94" s="14"/>
      <c r="G94" s="14"/>
      <c r="H94" s="15"/>
      <c r="I94" s="15"/>
      <c r="J94" s="14"/>
      <c r="K94" s="14"/>
      <c r="L94" s="14"/>
      <c r="M94" s="14"/>
      <c r="N94" s="14"/>
      <c r="O94" s="14"/>
    </row>
    <row r="95" spans="1:15" ht="16.5">
      <c r="A95" s="14"/>
      <c r="B95" s="14"/>
      <c r="C95" s="14"/>
      <c r="D95" s="14"/>
      <c r="E95" s="14"/>
      <c r="F95" s="14"/>
      <c r="G95" s="14"/>
      <c r="H95" s="15"/>
      <c r="I95" s="15"/>
      <c r="J95" s="14"/>
      <c r="K95" s="14"/>
      <c r="L95" s="14"/>
      <c r="M95" s="14"/>
      <c r="N95" s="14"/>
      <c r="O95" s="14"/>
    </row>
    <row r="96" spans="1:15" ht="16.5">
      <c r="A96" s="14"/>
      <c r="B96" s="14"/>
      <c r="C96" s="14"/>
      <c r="D96" s="14"/>
      <c r="E96" s="14"/>
      <c r="F96" s="14"/>
      <c r="G96" s="14"/>
      <c r="H96" s="15"/>
      <c r="I96" s="15"/>
      <c r="J96" s="14"/>
      <c r="K96" s="14"/>
      <c r="L96" s="14"/>
      <c r="M96" s="14"/>
      <c r="N96" s="14"/>
      <c r="O96" s="14"/>
    </row>
    <row r="97" spans="1:15" ht="16.5">
      <c r="A97" s="14"/>
      <c r="B97" s="14"/>
      <c r="C97" s="14"/>
      <c r="D97" s="14"/>
      <c r="E97" s="14"/>
      <c r="F97" s="14"/>
      <c r="G97" s="14"/>
      <c r="H97" s="15"/>
      <c r="I97" s="15"/>
      <c r="J97" s="14"/>
      <c r="K97" s="14"/>
      <c r="L97" s="14"/>
      <c r="M97" s="14"/>
      <c r="N97" s="14"/>
      <c r="O97" s="14"/>
    </row>
    <row r="98" spans="1:15" ht="16.5">
      <c r="A98" s="14"/>
      <c r="B98" s="14"/>
      <c r="C98" s="14"/>
      <c r="D98" s="14"/>
      <c r="E98" s="14"/>
      <c r="F98" s="14"/>
      <c r="G98" s="14"/>
      <c r="H98" s="15"/>
      <c r="I98" s="15"/>
      <c r="J98" s="14"/>
      <c r="K98" s="14"/>
      <c r="L98" s="14"/>
      <c r="M98" s="14"/>
      <c r="N98" s="14"/>
      <c r="O98" s="14"/>
    </row>
    <row r="99" spans="1:15" ht="16.5">
      <c r="A99" s="14"/>
      <c r="B99" s="14"/>
      <c r="C99" s="14"/>
      <c r="D99" s="14"/>
      <c r="E99" s="14"/>
      <c r="F99" s="14"/>
      <c r="G99" s="14"/>
      <c r="H99" s="15"/>
      <c r="I99" s="15"/>
      <c r="J99" s="14"/>
      <c r="K99" s="14"/>
      <c r="L99" s="14"/>
      <c r="M99" s="14"/>
      <c r="N99" s="14"/>
      <c r="O99" s="14"/>
    </row>
    <row r="100" spans="1:15" ht="16.5">
      <c r="A100" s="14"/>
      <c r="B100" s="14"/>
      <c r="C100" s="14"/>
      <c r="D100" s="14"/>
      <c r="E100" s="14"/>
      <c r="F100" s="14"/>
      <c r="G100" s="14"/>
      <c r="H100" s="15"/>
      <c r="I100" s="15"/>
      <c r="J100" s="14"/>
      <c r="K100" s="14"/>
      <c r="L100" s="14"/>
      <c r="M100" s="14"/>
      <c r="N100" s="14"/>
      <c r="O100" s="14"/>
    </row>
    <row r="101" spans="1:15" ht="16.5">
      <c r="A101" s="14"/>
      <c r="B101" s="14"/>
      <c r="C101" s="14"/>
      <c r="D101" s="14"/>
      <c r="E101" s="14"/>
      <c r="F101" s="14"/>
      <c r="G101" s="14"/>
      <c r="H101" s="15"/>
      <c r="I101" s="15"/>
      <c r="J101" s="14"/>
      <c r="K101" s="14"/>
      <c r="L101" s="14"/>
      <c r="M101" s="14"/>
      <c r="N101" s="14"/>
      <c r="O101" s="14"/>
    </row>
    <row r="102" spans="1:15" ht="16.5">
      <c r="A102" s="14"/>
      <c r="B102" s="14"/>
      <c r="C102" s="14"/>
      <c r="D102" s="14"/>
      <c r="E102" s="14"/>
      <c r="F102" s="14"/>
      <c r="G102" s="14"/>
      <c r="H102" s="15"/>
      <c r="I102" s="15"/>
      <c r="J102" s="14"/>
      <c r="K102" s="14"/>
      <c r="L102" s="14"/>
      <c r="M102" s="14"/>
      <c r="N102" s="14"/>
      <c r="O102" s="14"/>
    </row>
    <row r="103" spans="1:15" ht="16.5">
      <c r="A103" s="14"/>
      <c r="B103" s="14"/>
      <c r="C103" s="14"/>
      <c r="D103" s="14"/>
      <c r="E103" s="14"/>
      <c r="F103" s="14"/>
      <c r="G103" s="14"/>
      <c r="H103" s="15"/>
      <c r="I103" s="15"/>
      <c r="J103" s="14"/>
      <c r="K103" s="14"/>
      <c r="L103" s="14"/>
      <c r="M103" s="14"/>
      <c r="N103" s="14"/>
      <c r="O103" s="14"/>
    </row>
    <row r="104" spans="1:15" ht="16.5">
      <c r="A104" s="14"/>
      <c r="B104" s="14"/>
      <c r="C104" s="14"/>
      <c r="D104" s="14"/>
      <c r="E104" s="14"/>
      <c r="F104" s="14"/>
      <c r="G104" s="14"/>
      <c r="H104" s="15"/>
      <c r="I104" s="15"/>
      <c r="J104" s="14"/>
      <c r="K104" s="14"/>
      <c r="L104" s="14"/>
      <c r="M104" s="14"/>
      <c r="N104" s="14"/>
      <c r="O104" s="14"/>
    </row>
    <row r="105" spans="1:15" ht="16.5">
      <c r="A105" s="14"/>
      <c r="B105" s="14"/>
      <c r="C105" s="14"/>
      <c r="D105" s="14"/>
      <c r="E105" s="14"/>
      <c r="F105" s="14"/>
      <c r="G105" s="14"/>
      <c r="H105" s="15"/>
      <c r="I105" s="15"/>
      <c r="J105" s="14"/>
      <c r="K105" s="14"/>
      <c r="L105" s="14"/>
      <c r="M105" s="14"/>
      <c r="N105" s="14"/>
      <c r="O105" s="14"/>
    </row>
    <row r="106" spans="1:15" ht="16.5">
      <c r="A106" s="14"/>
      <c r="B106" s="14"/>
      <c r="C106" s="14"/>
      <c r="D106" s="14"/>
      <c r="E106" s="14"/>
      <c r="F106" s="14"/>
      <c r="G106" s="14"/>
      <c r="H106" s="15"/>
      <c r="I106" s="15"/>
      <c r="J106" s="14"/>
      <c r="K106" s="14"/>
      <c r="L106" s="14"/>
      <c r="M106" s="14"/>
      <c r="N106" s="14"/>
      <c r="O106" s="14"/>
    </row>
    <row r="107" spans="1:15" ht="16.5">
      <c r="A107" s="14"/>
      <c r="B107" s="14"/>
      <c r="C107" s="14"/>
      <c r="D107" s="14"/>
      <c r="E107" s="14"/>
      <c r="F107" s="14"/>
      <c r="G107" s="14"/>
      <c r="H107" s="15"/>
      <c r="I107" s="15"/>
      <c r="J107" s="14"/>
      <c r="K107" s="14"/>
      <c r="L107" s="14"/>
      <c r="M107" s="14"/>
      <c r="N107" s="14"/>
      <c r="O107" s="14"/>
    </row>
    <row r="108" spans="1:15" ht="16.5">
      <c r="A108" s="14"/>
      <c r="B108" s="14"/>
      <c r="C108" s="14"/>
      <c r="D108" s="14"/>
      <c r="E108" s="14"/>
      <c r="F108" s="14"/>
      <c r="G108" s="14"/>
      <c r="H108" s="15"/>
      <c r="I108" s="15"/>
      <c r="J108" s="14"/>
      <c r="K108" s="14"/>
      <c r="L108" s="14"/>
      <c r="M108" s="14"/>
      <c r="N108" s="14"/>
      <c r="O108" s="14"/>
    </row>
    <row r="109" spans="1:15" ht="16.5">
      <c r="A109" s="14"/>
      <c r="B109" s="14"/>
      <c r="C109" s="14"/>
      <c r="D109" s="14"/>
      <c r="E109" s="14"/>
      <c r="F109" s="14"/>
      <c r="G109" s="14"/>
      <c r="H109" s="15"/>
      <c r="I109" s="15"/>
      <c r="J109" s="14"/>
      <c r="K109" s="14"/>
      <c r="L109" s="14"/>
      <c r="M109" s="14"/>
      <c r="N109" s="14"/>
      <c r="O109" s="14"/>
    </row>
    <row r="110" spans="1:15" ht="16.5">
      <c r="A110" s="14"/>
      <c r="B110" s="14"/>
      <c r="C110" s="14"/>
      <c r="D110" s="14"/>
      <c r="E110" s="14"/>
      <c r="F110" s="14"/>
      <c r="G110" s="14"/>
      <c r="H110" s="15"/>
      <c r="I110" s="15"/>
      <c r="J110" s="14"/>
      <c r="K110" s="14"/>
      <c r="L110" s="14"/>
      <c r="M110" s="14"/>
      <c r="N110" s="14"/>
      <c r="O110" s="14"/>
    </row>
    <row r="111" spans="1:15" ht="16.5">
      <c r="A111" s="14"/>
      <c r="B111" s="14"/>
      <c r="C111" s="14"/>
      <c r="D111" s="14"/>
      <c r="E111" s="14"/>
      <c r="F111" s="14"/>
      <c r="G111" s="14"/>
      <c r="H111" s="15"/>
      <c r="I111" s="15"/>
      <c r="J111" s="14"/>
      <c r="K111" s="14"/>
      <c r="L111" s="14"/>
      <c r="M111" s="14"/>
      <c r="N111" s="14"/>
      <c r="O111" s="14"/>
    </row>
    <row r="112" spans="1:15" ht="16.5">
      <c r="A112" s="14"/>
      <c r="B112" s="14"/>
      <c r="C112" s="14"/>
      <c r="D112" s="14"/>
      <c r="E112" s="14"/>
      <c r="F112" s="14"/>
      <c r="G112" s="14"/>
      <c r="H112" s="15"/>
      <c r="I112" s="15"/>
      <c r="J112" s="14"/>
      <c r="K112" s="14"/>
      <c r="L112" s="14"/>
      <c r="M112" s="14"/>
      <c r="N112" s="14"/>
      <c r="O112" s="14"/>
    </row>
    <row r="113" spans="1:15" ht="16.5">
      <c r="A113" s="14"/>
      <c r="B113" s="14"/>
      <c r="C113" s="14"/>
      <c r="D113" s="14"/>
      <c r="E113" s="14"/>
      <c r="F113" s="14"/>
      <c r="G113" s="14"/>
      <c r="H113" s="15"/>
      <c r="I113" s="15"/>
      <c r="J113" s="14"/>
      <c r="K113" s="14"/>
      <c r="L113" s="14"/>
      <c r="M113" s="14"/>
      <c r="N113" s="14"/>
      <c r="O113" s="14"/>
    </row>
    <row r="114" spans="1:15" ht="16.5">
      <c r="A114" s="14"/>
      <c r="B114" s="14"/>
      <c r="C114" s="14"/>
      <c r="D114" s="14"/>
      <c r="E114" s="14"/>
      <c r="F114" s="14"/>
      <c r="G114" s="14"/>
      <c r="H114" s="15"/>
      <c r="I114" s="15"/>
      <c r="J114" s="14"/>
      <c r="K114" s="14"/>
      <c r="L114" s="14"/>
      <c r="M114" s="14"/>
      <c r="N114" s="14"/>
      <c r="O114" s="14"/>
    </row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3" r:id="rId4" name="CommandButton1">
          <controlPr defaultSize="0" autoLine="0" autoPict="0" r:id="rId5">
            <anchor moveWithCells="1">
              <from>
                <xdr:col>9</xdr:col>
                <xdr:colOff>57150</xdr:colOff>
                <xdr:row>2</xdr:row>
                <xdr:rowOff>38100</xdr:rowOff>
              </from>
              <to>
                <xdr:col>11</xdr:col>
                <xdr:colOff>57150</xdr:colOff>
                <xdr:row>3</xdr:row>
                <xdr:rowOff>171450</xdr:rowOff>
              </to>
            </anchor>
          </controlPr>
        </control>
      </mc:Choice>
      <mc:Fallback>
        <control shapeId="3073" r:id="rId4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41915C56-1DCD-4D82-B707-754685847D41}">
          <x14:formula1>
            <xm:f>REF!$H$4:$H$7</xm:f>
          </x14:formula1>
          <xm:sqref>H10</xm:sqref>
        </x14:dataValidation>
        <x14:dataValidation type="list" allowBlank="1" showInputMessage="1" showErrorMessage="1" xr:uid="{C36E3418-B9F7-4E73-A74A-E520DF873976}">
          <x14:formula1>
            <xm:f>REF!$G$4:$G$6</xm:f>
          </x14:formula1>
          <xm:sqref>F4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85DFD2-1790-45C1-878B-6249DE9BF605}">
  <sheetPr codeName="shYield">
    <tabColor rgb="FF00B0F0"/>
  </sheetPr>
  <dimension ref="A1:B15"/>
  <sheetViews>
    <sheetView workbookViewId="0">
      <selection activeCell="D15" sqref="D15"/>
    </sheetView>
  </sheetViews>
  <sheetFormatPr defaultColWidth="9" defaultRowHeight="16.5"/>
  <cols>
    <col min="1" max="1" width="20.75" style="40" bestFit="1" customWidth="1"/>
    <col min="2" max="2" width="8.375" style="99" bestFit="1" customWidth="1"/>
    <col min="3" max="16384" width="9" style="41"/>
  </cols>
  <sheetData>
    <row r="1" spans="1:2" ht="20.100000000000001" customHeight="1"/>
    <row r="2" spans="1:2" ht="20.100000000000001" customHeight="1">
      <c r="A2" s="40" t="s">
        <v>145</v>
      </c>
      <c r="B2" s="155">
        <f>StepTest!B12</f>
        <v>189</v>
      </c>
    </row>
    <row r="3" spans="1:2" ht="20.100000000000001" customHeight="1">
      <c r="A3" s="42" t="s">
        <v>146</v>
      </c>
      <c r="B3" s="156">
        <f>StepTest!G31</f>
        <v>2.88</v>
      </c>
    </row>
    <row r="4" spans="1:2" ht="20.100000000000001" customHeight="1">
      <c r="A4" s="42" t="s">
        <v>147</v>
      </c>
      <c r="B4" s="157">
        <f>StepTest!G46</f>
        <v>6.14</v>
      </c>
    </row>
    <row r="5" spans="1:2" ht="20.100000000000001" customHeight="1">
      <c r="A5" s="43" t="s">
        <v>148</v>
      </c>
      <c r="B5" s="157">
        <f>2/3</f>
        <v>0.66666666666666663</v>
      </c>
    </row>
    <row r="6" spans="1:2" ht="20.100000000000001" customHeight="1">
      <c r="A6" s="42"/>
      <c r="B6" s="157"/>
    </row>
    <row r="7" spans="1:2" ht="20.100000000000001" customHeight="1">
      <c r="A7" s="42" t="s">
        <v>149</v>
      </c>
      <c r="B7" s="157">
        <f>B2*(B4/B3)^(2/3)</f>
        <v>313.07308042315543</v>
      </c>
    </row>
    <row r="8" spans="1:2" ht="20.100000000000001" customHeight="1">
      <c r="A8" s="42" t="s">
        <v>150</v>
      </c>
      <c r="B8" s="157">
        <f>INT(B7)</f>
        <v>313</v>
      </c>
    </row>
    <row r="9" spans="1:2" ht="24.75" customHeight="1">
      <c r="B9" s="157"/>
    </row>
    <row r="10" spans="1:2" ht="24.75" customHeight="1">
      <c r="B10" s="157"/>
    </row>
    <row r="11" spans="1:2">
      <c r="B11" s="158">
        <f>B8/Input!$D$23</f>
        <v>0.90988372093023251</v>
      </c>
    </row>
    <row r="12" spans="1:2" ht="17.25" thickBot="1"/>
    <row r="13" spans="1:2" ht="24.95" customHeight="1">
      <c r="A13" s="44" t="s">
        <v>151</v>
      </c>
      <c r="B13" s="159">
        <f>Input!$D$6</f>
        <v>344</v>
      </c>
    </row>
    <row r="14" spans="1:2" ht="24.95" customHeight="1">
      <c r="A14" s="45" t="s">
        <v>52</v>
      </c>
      <c r="B14" s="160">
        <f>B8</f>
        <v>313</v>
      </c>
    </row>
    <row r="15" spans="1:2" ht="24.95" customHeight="1" thickBot="1">
      <c r="A15" s="46" t="s">
        <v>152</v>
      </c>
      <c r="B15" s="161">
        <f>Input!$M$51</f>
        <v>300</v>
      </c>
    </row>
  </sheetData>
  <phoneticPr fontId="4" type="noConversion"/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097" r:id="rId4" name="CommandButton1">
          <controlPr defaultSize="0" autoLine="0" autoPict="0" r:id="rId5">
            <anchor moveWithCells="1">
              <from>
                <xdr:col>5</xdr:col>
                <xdr:colOff>47625</xdr:colOff>
                <xdr:row>1</xdr:row>
                <xdr:rowOff>57150</xdr:rowOff>
              </from>
              <to>
                <xdr:col>8</xdr:col>
                <xdr:colOff>0</xdr:colOff>
                <xdr:row>2</xdr:row>
                <xdr:rowOff>228600</xdr:rowOff>
              </to>
            </anchor>
          </controlPr>
        </control>
      </mc:Choice>
      <mc:Fallback>
        <control shapeId="4097" r:id="rId4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DFF708-2877-41B5-A474-3FFD156767AA}">
  <sheetPr codeName="shW_StepTEST">
    <tabColor rgb="FF00B050"/>
  </sheetPr>
  <dimension ref="A1:EF715"/>
  <sheetViews>
    <sheetView showGridLines="0" tabSelected="1" zoomScaleNormal="100" zoomScaleSheetLayoutView="100" workbookViewId="0">
      <selection activeCell="J11" sqref="J11"/>
    </sheetView>
  </sheetViews>
  <sheetFormatPr defaultColWidth="9" defaultRowHeight="13.5"/>
  <cols>
    <col min="1" max="1" width="5.25" style="47" customWidth="1"/>
    <col min="2" max="2" width="17" style="47" customWidth="1"/>
    <col min="3" max="3" width="12.375" style="47" customWidth="1"/>
    <col min="4" max="4" width="8.75" style="47" customWidth="1"/>
    <col min="5" max="5" width="5.75" style="47" customWidth="1"/>
    <col min="6" max="6" width="13.625" style="47" customWidth="1"/>
    <col min="7" max="7" width="7.875" style="47" customWidth="1"/>
    <col min="8" max="8" width="8.125" style="47" customWidth="1"/>
    <col min="9" max="9" width="10.375" style="48" customWidth="1"/>
    <col min="10" max="10" width="10.875" style="47" customWidth="1"/>
    <col min="11" max="15" width="9" style="47"/>
    <col min="16" max="16" width="9.875" style="47" bestFit="1" customWidth="1"/>
    <col min="17" max="17" width="11.125" style="47" customWidth="1"/>
    <col min="18" max="18" width="9" style="47"/>
    <col min="19" max="19" width="3.75" style="47" bestFit="1" customWidth="1"/>
    <col min="20" max="20" width="5.375" style="47" bestFit="1" customWidth="1"/>
    <col min="21" max="21" width="7.375" style="50" bestFit="1" customWidth="1"/>
    <col min="22" max="23" width="8.75" style="47" customWidth="1"/>
    <col min="24" max="24" width="9.125" style="47" customWidth="1"/>
    <col min="25" max="25" width="7.375" style="47" customWidth="1"/>
    <col min="26" max="26" width="9" style="6" bestFit="1" customWidth="1"/>
    <col min="27" max="27" width="6.375" style="6" bestFit="1" customWidth="1"/>
    <col min="28" max="28" width="7.25" style="6" customWidth="1"/>
    <col min="29" max="29" width="6.625" style="6" customWidth="1"/>
    <col min="30" max="30" width="6.75" style="6" bestFit="1" customWidth="1"/>
    <col min="31" max="31" width="7.125" style="6" customWidth="1"/>
    <col min="32" max="32" width="6.875" style="6" customWidth="1"/>
    <col min="33" max="33" width="6.25" style="6" customWidth="1"/>
    <col min="34" max="34" width="5.375" style="6" customWidth="1"/>
    <col min="35" max="16384" width="9" style="47"/>
  </cols>
  <sheetData>
    <row r="1" spans="1:136" ht="26.25">
      <c r="A1" s="149" t="s">
        <v>153</v>
      </c>
      <c r="B1" s="150"/>
      <c r="C1" s="150"/>
      <c r="D1" s="150"/>
      <c r="E1" s="150"/>
      <c r="F1" s="150"/>
      <c r="G1" s="150"/>
      <c r="H1" s="150"/>
      <c r="I1" s="151"/>
      <c r="J1" s="49"/>
    </row>
    <row r="2" spans="1:136" s="49" customFormat="1" ht="20.25">
      <c r="A2" s="152"/>
      <c r="B2" s="150"/>
      <c r="C2" s="150"/>
      <c r="D2" s="150"/>
      <c r="E2" s="150"/>
      <c r="F2" s="150"/>
      <c r="G2" s="150"/>
      <c r="H2" s="150"/>
      <c r="I2" s="151"/>
      <c r="J2" s="51"/>
      <c r="Q2" s="296" t="s">
        <v>154</v>
      </c>
      <c r="T2" s="297" t="s">
        <v>155</v>
      </c>
      <c r="U2" s="298"/>
      <c r="V2" s="297"/>
    </row>
    <row r="3" spans="1:136" s="51" customFormat="1" ht="26.25">
      <c r="A3" s="153" t="s">
        <v>156</v>
      </c>
      <c r="B3" s="153"/>
      <c r="C3" s="153"/>
      <c r="D3" s="153"/>
      <c r="E3" s="153"/>
      <c r="F3" s="153"/>
      <c r="G3" s="153"/>
      <c r="H3" s="154"/>
      <c r="I3" s="153"/>
      <c r="Q3" s="289" t="s">
        <v>157</v>
      </c>
      <c r="S3" s="53" t="s">
        <v>13</v>
      </c>
      <c r="T3" s="53" t="s">
        <v>28</v>
      </c>
      <c r="U3" s="54" t="s">
        <v>158</v>
      </c>
      <c r="V3" s="53" t="s">
        <v>32</v>
      </c>
      <c r="W3" s="53" t="s">
        <v>159</v>
      </c>
      <c r="X3" s="53" t="s">
        <v>39</v>
      </c>
      <c r="Y3" s="53" t="s">
        <v>12</v>
      </c>
      <c r="AC3" s="51">
        <v>0</v>
      </c>
      <c r="AI3" s="53"/>
    </row>
    <row r="4" spans="1:136" s="51" customFormat="1" ht="23.1" customHeight="1">
      <c r="A4" s="458" t="s">
        <v>160</v>
      </c>
      <c r="B4" s="458"/>
      <c r="C4" s="302" t="str">
        <f>Input!I44</f>
        <v>농업용 대형관정 사후관리 및 연장허가 용역 (외산,내산지구)</v>
      </c>
      <c r="D4" s="303"/>
      <c r="E4" s="303"/>
      <c r="F4" s="303"/>
      <c r="G4" s="303"/>
      <c r="H4" s="304"/>
      <c r="I4" s="305"/>
      <c r="P4" s="51">
        <v>1</v>
      </c>
      <c r="Q4" s="372"/>
      <c r="R4" s="55">
        <f>B12</f>
        <v>189</v>
      </c>
      <c r="S4" s="51">
        <f>$R$4</f>
        <v>189</v>
      </c>
      <c r="T4" s="300">
        <v>19.038108781900078</v>
      </c>
      <c r="U4" s="299">
        <f>Input!M44/2/1000</f>
        <v>0.85</v>
      </c>
      <c r="V4" s="289">
        <v>5.0000000000000001E-4</v>
      </c>
      <c r="W4" s="51">
        <f t="shared" ref="W4:W43" si="0">X4/1440</f>
        <v>6.9444444444444447E-4</v>
      </c>
      <c r="X4" s="56">
        <f>D12</f>
        <v>1</v>
      </c>
      <c r="Y4" s="57">
        <f t="shared" ref="Y4:Y43" si="1">2.3*S4/(4*PI()*T4)*LOG10((2.25*T4*W4)/(U4*U4*V4))</f>
        <v>3.4807189393527023</v>
      </c>
      <c r="Z4" s="58">
        <f>Z22</f>
        <v>4.3786003524767017</v>
      </c>
      <c r="AA4" s="57">
        <f>$Z$4</f>
        <v>4.3786003524767017</v>
      </c>
      <c r="AB4" s="57">
        <f>X4</f>
        <v>1</v>
      </c>
      <c r="AC4" s="57">
        <f>Y4-AA4</f>
        <v>-0.89788141312399938</v>
      </c>
      <c r="AD4" s="59">
        <f>INT((AC4-AE4)*100)/100</f>
        <v>-0.9</v>
      </c>
      <c r="AE4" s="60">
        <f>Q4</f>
        <v>0</v>
      </c>
      <c r="AF4" s="58">
        <f t="shared" ref="AF4:AF21" si="2">AF5-0.01</f>
        <v>0.80999999999999983</v>
      </c>
      <c r="AG4" s="57"/>
      <c r="AH4" s="57"/>
      <c r="AI4" s="57"/>
    </row>
    <row r="5" spans="1:136" s="51" customFormat="1" ht="23.1" customHeight="1">
      <c r="A5" s="458" t="s">
        <v>161</v>
      </c>
      <c r="B5" s="458"/>
      <c r="C5" s="306" t="str">
        <f>Input!I45</f>
        <v>외산지구</v>
      </c>
      <c r="D5" s="303"/>
      <c r="E5" s="303"/>
      <c r="F5" s="307"/>
      <c r="G5" s="303"/>
      <c r="H5" s="308" t="str">
        <f>Input!J48</f>
        <v>공  번 : W - 1</v>
      </c>
      <c r="I5" s="309"/>
      <c r="P5" s="51">
        <v>2</v>
      </c>
      <c r="Q5" s="372"/>
      <c r="S5" s="51">
        <f t="shared" ref="S5:S23" si="3">$R$4</f>
        <v>189</v>
      </c>
      <c r="T5" s="51">
        <f>$T4</f>
        <v>19.038108781900078</v>
      </c>
      <c r="U5" s="61">
        <f>$U4</f>
        <v>0.85</v>
      </c>
      <c r="V5" s="51">
        <f>$V4</f>
        <v>5.0000000000000001E-4</v>
      </c>
      <c r="W5" s="51">
        <f t="shared" si="0"/>
        <v>1.3888888888888889E-3</v>
      </c>
      <c r="X5" s="56">
        <f t="shared" ref="X5:X43" si="4">D13</f>
        <v>2</v>
      </c>
      <c r="Y5" s="57">
        <f t="shared" si="1"/>
        <v>4.0276917574144244</v>
      </c>
      <c r="AA5" s="57">
        <f t="shared" ref="AA5:AA23" si="5">$Z$4</f>
        <v>4.3786003524767017</v>
      </c>
      <c r="AB5" s="57">
        <f t="shared" ref="AB5:AB43" si="6">X5</f>
        <v>2</v>
      </c>
      <c r="AC5" s="57">
        <f t="shared" ref="AC5:AC43" si="7">Y5-AA5</f>
        <v>-0.35090859506227723</v>
      </c>
      <c r="AD5" s="59">
        <f t="shared" ref="AD5:AD16" si="8">INT((AC5-AE5)*100)/100</f>
        <v>-0.36</v>
      </c>
      <c r="AE5" s="60">
        <f t="shared" ref="AE5:AE16" si="9">Q5</f>
        <v>0</v>
      </c>
      <c r="AF5" s="58">
        <f t="shared" si="2"/>
        <v>0.81999999999999984</v>
      </c>
      <c r="AG5" s="57"/>
      <c r="AH5" s="57"/>
      <c r="AI5" s="57"/>
    </row>
    <row r="6" spans="1:136" s="51" customFormat="1" ht="23.1" customHeight="1">
      <c r="A6" s="458" t="s">
        <v>162</v>
      </c>
      <c r="B6" s="458"/>
      <c r="C6" s="310" t="str">
        <f>Input!I46</f>
        <v>충청남도 부여군 외산면 반교리 574</v>
      </c>
      <c r="D6" s="303"/>
      <c r="E6" s="303"/>
      <c r="F6" s="303"/>
      <c r="G6" s="303"/>
      <c r="H6" s="304"/>
      <c r="I6" s="305"/>
      <c r="P6" s="51">
        <v>3</v>
      </c>
      <c r="Q6" s="372"/>
      <c r="S6" s="51">
        <f t="shared" si="3"/>
        <v>189</v>
      </c>
      <c r="T6" s="51">
        <f t="shared" ref="T6:T51" si="10">$T5</f>
        <v>19.038108781900078</v>
      </c>
      <c r="U6" s="61">
        <f t="shared" ref="U6:U51" si="11">$U5</f>
        <v>0.85</v>
      </c>
      <c r="V6" s="51">
        <f t="shared" ref="V6:V51" si="12">$V5</f>
        <v>5.0000000000000001E-4</v>
      </c>
      <c r="W6" s="51">
        <f t="shared" si="0"/>
        <v>2.0833333333333333E-3</v>
      </c>
      <c r="X6" s="56">
        <f t="shared" si="4"/>
        <v>3</v>
      </c>
      <c r="Y6" s="57">
        <f t="shared" si="1"/>
        <v>4.3476503448943076</v>
      </c>
      <c r="AA6" s="57">
        <f t="shared" si="5"/>
        <v>4.3786003524767017</v>
      </c>
      <c r="AB6" s="57">
        <f t="shared" si="6"/>
        <v>3</v>
      </c>
      <c r="AC6" s="57">
        <f t="shared" si="7"/>
        <v>-3.0950007582394079E-2</v>
      </c>
      <c r="AD6" s="59">
        <f t="shared" si="8"/>
        <v>-0.04</v>
      </c>
      <c r="AE6" s="60">
        <f t="shared" si="9"/>
        <v>0</v>
      </c>
      <c r="AF6" s="58">
        <f t="shared" si="2"/>
        <v>0.82999999999999985</v>
      </c>
      <c r="AG6" s="57"/>
      <c r="AH6" s="57"/>
      <c r="AI6" s="57"/>
    </row>
    <row r="7" spans="1:136" s="51" customFormat="1" ht="23.1" customHeight="1">
      <c r="A7" s="458" t="s">
        <v>163</v>
      </c>
      <c r="B7" s="458"/>
      <c r="C7" s="311" t="str">
        <f>Input!I47</f>
        <v>부여지하수개발주식회사</v>
      </c>
      <c r="D7" s="312"/>
      <c r="E7" s="303"/>
      <c r="F7" s="313"/>
      <c r="G7" s="314" t="str">
        <f>Input!I49</f>
        <v>외산지구</v>
      </c>
      <c r="H7" s="315"/>
      <c r="I7" s="316"/>
      <c r="P7" s="51">
        <v>4</v>
      </c>
      <c r="Q7" s="372"/>
      <c r="S7" s="51">
        <f t="shared" si="3"/>
        <v>189</v>
      </c>
      <c r="T7" s="51">
        <f t="shared" si="10"/>
        <v>19.038108781900078</v>
      </c>
      <c r="U7" s="61">
        <f t="shared" si="11"/>
        <v>0.85</v>
      </c>
      <c r="V7" s="51">
        <f t="shared" si="12"/>
        <v>5.0000000000000001E-4</v>
      </c>
      <c r="W7" s="51">
        <f t="shared" si="0"/>
        <v>2.7777777777777779E-3</v>
      </c>
      <c r="X7" s="56">
        <f t="shared" si="4"/>
        <v>4</v>
      </c>
      <c r="Y7" s="57">
        <f t="shared" si="1"/>
        <v>4.574664575476147</v>
      </c>
      <c r="AA7" s="57">
        <f t="shared" si="5"/>
        <v>4.3786003524767017</v>
      </c>
      <c r="AB7" s="57">
        <f t="shared" si="6"/>
        <v>4</v>
      </c>
      <c r="AC7" s="57">
        <f t="shared" si="7"/>
        <v>0.19606422299944537</v>
      </c>
      <c r="AD7" s="59">
        <f t="shared" si="8"/>
        <v>0.19</v>
      </c>
      <c r="AE7" s="60">
        <f t="shared" si="9"/>
        <v>0</v>
      </c>
      <c r="AF7" s="58">
        <f t="shared" si="2"/>
        <v>0.83999999999999986</v>
      </c>
      <c r="AG7" s="57"/>
      <c r="AH7" s="57"/>
      <c r="AI7" s="57"/>
    </row>
    <row r="8" spans="1:136" s="51" customFormat="1" ht="23.1" customHeight="1">
      <c r="A8" s="317" t="s">
        <v>164</v>
      </c>
      <c r="B8" s="317"/>
      <c r="C8" s="459">
        <f>Input!I48</f>
        <v>15</v>
      </c>
      <c r="D8" s="460"/>
      <c r="E8" s="461"/>
      <c r="F8" s="318" t="s">
        <v>165</v>
      </c>
      <c r="G8" s="314" t="str">
        <f>G7</f>
        <v>외산지구</v>
      </c>
      <c r="H8" s="315"/>
      <c r="I8" s="319"/>
      <c r="K8" s="62"/>
      <c r="P8" s="51">
        <v>5</v>
      </c>
      <c r="Q8" s="372"/>
      <c r="S8" s="51">
        <f t="shared" si="3"/>
        <v>189</v>
      </c>
      <c r="T8" s="51">
        <f t="shared" si="10"/>
        <v>19.038108781900078</v>
      </c>
      <c r="U8" s="61">
        <f t="shared" si="11"/>
        <v>0.85</v>
      </c>
      <c r="V8" s="51">
        <f t="shared" si="12"/>
        <v>5.0000000000000001E-4</v>
      </c>
      <c r="W8" s="51">
        <f t="shared" si="0"/>
        <v>3.472222222222222E-3</v>
      </c>
      <c r="X8" s="56">
        <f t="shared" si="4"/>
        <v>5</v>
      </c>
      <c r="Y8" s="57">
        <f t="shared" si="1"/>
        <v>4.7507504927499289</v>
      </c>
      <c r="AA8" s="57">
        <f t="shared" si="5"/>
        <v>4.3786003524767017</v>
      </c>
      <c r="AB8" s="57">
        <f t="shared" si="6"/>
        <v>5</v>
      </c>
      <c r="AC8" s="57">
        <f t="shared" si="7"/>
        <v>0.37215014027322724</v>
      </c>
      <c r="AD8" s="59">
        <f t="shared" si="8"/>
        <v>0.37</v>
      </c>
      <c r="AE8" s="60">
        <f t="shared" si="9"/>
        <v>0</v>
      </c>
      <c r="AF8" s="58">
        <f t="shared" si="2"/>
        <v>0.84999999999999987</v>
      </c>
      <c r="AG8" s="57"/>
      <c r="AH8" s="57"/>
      <c r="AI8" s="57"/>
    </row>
    <row r="9" spans="1:136" s="51" customFormat="1" ht="23.1" customHeight="1">
      <c r="A9" s="317" t="s">
        <v>166</v>
      </c>
      <c r="B9" s="317"/>
      <c r="C9" s="320" t="s">
        <v>167</v>
      </c>
      <c r="D9" s="462">
        <f>Input!M44</f>
        <v>1700</v>
      </c>
      <c r="E9" s="462"/>
      <c r="F9" s="301" t="s">
        <v>168</v>
      </c>
      <c r="G9" s="463">
        <f>Input!M45</f>
        <v>20</v>
      </c>
      <c r="H9" s="463"/>
      <c r="I9" s="301"/>
      <c r="P9" s="51">
        <v>10</v>
      </c>
      <c r="Q9" s="372"/>
      <c r="S9" s="51">
        <f t="shared" si="3"/>
        <v>189</v>
      </c>
      <c r="T9" s="51">
        <f t="shared" si="10"/>
        <v>19.038108781900078</v>
      </c>
      <c r="U9" s="61">
        <f t="shared" si="11"/>
        <v>0.85</v>
      </c>
      <c r="V9" s="51">
        <f t="shared" si="12"/>
        <v>5.0000000000000001E-4</v>
      </c>
      <c r="W9" s="51">
        <f t="shared" si="0"/>
        <v>6.9444444444444441E-3</v>
      </c>
      <c r="X9" s="56">
        <f t="shared" si="4"/>
        <v>10</v>
      </c>
      <c r="Y9" s="57">
        <f t="shared" si="1"/>
        <v>5.2977233108116515</v>
      </c>
      <c r="AA9" s="57">
        <f t="shared" si="5"/>
        <v>4.3786003524767017</v>
      </c>
      <c r="AB9" s="57">
        <f t="shared" si="6"/>
        <v>10</v>
      </c>
      <c r="AC9" s="57">
        <f t="shared" si="7"/>
        <v>0.91912295833494984</v>
      </c>
      <c r="AD9" s="59">
        <f t="shared" si="8"/>
        <v>0.91</v>
      </c>
      <c r="AE9" s="60">
        <f t="shared" si="9"/>
        <v>0</v>
      </c>
      <c r="AF9" s="58">
        <f t="shared" si="2"/>
        <v>0.85999999999999988</v>
      </c>
      <c r="AG9" s="57"/>
      <c r="AH9" s="57"/>
      <c r="AI9" s="57"/>
    </row>
    <row r="10" spans="1:136" s="51" customFormat="1" ht="23.1" customHeight="1">
      <c r="A10" s="317" t="s">
        <v>169</v>
      </c>
      <c r="B10" s="317"/>
      <c r="C10" s="320" t="s">
        <v>217</v>
      </c>
      <c r="D10" s="464">
        <f>Input!M48</f>
        <v>3.6</v>
      </c>
      <c r="E10" s="465"/>
      <c r="F10" s="321" t="s">
        <v>4</v>
      </c>
      <c r="G10" s="466" t="s">
        <v>4</v>
      </c>
      <c r="H10" s="466"/>
      <c r="I10" s="309"/>
      <c r="P10" s="51">
        <v>15</v>
      </c>
      <c r="Q10" s="372"/>
      <c r="S10" s="51">
        <f t="shared" si="3"/>
        <v>189</v>
      </c>
      <c r="T10" s="51">
        <f t="shared" si="10"/>
        <v>19.038108781900078</v>
      </c>
      <c r="U10" s="61">
        <f t="shared" si="11"/>
        <v>0.85</v>
      </c>
      <c r="V10" s="51">
        <f t="shared" si="12"/>
        <v>5.0000000000000001E-4</v>
      </c>
      <c r="W10" s="51">
        <f t="shared" si="0"/>
        <v>1.0416666666666666E-2</v>
      </c>
      <c r="X10" s="56">
        <f t="shared" si="4"/>
        <v>15</v>
      </c>
      <c r="Y10" s="57">
        <f t="shared" si="1"/>
        <v>5.6176818982915346</v>
      </c>
      <c r="AA10" s="57">
        <f t="shared" si="5"/>
        <v>4.3786003524767017</v>
      </c>
      <c r="AB10" s="57">
        <f t="shared" si="6"/>
        <v>15</v>
      </c>
      <c r="AC10" s="57">
        <f t="shared" si="7"/>
        <v>1.239081545814833</v>
      </c>
      <c r="AD10" s="59">
        <f t="shared" si="8"/>
        <v>1.23</v>
      </c>
      <c r="AE10" s="60">
        <f t="shared" si="9"/>
        <v>0</v>
      </c>
      <c r="AF10" s="58">
        <f t="shared" si="2"/>
        <v>0.86999999999999988</v>
      </c>
      <c r="AG10" s="57"/>
      <c r="AH10" s="57"/>
      <c r="AI10" s="57"/>
    </row>
    <row r="11" spans="1:136" s="51" customFormat="1" ht="23.1" customHeight="1">
      <c r="A11" s="301" t="s">
        <v>170</v>
      </c>
      <c r="B11" s="322" t="s">
        <v>171</v>
      </c>
      <c r="C11" s="320" t="s">
        <v>172</v>
      </c>
      <c r="D11" s="467" t="s">
        <v>173</v>
      </c>
      <c r="E11" s="467"/>
      <c r="F11" s="322" t="s">
        <v>174</v>
      </c>
      <c r="G11" s="468" t="s">
        <v>175</v>
      </c>
      <c r="H11" s="468"/>
      <c r="I11" s="301" t="s">
        <v>176</v>
      </c>
      <c r="J11" s="63">
        <f>G12-J13</f>
        <v>-1.44</v>
      </c>
      <c r="P11" s="51">
        <v>20</v>
      </c>
      <c r="Q11" s="372"/>
      <c r="S11" s="51">
        <f t="shared" si="3"/>
        <v>189</v>
      </c>
      <c r="T11" s="51">
        <f t="shared" si="10"/>
        <v>19.038108781900078</v>
      </c>
      <c r="U11" s="61">
        <f t="shared" si="11"/>
        <v>0.85</v>
      </c>
      <c r="V11" s="51">
        <f t="shared" si="12"/>
        <v>5.0000000000000001E-4</v>
      </c>
      <c r="W11" s="51">
        <f t="shared" si="0"/>
        <v>1.3888888888888888E-2</v>
      </c>
      <c r="X11" s="56">
        <f t="shared" si="4"/>
        <v>20</v>
      </c>
      <c r="Y11" s="57">
        <f t="shared" si="1"/>
        <v>5.8446961288733741</v>
      </c>
      <c r="AA11" s="57">
        <f t="shared" si="5"/>
        <v>4.3786003524767017</v>
      </c>
      <c r="AB11" s="57">
        <f t="shared" si="6"/>
        <v>20</v>
      </c>
      <c r="AC11" s="57">
        <f t="shared" si="7"/>
        <v>1.4660957763966724</v>
      </c>
      <c r="AD11" s="59">
        <f t="shared" si="8"/>
        <v>1.46</v>
      </c>
      <c r="AE11" s="60">
        <f t="shared" si="9"/>
        <v>0</v>
      </c>
      <c r="AF11" s="58">
        <f t="shared" si="2"/>
        <v>0.87999999999999989</v>
      </c>
      <c r="AG11" s="57"/>
      <c r="AH11" s="57"/>
      <c r="AI11" s="57"/>
    </row>
    <row r="12" spans="1:136" s="51" customFormat="1" ht="23.1" customHeight="1">
      <c r="A12" s="323">
        <v>1</v>
      </c>
      <c r="B12" s="324">
        <f>Input!D20</f>
        <v>189</v>
      </c>
      <c r="C12" s="325">
        <v>44992.479166666664</v>
      </c>
      <c r="D12" s="456">
        <v>1</v>
      </c>
      <c r="E12" s="456"/>
      <c r="F12" s="326">
        <f>G12+$D$10</f>
        <v>2.7</v>
      </c>
      <c r="G12" s="457">
        <f>AD4</f>
        <v>-0.9</v>
      </c>
      <c r="H12" s="457"/>
      <c r="I12" s="301" t="s">
        <v>177</v>
      </c>
      <c r="J12" s="64"/>
      <c r="P12" s="51">
        <v>25</v>
      </c>
      <c r="Q12" s="372"/>
      <c r="S12" s="51">
        <f t="shared" si="3"/>
        <v>189</v>
      </c>
      <c r="T12" s="51">
        <f t="shared" si="10"/>
        <v>19.038108781900078</v>
      </c>
      <c r="U12" s="61">
        <f t="shared" si="11"/>
        <v>0.85</v>
      </c>
      <c r="V12" s="51">
        <f t="shared" si="12"/>
        <v>5.0000000000000001E-4</v>
      </c>
      <c r="W12" s="51">
        <f t="shared" si="0"/>
        <v>1.7361111111111112E-2</v>
      </c>
      <c r="X12" s="56">
        <f t="shared" si="4"/>
        <v>25</v>
      </c>
      <c r="Y12" s="57">
        <f t="shared" si="1"/>
        <v>6.020782046147156</v>
      </c>
      <c r="AA12" s="57">
        <f t="shared" si="5"/>
        <v>4.3786003524767017</v>
      </c>
      <c r="AB12" s="57">
        <f t="shared" si="6"/>
        <v>25</v>
      </c>
      <c r="AC12" s="57">
        <f t="shared" si="7"/>
        <v>1.6421816936704543</v>
      </c>
      <c r="AD12" s="59">
        <f t="shared" si="8"/>
        <v>1.64</v>
      </c>
      <c r="AE12" s="60">
        <f t="shared" si="9"/>
        <v>0</v>
      </c>
      <c r="AF12" s="58">
        <f t="shared" si="2"/>
        <v>0.8899999999999999</v>
      </c>
      <c r="AG12" s="57"/>
      <c r="AH12" s="57"/>
      <c r="AI12" s="57"/>
      <c r="EF12" s="51">
        <v>2.46</v>
      </c>
    </row>
    <row r="13" spans="1:136" s="51" customFormat="1" ht="23.1" customHeight="1">
      <c r="A13" s="323"/>
      <c r="B13" s="323"/>
      <c r="C13" s="325"/>
      <c r="D13" s="456">
        <v>2</v>
      </c>
      <c r="E13" s="456"/>
      <c r="F13" s="326">
        <f t="shared" ref="F13:F51" si="13">G13+$D$10</f>
        <v>3.24</v>
      </c>
      <c r="G13" s="457">
        <f t="shared" ref="G13:G51" si="14">AD5</f>
        <v>-0.36</v>
      </c>
      <c r="H13" s="457"/>
      <c r="I13" s="327"/>
      <c r="J13" s="328">
        <f>G13-G12</f>
        <v>0.54</v>
      </c>
      <c r="P13" s="51">
        <v>30</v>
      </c>
      <c r="Q13" s="372"/>
      <c r="S13" s="51">
        <f t="shared" si="3"/>
        <v>189</v>
      </c>
      <c r="T13" s="51">
        <f t="shared" si="10"/>
        <v>19.038108781900078</v>
      </c>
      <c r="U13" s="61">
        <f t="shared" si="11"/>
        <v>0.85</v>
      </c>
      <c r="V13" s="51">
        <f t="shared" si="12"/>
        <v>5.0000000000000001E-4</v>
      </c>
      <c r="W13" s="51">
        <f t="shared" si="0"/>
        <v>2.0833333333333332E-2</v>
      </c>
      <c r="X13" s="56">
        <f t="shared" si="4"/>
        <v>30</v>
      </c>
      <c r="Y13" s="57">
        <f t="shared" si="1"/>
        <v>6.1646547163532572</v>
      </c>
      <c r="AA13" s="57">
        <f t="shared" si="5"/>
        <v>4.3786003524767017</v>
      </c>
      <c r="AB13" s="57">
        <f t="shared" si="6"/>
        <v>30</v>
      </c>
      <c r="AC13" s="57">
        <f t="shared" si="7"/>
        <v>1.7860543638765556</v>
      </c>
      <c r="AD13" s="59">
        <f t="shared" si="8"/>
        <v>1.78</v>
      </c>
      <c r="AE13" s="60">
        <f t="shared" si="9"/>
        <v>0</v>
      </c>
      <c r="AF13" s="58">
        <f t="shared" si="2"/>
        <v>0.89999999999999991</v>
      </c>
      <c r="AG13" s="57"/>
      <c r="AH13" s="57"/>
      <c r="AI13" s="57"/>
      <c r="EF13" s="51">
        <v>3.77</v>
      </c>
    </row>
    <row r="14" spans="1:136" s="51" customFormat="1" ht="23.1" customHeight="1">
      <c r="A14" s="323"/>
      <c r="B14" s="323"/>
      <c r="C14" s="325"/>
      <c r="D14" s="456">
        <v>3</v>
      </c>
      <c r="E14" s="456"/>
      <c r="F14" s="326">
        <f t="shared" si="13"/>
        <v>3.56</v>
      </c>
      <c r="G14" s="457">
        <f t="shared" si="14"/>
        <v>-0.04</v>
      </c>
      <c r="H14" s="457"/>
      <c r="I14" s="327"/>
      <c r="J14" s="328">
        <f t="shared" ref="J14:J51" si="15">G14-G13</f>
        <v>0.32</v>
      </c>
      <c r="Q14" s="372"/>
      <c r="S14" s="51">
        <f t="shared" si="3"/>
        <v>189</v>
      </c>
      <c r="T14" s="51">
        <f t="shared" si="10"/>
        <v>19.038108781900078</v>
      </c>
      <c r="U14" s="61">
        <f t="shared" si="11"/>
        <v>0.85</v>
      </c>
      <c r="V14" s="51">
        <f t="shared" si="12"/>
        <v>5.0000000000000001E-4</v>
      </c>
      <c r="W14" s="51">
        <f t="shared" si="0"/>
        <v>2.4305555555555556E-2</v>
      </c>
      <c r="X14" s="56">
        <f t="shared" si="4"/>
        <v>35</v>
      </c>
      <c r="Y14" s="57">
        <f t="shared" si="1"/>
        <v>6.2862973257672241</v>
      </c>
      <c r="AA14" s="57">
        <f t="shared" si="5"/>
        <v>4.3786003524767017</v>
      </c>
      <c r="AB14" s="57">
        <f t="shared" si="6"/>
        <v>35</v>
      </c>
      <c r="AC14" s="57">
        <f t="shared" si="7"/>
        <v>1.9076969732905225</v>
      </c>
      <c r="AD14" s="59">
        <f t="shared" si="8"/>
        <v>1.9</v>
      </c>
      <c r="AE14" s="60">
        <f t="shared" si="9"/>
        <v>0</v>
      </c>
      <c r="AF14" s="58">
        <f t="shared" si="2"/>
        <v>0.90999999999999992</v>
      </c>
      <c r="AG14" s="57"/>
      <c r="AH14" s="57"/>
      <c r="AI14" s="57"/>
      <c r="EF14" s="51">
        <v>4.87</v>
      </c>
    </row>
    <row r="15" spans="1:136" s="51" customFormat="1" ht="23.1" customHeight="1">
      <c r="A15" s="323"/>
      <c r="B15" s="323"/>
      <c r="C15" s="325"/>
      <c r="D15" s="456">
        <v>4</v>
      </c>
      <c r="E15" s="456"/>
      <c r="F15" s="326">
        <f t="shared" si="13"/>
        <v>3.79</v>
      </c>
      <c r="G15" s="457">
        <f t="shared" si="14"/>
        <v>0.19</v>
      </c>
      <c r="H15" s="457"/>
      <c r="I15" s="327"/>
      <c r="J15" s="328">
        <f t="shared" si="15"/>
        <v>0.23</v>
      </c>
      <c r="Q15" s="372"/>
      <c r="S15" s="51">
        <f t="shared" si="3"/>
        <v>189</v>
      </c>
      <c r="T15" s="51">
        <f t="shared" si="10"/>
        <v>19.038108781900078</v>
      </c>
      <c r="U15" s="61">
        <f t="shared" si="11"/>
        <v>0.85</v>
      </c>
      <c r="V15" s="51">
        <f t="shared" si="12"/>
        <v>5.0000000000000001E-4</v>
      </c>
      <c r="W15" s="51">
        <f t="shared" si="0"/>
        <v>2.7777777777777776E-2</v>
      </c>
      <c r="X15" s="56">
        <f t="shared" si="4"/>
        <v>40</v>
      </c>
      <c r="Y15" s="57">
        <f t="shared" si="1"/>
        <v>6.3916689469350967</v>
      </c>
      <c r="AA15" s="57">
        <f t="shared" si="5"/>
        <v>4.3786003524767017</v>
      </c>
      <c r="AB15" s="57">
        <f t="shared" si="6"/>
        <v>40</v>
      </c>
      <c r="AC15" s="57">
        <f t="shared" si="7"/>
        <v>2.013068594458395</v>
      </c>
      <c r="AD15" s="59">
        <f t="shared" si="8"/>
        <v>2.0099999999999998</v>
      </c>
      <c r="AE15" s="60">
        <f t="shared" si="9"/>
        <v>0</v>
      </c>
      <c r="AF15" s="58">
        <f t="shared" si="2"/>
        <v>0.91999999999999993</v>
      </c>
      <c r="AG15" s="57"/>
      <c r="AH15" s="57"/>
      <c r="AI15" s="57"/>
      <c r="EF15" s="51">
        <v>5.79</v>
      </c>
    </row>
    <row r="16" spans="1:136" s="51" customFormat="1" ht="23.1" customHeight="1">
      <c r="A16" s="323"/>
      <c r="B16" s="323"/>
      <c r="C16" s="325"/>
      <c r="D16" s="456">
        <v>5</v>
      </c>
      <c r="E16" s="456"/>
      <c r="F16" s="326">
        <f t="shared" si="13"/>
        <v>3.97</v>
      </c>
      <c r="G16" s="457">
        <f t="shared" si="14"/>
        <v>0.37</v>
      </c>
      <c r="H16" s="457"/>
      <c r="I16" s="327"/>
      <c r="J16" s="328">
        <f t="shared" si="15"/>
        <v>0.18</v>
      </c>
      <c r="K16" s="387" t="s">
        <v>247</v>
      </c>
      <c r="L16" s="388" t="s">
        <v>178</v>
      </c>
      <c r="M16" s="388" t="s">
        <v>179</v>
      </c>
      <c r="N16" s="388" t="s">
        <v>245</v>
      </c>
      <c r="O16" s="388" t="s">
        <v>246</v>
      </c>
      <c r="P16" s="388" t="s">
        <v>248</v>
      </c>
      <c r="S16" s="51">
        <f t="shared" si="3"/>
        <v>189</v>
      </c>
      <c r="T16" s="51">
        <f t="shared" si="10"/>
        <v>19.038108781900078</v>
      </c>
      <c r="U16" s="61">
        <f t="shared" si="11"/>
        <v>0.85</v>
      </c>
      <c r="V16" s="51">
        <f t="shared" si="12"/>
        <v>5.0000000000000001E-4</v>
      </c>
      <c r="W16" s="51">
        <f t="shared" si="0"/>
        <v>3.125E-2</v>
      </c>
      <c r="X16" s="56">
        <f t="shared" si="4"/>
        <v>45</v>
      </c>
      <c r="Y16" s="57">
        <f t="shared" si="1"/>
        <v>6.4846133038331395</v>
      </c>
      <c r="AA16" s="57">
        <f t="shared" si="5"/>
        <v>4.3786003524767017</v>
      </c>
      <c r="AB16" s="57">
        <f t="shared" si="6"/>
        <v>45</v>
      </c>
      <c r="AC16" s="57">
        <f t="shared" si="7"/>
        <v>2.1060129513564378</v>
      </c>
      <c r="AD16" s="59">
        <f t="shared" si="8"/>
        <v>2.1</v>
      </c>
      <c r="AE16" s="60">
        <f t="shared" si="9"/>
        <v>0</v>
      </c>
      <c r="AF16" s="58">
        <f t="shared" si="2"/>
        <v>0.92999999999999994</v>
      </c>
      <c r="AG16" s="57"/>
      <c r="AH16" s="57"/>
      <c r="AI16" s="57"/>
      <c r="EF16" s="51">
        <v>6.75</v>
      </c>
    </row>
    <row r="17" spans="1:136" s="51" customFormat="1" ht="23.1" customHeight="1">
      <c r="A17" s="323"/>
      <c r="B17" s="323"/>
      <c r="C17" s="325"/>
      <c r="D17" s="456">
        <v>10</v>
      </c>
      <c r="E17" s="456"/>
      <c r="F17" s="326">
        <f t="shared" si="13"/>
        <v>4.51</v>
      </c>
      <c r="G17" s="457">
        <f t="shared" si="14"/>
        <v>0.91</v>
      </c>
      <c r="H17" s="457"/>
      <c r="I17" s="327"/>
      <c r="J17" s="328">
        <f t="shared" si="15"/>
        <v>0.54</v>
      </c>
      <c r="K17" s="373">
        <f>D12</f>
        <v>1</v>
      </c>
      <c r="L17" s="374">
        <f>INT(B12/1440*10000)/10000</f>
        <v>0.13120000000000001</v>
      </c>
      <c r="M17" s="374">
        <f>K17*L17</f>
        <v>0.13120000000000001</v>
      </c>
      <c r="N17" s="374">
        <f>INT((D9/2000)^2*3.14159*100000)/100000</f>
        <v>2.26979</v>
      </c>
      <c r="O17" s="374">
        <f>INT(M17/N17*100)/100</f>
        <v>0.05</v>
      </c>
      <c r="P17" s="375">
        <f>INT((G12-O17)*100)/100</f>
        <v>-0.95</v>
      </c>
      <c r="S17" s="51">
        <f t="shared" si="3"/>
        <v>189</v>
      </c>
      <c r="T17" s="51">
        <f t="shared" si="10"/>
        <v>19.038108781900078</v>
      </c>
      <c r="U17" s="61">
        <f t="shared" si="11"/>
        <v>0.85</v>
      </c>
      <c r="V17" s="51">
        <f t="shared" si="12"/>
        <v>5.0000000000000001E-4</v>
      </c>
      <c r="W17" s="51">
        <f t="shared" si="0"/>
        <v>3.4722222222222224E-2</v>
      </c>
      <c r="X17" s="56">
        <f t="shared" si="4"/>
        <v>50</v>
      </c>
      <c r="Y17" s="57">
        <f t="shared" si="1"/>
        <v>6.5677548642088786</v>
      </c>
      <c r="AA17" s="57">
        <f t="shared" si="5"/>
        <v>4.3786003524767017</v>
      </c>
      <c r="AB17" s="57">
        <f t="shared" si="6"/>
        <v>50</v>
      </c>
      <c r="AC17" s="57">
        <f t="shared" si="7"/>
        <v>2.1891545117321769</v>
      </c>
      <c r="AD17" s="59">
        <f t="shared" ref="AD17:AD22" si="16">INT(AC17*100)/100</f>
        <v>2.1800000000000002</v>
      </c>
      <c r="AF17" s="58">
        <f t="shared" si="2"/>
        <v>0.94</v>
      </c>
      <c r="AG17" s="57"/>
      <c r="AH17" s="57"/>
      <c r="AI17" s="57"/>
      <c r="EF17" s="51">
        <v>7.73</v>
      </c>
    </row>
    <row r="18" spans="1:136" s="51" customFormat="1" ht="23.1" customHeight="1">
      <c r="A18" s="323"/>
      <c r="B18" s="323"/>
      <c r="C18" s="325"/>
      <c r="D18" s="456">
        <v>15</v>
      </c>
      <c r="E18" s="456"/>
      <c r="F18" s="326">
        <f t="shared" si="13"/>
        <v>4.83</v>
      </c>
      <c r="G18" s="457">
        <f t="shared" si="14"/>
        <v>1.23</v>
      </c>
      <c r="H18" s="457"/>
      <c r="I18" s="327"/>
      <c r="J18" s="328">
        <f t="shared" si="15"/>
        <v>0.31999999999999995</v>
      </c>
      <c r="K18" s="373">
        <f>D13</f>
        <v>2</v>
      </c>
      <c r="L18" s="374">
        <f>L17</f>
        <v>0.13120000000000001</v>
      </c>
      <c r="M18" s="374">
        <f t="shared" ref="M18:M32" si="17">K18*L18</f>
        <v>0.26240000000000002</v>
      </c>
      <c r="N18" s="374">
        <f>N17</f>
        <v>2.26979</v>
      </c>
      <c r="O18" s="374">
        <f>INT(M18/N18*100)/100</f>
        <v>0.11</v>
      </c>
      <c r="P18" s="375">
        <f>INT((G13-O18)*100*0.98)/100</f>
        <v>-0.47</v>
      </c>
      <c r="S18" s="51">
        <f t="shared" si="3"/>
        <v>189</v>
      </c>
      <c r="T18" s="51">
        <f t="shared" si="10"/>
        <v>19.038108781900078</v>
      </c>
      <c r="U18" s="61">
        <f t="shared" si="11"/>
        <v>0.85</v>
      </c>
      <c r="V18" s="51">
        <f t="shared" si="12"/>
        <v>5.0000000000000001E-4</v>
      </c>
      <c r="W18" s="51">
        <f t="shared" si="0"/>
        <v>3.8194444444444448E-2</v>
      </c>
      <c r="X18" s="56">
        <f t="shared" si="4"/>
        <v>55</v>
      </c>
      <c r="Y18" s="57">
        <f t="shared" si="1"/>
        <v>6.6429655540877972</v>
      </c>
      <c r="AA18" s="57">
        <f t="shared" si="5"/>
        <v>4.3786003524767017</v>
      </c>
      <c r="AB18" s="57">
        <f t="shared" si="6"/>
        <v>55</v>
      </c>
      <c r="AC18" s="57">
        <f t="shared" si="7"/>
        <v>2.2643652016110956</v>
      </c>
      <c r="AD18" s="59">
        <f t="shared" si="16"/>
        <v>2.2599999999999998</v>
      </c>
      <c r="AF18" s="58">
        <f t="shared" si="2"/>
        <v>0.95</v>
      </c>
      <c r="AG18" s="57"/>
      <c r="AH18" s="57"/>
      <c r="AI18" s="57"/>
      <c r="EF18" s="51">
        <v>8.74</v>
      </c>
    </row>
    <row r="19" spans="1:136" s="51" customFormat="1" ht="23.1" customHeight="1">
      <c r="A19" s="323"/>
      <c r="B19" s="323"/>
      <c r="C19" s="325"/>
      <c r="D19" s="456">
        <v>20</v>
      </c>
      <c r="E19" s="456"/>
      <c r="F19" s="326">
        <f t="shared" si="13"/>
        <v>5.0600000000000005</v>
      </c>
      <c r="G19" s="457">
        <f t="shared" si="14"/>
        <v>1.46</v>
      </c>
      <c r="H19" s="457"/>
      <c r="I19" s="327"/>
      <c r="J19" s="328">
        <f t="shared" si="15"/>
        <v>0.22999999999999998</v>
      </c>
      <c r="K19" s="373">
        <f t="shared" ref="K19:K32" si="18">D14</f>
        <v>3</v>
      </c>
      <c r="L19" s="374">
        <f>L18</f>
        <v>0.13120000000000001</v>
      </c>
      <c r="M19" s="374">
        <f t="shared" si="17"/>
        <v>0.39360000000000006</v>
      </c>
      <c r="N19" s="374">
        <f t="shared" ref="N19:N32" si="19">N18</f>
        <v>2.26979</v>
      </c>
      <c r="O19" s="374">
        <f>INT(M19/N19*100)/100</f>
        <v>0.17</v>
      </c>
      <c r="P19" s="375">
        <f>INT((G14-O19)*100*0.95)/100</f>
        <v>-0.2</v>
      </c>
      <c r="S19" s="51">
        <f t="shared" si="3"/>
        <v>189</v>
      </c>
      <c r="T19" s="51">
        <f t="shared" si="10"/>
        <v>19.038108781900078</v>
      </c>
      <c r="U19" s="61">
        <f t="shared" si="11"/>
        <v>0.85</v>
      </c>
      <c r="V19" s="51">
        <f t="shared" si="12"/>
        <v>5.0000000000000001E-4</v>
      </c>
      <c r="W19" s="51">
        <f t="shared" si="0"/>
        <v>4.1666666666666664E-2</v>
      </c>
      <c r="X19" s="56">
        <f t="shared" si="4"/>
        <v>60</v>
      </c>
      <c r="Y19" s="57">
        <f t="shared" si="1"/>
        <v>6.7116275344149789</v>
      </c>
      <c r="AA19" s="57">
        <f t="shared" si="5"/>
        <v>4.3786003524767017</v>
      </c>
      <c r="AB19" s="57">
        <f t="shared" si="6"/>
        <v>60</v>
      </c>
      <c r="AC19" s="57">
        <f t="shared" si="7"/>
        <v>2.3330271819382773</v>
      </c>
      <c r="AD19" s="59">
        <f t="shared" si="16"/>
        <v>2.33</v>
      </c>
      <c r="AF19" s="58">
        <f t="shared" si="2"/>
        <v>0.96</v>
      </c>
      <c r="AG19" s="57"/>
      <c r="AH19" s="57"/>
      <c r="AI19" s="57"/>
      <c r="EF19" s="51">
        <v>9.7799999999999994</v>
      </c>
    </row>
    <row r="20" spans="1:136" s="51" customFormat="1" ht="23.1" customHeight="1">
      <c r="A20" s="323"/>
      <c r="B20" s="323"/>
      <c r="C20" s="325"/>
      <c r="D20" s="456">
        <v>25</v>
      </c>
      <c r="E20" s="456"/>
      <c r="F20" s="326">
        <f t="shared" si="13"/>
        <v>5.24</v>
      </c>
      <c r="G20" s="457">
        <f t="shared" si="14"/>
        <v>1.64</v>
      </c>
      <c r="H20" s="457"/>
      <c r="I20" s="327"/>
      <c r="J20" s="328">
        <f t="shared" si="15"/>
        <v>0.17999999999999994</v>
      </c>
      <c r="K20" s="373">
        <f t="shared" si="18"/>
        <v>4</v>
      </c>
      <c r="L20" s="374">
        <f>L19</f>
        <v>0.13120000000000001</v>
      </c>
      <c r="M20" s="374">
        <f t="shared" si="17"/>
        <v>0.52480000000000004</v>
      </c>
      <c r="N20" s="374">
        <f t="shared" si="19"/>
        <v>2.26979</v>
      </c>
      <c r="O20" s="374">
        <f>INT(M20/N20*100)/100</f>
        <v>0.23</v>
      </c>
      <c r="P20" s="375">
        <f>INT((G15-O20)*100*0.91)/100</f>
        <v>-0.04</v>
      </c>
      <c r="S20" s="51">
        <f t="shared" si="3"/>
        <v>189</v>
      </c>
      <c r="T20" s="51">
        <f t="shared" si="10"/>
        <v>19.038108781900078</v>
      </c>
      <c r="U20" s="61">
        <f t="shared" si="11"/>
        <v>0.85</v>
      </c>
      <c r="V20" s="51">
        <f t="shared" si="12"/>
        <v>5.0000000000000001E-4</v>
      </c>
      <c r="W20" s="51">
        <f t="shared" si="0"/>
        <v>5.2083333333333336E-2</v>
      </c>
      <c r="X20" s="56">
        <f t="shared" si="4"/>
        <v>75</v>
      </c>
      <c r="Y20" s="57">
        <f t="shared" si="1"/>
        <v>6.8877134516887617</v>
      </c>
      <c r="AA20" s="57">
        <f t="shared" si="5"/>
        <v>4.3786003524767017</v>
      </c>
      <c r="AB20" s="57">
        <f t="shared" si="6"/>
        <v>75</v>
      </c>
      <c r="AC20" s="57">
        <f t="shared" si="7"/>
        <v>2.50911309921206</v>
      </c>
      <c r="AD20" s="59">
        <f t="shared" si="16"/>
        <v>2.5</v>
      </c>
      <c r="AF20" s="58">
        <f t="shared" si="2"/>
        <v>0.97</v>
      </c>
      <c r="AG20" s="57"/>
      <c r="AH20" s="57"/>
      <c r="AI20" s="57"/>
      <c r="EF20" s="51">
        <v>10</v>
      </c>
    </row>
    <row r="21" spans="1:136" s="51" customFormat="1" ht="23.1" customHeight="1">
      <c r="A21" s="323"/>
      <c r="B21" s="323"/>
      <c r="C21" s="325"/>
      <c r="D21" s="456">
        <v>30</v>
      </c>
      <c r="E21" s="456"/>
      <c r="F21" s="326">
        <f t="shared" si="13"/>
        <v>5.38</v>
      </c>
      <c r="G21" s="457">
        <f t="shared" si="14"/>
        <v>1.78</v>
      </c>
      <c r="H21" s="457"/>
      <c r="I21" s="327"/>
      <c r="J21" s="328">
        <f t="shared" si="15"/>
        <v>0.14000000000000012</v>
      </c>
      <c r="K21" s="373">
        <f t="shared" si="18"/>
        <v>5</v>
      </c>
      <c r="L21" s="373">
        <f>L20</f>
        <v>0.13120000000000001</v>
      </c>
      <c r="M21" s="374">
        <f t="shared" si="17"/>
        <v>0.65600000000000003</v>
      </c>
      <c r="N21" s="374">
        <f t="shared" si="19"/>
        <v>2.26979</v>
      </c>
      <c r="O21" s="373">
        <f>INT(M21/N21*100)/100</f>
        <v>0.28000000000000003</v>
      </c>
      <c r="P21" s="375">
        <f>INT((G16-O21)*100*0.86)/100</f>
        <v>7.0000000000000007E-2</v>
      </c>
      <c r="S21" s="51">
        <f t="shared" si="3"/>
        <v>189</v>
      </c>
      <c r="T21" s="51">
        <f t="shared" si="10"/>
        <v>19.038108781900078</v>
      </c>
      <c r="U21" s="61">
        <f t="shared" si="11"/>
        <v>0.85</v>
      </c>
      <c r="V21" s="51">
        <f t="shared" si="12"/>
        <v>5.0000000000000001E-4</v>
      </c>
      <c r="W21" s="51">
        <f t="shared" si="0"/>
        <v>6.25E-2</v>
      </c>
      <c r="X21" s="56">
        <f t="shared" si="4"/>
        <v>90</v>
      </c>
      <c r="Y21" s="57">
        <f t="shared" si="1"/>
        <v>7.0315861218948621</v>
      </c>
      <c r="AA21" s="57">
        <f t="shared" si="5"/>
        <v>4.3786003524767017</v>
      </c>
      <c r="AB21" s="57">
        <f t="shared" si="6"/>
        <v>90</v>
      </c>
      <c r="AC21" s="57">
        <f t="shared" si="7"/>
        <v>2.6529857694181604</v>
      </c>
      <c r="AD21" s="59">
        <f t="shared" si="16"/>
        <v>2.65</v>
      </c>
      <c r="AF21" s="58">
        <f t="shared" si="2"/>
        <v>0.98</v>
      </c>
      <c r="AG21" s="57"/>
      <c r="AH21" s="57"/>
      <c r="AI21" s="57"/>
      <c r="EF21" s="51">
        <v>10.16</v>
      </c>
    </row>
    <row r="22" spans="1:136" s="51" customFormat="1" ht="23.1" customHeight="1">
      <c r="A22" s="323"/>
      <c r="B22" s="323"/>
      <c r="C22" s="325"/>
      <c r="D22" s="456">
        <v>35</v>
      </c>
      <c r="E22" s="456"/>
      <c r="F22" s="326">
        <f t="shared" si="13"/>
        <v>5.5</v>
      </c>
      <c r="G22" s="457">
        <f t="shared" si="14"/>
        <v>1.9</v>
      </c>
      <c r="H22" s="457"/>
      <c r="I22" s="301"/>
      <c r="J22" s="328">
        <f t="shared" si="15"/>
        <v>0.11999999999999988</v>
      </c>
      <c r="K22" s="373">
        <f t="shared" si="18"/>
        <v>10</v>
      </c>
      <c r="L22" s="373">
        <f t="shared" ref="L22:L32" si="20">L21</f>
        <v>0.13120000000000001</v>
      </c>
      <c r="M22" s="374">
        <f t="shared" si="17"/>
        <v>1.3120000000000001</v>
      </c>
      <c r="N22" s="374">
        <f t="shared" si="19"/>
        <v>2.26979</v>
      </c>
      <c r="O22" s="373">
        <f t="shared" ref="O22:O30" si="21">INT(M22/N22*100)/100</f>
        <v>0.56999999999999995</v>
      </c>
      <c r="P22" s="375">
        <f>INT((G17-O22)*100*0.8)/100</f>
        <v>0.27</v>
      </c>
      <c r="S22" s="51">
        <f t="shared" si="3"/>
        <v>189</v>
      </c>
      <c r="T22" s="51">
        <f t="shared" si="10"/>
        <v>19.038108781900078</v>
      </c>
      <c r="U22" s="61">
        <f t="shared" si="11"/>
        <v>0.85</v>
      </c>
      <c r="V22" s="51">
        <f t="shared" si="12"/>
        <v>5.0000000000000001E-4</v>
      </c>
      <c r="W22" s="51">
        <f t="shared" si="0"/>
        <v>7.2916666666666671E-2</v>
      </c>
      <c r="X22" s="56">
        <f t="shared" si="4"/>
        <v>105</v>
      </c>
      <c r="Y22" s="57">
        <f t="shared" si="1"/>
        <v>7.1532287313088299</v>
      </c>
      <c r="Z22" s="57">
        <f>Y23-Z23</f>
        <v>4.3786003524767017</v>
      </c>
      <c r="AA22" s="57">
        <f t="shared" si="5"/>
        <v>4.3786003524767017</v>
      </c>
      <c r="AB22" s="57">
        <f t="shared" si="6"/>
        <v>105</v>
      </c>
      <c r="AC22" s="57">
        <f t="shared" si="7"/>
        <v>2.7746283788321282</v>
      </c>
      <c r="AD22" s="59">
        <f t="shared" si="16"/>
        <v>2.77</v>
      </c>
      <c r="AF22" s="58">
        <f>AF23-0.01</f>
        <v>0.99</v>
      </c>
      <c r="AG22" s="57"/>
      <c r="AH22" s="57"/>
      <c r="AI22" s="57"/>
      <c r="EF22" s="51">
        <v>10.02</v>
      </c>
    </row>
    <row r="23" spans="1:136" s="51" customFormat="1" ht="23.1" customHeight="1">
      <c r="A23" s="323"/>
      <c r="B23" s="323"/>
      <c r="C23" s="325"/>
      <c r="D23" s="456">
        <v>40</v>
      </c>
      <c r="E23" s="456"/>
      <c r="F23" s="326">
        <f t="shared" si="13"/>
        <v>5.6099999999999994</v>
      </c>
      <c r="G23" s="457">
        <f t="shared" si="14"/>
        <v>2.0099999999999998</v>
      </c>
      <c r="H23" s="457"/>
      <c r="I23" s="301"/>
      <c r="J23" s="328">
        <f t="shared" si="15"/>
        <v>0.10999999999999988</v>
      </c>
      <c r="K23" s="373">
        <f t="shared" si="18"/>
        <v>15</v>
      </c>
      <c r="L23" s="373">
        <f t="shared" si="20"/>
        <v>0.13120000000000001</v>
      </c>
      <c r="M23" s="374">
        <f t="shared" si="17"/>
        <v>1.9680000000000002</v>
      </c>
      <c r="N23" s="374">
        <f t="shared" si="19"/>
        <v>2.26979</v>
      </c>
      <c r="O23" s="373">
        <f t="shared" si="21"/>
        <v>0.86</v>
      </c>
      <c r="P23" s="375">
        <f t="shared" ref="P23:P32" si="22">INT((G18-O23)*100)/100</f>
        <v>0.37</v>
      </c>
      <c r="S23" s="51">
        <f t="shared" si="3"/>
        <v>189</v>
      </c>
      <c r="T23" s="51">
        <f t="shared" si="10"/>
        <v>19.038108781900078</v>
      </c>
      <c r="U23" s="61">
        <f t="shared" si="11"/>
        <v>0.85</v>
      </c>
      <c r="V23" s="51">
        <f t="shared" si="12"/>
        <v>5.0000000000000001E-4</v>
      </c>
      <c r="W23" s="51">
        <f t="shared" si="0"/>
        <v>8.3333333333333329E-2</v>
      </c>
      <c r="X23" s="56">
        <f t="shared" si="4"/>
        <v>120</v>
      </c>
      <c r="Y23" s="57">
        <f t="shared" si="1"/>
        <v>7.2586003524767015</v>
      </c>
      <c r="Z23" s="57">
        <f>Input!B20</f>
        <v>2.88</v>
      </c>
      <c r="AA23" s="57">
        <f t="shared" si="5"/>
        <v>4.3786003524767017</v>
      </c>
      <c r="AB23" s="57">
        <f t="shared" si="6"/>
        <v>120</v>
      </c>
      <c r="AC23" s="57">
        <f t="shared" si="7"/>
        <v>2.88</v>
      </c>
      <c r="AD23" s="59">
        <f>INT((AC$3+AE23)*100)/100</f>
        <v>2.88</v>
      </c>
      <c r="AE23" s="57">
        <f>AG$23*AF23</f>
        <v>2.88</v>
      </c>
      <c r="AF23" s="57">
        <v>1</v>
      </c>
      <c r="AG23" s="57">
        <f>AC23-AC3</f>
        <v>2.88</v>
      </c>
      <c r="AH23" s="57"/>
      <c r="AI23" s="57"/>
      <c r="EF23" s="51">
        <v>10.02</v>
      </c>
    </row>
    <row r="24" spans="1:136" s="51" customFormat="1" ht="23.1" customHeight="1">
      <c r="A24" s="323"/>
      <c r="B24" s="323"/>
      <c r="C24" s="325"/>
      <c r="D24" s="456">
        <v>45</v>
      </c>
      <c r="E24" s="456"/>
      <c r="F24" s="326">
        <f t="shared" si="13"/>
        <v>5.7</v>
      </c>
      <c r="G24" s="457">
        <f t="shared" si="14"/>
        <v>2.1</v>
      </c>
      <c r="H24" s="457"/>
      <c r="I24" s="301"/>
      <c r="J24" s="328">
        <f t="shared" si="15"/>
        <v>9.0000000000000302E-2</v>
      </c>
      <c r="K24" s="373">
        <f t="shared" si="18"/>
        <v>20</v>
      </c>
      <c r="L24" s="373">
        <f t="shared" si="20"/>
        <v>0.13120000000000001</v>
      </c>
      <c r="M24" s="374">
        <f t="shared" si="17"/>
        <v>2.6240000000000001</v>
      </c>
      <c r="N24" s="374">
        <f t="shared" si="19"/>
        <v>2.26979</v>
      </c>
      <c r="O24" s="373">
        <f t="shared" si="21"/>
        <v>1.1499999999999999</v>
      </c>
      <c r="P24" s="375">
        <f t="shared" si="22"/>
        <v>0.31</v>
      </c>
      <c r="R24" s="55">
        <f>B32</f>
        <v>240</v>
      </c>
      <c r="S24" s="51">
        <f>$R$24</f>
        <v>240</v>
      </c>
      <c r="T24" s="51">
        <f t="shared" si="10"/>
        <v>19.038108781900078</v>
      </c>
      <c r="U24" s="61">
        <f t="shared" si="11"/>
        <v>0.85</v>
      </c>
      <c r="V24" s="51">
        <f t="shared" si="12"/>
        <v>5.0000000000000001E-4</v>
      </c>
      <c r="W24" s="51">
        <f t="shared" si="0"/>
        <v>9.0277777777777776E-2</v>
      </c>
      <c r="X24" s="56">
        <f t="shared" si="4"/>
        <v>130</v>
      </c>
      <c r="Y24" s="57">
        <f t="shared" si="1"/>
        <v>9.2974771447756304</v>
      </c>
      <c r="Z24" s="57">
        <f>Z27</f>
        <v>6.0618389467154579</v>
      </c>
      <c r="AA24" s="57">
        <f>$Z$24</f>
        <v>6.0618389467154579</v>
      </c>
      <c r="AB24" s="57">
        <f t="shared" si="6"/>
        <v>130</v>
      </c>
      <c r="AC24" s="57">
        <f t="shared" si="7"/>
        <v>3.2356381980601725</v>
      </c>
      <c r="AD24" s="59">
        <f>INT((AC$23+AE24)*100)/100</f>
        <v>3.46</v>
      </c>
      <c r="AE24" s="57">
        <f>AF24*AG$28</f>
        <v>0.58199999999999985</v>
      </c>
      <c r="AF24" s="57">
        <v>0.6</v>
      </c>
      <c r="AG24" s="57"/>
      <c r="AH24" s="57"/>
      <c r="EF24" s="51">
        <v>10.02</v>
      </c>
    </row>
    <row r="25" spans="1:136" s="51" customFormat="1" ht="23.1" customHeight="1">
      <c r="A25" s="323"/>
      <c r="B25" s="323"/>
      <c r="C25" s="325"/>
      <c r="D25" s="456">
        <v>50</v>
      </c>
      <c r="E25" s="456"/>
      <c r="F25" s="326">
        <f t="shared" si="13"/>
        <v>5.78</v>
      </c>
      <c r="G25" s="457">
        <f t="shared" si="14"/>
        <v>2.1800000000000002</v>
      </c>
      <c r="H25" s="457"/>
      <c r="I25" s="301"/>
      <c r="J25" s="328">
        <f t="shared" si="15"/>
        <v>8.0000000000000071E-2</v>
      </c>
      <c r="K25" s="373">
        <f t="shared" si="18"/>
        <v>25</v>
      </c>
      <c r="L25" s="373">
        <f t="shared" si="20"/>
        <v>0.13120000000000001</v>
      </c>
      <c r="M25" s="374">
        <f t="shared" si="17"/>
        <v>3.2800000000000002</v>
      </c>
      <c r="N25" s="374">
        <f t="shared" si="19"/>
        <v>2.26979</v>
      </c>
      <c r="O25" s="373">
        <f t="shared" si="21"/>
        <v>1.44</v>
      </c>
      <c r="P25" s="375">
        <f t="shared" si="22"/>
        <v>0.2</v>
      </c>
      <c r="S25" s="51">
        <f>$R$24</f>
        <v>240</v>
      </c>
      <c r="T25" s="51">
        <f t="shared" si="10"/>
        <v>19.038108781900078</v>
      </c>
      <c r="U25" s="61">
        <f t="shared" si="11"/>
        <v>0.85</v>
      </c>
      <c r="V25" s="51">
        <f t="shared" si="12"/>
        <v>5.0000000000000001E-4</v>
      </c>
      <c r="W25" s="51">
        <f t="shared" si="0"/>
        <v>9.7222222222222224E-2</v>
      </c>
      <c r="X25" s="56">
        <f t="shared" si="4"/>
        <v>140</v>
      </c>
      <c r="Y25" s="57">
        <f t="shared" si="1"/>
        <v>9.3717370944643399</v>
      </c>
      <c r="AA25" s="57">
        <f>$Z$24</f>
        <v>6.0618389467154579</v>
      </c>
      <c r="AB25" s="57">
        <f t="shared" si="6"/>
        <v>140</v>
      </c>
      <c r="AC25" s="57">
        <f t="shared" si="7"/>
        <v>3.309898147748882</v>
      </c>
      <c r="AD25" s="59">
        <f>INT((AC$23+AE25)*100)/100</f>
        <v>3.55</v>
      </c>
      <c r="AE25" s="57">
        <f>AF25*AG$28</f>
        <v>0.67899999999999983</v>
      </c>
      <c r="AF25" s="57">
        <v>0.7</v>
      </c>
      <c r="AG25" s="57"/>
      <c r="AH25" s="57"/>
      <c r="EF25" s="51">
        <v>10.02</v>
      </c>
    </row>
    <row r="26" spans="1:136" s="51" customFormat="1" ht="23.1" customHeight="1">
      <c r="A26" s="323"/>
      <c r="B26" s="323"/>
      <c r="C26" s="325"/>
      <c r="D26" s="456">
        <v>55</v>
      </c>
      <c r="E26" s="456"/>
      <c r="F26" s="326">
        <f t="shared" si="13"/>
        <v>5.8599999999999994</v>
      </c>
      <c r="G26" s="457">
        <f t="shared" si="14"/>
        <v>2.2599999999999998</v>
      </c>
      <c r="H26" s="457"/>
      <c r="I26" s="301"/>
      <c r="J26" s="328">
        <f t="shared" si="15"/>
        <v>7.9999999999999627E-2</v>
      </c>
      <c r="K26" s="373">
        <f t="shared" si="18"/>
        <v>30</v>
      </c>
      <c r="L26" s="373">
        <f t="shared" si="20"/>
        <v>0.13120000000000001</v>
      </c>
      <c r="M26" s="374">
        <f t="shared" si="17"/>
        <v>3.9360000000000004</v>
      </c>
      <c r="N26" s="374">
        <f t="shared" si="19"/>
        <v>2.26979</v>
      </c>
      <c r="O26" s="374">
        <f t="shared" si="21"/>
        <v>1.73</v>
      </c>
      <c r="P26" s="375">
        <f t="shared" si="22"/>
        <v>0.05</v>
      </c>
      <c r="S26" s="51">
        <f>$R$24</f>
        <v>240</v>
      </c>
      <c r="T26" s="51">
        <f t="shared" si="10"/>
        <v>19.038108781900078</v>
      </c>
      <c r="U26" s="61">
        <f t="shared" si="11"/>
        <v>0.85</v>
      </c>
      <c r="V26" s="51">
        <f t="shared" si="12"/>
        <v>5.0000000000000001E-4</v>
      </c>
      <c r="W26" s="51">
        <f t="shared" si="0"/>
        <v>0.10416666666666667</v>
      </c>
      <c r="X26" s="56">
        <f t="shared" si="4"/>
        <v>150</v>
      </c>
      <c r="Y26" s="57">
        <f t="shared" si="1"/>
        <v>9.4408714536514076</v>
      </c>
      <c r="AA26" s="57">
        <f>$Z$24</f>
        <v>6.0618389467154579</v>
      </c>
      <c r="AB26" s="57">
        <f t="shared" si="6"/>
        <v>150</v>
      </c>
      <c r="AC26" s="57">
        <f t="shared" si="7"/>
        <v>3.3790325069359497</v>
      </c>
      <c r="AD26" s="59">
        <f>INT((AC$23+AE26)*100)/100</f>
        <v>3.65</v>
      </c>
      <c r="AE26" s="57">
        <f>AF26*AG$28</f>
        <v>0.7759999999999998</v>
      </c>
      <c r="AF26" s="57">
        <v>0.8</v>
      </c>
      <c r="AG26" s="57"/>
      <c r="AH26" s="57"/>
      <c r="EF26" s="51">
        <v>10.06</v>
      </c>
    </row>
    <row r="27" spans="1:136" s="51" customFormat="1" ht="23.1" customHeight="1">
      <c r="A27" s="323"/>
      <c r="B27" s="323"/>
      <c r="C27" s="325">
        <f>$C$12+D27/1440</f>
        <v>44992.520833333328</v>
      </c>
      <c r="D27" s="456">
        <v>60</v>
      </c>
      <c r="E27" s="456"/>
      <c r="F27" s="326">
        <f t="shared" si="13"/>
        <v>5.93</v>
      </c>
      <c r="G27" s="457">
        <f t="shared" si="14"/>
        <v>2.33</v>
      </c>
      <c r="H27" s="457"/>
      <c r="I27" s="301"/>
      <c r="J27" s="328">
        <f t="shared" si="15"/>
        <v>7.0000000000000284E-2</v>
      </c>
      <c r="K27" s="373">
        <f t="shared" si="18"/>
        <v>35</v>
      </c>
      <c r="L27" s="373">
        <f t="shared" si="20"/>
        <v>0.13120000000000001</v>
      </c>
      <c r="M27" s="374">
        <f t="shared" si="17"/>
        <v>4.5920000000000005</v>
      </c>
      <c r="N27" s="374">
        <f t="shared" si="19"/>
        <v>2.26979</v>
      </c>
      <c r="O27" s="374">
        <f t="shared" si="21"/>
        <v>2.02</v>
      </c>
      <c r="P27" s="375">
        <f t="shared" si="22"/>
        <v>-0.12</v>
      </c>
      <c r="S27" s="51">
        <f>$R$24</f>
        <v>240</v>
      </c>
      <c r="T27" s="51">
        <f t="shared" si="10"/>
        <v>19.038108781900078</v>
      </c>
      <c r="U27" s="61">
        <f t="shared" si="11"/>
        <v>0.85</v>
      </c>
      <c r="V27" s="51">
        <f t="shared" si="12"/>
        <v>5.0000000000000001E-4</v>
      </c>
      <c r="W27" s="51">
        <f t="shared" si="0"/>
        <v>0.125</v>
      </c>
      <c r="X27" s="56">
        <f t="shared" si="4"/>
        <v>180</v>
      </c>
      <c r="Y27" s="57">
        <f t="shared" si="1"/>
        <v>9.6235669078813775</v>
      </c>
      <c r="Z27" s="57">
        <f>Y28-Z28</f>
        <v>6.0618389467154579</v>
      </c>
      <c r="AA27" s="57">
        <f>$Z$24</f>
        <v>6.0618389467154579</v>
      </c>
      <c r="AB27" s="57">
        <f t="shared" si="6"/>
        <v>180</v>
      </c>
      <c r="AC27" s="57">
        <f t="shared" si="7"/>
        <v>3.5617279611659196</v>
      </c>
      <c r="AD27" s="59">
        <f>INT((AC$23+AE27)*100)/100</f>
        <v>3.75</v>
      </c>
      <c r="AE27" s="57">
        <f>AF27*AG$28</f>
        <v>0.87299999999999978</v>
      </c>
      <c r="AF27" s="57">
        <v>0.9</v>
      </c>
      <c r="AG27" s="57"/>
      <c r="AH27" s="57"/>
      <c r="EF27" s="51">
        <v>10.06</v>
      </c>
    </row>
    <row r="28" spans="1:136" s="51" customFormat="1" ht="23.1" customHeight="1">
      <c r="A28" s="323"/>
      <c r="B28" s="323"/>
      <c r="C28" s="325"/>
      <c r="D28" s="456">
        <v>75</v>
      </c>
      <c r="E28" s="456"/>
      <c r="F28" s="326">
        <f t="shared" si="13"/>
        <v>6.1</v>
      </c>
      <c r="G28" s="457">
        <f t="shared" si="14"/>
        <v>2.5</v>
      </c>
      <c r="H28" s="457"/>
      <c r="I28" s="301"/>
      <c r="J28" s="328">
        <f t="shared" si="15"/>
        <v>0.16999999999999993</v>
      </c>
      <c r="K28" s="373">
        <f t="shared" si="18"/>
        <v>40</v>
      </c>
      <c r="L28" s="373">
        <f t="shared" si="20"/>
        <v>0.13120000000000001</v>
      </c>
      <c r="M28" s="374">
        <f t="shared" si="17"/>
        <v>5.2480000000000002</v>
      </c>
      <c r="N28" s="374">
        <f t="shared" si="19"/>
        <v>2.26979</v>
      </c>
      <c r="O28" s="374">
        <f t="shared" si="21"/>
        <v>2.31</v>
      </c>
      <c r="P28" s="375">
        <f t="shared" si="22"/>
        <v>-0.3</v>
      </c>
      <c r="S28" s="51">
        <f>$R$24</f>
        <v>240</v>
      </c>
      <c r="T28" s="51">
        <f t="shared" si="10"/>
        <v>19.038108781900078</v>
      </c>
      <c r="U28" s="61">
        <f t="shared" si="11"/>
        <v>0.85</v>
      </c>
      <c r="V28" s="51">
        <f t="shared" si="12"/>
        <v>5.0000000000000001E-4</v>
      </c>
      <c r="W28" s="51">
        <f t="shared" si="0"/>
        <v>0.16666666666666666</v>
      </c>
      <c r="X28" s="56">
        <f t="shared" si="4"/>
        <v>240</v>
      </c>
      <c r="Y28" s="57">
        <f t="shared" si="1"/>
        <v>9.9118389467154575</v>
      </c>
      <c r="Z28" s="57">
        <f>Input!B21</f>
        <v>3.85</v>
      </c>
      <c r="AA28" s="57">
        <f>$Z$24</f>
        <v>6.0618389467154579</v>
      </c>
      <c r="AB28" s="57">
        <f t="shared" si="6"/>
        <v>240</v>
      </c>
      <c r="AC28" s="57">
        <f t="shared" si="7"/>
        <v>3.8499999999999996</v>
      </c>
      <c r="AD28" s="59">
        <f>INT((AC$23+AE28)*100)/100</f>
        <v>3.85</v>
      </c>
      <c r="AE28" s="57">
        <f>AF28*AG$28</f>
        <v>0.96999999999999975</v>
      </c>
      <c r="AF28" s="57">
        <v>1</v>
      </c>
      <c r="AG28" s="57">
        <f>AC28-AC23</f>
        <v>0.96999999999999975</v>
      </c>
      <c r="AH28" s="57"/>
      <c r="EF28" s="51">
        <v>10.15</v>
      </c>
    </row>
    <row r="29" spans="1:136" s="51" customFormat="1" ht="23.1" customHeight="1">
      <c r="A29" s="323"/>
      <c r="B29" s="323"/>
      <c r="C29" s="325"/>
      <c r="D29" s="456">
        <v>90</v>
      </c>
      <c r="E29" s="456"/>
      <c r="F29" s="326">
        <f t="shared" si="13"/>
        <v>6.25</v>
      </c>
      <c r="G29" s="457">
        <f t="shared" si="14"/>
        <v>2.65</v>
      </c>
      <c r="H29" s="457"/>
      <c r="I29" s="301"/>
      <c r="J29" s="328">
        <f t="shared" si="15"/>
        <v>0.14999999999999991</v>
      </c>
      <c r="K29" s="373">
        <f t="shared" si="18"/>
        <v>45</v>
      </c>
      <c r="L29" s="373">
        <f t="shared" si="20"/>
        <v>0.13120000000000001</v>
      </c>
      <c r="M29" s="374">
        <f t="shared" si="17"/>
        <v>5.9040000000000008</v>
      </c>
      <c r="N29" s="374">
        <f t="shared" si="19"/>
        <v>2.26979</v>
      </c>
      <c r="O29" s="374">
        <f t="shared" si="21"/>
        <v>2.6</v>
      </c>
      <c r="P29" s="375">
        <f t="shared" si="22"/>
        <v>-0.5</v>
      </c>
      <c r="R29" s="55">
        <f>B37</f>
        <v>292.39999999999998</v>
      </c>
      <c r="S29" s="51">
        <f>$R$29</f>
        <v>292.39999999999998</v>
      </c>
      <c r="T29" s="51">
        <f t="shared" si="10"/>
        <v>19.038108781900078</v>
      </c>
      <c r="U29" s="61">
        <f t="shared" si="11"/>
        <v>0.85</v>
      </c>
      <c r="V29" s="51">
        <f t="shared" si="12"/>
        <v>5.0000000000000001E-4</v>
      </c>
      <c r="W29" s="51">
        <f t="shared" si="0"/>
        <v>0.1736111111111111</v>
      </c>
      <c r="X29" s="56">
        <f t="shared" si="4"/>
        <v>250</v>
      </c>
      <c r="Y29" s="57">
        <f t="shared" si="1"/>
        <v>12.125760574116534</v>
      </c>
      <c r="Z29" s="57">
        <f>Z32</f>
        <v>7.6409284975902256</v>
      </c>
      <c r="AA29" s="57">
        <f>$Z$29</f>
        <v>7.6409284975902256</v>
      </c>
      <c r="AB29" s="57">
        <f t="shared" si="6"/>
        <v>250</v>
      </c>
      <c r="AC29" s="57">
        <f t="shared" si="7"/>
        <v>4.4848320765263079</v>
      </c>
      <c r="AD29" s="59">
        <f>INT((AC$28+AE29)*100)/100</f>
        <v>4.49</v>
      </c>
      <c r="AE29" s="57">
        <f>AF29*AG$33</f>
        <v>0.64800000000000002</v>
      </c>
      <c r="AF29" s="57">
        <v>0.6</v>
      </c>
      <c r="AG29" s="57"/>
      <c r="AH29" s="57"/>
      <c r="EF29" s="51">
        <v>10.15</v>
      </c>
    </row>
    <row r="30" spans="1:136" s="51" customFormat="1" ht="23.1" customHeight="1">
      <c r="A30" s="323"/>
      <c r="B30" s="323"/>
      <c r="C30" s="325"/>
      <c r="D30" s="456">
        <v>105</v>
      </c>
      <c r="E30" s="456"/>
      <c r="F30" s="326">
        <f t="shared" si="13"/>
        <v>6.37</v>
      </c>
      <c r="G30" s="457">
        <f t="shared" si="14"/>
        <v>2.77</v>
      </c>
      <c r="H30" s="457"/>
      <c r="I30" s="301"/>
      <c r="J30" s="328">
        <f t="shared" si="15"/>
        <v>0.12000000000000011</v>
      </c>
      <c r="K30" s="373">
        <f t="shared" si="18"/>
        <v>50</v>
      </c>
      <c r="L30" s="373">
        <f t="shared" si="20"/>
        <v>0.13120000000000001</v>
      </c>
      <c r="M30" s="374">
        <f t="shared" si="17"/>
        <v>6.5600000000000005</v>
      </c>
      <c r="N30" s="374">
        <f t="shared" si="19"/>
        <v>2.26979</v>
      </c>
      <c r="O30" s="374">
        <f t="shared" si="21"/>
        <v>2.89</v>
      </c>
      <c r="P30" s="375">
        <f t="shared" si="22"/>
        <v>-0.71</v>
      </c>
      <c r="R30" s="51" t="s">
        <v>21</v>
      </c>
      <c r="S30" s="51">
        <f>$R$29</f>
        <v>292.39999999999998</v>
      </c>
      <c r="T30" s="51">
        <f t="shared" si="10"/>
        <v>19.038108781900078</v>
      </c>
      <c r="U30" s="61">
        <f t="shared" si="11"/>
        <v>0.85</v>
      </c>
      <c r="V30" s="51">
        <f t="shared" si="12"/>
        <v>5.0000000000000001E-4</v>
      </c>
      <c r="W30" s="51">
        <f t="shared" si="0"/>
        <v>0.18055555555555555</v>
      </c>
      <c r="X30" s="56">
        <f t="shared" si="4"/>
        <v>260</v>
      </c>
      <c r="Y30" s="57">
        <f t="shared" si="1"/>
        <v>12.173642469539725</v>
      </c>
      <c r="AA30" s="57">
        <f>$Z$29</f>
        <v>7.6409284975902256</v>
      </c>
      <c r="AB30" s="57">
        <f t="shared" si="6"/>
        <v>260</v>
      </c>
      <c r="AC30" s="57">
        <f t="shared" si="7"/>
        <v>4.5327139719494998</v>
      </c>
      <c r="AD30" s="59">
        <f>INT((AC$28+AE30)*100)/100</f>
        <v>4.5999999999999996</v>
      </c>
      <c r="AE30" s="57">
        <f>AF30*AG$33</f>
        <v>0.75600000000000001</v>
      </c>
      <c r="AF30" s="57">
        <v>0.7</v>
      </c>
      <c r="AG30" s="57"/>
      <c r="AH30" s="57"/>
      <c r="EF30" s="51">
        <v>10.15</v>
      </c>
    </row>
    <row r="31" spans="1:136" s="51" customFormat="1" ht="23.1" customHeight="1">
      <c r="A31" s="323"/>
      <c r="B31" s="323"/>
      <c r="C31" s="325"/>
      <c r="D31" s="456">
        <v>120</v>
      </c>
      <c r="E31" s="456"/>
      <c r="F31" s="326">
        <f t="shared" si="13"/>
        <v>6.48</v>
      </c>
      <c r="G31" s="457">
        <f t="shared" si="14"/>
        <v>2.88</v>
      </c>
      <c r="H31" s="457"/>
      <c r="I31" s="301"/>
      <c r="J31" s="328">
        <f t="shared" si="15"/>
        <v>0.10999999999999988</v>
      </c>
      <c r="K31" s="373">
        <f t="shared" si="18"/>
        <v>55</v>
      </c>
      <c r="L31" s="373">
        <f t="shared" si="20"/>
        <v>0.13120000000000001</v>
      </c>
      <c r="M31" s="374">
        <f t="shared" si="17"/>
        <v>7.2160000000000002</v>
      </c>
      <c r="N31" s="374">
        <f t="shared" si="19"/>
        <v>2.26979</v>
      </c>
      <c r="O31" s="374">
        <f>INT(M31/N31*100)/100</f>
        <v>3.17</v>
      </c>
      <c r="P31" s="375">
        <f t="shared" si="22"/>
        <v>-0.91</v>
      </c>
      <c r="S31" s="51">
        <f>$R$29</f>
        <v>292.39999999999998</v>
      </c>
      <c r="T31" s="51">
        <f t="shared" si="10"/>
        <v>19.038108781900078</v>
      </c>
      <c r="U31" s="61">
        <f t="shared" si="11"/>
        <v>0.85</v>
      </c>
      <c r="V31" s="51">
        <f t="shared" si="12"/>
        <v>5.0000000000000001E-4</v>
      </c>
      <c r="W31" s="51">
        <f t="shared" si="0"/>
        <v>0.1875</v>
      </c>
      <c r="X31" s="56">
        <f t="shared" si="4"/>
        <v>270</v>
      </c>
      <c r="Y31" s="57">
        <f t="shared" si="1"/>
        <v>12.219717063610702</v>
      </c>
      <c r="AA31" s="57">
        <f>$Z$29</f>
        <v>7.6409284975902256</v>
      </c>
      <c r="AB31" s="57">
        <f t="shared" si="6"/>
        <v>270</v>
      </c>
      <c r="AC31" s="57">
        <f t="shared" si="7"/>
        <v>4.5787885660204761</v>
      </c>
      <c r="AD31" s="59">
        <f>INT((AC$28+AE31)*100)/100</f>
        <v>4.71</v>
      </c>
      <c r="AE31" s="57">
        <f>AF31*AG$33</f>
        <v>0.8640000000000001</v>
      </c>
      <c r="AF31" s="57">
        <v>0.8</v>
      </c>
      <c r="AG31" s="57"/>
      <c r="AH31" s="57"/>
      <c r="EF31" s="51">
        <v>10.77</v>
      </c>
    </row>
    <row r="32" spans="1:136" s="51" customFormat="1" ht="23.1" customHeight="1">
      <c r="A32" s="323">
        <v>2</v>
      </c>
      <c r="B32" s="324">
        <f>Input!D21</f>
        <v>240</v>
      </c>
      <c r="C32" s="325">
        <f>$C$12+D32/1440</f>
        <v>44992.569444444445</v>
      </c>
      <c r="D32" s="456">
        <v>130</v>
      </c>
      <c r="E32" s="456"/>
      <c r="F32" s="326">
        <f t="shared" si="13"/>
        <v>7.0600000000000005</v>
      </c>
      <c r="G32" s="457">
        <f t="shared" si="14"/>
        <v>3.46</v>
      </c>
      <c r="H32" s="457"/>
      <c r="I32" s="301"/>
      <c r="J32" s="328">
        <f t="shared" si="15"/>
        <v>0.58000000000000007</v>
      </c>
      <c r="K32" s="373">
        <f t="shared" si="18"/>
        <v>60</v>
      </c>
      <c r="L32" s="373">
        <f t="shared" si="20"/>
        <v>0.13120000000000001</v>
      </c>
      <c r="M32" s="374">
        <f t="shared" si="17"/>
        <v>7.8720000000000008</v>
      </c>
      <c r="N32" s="374">
        <f t="shared" si="19"/>
        <v>2.26979</v>
      </c>
      <c r="O32" s="374">
        <f>INT(M32/N32*100)/100</f>
        <v>3.46</v>
      </c>
      <c r="P32" s="375">
        <f t="shared" si="22"/>
        <v>-1.1299999999999999</v>
      </c>
      <c r="S32" s="51">
        <f>$R$29</f>
        <v>292.39999999999998</v>
      </c>
      <c r="T32" s="51">
        <f t="shared" si="10"/>
        <v>19.038108781900078</v>
      </c>
      <c r="U32" s="61">
        <f t="shared" si="11"/>
        <v>0.85</v>
      </c>
      <c r="V32" s="51">
        <f t="shared" si="12"/>
        <v>5.0000000000000001E-4</v>
      </c>
      <c r="W32" s="51">
        <f t="shared" si="0"/>
        <v>0.20833333333333334</v>
      </c>
      <c r="X32" s="56">
        <f t="shared" si="4"/>
        <v>300</v>
      </c>
      <c r="Y32" s="57">
        <f t="shared" si="1"/>
        <v>12.348344535853379</v>
      </c>
      <c r="Z32" s="57">
        <f>Y33-Z33</f>
        <v>7.6409284975902256</v>
      </c>
      <c r="AA32" s="57">
        <f>$Z$29</f>
        <v>7.6409284975902256</v>
      </c>
      <c r="AB32" s="57">
        <f t="shared" si="6"/>
        <v>300</v>
      </c>
      <c r="AC32" s="57">
        <f t="shared" si="7"/>
        <v>4.7074160382631529</v>
      </c>
      <c r="AD32" s="59">
        <f>INT((AC$28+AE32)*100)/100</f>
        <v>4.82</v>
      </c>
      <c r="AE32" s="57">
        <f>AF32*AG$33</f>
        <v>0.97200000000000009</v>
      </c>
      <c r="AF32" s="57">
        <v>0.9</v>
      </c>
      <c r="AG32" s="57"/>
      <c r="AH32" s="57"/>
      <c r="EF32" s="51">
        <v>14.26</v>
      </c>
    </row>
    <row r="33" spans="1:136" s="51" customFormat="1" ht="23.1" customHeight="1">
      <c r="A33" s="323"/>
      <c r="B33" s="323"/>
      <c r="C33" s="325"/>
      <c r="D33" s="456">
        <v>140</v>
      </c>
      <c r="E33" s="456"/>
      <c r="F33" s="326">
        <f t="shared" si="13"/>
        <v>7.15</v>
      </c>
      <c r="G33" s="457">
        <f t="shared" si="14"/>
        <v>3.55</v>
      </c>
      <c r="H33" s="457"/>
      <c r="I33" s="301"/>
      <c r="J33" s="328">
        <f t="shared" si="15"/>
        <v>8.9999999999999858E-2</v>
      </c>
      <c r="L33" s="66" t="s">
        <v>21</v>
      </c>
      <c r="P33" s="58"/>
      <c r="S33" s="51">
        <f>$R$29</f>
        <v>292.39999999999998</v>
      </c>
      <c r="T33" s="51">
        <f t="shared" si="10"/>
        <v>19.038108781900078</v>
      </c>
      <c r="U33" s="61">
        <f t="shared" si="11"/>
        <v>0.85</v>
      </c>
      <c r="V33" s="51">
        <f t="shared" si="12"/>
        <v>5.0000000000000001E-4</v>
      </c>
      <c r="W33" s="51">
        <f t="shared" si="0"/>
        <v>0.25</v>
      </c>
      <c r="X33" s="56">
        <f t="shared" si="4"/>
        <v>360</v>
      </c>
      <c r="Y33" s="57">
        <f t="shared" si="1"/>
        <v>12.570928497590225</v>
      </c>
      <c r="Z33" s="57">
        <f>Input!B22</f>
        <v>4.93</v>
      </c>
      <c r="AA33" s="57">
        <f>$Z$29</f>
        <v>7.6409284975902256</v>
      </c>
      <c r="AB33" s="57">
        <f t="shared" si="6"/>
        <v>360</v>
      </c>
      <c r="AC33" s="57">
        <f t="shared" si="7"/>
        <v>4.93</v>
      </c>
      <c r="AD33" s="59">
        <f>INT((AC$28+AE33)*100)/100</f>
        <v>4.93</v>
      </c>
      <c r="AE33" s="57">
        <f>AF33*AG$33</f>
        <v>1.08</v>
      </c>
      <c r="AF33" s="57">
        <v>1</v>
      </c>
      <c r="AG33" s="57">
        <f>AC33-AC28</f>
        <v>1.08</v>
      </c>
      <c r="AH33" s="57"/>
      <c r="EF33" s="51">
        <v>15.41</v>
      </c>
    </row>
    <row r="34" spans="1:136" s="51" customFormat="1" ht="23.1" customHeight="1">
      <c r="A34" s="323"/>
      <c r="B34" s="323"/>
      <c r="C34" s="325"/>
      <c r="D34" s="456">
        <v>150</v>
      </c>
      <c r="E34" s="456"/>
      <c r="F34" s="326">
        <f t="shared" si="13"/>
        <v>7.25</v>
      </c>
      <c r="G34" s="457">
        <f t="shared" si="14"/>
        <v>3.65</v>
      </c>
      <c r="H34" s="457"/>
      <c r="I34" s="301"/>
      <c r="J34" s="328">
        <f t="shared" si="15"/>
        <v>0.10000000000000009</v>
      </c>
      <c r="L34" s="66" t="s">
        <v>21</v>
      </c>
      <c r="R34" s="51">
        <f>B42</f>
        <v>344</v>
      </c>
      <c r="S34" s="51">
        <f>$R$34</f>
        <v>344</v>
      </c>
      <c r="T34" s="51">
        <f t="shared" si="10"/>
        <v>19.038108781900078</v>
      </c>
      <c r="U34" s="61">
        <f t="shared" si="11"/>
        <v>0.85</v>
      </c>
      <c r="V34" s="51">
        <f t="shared" si="12"/>
        <v>5.0000000000000001E-4</v>
      </c>
      <c r="W34" s="51">
        <f t="shared" si="0"/>
        <v>0.25694444444444442</v>
      </c>
      <c r="X34" s="56">
        <f t="shared" si="4"/>
        <v>370</v>
      </c>
      <c r="Y34" s="57">
        <f t="shared" si="1"/>
        <v>14.828680044323646</v>
      </c>
      <c r="Z34" s="57">
        <f>Z37</f>
        <v>9.0625175665526463</v>
      </c>
      <c r="AA34" s="57">
        <f>$Z$34</f>
        <v>9.0625175665526463</v>
      </c>
      <c r="AB34" s="57">
        <f t="shared" si="6"/>
        <v>370</v>
      </c>
      <c r="AC34" s="57">
        <f t="shared" si="7"/>
        <v>5.7661624777709992</v>
      </c>
      <c r="AD34" s="59">
        <f>INT((AC$33+AE34)*100)/100</f>
        <v>5.65</v>
      </c>
      <c r="AE34" s="57">
        <f>AG$38*AF34</f>
        <v>0.72599999999999942</v>
      </c>
      <c r="AF34" s="57">
        <v>0.6</v>
      </c>
      <c r="AG34" s="57"/>
      <c r="AH34" s="57"/>
      <c r="EF34" s="51">
        <v>15.6</v>
      </c>
    </row>
    <row r="35" spans="1:136" s="51" customFormat="1" ht="23.1" customHeight="1">
      <c r="A35" s="323"/>
      <c r="B35" s="323"/>
      <c r="C35" s="325"/>
      <c r="D35" s="456">
        <v>180</v>
      </c>
      <c r="E35" s="456"/>
      <c r="F35" s="326">
        <f t="shared" si="13"/>
        <v>7.35</v>
      </c>
      <c r="G35" s="457">
        <f t="shared" si="14"/>
        <v>3.75</v>
      </c>
      <c r="H35" s="457"/>
      <c r="I35" s="301"/>
      <c r="J35" s="328">
        <f t="shared" si="15"/>
        <v>0.10000000000000009</v>
      </c>
      <c r="L35" s="66" t="s">
        <v>21</v>
      </c>
      <c r="S35" s="51">
        <f>$R$34</f>
        <v>344</v>
      </c>
      <c r="T35" s="51">
        <f t="shared" si="10"/>
        <v>19.038108781900078</v>
      </c>
      <c r="U35" s="61">
        <f t="shared" si="11"/>
        <v>0.85</v>
      </c>
      <c r="V35" s="51">
        <f t="shared" si="12"/>
        <v>5.0000000000000001E-4</v>
      </c>
      <c r="W35" s="51">
        <f t="shared" si="0"/>
        <v>0.2638888888888889</v>
      </c>
      <c r="X35" s="56">
        <f t="shared" si="4"/>
        <v>380</v>
      </c>
      <c r="Y35" s="57">
        <f t="shared" si="1"/>
        <v>14.866982920990985</v>
      </c>
      <c r="AA35" s="57">
        <f>$Z$34</f>
        <v>9.0625175665526463</v>
      </c>
      <c r="AB35" s="57">
        <f t="shared" si="6"/>
        <v>380</v>
      </c>
      <c r="AC35" s="57">
        <f t="shared" si="7"/>
        <v>5.8044653544383387</v>
      </c>
      <c r="AD35" s="59">
        <f>INT((AC$33+AE35)*100)/100</f>
        <v>5.77</v>
      </c>
      <c r="AE35" s="57">
        <f>AG$38*AF35</f>
        <v>0.84699999999999931</v>
      </c>
      <c r="AF35" s="57">
        <v>0.7</v>
      </c>
      <c r="AG35" s="57"/>
      <c r="AH35" s="57"/>
      <c r="EF35" s="51">
        <v>15.64</v>
      </c>
    </row>
    <row r="36" spans="1:136" s="51" customFormat="1" ht="23.1" customHeight="1">
      <c r="A36" s="323"/>
      <c r="B36" s="323"/>
      <c r="C36" s="325"/>
      <c r="D36" s="456">
        <v>240</v>
      </c>
      <c r="E36" s="456"/>
      <c r="F36" s="326">
        <f t="shared" si="13"/>
        <v>7.45</v>
      </c>
      <c r="G36" s="457">
        <f t="shared" si="14"/>
        <v>3.85</v>
      </c>
      <c r="H36" s="457"/>
      <c r="I36" s="301"/>
      <c r="J36" s="328">
        <f t="shared" si="15"/>
        <v>0.10000000000000009</v>
      </c>
      <c r="L36" s="66" t="s">
        <v>21</v>
      </c>
      <c r="S36" s="51">
        <f>$R$34</f>
        <v>344</v>
      </c>
      <c r="T36" s="51">
        <f t="shared" si="10"/>
        <v>19.038108781900078</v>
      </c>
      <c r="U36" s="61">
        <f t="shared" si="11"/>
        <v>0.85</v>
      </c>
      <c r="V36" s="51">
        <f t="shared" si="12"/>
        <v>5.0000000000000001E-4</v>
      </c>
      <c r="W36" s="51">
        <f t="shared" si="0"/>
        <v>0.27083333333333331</v>
      </c>
      <c r="X36" s="56">
        <f t="shared" si="4"/>
        <v>390</v>
      </c>
      <c r="Y36" s="57">
        <f t="shared" si="1"/>
        <v>14.904290804370532</v>
      </c>
      <c r="AA36" s="57">
        <f>$Z$34</f>
        <v>9.0625175665526463</v>
      </c>
      <c r="AB36" s="57">
        <f t="shared" si="6"/>
        <v>390</v>
      </c>
      <c r="AC36" s="57">
        <f t="shared" si="7"/>
        <v>5.8417732378178862</v>
      </c>
      <c r="AD36" s="59">
        <f>INT((AC$33+AE36)*100)/100</f>
        <v>5.89</v>
      </c>
      <c r="AE36" s="57">
        <f>AG$38*AF36</f>
        <v>0.96799999999999931</v>
      </c>
      <c r="AF36" s="57">
        <v>0.8</v>
      </c>
      <c r="AG36" s="57"/>
      <c r="AH36" s="57"/>
      <c r="EF36" s="51">
        <v>15.67</v>
      </c>
    </row>
    <row r="37" spans="1:136" s="51" customFormat="1" ht="23.1" customHeight="1">
      <c r="A37" s="323">
        <v>3</v>
      </c>
      <c r="B37" s="324">
        <f>Input!D22</f>
        <v>292.39999999999998</v>
      </c>
      <c r="C37" s="325">
        <f>$C$12+D37/1440</f>
        <v>44992.652777777774</v>
      </c>
      <c r="D37" s="456">
        <v>250</v>
      </c>
      <c r="E37" s="456"/>
      <c r="F37" s="326">
        <f t="shared" si="13"/>
        <v>8.09</v>
      </c>
      <c r="G37" s="457">
        <f t="shared" si="14"/>
        <v>4.49</v>
      </c>
      <c r="H37" s="457"/>
      <c r="I37" s="301"/>
      <c r="J37" s="328">
        <f t="shared" si="15"/>
        <v>0.64000000000000012</v>
      </c>
      <c r="L37" s="66" t="s">
        <v>21</v>
      </c>
      <c r="S37" s="51">
        <f>$R$34</f>
        <v>344</v>
      </c>
      <c r="T37" s="51">
        <f t="shared" si="10"/>
        <v>19.038108781900078</v>
      </c>
      <c r="U37" s="61">
        <f t="shared" si="11"/>
        <v>0.85</v>
      </c>
      <c r="V37" s="51">
        <f t="shared" si="12"/>
        <v>5.0000000000000001E-4</v>
      </c>
      <c r="W37" s="51">
        <f t="shared" si="0"/>
        <v>0.29166666666666669</v>
      </c>
      <c r="X37" s="56">
        <f t="shared" si="4"/>
        <v>420</v>
      </c>
      <c r="Y37" s="57">
        <f t="shared" si="1"/>
        <v>15.010730065591014</v>
      </c>
      <c r="Z37" s="57">
        <f>Y38-Z38</f>
        <v>9.0625175665526463</v>
      </c>
      <c r="AA37" s="57">
        <f>$Z$34</f>
        <v>9.0625175665526463</v>
      </c>
      <c r="AB37" s="57">
        <f t="shared" si="6"/>
        <v>420</v>
      </c>
      <c r="AC37" s="57">
        <f t="shared" si="7"/>
        <v>5.9482124990383678</v>
      </c>
      <c r="AD37" s="59">
        <f>INT((AC$33+AE37)*100)/100</f>
        <v>6.01</v>
      </c>
      <c r="AE37" s="57">
        <f>AG$38*AF37</f>
        <v>1.0889999999999993</v>
      </c>
      <c r="AF37" s="57">
        <v>0.9</v>
      </c>
      <c r="AG37" s="57"/>
      <c r="AH37" s="57"/>
      <c r="EF37" s="51">
        <v>19.260000000000002</v>
      </c>
    </row>
    <row r="38" spans="1:136" s="51" customFormat="1" ht="23.1" customHeight="1">
      <c r="A38" s="323"/>
      <c r="B38" s="323"/>
      <c r="C38" s="325"/>
      <c r="D38" s="456">
        <v>260</v>
      </c>
      <c r="E38" s="456"/>
      <c r="F38" s="326">
        <f t="shared" si="13"/>
        <v>8.1999999999999993</v>
      </c>
      <c r="G38" s="457">
        <f t="shared" si="14"/>
        <v>4.5999999999999996</v>
      </c>
      <c r="H38" s="457"/>
      <c r="I38" s="301"/>
      <c r="J38" s="328">
        <f t="shared" si="15"/>
        <v>0.10999999999999943</v>
      </c>
      <c r="L38" s="66" t="s">
        <v>21</v>
      </c>
      <c r="S38" s="51">
        <f>$R$34</f>
        <v>344</v>
      </c>
      <c r="T38" s="51">
        <f t="shared" si="10"/>
        <v>19.038108781900078</v>
      </c>
      <c r="U38" s="61">
        <f t="shared" si="11"/>
        <v>0.85</v>
      </c>
      <c r="V38" s="51">
        <f t="shared" si="12"/>
        <v>5.0000000000000001E-4</v>
      </c>
      <c r="W38" s="51">
        <f t="shared" si="0"/>
        <v>0.33333333333333331</v>
      </c>
      <c r="X38" s="56">
        <f t="shared" si="4"/>
        <v>480</v>
      </c>
      <c r="Y38" s="57">
        <f t="shared" si="1"/>
        <v>15.202517566552645</v>
      </c>
      <c r="Z38" s="57">
        <f>Input!B23</f>
        <v>6.14</v>
      </c>
      <c r="AA38" s="57">
        <f>$Z$34</f>
        <v>9.0625175665526463</v>
      </c>
      <c r="AB38" s="57">
        <f t="shared" si="6"/>
        <v>480</v>
      </c>
      <c r="AC38" s="57">
        <f t="shared" si="7"/>
        <v>6.1399999999999988</v>
      </c>
      <c r="AD38" s="59">
        <f>INT((AC$33+AE38)*100)/100</f>
        <v>6.14</v>
      </c>
      <c r="AE38" s="57">
        <f>AG$38*AF38</f>
        <v>1.2099999999999991</v>
      </c>
      <c r="AF38" s="57">
        <v>1</v>
      </c>
      <c r="AG38" s="57">
        <f>AC38-AC33</f>
        <v>1.2099999999999991</v>
      </c>
      <c r="AH38" s="57"/>
      <c r="EF38" s="51">
        <v>20.059999999999999</v>
      </c>
    </row>
    <row r="39" spans="1:136" s="51" customFormat="1" ht="23.1" customHeight="1">
      <c r="A39" s="323"/>
      <c r="B39" s="323"/>
      <c r="C39" s="325"/>
      <c r="D39" s="456">
        <v>270</v>
      </c>
      <c r="E39" s="456"/>
      <c r="F39" s="326">
        <f t="shared" si="13"/>
        <v>8.31</v>
      </c>
      <c r="G39" s="457">
        <f t="shared" si="14"/>
        <v>4.71</v>
      </c>
      <c r="H39" s="457"/>
      <c r="I39" s="301"/>
      <c r="J39" s="328">
        <f t="shared" si="15"/>
        <v>0.11000000000000032</v>
      </c>
      <c r="K39" s="60" t="s">
        <v>21</v>
      </c>
      <c r="L39" s="66" t="s">
        <v>21</v>
      </c>
      <c r="R39" s="55">
        <f>B47</f>
        <v>395.59999999999997</v>
      </c>
      <c r="S39" s="51">
        <f>$R$39</f>
        <v>395.59999999999997</v>
      </c>
      <c r="T39" s="51">
        <f t="shared" si="10"/>
        <v>19.038108781900078</v>
      </c>
      <c r="U39" s="61">
        <f t="shared" si="11"/>
        <v>0.85</v>
      </c>
      <c r="V39" s="51">
        <f t="shared" si="12"/>
        <v>5.0000000000000001E-4</v>
      </c>
      <c r="W39" s="51">
        <f t="shared" si="0"/>
        <v>0.34027777777777779</v>
      </c>
      <c r="X39" s="56">
        <f t="shared" si="4"/>
        <v>490</v>
      </c>
      <c r="Y39" s="57">
        <f t="shared" si="1"/>
        <v>17.516952360001969</v>
      </c>
      <c r="Z39" s="57">
        <f>Z42</f>
        <v>9.8714644548345234</v>
      </c>
      <c r="AA39" s="57">
        <f>$Z$39</f>
        <v>9.8714644548345234</v>
      </c>
      <c r="AB39" s="57">
        <f t="shared" si="6"/>
        <v>490</v>
      </c>
      <c r="AC39" s="57">
        <f t="shared" si="7"/>
        <v>7.645487905167446</v>
      </c>
      <c r="AD39" s="59">
        <f>INT((AC$38+AE39)*100)/100</f>
        <v>6.87</v>
      </c>
      <c r="AE39" s="57">
        <f>AG$43*AF39</f>
        <v>0.73600000000000065</v>
      </c>
      <c r="AF39" s="57">
        <v>0.4</v>
      </c>
      <c r="AG39" s="57"/>
      <c r="AH39" s="57"/>
      <c r="EF39" s="51">
        <v>20.46</v>
      </c>
    </row>
    <row r="40" spans="1:136" s="51" customFormat="1" ht="23.1" customHeight="1">
      <c r="A40" s="323"/>
      <c r="B40" s="323"/>
      <c r="C40" s="325"/>
      <c r="D40" s="456">
        <v>300</v>
      </c>
      <c r="E40" s="456"/>
      <c r="F40" s="326">
        <f t="shared" si="13"/>
        <v>8.42</v>
      </c>
      <c r="G40" s="457">
        <f t="shared" si="14"/>
        <v>4.82</v>
      </c>
      <c r="H40" s="457"/>
      <c r="I40" s="301"/>
      <c r="J40" s="328">
        <f t="shared" si="15"/>
        <v>0.11000000000000032</v>
      </c>
      <c r="K40" s="60" t="s">
        <v>21</v>
      </c>
      <c r="L40" s="66" t="s">
        <v>21</v>
      </c>
      <c r="S40" s="51">
        <f>$R$39</f>
        <v>395.59999999999997</v>
      </c>
      <c r="T40" s="51">
        <f t="shared" si="10"/>
        <v>19.038108781900078</v>
      </c>
      <c r="U40" s="61">
        <f t="shared" si="11"/>
        <v>0.85</v>
      </c>
      <c r="V40" s="51">
        <f t="shared" si="12"/>
        <v>5.0000000000000001E-4</v>
      </c>
      <c r="W40" s="51">
        <f t="shared" si="0"/>
        <v>0.34722222222222221</v>
      </c>
      <c r="X40" s="56">
        <f t="shared" si="4"/>
        <v>500</v>
      </c>
      <c r="Y40" s="57">
        <f t="shared" si="1"/>
        <v>17.550321447778792</v>
      </c>
      <c r="AA40" s="57">
        <f>$Z$39</f>
        <v>9.8714644548345234</v>
      </c>
      <c r="AB40" s="57">
        <f t="shared" si="6"/>
        <v>500</v>
      </c>
      <c r="AC40" s="57">
        <f t="shared" si="7"/>
        <v>7.6788569929442687</v>
      </c>
      <c r="AD40" s="59">
        <f>INT((AC$38+AE40)*100)/100</f>
        <v>7.15</v>
      </c>
      <c r="AE40" s="57">
        <f>AG$43*AF40</f>
        <v>1.0120000000000009</v>
      </c>
      <c r="AF40" s="57">
        <v>0.55000000000000004</v>
      </c>
      <c r="AG40" s="57"/>
      <c r="AH40" s="57"/>
      <c r="EF40" s="51">
        <v>20.66</v>
      </c>
    </row>
    <row r="41" spans="1:136" s="51" customFormat="1" ht="23.1" customHeight="1">
      <c r="A41" s="323"/>
      <c r="B41" s="323"/>
      <c r="C41" s="325"/>
      <c r="D41" s="456">
        <v>360</v>
      </c>
      <c r="E41" s="456"/>
      <c r="F41" s="326">
        <f t="shared" si="13"/>
        <v>8.5299999999999994</v>
      </c>
      <c r="G41" s="457">
        <f t="shared" si="14"/>
        <v>4.93</v>
      </c>
      <c r="H41" s="457"/>
      <c r="I41" s="301"/>
      <c r="J41" s="328">
        <f t="shared" si="15"/>
        <v>0.10999999999999943</v>
      </c>
      <c r="K41" s="60" t="s">
        <v>21</v>
      </c>
      <c r="L41" s="66" t="s">
        <v>21</v>
      </c>
      <c r="S41" s="51">
        <f>$R$39</f>
        <v>395.59999999999997</v>
      </c>
      <c r="T41" s="51">
        <f t="shared" si="10"/>
        <v>19.038108781900078</v>
      </c>
      <c r="U41" s="61">
        <f t="shared" si="11"/>
        <v>0.85</v>
      </c>
      <c r="V41" s="51">
        <f t="shared" si="12"/>
        <v>5.0000000000000001E-4</v>
      </c>
      <c r="W41" s="51">
        <f t="shared" si="0"/>
        <v>0.35416666666666669</v>
      </c>
      <c r="X41" s="56">
        <f t="shared" si="4"/>
        <v>510</v>
      </c>
      <c r="Y41" s="57">
        <f t="shared" si="1"/>
        <v>17.583029717916673</v>
      </c>
      <c r="AA41" s="57">
        <f>$Z$39</f>
        <v>9.8714644548345234</v>
      </c>
      <c r="AB41" s="57">
        <f t="shared" si="6"/>
        <v>510</v>
      </c>
      <c r="AC41" s="57">
        <f t="shared" si="7"/>
        <v>7.7115652630821501</v>
      </c>
      <c r="AD41" s="59">
        <f>INT((AC$38+AE41)*100)/100</f>
        <v>7.42</v>
      </c>
      <c r="AE41" s="57">
        <f>AG$43*AF41</f>
        <v>1.2880000000000011</v>
      </c>
      <c r="AF41" s="57">
        <v>0.7</v>
      </c>
      <c r="AG41" s="57"/>
      <c r="AH41" s="57"/>
      <c r="EF41" s="51">
        <v>20.75</v>
      </c>
    </row>
    <row r="42" spans="1:136" s="51" customFormat="1" ht="23.1" customHeight="1">
      <c r="A42" s="323">
        <v>4</v>
      </c>
      <c r="B42" s="324">
        <f>Input!D23</f>
        <v>344</v>
      </c>
      <c r="C42" s="325">
        <f>$C$12+D42/1440</f>
        <v>44992.736111111109</v>
      </c>
      <c r="D42" s="456">
        <v>370</v>
      </c>
      <c r="E42" s="456"/>
      <c r="F42" s="326">
        <f t="shared" si="13"/>
        <v>9.25</v>
      </c>
      <c r="G42" s="457">
        <f t="shared" si="14"/>
        <v>5.65</v>
      </c>
      <c r="H42" s="457"/>
      <c r="I42" s="301"/>
      <c r="J42" s="328">
        <f t="shared" si="15"/>
        <v>0.72000000000000064</v>
      </c>
      <c r="K42" s="60" t="s">
        <v>21</v>
      </c>
      <c r="L42" s="66" t="s">
        <v>21</v>
      </c>
      <c r="S42" s="51">
        <f>$R$39</f>
        <v>395.59999999999997</v>
      </c>
      <c r="T42" s="51">
        <f t="shared" si="10"/>
        <v>19.038108781900078</v>
      </c>
      <c r="U42" s="61">
        <f t="shared" si="11"/>
        <v>0.85</v>
      </c>
      <c r="V42" s="51">
        <f t="shared" si="12"/>
        <v>5.0000000000000001E-4</v>
      </c>
      <c r="W42" s="51">
        <f t="shared" si="0"/>
        <v>0.375</v>
      </c>
      <c r="X42" s="56">
        <f t="shared" si="4"/>
        <v>540</v>
      </c>
      <c r="Y42" s="57">
        <f t="shared" si="1"/>
        <v>17.677439051212083</v>
      </c>
      <c r="Z42" s="57">
        <f>Y43-Z43</f>
        <v>9.8714644548345234</v>
      </c>
      <c r="AA42" s="57">
        <f>$Z$39</f>
        <v>9.8714644548345234</v>
      </c>
      <c r="AB42" s="57">
        <f t="shared" si="6"/>
        <v>540</v>
      </c>
      <c r="AC42" s="57">
        <f t="shared" si="7"/>
        <v>7.8059745963775597</v>
      </c>
      <c r="AD42" s="59">
        <f>INT((AC$38+AE42)*100)/100</f>
        <v>7.7</v>
      </c>
      <c r="AE42" s="57">
        <f>AG$43*AF42</f>
        <v>1.5640000000000014</v>
      </c>
      <c r="AF42" s="57">
        <v>0.85</v>
      </c>
      <c r="AG42" s="57"/>
      <c r="AH42" s="57"/>
      <c r="EF42" s="51">
        <v>29.31</v>
      </c>
    </row>
    <row r="43" spans="1:136" s="51" customFormat="1" ht="23.1" customHeight="1">
      <c r="A43" s="323"/>
      <c r="B43" s="323"/>
      <c r="C43" s="325"/>
      <c r="D43" s="456">
        <v>380</v>
      </c>
      <c r="E43" s="456"/>
      <c r="F43" s="326">
        <f t="shared" si="13"/>
        <v>9.3699999999999992</v>
      </c>
      <c r="G43" s="457">
        <f t="shared" si="14"/>
        <v>5.77</v>
      </c>
      <c r="H43" s="457"/>
      <c r="I43" s="301"/>
      <c r="J43" s="328">
        <f t="shared" si="15"/>
        <v>0.11999999999999922</v>
      </c>
      <c r="K43" s="60" t="s">
        <v>21</v>
      </c>
      <c r="L43" s="66" t="s">
        <v>21</v>
      </c>
      <c r="S43" s="51">
        <f>$R$39</f>
        <v>395.59999999999997</v>
      </c>
      <c r="T43" s="51">
        <f t="shared" si="10"/>
        <v>19.038108781900078</v>
      </c>
      <c r="U43" s="61">
        <f t="shared" si="11"/>
        <v>0.85</v>
      </c>
      <c r="V43" s="51">
        <f t="shared" si="12"/>
        <v>5.0000000000000001E-4</v>
      </c>
      <c r="W43" s="51">
        <f t="shared" si="0"/>
        <v>0.41666666666666669</v>
      </c>
      <c r="X43" s="56">
        <f t="shared" si="4"/>
        <v>600</v>
      </c>
      <c r="Y43" s="57">
        <f t="shared" si="1"/>
        <v>17.851464454834524</v>
      </c>
      <c r="Z43" s="57">
        <f>Input!B24</f>
        <v>7.98</v>
      </c>
      <c r="AA43" s="57">
        <f>$Z$39</f>
        <v>9.8714644548345234</v>
      </c>
      <c r="AB43" s="57">
        <f t="shared" si="6"/>
        <v>600</v>
      </c>
      <c r="AC43" s="57">
        <f t="shared" si="7"/>
        <v>7.98</v>
      </c>
      <c r="AD43" s="59">
        <f>INT((AC$38+AE43)*100)/100</f>
        <v>7.98</v>
      </c>
      <c r="AE43" s="57">
        <f>AG$43*AF43</f>
        <v>1.8400000000000016</v>
      </c>
      <c r="AF43" s="57">
        <v>1</v>
      </c>
      <c r="AG43" s="57">
        <f>AC43-AC38</f>
        <v>1.8400000000000016</v>
      </c>
      <c r="AH43" s="57"/>
      <c r="EF43" s="51">
        <v>31.81</v>
      </c>
    </row>
    <row r="44" spans="1:136" s="51" customFormat="1" ht="23.1" customHeight="1">
      <c r="A44" s="323"/>
      <c r="B44" s="323"/>
      <c r="C44" s="325"/>
      <c r="D44" s="456">
        <v>390</v>
      </c>
      <c r="E44" s="456"/>
      <c r="F44" s="326">
        <f t="shared" si="13"/>
        <v>9.49</v>
      </c>
      <c r="G44" s="457">
        <f t="shared" si="14"/>
        <v>5.89</v>
      </c>
      <c r="H44" s="457"/>
      <c r="I44" s="301"/>
      <c r="J44" s="328">
        <f t="shared" si="15"/>
        <v>0.12000000000000011</v>
      </c>
      <c r="K44" s="60" t="s">
        <v>21</v>
      </c>
      <c r="L44" s="66" t="s">
        <v>21</v>
      </c>
      <c r="S44" s="51" t="s">
        <v>21</v>
      </c>
      <c r="T44" s="51" t="s">
        <v>21</v>
      </c>
      <c r="U44" s="61" t="s">
        <v>21</v>
      </c>
      <c r="V44" s="51" t="s">
        <v>21</v>
      </c>
      <c r="W44" s="51" t="s">
        <v>21</v>
      </c>
      <c r="X44" s="56" t="s">
        <v>21</v>
      </c>
      <c r="Y44" s="57" t="s">
        <v>21</v>
      </c>
      <c r="AE44" s="57"/>
      <c r="AF44" s="57"/>
      <c r="EF44" s="51">
        <v>35.83</v>
      </c>
    </row>
    <row r="45" spans="1:136" s="51" customFormat="1" ht="23.1" customHeight="1">
      <c r="A45" s="323"/>
      <c r="B45" s="323"/>
      <c r="C45" s="325"/>
      <c r="D45" s="456">
        <v>420</v>
      </c>
      <c r="E45" s="456"/>
      <c r="F45" s="326">
        <f t="shared" si="13"/>
        <v>9.61</v>
      </c>
      <c r="G45" s="457">
        <f t="shared" si="14"/>
        <v>6.01</v>
      </c>
      <c r="H45" s="457"/>
      <c r="I45" s="301"/>
      <c r="J45" s="328">
        <f t="shared" si="15"/>
        <v>0.12000000000000011</v>
      </c>
      <c r="K45" s="60" t="s">
        <v>21</v>
      </c>
      <c r="L45" s="66" t="s">
        <v>21</v>
      </c>
      <c r="S45" s="51" t="str">
        <f t="shared" ref="S45:S51" si="23">$S44</f>
        <v xml:space="preserve"> </v>
      </c>
      <c r="T45" s="51" t="str">
        <f t="shared" si="10"/>
        <v xml:space="preserve"> </v>
      </c>
      <c r="U45" s="61" t="str">
        <f t="shared" si="11"/>
        <v xml:space="preserve"> </v>
      </c>
      <c r="V45" s="51" t="str">
        <f t="shared" si="12"/>
        <v xml:space="preserve"> </v>
      </c>
      <c r="W45" s="51" t="s">
        <v>21</v>
      </c>
      <c r="X45" s="56" t="s">
        <v>21</v>
      </c>
      <c r="Y45" s="57" t="s">
        <v>21</v>
      </c>
      <c r="AE45" s="57"/>
      <c r="AF45" s="57"/>
      <c r="EF45" s="51">
        <v>35.96</v>
      </c>
    </row>
    <row r="46" spans="1:136" s="51" customFormat="1" ht="23.1" customHeight="1">
      <c r="A46" s="323"/>
      <c r="B46" s="323"/>
      <c r="C46" s="325"/>
      <c r="D46" s="456">
        <v>480</v>
      </c>
      <c r="E46" s="456"/>
      <c r="F46" s="326">
        <f t="shared" si="13"/>
        <v>9.74</v>
      </c>
      <c r="G46" s="457">
        <f t="shared" si="14"/>
        <v>6.14</v>
      </c>
      <c r="H46" s="457"/>
      <c r="I46" s="301"/>
      <c r="J46" s="328">
        <f t="shared" si="15"/>
        <v>0.12999999999999989</v>
      </c>
      <c r="K46" s="60" t="s">
        <v>21</v>
      </c>
      <c r="L46" s="66" t="s">
        <v>21</v>
      </c>
      <c r="S46" s="51" t="str">
        <f t="shared" si="23"/>
        <v xml:space="preserve"> </v>
      </c>
      <c r="T46" s="51" t="str">
        <f t="shared" si="10"/>
        <v xml:space="preserve"> </v>
      </c>
      <c r="U46" s="61" t="str">
        <f t="shared" si="11"/>
        <v xml:space="preserve"> </v>
      </c>
      <c r="V46" s="51" t="str">
        <f t="shared" si="12"/>
        <v xml:space="preserve"> </v>
      </c>
      <c r="W46" s="51" t="s">
        <v>21</v>
      </c>
      <c r="X46" s="56" t="s">
        <v>21</v>
      </c>
      <c r="Y46" s="57" t="s">
        <v>21</v>
      </c>
      <c r="AE46" s="57"/>
      <c r="AF46" s="57"/>
      <c r="EF46" s="51">
        <v>36.01</v>
      </c>
    </row>
    <row r="47" spans="1:136" s="51" customFormat="1" ht="23.1" customHeight="1">
      <c r="A47" s="323">
        <v>5</v>
      </c>
      <c r="B47" s="324">
        <f>Input!D24</f>
        <v>395.59999999999997</v>
      </c>
      <c r="C47" s="325">
        <f>$C$12+D47/1440</f>
        <v>44992.819444444445</v>
      </c>
      <c r="D47" s="456">
        <v>490</v>
      </c>
      <c r="E47" s="456"/>
      <c r="F47" s="326">
        <f t="shared" si="13"/>
        <v>10.47</v>
      </c>
      <c r="G47" s="457">
        <f t="shared" si="14"/>
        <v>6.87</v>
      </c>
      <c r="H47" s="457"/>
      <c r="I47" s="301"/>
      <c r="J47" s="328">
        <f t="shared" si="15"/>
        <v>0.73000000000000043</v>
      </c>
      <c r="K47" s="60" t="s">
        <v>21</v>
      </c>
      <c r="S47" s="51" t="str">
        <f t="shared" si="23"/>
        <v xml:space="preserve"> </v>
      </c>
      <c r="T47" s="51" t="str">
        <f t="shared" si="10"/>
        <v xml:space="preserve"> </v>
      </c>
      <c r="U47" s="61" t="str">
        <f t="shared" si="11"/>
        <v xml:space="preserve"> </v>
      </c>
      <c r="V47" s="51" t="str">
        <f t="shared" si="12"/>
        <v xml:space="preserve"> </v>
      </c>
      <c r="W47" s="51" t="s">
        <v>21</v>
      </c>
      <c r="X47" s="56" t="s">
        <v>21</v>
      </c>
      <c r="Y47" s="57" t="s">
        <v>21</v>
      </c>
      <c r="AE47" s="57"/>
      <c r="AF47" s="57"/>
      <c r="EF47" s="51">
        <v>30.66</v>
      </c>
    </row>
    <row r="48" spans="1:136" s="51" customFormat="1" ht="23.1" customHeight="1">
      <c r="A48" s="323"/>
      <c r="B48" s="323"/>
      <c r="C48" s="325"/>
      <c r="D48" s="456">
        <v>500</v>
      </c>
      <c r="E48" s="456"/>
      <c r="F48" s="326">
        <f t="shared" si="13"/>
        <v>10.75</v>
      </c>
      <c r="G48" s="457">
        <f t="shared" si="14"/>
        <v>7.15</v>
      </c>
      <c r="H48" s="457"/>
      <c r="I48" s="301"/>
      <c r="J48" s="328">
        <f t="shared" si="15"/>
        <v>0.28000000000000025</v>
      </c>
      <c r="K48" s="60" t="s">
        <v>21</v>
      </c>
      <c r="S48" s="51" t="str">
        <f t="shared" si="23"/>
        <v xml:space="preserve"> </v>
      </c>
      <c r="T48" s="51" t="str">
        <f t="shared" si="10"/>
        <v xml:space="preserve"> </v>
      </c>
      <c r="U48" s="61" t="str">
        <f t="shared" si="11"/>
        <v xml:space="preserve"> </v>
      </c>
      <c r="V48" s="51" t="str">
        <f t="shared" si="12"/>
        <v xml:space="preserve"> </v>
      </c>
      <c r="W48" s="51" t="s">
        <v>21</v>
      </c>
      <c r="X48" s="56" t="s">
        <v>21</v>
      </c>
      <c r="Y48" s="57" t="s">
        <v>21</v>
      </c>
      <c r="AE48" s="57"/>
      <c r="AF48" s="57"/>
      <c r="EF48" s="51">
        <v>30.83</v>
      </c>
    </row>
    <row r="49" spans="1:136" s="51" customFormat="1" ht="23.1" customHeight="1">
      <c r="A49" s="323"/>
      <c r="B49" s="323"/>
      <c r="C49" s="325"/>
      <c r="D49" s="456">
        <v>510</v>
      </c>
      <c r="E49" s="456"/>
      <c r="F49" s="326">
        <f t="shared" si="13"/>
        <v>11.02</v>
      </c>
      <c r="G49" s="457">
        <f t="shared" si="14"/>
        <v>7.42</v>
      </c>
      <c r="H49" s="457"/>
      <c r="I49" s="301"/>
      <c r="J49" s="328">
        <f t="shared" si="15"/>
        <v>0.26999999999999957</v>
      </c>
      <c r="K49" s="60" t="s">
        <v>21</v>
      </c>
      <c r="S49" s="51" t="str">
        <f t="shared" si="23"/>
        <v xml:space="preserve"> </v>
      </c>
      <c r="T49" s="51" t="str">
        <f t="shared" si="10"/>
        <v xml:space="preserve"> </v>
      </c>
      <c r="U49" s="61" t="str">
        <f t="shared" si="11"/>
        <v xml:space="preserve"> </v>
      </c>
      <c r="V49" s="51" t="str">
        <f t="shared" si="12"/>
        <v xml:space="preserve"> </v>
      </c>
      <c r="W49" s="51" t="s">
        <v>21</v>
      </c>
      <c r="X49" s="56" t="s">
        <v>21</v>
      </c>
      <c r="Y49" s="57" t="s">
        <v>21</v>
      </c>
      <c r="AE49" s="57"/>
      <c r="AF49" s="57"/>
      <c r="EF49" s="51">
        <v>30.83</v>
      </c>
    </row>
    <row r="50" spans="1:136" s="51" customFormat="1" ht="23.1" customHeight="1">
      <c r="A50" s="323"/>
      <c r="B50" s="323"/>
      <c r="C50" s="325"/>
      <c r="D50" s="456">
        <v>540</v>
      </c>
      <c r="E50" s="456"/>
      <c r="F50" s="326">
        <f t="shared" si="13"/>
        <v>11.3</v>
      </c>
      <c r="G50" s="457">
        <f t="shared" si="14"/>
        <v>7.7</v>
      </c>
      <c r="H50" s="457"/>
      <c r="I50" s="301"/>
      <c r="J50" s="328">
        <f t="shared" si="15"/>
        <v>0.28000000000000025</v>
      </c>
      <c r="K50" s="60" t="s">
        <v>21</v>
      </c>
      <c r="S50" s="51" t="str">
        <f t="shared" si="23"/>
        <v xml:space="preserve"> </v>
      </c>
      <c r="T50" s="51" t="str">
        <f t="shared" si="10"/>
        <v xml:space="preserve"> </v>
      </c>
      <c r="U50" s="61" t="str">
        <f t="shared" si="11"/>
        <v xml:space="preserve"> </v>
      </c>
      <c r="V50" s="51" t="str">
        <f t="shared" si="12"/>
        <v xml:space="preserve"> </v>
      </c>
      <c r="W50" s="51" t="s">
        <v>21</v>
      </c>
      <c r="X50" s="56" t="s">
        <v>21</v>
      </c>
      <c r="Y50" s="57" t="s">
        <v>21</v>
      </c>
      <c r="AE50" s="57"/>
      <c r="AF50" s="57"/>
      <c r="EF50" s="51">
        <v>30.83</v>
      </c>
    </row>
    <row r="51" spans="1:136" s="51" customFormat="1" ht="23.1" customHeight="1">
      <c r="A51" s="323"/>
      <c r="B51" s="323"/>
      <c r="C51" s="325">
        <f>$C$12+D51/1440</f>
        <v>44992.895833333328</v>
      </c>
      <c r="D51" s="456">
        <v>600</v>
      </c>
      <c r="E51" s="456"/>
      <c r="F51" s="326">
        <f t="shared" si="13"/>
        <v>11.58</v>
      </c>
      <c r="G51" s="457">
        <f t="shared" si="14"/>
        <v>7.98</v>
      </c>
      <c r="H51" s="457"/>
      <c r="I51" s="301" t="s">
        <v>180</v>
      </c>
      <c r="J51" s="328">
        <f t="shared" si="15"/>
        <v>0.28000000000000025</v>
      </c>
      <c r="K51" s="60" t="s">
        <v>21</v>
      </c>
      <c r="S51" s="51" t="str">
        <f t="shared" si="23"/>
        <v xml:space="preserve"> </v>
      </c>
      <c r="T51" s="51" t="str">
        <f t="shared" si="10"/>
        <v xml:space="preserve"> </v>
      </c>
      <c r="U51" s="61" t="str">
        <f t="shared" si="11"/>
        <v xml:space="preserve"> </v>
      </c>
      <c r="V51" s="51" t="str">
        <f t="shared" si="12"/>
        <v xml:space="preserve"> </v>
      </c>
      <c r="W51" s="51" t="s">
        <v>21</v>
      </c>
      <c r="X51" s="56" t="s">
        <v>21</v>
      </c>
      <c r="Y51" s="57" t="s">
        <v>21</v>
      </c>
      <c r="AE51" s="57"/>
      <c r="AF51" s="57"/>
      <c r="EF51" s="51">
        <v>31.590000000000117</v>
      </c>
    </row>
    <row r="52" spans="1:136" s="51" customFormat="1" ht="17.25" customHeight="1">
      <c r="J52" s="51" t="s">
        <v>21</v>
      </c>
      <c r="K52" s="60" t="s">
        <v>21</v>
      </c>
      <c r="U52" s="61"/>
      <c r="W52" s="51" t="s">
        <v>21</v>
      </c>
      <c r="X52" s="56" t="s">
        <v>21</v>
      </c>
      <c r="Y52" s="57" t="s">
        <v>21</v>
      </c>
      <c r="AE52" s="57"/>
      <c r="AF52" s="57"/>
      <c r="EF52" s="51">
        <v>13.38</v>
      </c>
    </row>
    <row r="53" spans="1:136" s="51" customFormat="1" ht="17.25" customHeight="1">
      <c r="J53" s="51" t="s">
        <v>21</v>
      </c>
      <c r="K53" s="60" t="s">
        <v>21</v>
      </c>
      <c r="U53" s="61"/>
      <c r="W53" s="51" t="s">
        <v>21</v>
      </c>
      <c r="X53" s="56" t="s">
        <v>21</v>
      </c>
      <c r="Y53" s="57" t="s">
        <v>21</v>
      </c>
      <c r="AE53" s="57"/>
      <c r="AF53" s="57"/>
      <c r="EF53" s="51">
        <v>9.48</v>
      </c>
    </row>
    <row r="54" spans="1:136" s="51" customFormat="1" ht="17.25" customHeight="1">
      <c r="J54" s="51" t="s">
        <v>21</v>
      </c>
      <c r="K54" s="60" t="s">
        <v>21</v>
      </c>
      <c r="U54" s="61"/>
      <c r="W54" s="51" t="s">
        <v>21</v>
      </c>
      <c r="X54" s="56" t="s">
        <v>21</v>
      </c>
      <c r="Y54" s="57" t="s">
        <v>21</v>
      </c>
      <c r="AE54" s="57"/>
      <c r="AF54" s="57"/>
      <c r="EF54" s="51">
        <v>6.56</v>
      </c>
    </row>
    <row r="55" spans="1:136" s="51" customFormat="1" ht="17.25" customHeight="1">
      <c r="J55" s="51" t="s">
        <v>21</v>
      </c>
      <c r="K55" s="60" t="s">
        <v>21</v>
      </c>
      <c r="U55" s="61"/>
      <c r="W55" s="51" t="s">
        <v>21</v>
      </c>
      <c r="X55" s="56" t="s">
        <v>21</v>
      </c>
      <c r="Y55" s="57" t="s">
        <v>21</v>
      </c>
      <c r="AE55" s="57"/>
      <c r="AF55" s="57"/>
      <c r="EF55" s="51">
        <v>4.22</v>
      </c>
    </row>
    <row r="56" spans="1:136" s="51" customFormat="1" ht="17.25" customHeight="1">
      <c r="J56" s="51" t="s">
        <v>21</v>
      </c>
      <c r="K56" s="60" t="s">
        <v>21</v>
      </c>
      <c r="U56" s="61"/>
      <c r="W56" s="51" t="s">
        <v>21</v>
      </c>
      <c r="X56" s="56" t="s">
        <v>21</v>
      </c>
      <c r="Y56" s="57" t="s">
        <v>21</v>
      </c>
      <c r="AE56" s="57"/>
      <c r="AF56" s="57"/>
      <c r="EF56" s="51">
        <v>3.05</v>
      </c>
    </row>
    <row r="57" spans="1:136" s="51" customFormat="1" ht="17.25" customHeight="1">
      <c r="J57" s="51" t="s">
        <v>21</v>
      </c>
      <c r="K57" s="60" t="s">
        <v>21</v>
      </c>
      <c r="U57" s="61"/>
      <c r="W57" s="51" t="s">
        <v>21</v>
      </c>
      <c r="X57" s="56" t="s">
        <v>21</v>
      </c>
      <c r="Y57" s="57" t="s">
        <v>21</v>
      </c>
      <c r="AE57" s="57"/>
      <c r="AF57" s="57"/>
      <c r="EF57" s="51">
        <v>2.27</v>
      </c>
    </row>
    <row r="58" spans="1:136" s="51" customFormat="1" ht="17.25" customHeight="1">
      <c r="J58" s="51" t="s">
        <v>21</v>
      </c>
      <c r="K58" s="60" t="s">
        <v>21</v>
      </c>
      <c r="U58" s="61"/>
      <c r="W58" s="51" t="s">
        <v>21</v>
      </c>
      <c r="X58" s="56" t="s">
        <v>21</v>
      </c>
      <c r="Y58" s="57" t="s">
        <v>21</v>
      </c>
      <c r="AE58" s="57"/>
      <c r="AF58" s="57"/>
      <c r="EF58" s="51">
        <v>1.69</v>
      </c>
    </row>
    <row r="59" spans="1:136" s="51" customFormat="1" ht="17.25" customHeight="1">
      <c r="J59" s="51" t="s">
        <v>21</v>
      </c>
      <c r="K59" s="60" t="s">
        <v>21</v>
      </c>
      <c r="U59" s="61"/>
      <c r="W59" s="51" t="s">
        <v>21</v>
      </c>
      <c r="X59" s="56" t="s">
        <v>21</v>
      </c>
      <c r="Y59" s="57" t="s">
        <v>21</v>
      </c>
      <c r="AE59" s="57"/>
      <c r="AF59" s="57"/>
      <c r="EF59" s="51">
        <v>1.22</v>
      </c>
    </row>
    <row r="60" spans="1:136" s="51" customFormat="1" ht="17.25" customHeight="1">
      <c r="J60" s="51" t="s">
        <v>21</v>
      </c>
      <c r="K60" s="60" t="s">
        <v>21</v>
      </c>
      <c r="U60" s="61"/>
      <c r="W60" s="51" t="s">
        <v>21</v>
      </c>
      <c r="X60" s="56" t="s">
        <v>21</v>
      </c>
      <c r="Y60" s="57" t="s">
        <v>21</v>
      </c>
      <c r="AE60" s="57"/>
      <c r="AF60" s="57"/>
      <c r="EF60" s="51">
        <v>0.83</v>
      </c>
    </row>
    <row r="61" spans="1:136" s="51" customFormat="1" ht="17.25" customHeight="1">
      <c r="J61" s="51" t="s">
        <v>21</v>
      </c>
      <c r="K61" s="60" t="s">
        <v>21</v>
      </c>
      <c r="U61" s="61"/>
      <c r="W61" s="51" t="s">
        <v>21</v>
      </c>
      <c r="X61" s="56" t="s">
        <v>21</v>
      </c>
      <c r="Y61" s="57" t="s">
        <v>21</v>
      </c>
      <c r="AE61" s="57"/>
      <c r="AF61" s="57"/>
      <c r="EF61" s="51">
        <v>0.5699999999999994</v>
      </c>
    </row>
    <row r="62" spans="1:136" s="51" customFormat="1" ht="17.25" customHeight="1">
      <c r="J62" s="51" t="s">
        <v>21</v>
      </c>
      <c r="K62" s="60" t="s">
        <v>21</v>
      </c>
      <c r="U62" s="61"/>
      <c r="W62" s="51" t="s">
        <v>21</v>
      </c>
      <c r="X62" s="56" t="s">
        <v>21</v>
      </c>
      <c r="Y62" s="57" t="s">
        <v>21</v>
      </c>
      <c r="AE62" s="57"/>
      <c r="AF62" s="57"/>
      <c r="EF62" s="51">
        <v>0.38</v>
      </c>
    </row>
    <row r="63" spans="1:136" s="51" customFormat="1" ht="17.25" customHeight="1">
      <c r="J63" s="51" t="s">
        <v>21</v>
      </c>
      <c r="K63" s="60" t="s">
        <v>21</v>
      </c>
      <c r="U63" s="61"/>
      <c r="W63" s="51" t="s">
        <v>21</v>
      </c>
      <c r="X63" s="56" t="s">
        <v>21</v>
      </c>
      <c r="Y63" s="57" t="s">
        <v>21</v>
      </c>
      <c r="AE63" s="57"/>
      <c r="AF63" s="57"/>
      <c r="EF63" s="51">
        <v>0.27999999999999936</v>
      </c>
    </row>
    <row r="64" spans="1:136" s="51" customFormat="1" ht="17.25" customHeight="1">
      <c r="J64" s="51" t="s">
        <v>21</v>
      </c>
      <c r="K64" s="60" t="s">
        <v>21</v>
      </c>
      <c r="U64" s="61"/>
      <c r="W64" s="51" t="s">
        <v>21</v>
      </c>
      <c r="X64" s="56" t="s">
        <v>21</v>
      </c>
      <c r="Y64" s="57" t="s">
        <v>21</v>
      </c>
      <c r="AE64" s="57"/>
      <c r="AF64" s="57"/>
      <c r="EF64" s="51">
        <v>0.22</v>
      </c>
    </row>
    <row r="65" spans="10:136" s="51" customFormat="1" ht="17.25" customHeight="1">
      <c r="J65" s="51" t="s">
        <v>21</v>
      </c>
      <c r="K65" s="60" t="s">
        <v>21</v>
      </c>
      <c r="U65" s="61"/>
      <c r="W65" s="51" t="s">
        <v>21</v>
      </c>
      <c r="X65" s="56" t="s">
        <v>21</v>
      </c>
      <c r="Y65" s="57" t="s">
        <v>21</v>
      </c>
      <c r="AE65" s="57"/>
      <c r="AF65" s="57"/>
      <c r="EF65" s="51">
        <v>0.17</v>
      </c>
    </row>
    <row r="66" spans="10:136" s="51" customFormat="1" ht="17.25" customHeight="1">
      <c r="J66" s="51" t="s">
        <v>21</v>
      </c>
      <c r="K66" s="60" t="s">
        <v>21</v>
      </c>
      <c r="U66" s="61"/>
      <c r="W66" s="51" t="s">
        <v>21</v>
      </c>
      <c r="X66" s="56" t="s">
        <v>21</v>
      </c>
      <c r="Y66" s="57" t="s">
        <v>21</v>
      </c>
      <c r="AE66" s="57"/>
      <c r="AF66" s="57"/>
      <c r="EF66" s="51">
        <v>0.13</v>
      </c>
    </row>
    <row r="67" spans="10:136" s="51" customFormat="1" ht="17.25" customHeight="1">
      <c r="J67" s="51" t="s">
        <v>21</v>
      </c>
      <c r="K67" s="60" t="s">
        <v>21</v>
      </c>
      <c r="U67" s="61"/>
      <c r="W67" s="56" t="s">
        <v>21</v>
      </c>
      <c r="X67" s="57" t="s">
        <v>21</v>
      </c>
      <c r="AD67" s="57"/>
      <c r="AE67" s="57"/>
      <c r="ED67" s="51">
        <v>9.9999999999999645E-2</v>
      </c>
    </row>
    <row r="68" spans="10:136" s="51" customFormat="1" ht="17.25" customHeight="1">
      <c r="J68" s="51" t="s">
        <v>21</v>
      </c>
      <c r="K68" s="60" t="s">
        <v>21</v>
      </c>
      <c r="U68" s="61"/>
      <c r="W68" s="51" t="s">
        <v>21</v>
      </c>
      <c r="X68" s="56" t="s">
        <v>21</v>
      </c>
      <c r="Y68" s="57" t="s">
        <v>21</v>
      </c>
      <c r="AE68" s="57"/>
      <c r="AF68" s="57"/>
    </row>
    <row r="69" spans="10:136" s="51" customFormat="1" ht="17.25" customHeight="1">
      <c r="J69" s="51" t="s">
        <v>21</v>
      </c>
      <c r="K69" s="60" t="s">
        <v>21</v>
      </c>
      <c r="U69" s="61"/>
      <c r="W69" s="51" t="s">
        <v>21</v>
      </c>
      <c r="X69" s="56" t="s">
        <v>21</v>
      </c>
      <c r="Y69" s="57" t="s">
        <v>21</v>
      </c>
      <c r="AE69" s="57"/>
      <c r="AF69" s="57"/>
    </row>
    <row r="70" spans="10:136" s="51" customFormat="1" ht="17.25" customHeight="1">
      <c r="J70" s="51" t="s">
        <v>21</v>
      </c>
      <c r="K70" s="60" t="s">
        <v>21</v>
      </c>
      <c r="U70" s="61"/>
      <c r="W70" s="51" t="s">
        <v>21</v>
      </c>
      <c r="X70" s="56" t="s">
        <v>21</v>
      </c>
      <c r="Y70" s="57" t="s">
        <v>21</v>
      </c>
      <c r="AE70" s="57"/>
      <c r="AF70" s="57"/>
    </row>
    <row r="71" spans="10:136" s="51" customFormat="1" ht="17.25" customHeight="1">
      <c r="J71" s="51" t="s">
        <v>21</v>
      </c>
      <c r="K71" s="60" t="s">
        <v>21</v>
      </c>
      <c r="U71" s="61"/>
      <c r="W71" s="51" t="s">
        <v>21</v>
      </c>
      <c r="X71" s="56" t="s">
        <v>21</v>
      </c>
      <c r="Y71" s="57" t="s">
        <v>21</v>
      </c>
      <c r="AE71" s="57"/>
      <c r="AF71" s="57"/>
    </row>
    <row r="72" spans="10:136" s="51" customFormat="1" ht="17.25" customHeight="1">
      <c r="J72" s="51" t="s">
        <v>21</v>
      </c>
      <c r="K72" s="60" t="s">
        <v>21</v>
      </c>
      <c r="U72" s="61"/>
      <c r="W72" s="51" t="s">
        <v>21</v>
      </c>
      <c r="X72" s="56" t="s">
        <v>21</v>
      </c>
      <c r="Y72" s="57" t="s">
        <v>21</v>
      </c>
      <c r="AE72" s="57"/>
      <c r="AF72" s="57"/>
    </row>
    <row r="73" spans="10:136" s="51" customFormat="1" ht="17.25" customHeight="1">
      <c r="J73" s="51" t="s">
        <v>21</v>
      </c>
      <c r="K73" s="60" t="s">
        <v>21</v>
      </c>
      <c r="U73" s="61"/>
      <c r="W73" s="51" t="s">
        <v>21</v>
      </c>
      <c r="X73" s="56" t="s">
        <v>21</v>
      </c>
      <c r="Y73" s="57" t="s">
        <v>21</v>
      </c>
      <c r="AE73" s="57"/>
      <c r="AF73" s="57"/>
    </row>
    <row r="74" spans="10:136" s="51" customFormat="1" ht="17.25" customHeight="1">
      <c r="J74" s="51" t="s">
        <v>21</v>
      </c>
      <c r="U74" s="61"/>
      <c r="W74" s="51" t="s">
        <v>21</v>
      </c>
      <c r="X74" s="56" t="s">
        <v>21</v>
      </c>
      <c r="Y74" s="57" t="s">
        <v>21</v>
      </c>
      <c r="AE74" s="57"/>
      <c r="AF74" s="57"/>
    </row>
    <row r="75" spans="10:136" s="51" customFormat="1" ht="17.25" customHeight="1">
      <c r="J75" s="51" t="s">
        <v>21</v>
      </c>
      <c r="U75" s="61"/>
      <c r="W75" s="51" t="s">
        <v>21</v>
      </c>
      <c r="X75" s="56" t="s">
        <v>21</v>
      </c>
      <c r="Y75" s="57" t="s">
        <v>21</v>
      </c>
      <c r="AE75" s="57"/>
      <c r="AF75" s="57"/>
    </row>
    <row r="76" spans="10:136" s="51" customFormat="1" ht="17.25" customHeight="1">
      <c r="J76" s="51" t="s">
        <v>21</v>
      </c>
      <c r="U76" s="61"/>
      <c r="W76" s="51" t="s">
        <v>21</v>
      </c>
      <c r="X76" s="56" t="s">
        <v>21</v>
      </c>
      <c r="Y76" s="57" t="s">
        <v>21</v>
      </c>
      <c r="AE76" s="57"/>
      <c r="AF76" s="57"/>
    </row>
    <row r="77" spans="10:136" s="51" customFormat="1" ht="17.25" customHeight="1">
      <c r="J77" s="51" t="s">
        <v>21</v>
      </c>
      <c r="U77" s="61"/>
      <c r="W77" s="51" t="s">
        <v>21</v>
      </c>
      <c r="X77" s="56" t="s">
        <v>21</v>
      </c>
      <c r="Y77" s="57" t="s">
        <v>21</v>
      </c>
      <c r="AE77" s="57"/>
      <c r="AF77" s="57"/>
    </row>
    <row r="78" spans="10:136" s="51" customFormat="1" ht="17.25" customHeight="1">
      <c r="J78" s="51" t="s">
        <v>21</v>
      </c>
      <c r="U78" s="61"/>
      <c r="W78" s="51" t="s">
        <v>21</v>
      </c>
      <c r="X78" s="56" t="s">
        <v>21</v>
      </c>
      <c r="Y78" s="57" t="s">
        <v>21</v>
      </c>
      <c r="AE78" s="57"/>
      <c r="AF78" s="57"/>
    </row>
    <row r="79" spans="10:136" s="51" customFormat="1" ht="17.25" customHeight="1">
      <c r="J79" s="51" t="s">
        <v>21</v>
      </c>
      <c r="U79" s="61"/>
      <c r="AE79" s="57"/>
      <c r="AF79" s="57"/>
    </row>
    <row r="80" spans="10:136" s="51" customFormat="1" ht="17.25" customHeight="1">
      <c r="J80" s="51" t="s">
        <v>21</v>
      </c>
      <c r="U80" s="61"/>
      <c r="AE80" s="57"/>
      <c r="AF80" s="57"/>
    </row>
    <row r="81" spans="10:32" s="51" customFormat="1" ht="17.25" customHeight="1">
      <c r="J81" s="51" t="s">
        <v>21</v>
      </c>
      <c r="U81" s="61"/>
      <c r="AE81" s="57"/>
      <c r="AF81" s="57"/>
    </row>
    <row r="82" spans="10:32" s="51" customFormat="1" ht="17.25" customHeight="1">
      <c r="J82" s="51" t="s">
        <v>21</v>
      </c>
      <c r="U82" s="61"/>
      <c r="AE82" s="57"/>
      <c r="AF82" s="57"/>
    </row>
    <row r="83" spans="10:32" s="51" customFormat="1" ht="17.25" customHeight="1">
      <c r="J83" s="51" t="s">
        <v>21</v>
      </c>
      <c r="U83" s="61"/>
      <c r="AE83" s="57"/>
      <c r="AF83" s="57"/>
    </row>
    <row r="84" spans="10:32" s="51" customFormat="1" ht="17.25" customHeight="1">
      <c r="J84" s="51" t="s">
        <v>21</v>
      </c>
      <c r="U84" s="61"/>
      <c r="AE84" s="57"/>
      <c r="AF84" s="57"/>
    </row>
    <row r="85" spans="10:32" s="51" customFormat="1" ht="17.25" customHeight="1">
      <c r="J85" s="51" t="s">
        <v>21</v>
      </c>
      <c r="U85" s="61"/>
      <c r="AE85" s="57"/>
      <c r="AF85" s="57"/>
    </row>
    <row r="86" spans="10:32" s="51" customFormat="1" ht="17.25" customHeight="1">
      <c r="J86" s="51" t="s">
        <v>21</v>
      </c>
      <c r="U86" s="61"/>
      <c r="AE86" s="57"/>
      <c r="AF86" s="57"/>
    </row>
    <row r="87" spans="10:32" s="51" customFormat="1" ht="17.25" customHeight="1">
      <c r="U87" s="61"/>
      <c r="AE87" s="57"/>
      <c r="AF87" s="57"/>
    </row>
    <row r="88" spans="10:32" s="51" customFormat="1" ht="17.25" customHeight="1">
      <c r="U88" s="61"/>
      <c r="AE88" s="57"/>
      <c r="AF88" s="57"/>
    </row>
    <row r="89" spans="10:32" s="51" customFormat="1" ht="17.25" customHeight="1">
      <c r="U89" s="61"/>
      <c r="AE89" s="57"/>
      <c r="AF89" s="57"/>
    </row>
    <row r="90" spans="10:32" s="51" customFormat="1" ht="17.25" customHeight="1">
      <c r="U90" s="61"/>
      <c r="AE90" s="57"/>
      <c r="AF90" s="57"/>
    </row>
    <row r="91" spans="10:32" s="51" customFormat="1" ht="17.25" customHeight="1">
      <c r="U91" s="61"/>
      <c r="AE91" s="57"/>
      <c r="AF91" s="57"/>
    </row>
    <row r="92" spans="10:32" s="51" customFormat="1" ht="17.25" customHeight="1">
      <c r="U92" s="61"/>
      <c r="AE92" s="57"/>
      <c r="AF92" s="57"/>
    </row>
    <row r="93" spans="10:32" s="51" customFormat="1" ht="17.25" customHeight="1">
      <c r="U93" s="61"/>
      <c r="AE93" s="57"/>
      <c r="AF93" s="57"/>
    </row>
    <row r="94" spans="10:32" s="51" customFormat="1" ht="17.25" customHeight="1">
      <c r="U94" s="61"/>
      <c r="AE94" s="57"/>
      <c r="AF94" s="57"/>
    </row>
    <row r="95" spans="10:32" s="51" customFormat="1" ht="17.25" customHeight="1">
      <c r="U95" s="61"/>
      <c r="AE95" s="57"/>
      <c r="AF95" s="57"/>
    </row>
    <row r="96" spans="10:32" s="51" customFormat="1" ht="17.25" customHeight="1">
      <c r="U96" s="61"/>
      <c r="AE96" s="57"/>
      <c r="AF96" s="57"/>
    </row>
    <row r="97" spans="21:32" s="51" customFormat="1" ht="17.25" customHeight="1">
      <c r="U97" s="61"/>
      <c r="AE97" s="57"/>
      <c r="AF97" s="57"/>
    </row>
    <row r="98" spans="21:32" s="51" customFormat="1" ht="17.25" customHeight="1">
      <c r="U98" s="61"/>
      <c r="AE98" s="57"/>
      <c r="AF98" s="57"/>
    </row>
    <row r="99" spans="21:32" s="51" customFormat="1" ht="17.25" customHeight="1">
      <c r="U99" s="61"/>
      <c r="AE99" s="57"/>
      <c r="AF99" s="57"/>
    </row>
    <row r="100" spans="21:32" s="51" customFormat="1" ht="17.25" customHeight="1">
      <c r="U100" s="61"/>
      <c r="AE100" s="57"/>
      <c r="AF100" s="57"/>
    </row>
    <row r="101" spans="21:32" s="51" customFormat="1" ht="17.25" customHeight="1">
      <c r="U101" s="61"/>
      <c r="AE101" s="57"/>
      <c r="AF101" s="57"/>
    </row>
    <row r="102" spans="21:32" s="51" customFormat="1" ht="17.25" customHeight="1">
      <c r="U102" s="61"/>
      <c r="AE102" s="57"/>
      <c r="AF102" s="57"/>
    </row>
    <row r="103" spans="21:32" s="51" customFormat="1" ht="17.25" customHeight="1">
      <c r="U103" s="61"/>
      <c r="AE103" s="57"/>
      <c r="AF103" s="57"/>
    </row>
    <row r="104" spans="21:32" s="51" customFormat="1" ht="17.25" customHeight="1">
      <c r="U104" s="61"/>
      <c r="AE104" s="57"/>
      <c r="AF104" s="57"/>
    </row>
    <row r="105" spans="21:32" s="51" customFormat="1" ht="17.25" customHeight="1">
      <c r="U105" s="61"/>
      <c r="AE105" s="57"/>
      <c r="AF105" s="57"/>
    </row>
    <row r="106" spans="21:32" s="51" customFormat="1" ht="17.25" customHeight="1">
      <c r="U106" s="61"/>
      <c r="AE106" s="57"/>
      <c r="AF106" s="57"/>
    </row>
    <row r="107" spans="21:32" s="51" customFormat="1" ht="17.25" customHeight="1">
      <c r="U107" s="61"/>
      <c r="AE107" s="57"/>
      <c r="AF107" s="57"/>
    </row>
    <row r="108" spans="21:32" s="51" customFormat="1" ht="17.25" customHeight="1">
      <c r="U108" s="61"/>
      <c r="AE108" s="57"/>
      <c r="AF108" s="57"/>
    </row>
    <row r="109" spans="21:32" s="51" customFormat="1" ht="17.25" customHeight="1">
      <c r="U109" s="61"/>
      <c r="AE109" s="57"/>
      <c r="AF109" s="57"/>
    </row>
    <row r="110" spans="21:32" s="51" customFormat="1" ht="17.25" customHeight="1">
      <c r="U110" s="61"/>
      <c r="AE110" s="57"/>
      <c r="AF110" s="57"/>
    </row>
    <row r="111" spans="21:32" s="51" customFormat="1" ht="17.25" customHeight="1">
      <c r="U111" s="61"/>
      <c r="AE111" s="57"/>
      <c r="AF111" s="57"/>
    </row>
    <row r="112" spans="21:32" s="51" customFormat="1" ht="17.25" customHeight="1">
      <c r="U112" s="61"/>
      <c r="AE112" s="57"/>
      <c r="AF112" s="57"/>
    </row>
    <row r="113" spans="21:32" s="51" customFormat="1" ht="17.25" customHeight="1">
      <c r="U113" s="61"/>
      <c r="AE113" s="57"/>
      <c r="AF113" s="57"/>
    </row>
    <row r="114" spans="21:32" s="51" customFormat="1" ht="17.25" customHeight="1">
      <c r="U114" s="61"/>
      <c r="AE114" s="57"/>
      <c r="AF114" s="57"/>
    </row>
    <row r="115" spans="21:32" s="51" customFormat="1" ht="17.25" customHeight="1">
      <c r="U115" s="61"/>
      <c r="AE115" s="57"/>
      <c r="AF115" s="57"/>
    </row>
    <row r="116" spans="21:32" s="51" customFormat="1" ht="17.25" customHeight="1">
      <c r="U116" s="61"/>
      <c r="AE116" s="57"/>
      <c r="AF116" s="57"/>
    </row>
    <row r="117" spans="21:32" s="51" customFormat="1" ht="17.25" customHeight="1">
      <c r="U117" s="61"/>
      <c r="AE117" s="57"/>
      <c r="AF117" s="57"/>
    </row>
    <row r="118" spans="21:32" s="51" customFormat="1" ht="17.25" customHeight="1">
      <c r="U118" s="61"/>
      <c r="AE118" s="57"/>
      <c r="AF118" s="57"/>
    </row>
    <row r="119" spans="21:32" s="51" customFormat="1" ht="17.25" customHeight="1">
      <c r="U119" s="61"/>
      <c r="AE119" s="57"/>
      <c r="AF119" s="57"/>
    </row>
    <row r="120" spans="21:32" s="51" customFormat="1" ht="17.25" customHeight="1">
      <c r="U120" s="61"/>
      <c r="AE120" s="57"/>
      <c r="AF120" s="57"/>
    </row>
    <row r="121" spans="21:32" s="51" customFormat="1" ht="17.25" customHeight="1">
      <c r="U121" s="61"/>
      <c r="AE121" s="57"/>
      <c r="AF121" s="57"/>
    </row>
    <row r="122" spans="21:32" s="51" customFormat="1" ht="17.25" customHeight="1">
      <c r="U122" s="61"/>
      <c r="AE122" s="57"/>
      <c r="AF122" s="57"/>
    </row>
    <row r="123" spans="21:32" s="51" customFormat="1" ht="17.25" customHeight="1">
      <c r="U123" s="61"/>
      <c r="AE123" s="57"/>
      <c r="AF123" s="57"/>
    </row>
    <row r="124" spans="21:32" s="51" customFormat="1" ht="17.25" customHeight="1">
      <c r="U124" s="61"/>
      <c r="AE124" s="57"/>
      <c r="AF124" s="57"/>
    </row>
    <row r="125" spans="21:32" s="51" customFormat="1" ht="17.25" customHeight="1">
      <c r="U125" s="61"/>
      <c r="AE125" s="57"/>
      <c r="AF125" s="57"/>
    </row>
    <row r="126" spans="21:32" s="51" customFormat="1" ht="17.25" customHeight="1">
      <c r="U126" s="61"/>
      <c r="AE126" s="57"/>
      <c r="AF126" s="57"/>
    </row>
    <row r="127" spans="21:32" s="51" customFormat="1" ht="17.25" customHeight="1">
      <c r="U127" s="61"/>
      <c r="AE127" s="57"/>
      <c r="AF127" s="57"/>
    </row>
    <row r="128" spans="21:32" s="51" customFormat="1" ht="17.25" customHeight="1">
      <c r="U128" s="61"/>
      <c r="AE128" s="57"/>
      <c r="AF128" s="57"/>
    </row>
    <row r="129" spans="21:32" s="51" customFormat="1" ht="17.25" customHeight="1">
      <c r="U129" s="61"/>
      <c r="AE129" s="57"/>
      <c r="AF129" s="57"/>
    </row>
    <row r="130" spans="21:32" s="51" customFormat="1" ht="17.25" customHeight="1">
      <c r="U130" s="61"/>
      <c r="AE130" s="57"/>
      <c r="AF130" s="57"/>
    </row>
    <row r="131" spans="21:32" s="51" customFormat="1" ht="17.25" customHeight="1">
      <c r="U131" s="61"/>
      <c r="AE131" s="57"/>
      <c r="AF131" s="57"/>
    </row>
    <row r="132" spans="21:32" s="51" customFormat="1" ht="17.25" customHeight="1">
      <c r="U132" s="61"/>
      <c r="AE132" s="57"/>
      <c r="AF132" s="57"/>
    </row>
    <row r="133" spans="21:32" s="51" customFormat="1" ht="17.25" customHeight="1">
      <c r="U133" s="61"/>
      <c r="AE133" s="57"/>
      <c r="AF133" s="57"/>
    </row>
    <row r="134" spans="21:32" s="51" customFormat="1" ht="17.25" customHeight="1">
      <c r="U134" s="61"/>
      <c r="AE134" s="57"/>
      <c r="AF134" s="57"/>
    </row>
    <row r="135" spans="21:32" s="51" customFormat="1" ht="17.25" customHeight="1">
      <c r="U135" s="61"/>
      <c r="AE135" s="57"/>
      <c r="AF135" s="57"/>
    </row>
    <row r="136" spans="21:32" s="51" customFormat="1" ht="17.25" customHeight="1">
      <c r="U136" s="61"/>
      <c r="AE136" s="57"/>
      <c r="AF136" s="57"/>
    </row>
    <row r="137" spans="21:32" s="51" customFormat="1" ht="17.25" customHeight="1">
      <c r="U137" s="61"/>
      <c r="AE137" s="57"/>
      <c r="AF137" s="57"/>
    </row>
    <row r="138" spans="21:32" s="51" customFormat="1" ht="17.25" customHeight="1">
      <c r="U138" s="61"/>
      <c r="AE138" s="57"/>
      <c r="AF138" s="57"/>
    </row>
    <row r="139" spans="21:32" s="51" customFormat="1" ht="17.25" customHeight="1">
      <c r="U139" s="61"/>
      <c r="AE139" s="57"/>
      <c r="AF139" s="57"/>
    </row>
    <row r="140" spans="21:32" s="51" customFormat="1" ht="17.25" customHeight="1">
      <c r="U140" s="61"/>
      <c r="AE140" s="57"/>
      <c r="AF140" s="57"/>
    </row>
    <row r="141" spans="21:32" s="51" customFormat="1" ht="17.25" customHeight="1">
      <c r="U141" s="61"/>
      <c r="AE141" s="57"/>
      <c r="AF141" s="57"/>
    </row>
    <row r="142" spans="21:32" s="51" customFormat="1" ht="17.25" customHeight="1">
      <c r="U142" s="61"/>
      <c r="AE142" s="57"/>
      <c r="AF142" s="57"/>
    </row>
    <row r="143" spans="21:32" s="51" customFormat="1" ht="17.25" customHeight="1">
      <c r="U143" s="61"/>
      <c r="AE143" s="57"/>
      <c r="AF143" s="57"/>
    </row>
    <row r="144" spans="21:32" s="51" customFormat="1" ht="17.25" customHeight="1">
      <c r="U144" s="61"/>
      <c r="AE144" s="57"/>
      <c r="AF144" s="57"/>
    </row>
    <row r="145" spans="21:32" s="51" customFormat="1" ht="17.25" customHeight="1">
      <c r="U145" s="61"/>
      <c r="AE145" s="57"/>
      <c r="AF145" s="57"/>
    </row>
    <row r="146" spans="21:32" s="51" customFormat="1" ht="17.25" customHeight="1">
      <c r="U146" s="61"/>
      <c r="AE146" s="57"/>
      <c r="AF146" s="57"/>
    </row>
    <row r="147" spans="21:32" s="51" customFormat="1" ht="17.25" customHeight="1">
      <c r="U147" s="61"/>
      <c r="AE147" s="57"/>
      <c r="AF147" s="57"/>
    </row>
    <row r="148" spans="21:32" s="51" customFormat="1" ht="17.25" customHeight="1">
      <c r="U148" s="61"/>
      <c r="AE148" s="57"/>
      <c r="AF148" s="57"/>
    </row>
    <row r="149" spans="21:32" s="51" customFormat="1" ht="17.25" customHeight="1">
      <c r="U149" s="61"/>
      <c r="AE149" s="57"/>
      <c r="AF149" s="57"/>
    </row>
    <row r="150" spans="21:32" s="51" customFormat="1" ht="17.25" customHeight="1">
      <c r="U150" s="61"/>
      <c r="AE150" s="57"/>
      <c r="AF150" s="57"/>
    </row>
    <row r="151" spans="21:32" s="51" customFormat="1" ht="17.25" customHeight="1">
      <c r="U151" s="61"/>
      <c r="AE151" s="57"/>
      <c r="AF151" s="57"/>
    </row>
    <row r="152" spans="21:32" s="51" customFormat="1" ht="17.25" customHeight="1">
      <c r="U152" s="61"/>
      <c r="AE152" s="57"/>
      <c r="AF152" s="57"/>
    </row>
    <row r="153" spans="21:32" s="51" customFormat="1" ht="17.25" customHeight="1">
      <c r="U153" s="61"/>
      <c r="AE153" s="57"/>
      <c r="AF153" s="57"/>
    </row>
    <row r="154" spans="21:32" s="51" customFormat="1" ht="17.25" customHeight="1">
      <c r="U154" s="61"/>
      <c r="AE154" s="57"/>
      <c r="AF154" s="57"/>
    </row>
    <row r="155" spans="21:32" s="51" customFormat="1" ht="17.25" customHeight="1">
      <c r="U155" s="61"/>
      <c r="AE155" s="57"/>
      <c r="AF155" s="57"/>
    </row>
    <row r="156" spans="21:32" s="51" customFormat="1" ht="17.25" customHeight="1">
      <c r="U156" s="61"/>
      <c r="AE156" s="57"/>
      <c r="AF156" s="57"/>
    </row>
    <row r="157" spans="21:32" s="51" customFormat="1" ht="17.25" customHeight="1">
      <c r="U157" s="61"/>
      <c r="AE157" s="57"/>
      <c r="AF157" s="57"/>
    </row>
    <row r="158" spans="21:32" s="51" customFormat="1" ht="17.25" customHeight="1">
      <c r="U158" s="61"/>
      <c r="AE158" s="57"/>
      <c r="AF158" s="57"/>
    </row>
    <row r="159" spans="21:32" s="51" customFormat="1" ht="17.25" customHeight="1">
      <c r="U159" s="61"/>
      <c r="AE159" s="57"/>
      <c r="AF159" s="57"/>
    </row>
    <row r="160" spans="21:32" s="51" customFormat="1" ht="17.25" customHeight="1">
      <c r="U160" s="61"/>
      <c r="AE160" s="57"/>
      <c r="AF160" s="57"/>
    </row>
    <row r="161" spans="21:32" s="51" customFormat="1" ht="17.25" customHeight="1">
      <c r="U161" s="61"/>
      <c r="AE161" s="57"/>
      <c r="AF161" s="57"/>
    </row>
    <row r="162" spans="21:32" s="51" customFormat="1" ht="17.25" customHeight="1">
      <c r="U162" s="61"/>
      <c r="AE162" s="57"/>
      <c r="AF162" s="57"/>
    </row>
    <row r="163" spans="21:32" s="51" customFormat="1" ht="17.25" customHeight="1">
      <c r="U163" s="61"/>
      <c r="AE163" s="57"/>
      <c r="AF163" s="57"/>
    </row>
    <row r="164" spans="21:32" s="51" customFormat="1" ht="17.25" customHeight="1">
      <c r="U164" s="61"/>
      <c r="AE164" s="57"/>
      <c r="AF164" s="57"/>
    </row>
    <row r="165" spans="21:32" s="51" customFormat="1" ht="17.25" customHeight="1">
      <c r="U165" s="61"/>
      <c r="AE165" s="57"/>
      <c r="AF165" s="57"/>
    </row>
    <row r="166" spans="21:32" s="51" customFormat="1" ht="17.25" customHeight="1">
      <c r="U166" s="61"/>
      <c r="AE166" s="57"/>
      <c r="AF166" s="57"/>
    </row>
    <row r="167" spans="21:32" s="51" customFormat="1" ht="17.25" customHeight="1">
      <c r="U167" s="61"/>
      <c r="AE167" s="57"/>
      <c r="AF167" s="57"/>
    </row>
    <row r="168" spans="21:32" s="51" customFormat="1" ht="17.25" customHeight="1">
      <c r="U168" s="61"/>
      <c r="AE168" s="57"/>
      <c r="AF168" s="57"/>
    </row>
    <row r="169" spans="21:32" s="51" customFormat="1" ht="17.25" customHeight="1">
      <c r="U169" s="61"/>
      <c r="AE169" s="57"/>
      <c r="AF169" s="57"/>
    </row>
    <row r="170" spans="21:32" s="51" customFormat="1" ht="17.25" customHeight="1">
      <c r="U170" s="61"/>
      <c r="AE170" s="57"/>
      <c r="AF170" s="57"/>
    </row>
    <row r="171" spans="21:32" s="51" customFormat="1" ht="17.25" customHeight="1">
      <c r="U171" s="61"/>
      <c r="AE171" s="57"/>
      <c r="AF171" s="57"/>
    </row>
    <row r="172" spans="21:32" s="51" customFormat="1" ht="17.25" customHeight="1">
      <c r="U172" s="61"/>
      <c r="AE172" s="57"/>
      <c r="AF172" s="57"/>
    </row>
    <row r="173" spans="21:32" s="51" customFormat="1" ht="17.25" customHeight="1">
      <c r="U173" s="61"/>
      <c r="AE173" s="57"/>
      <c r="AF173" s="57"/>
    </row>
    <row r="174" spans="21:32" s="51" customFormat="1" ht="17.25" customHeight="1">
      <c r="U174" s="61"/>
      <c r="AE174" s="57"/>
      <c r="AF174" s="57"/>
    </row>
    <row r="175" spans="21:32" s="51" customFormat="1" ht="17.25" customHeight="1">
      <c r="U175" s="61"/>
      <c r="AE175" s="57"/>
      <c r="AF175" s="57"/>
    </row>
    <row r="176" spans="21:32" s="51" customFormat="1" ht="17.25" customHeight="1">
      <c r="U176" s="61"/>
      <c r="AE176" s="57"/>
      <c r="AF176" s="57"/>
    </row>
    <row r="177" spans="21:32" s="51" customFormat="1" ht="17.25" customHeight="1">
      <c r="U177" s="61"/>
      <c r="AE177" s="57"/>
      <c r="AF177" s="57"/>
    </row>
    <row r="178" spans="21:32" s="51" customFormat="1" ht="17.25" customHeight="1">
      <c r="U178" s="61"/>
      <c r="AE178" s="57"/>
      <c r="AF178" s="57"/>
    </row>
    <row r="179" spans="21:32" s="51" customFormat="1" ht="17.25" customHeight="1">
      <c r="U179" s="61"/>
      <c r="AE179" s="57"/>
      <c r="AF179" s="57"/>
    </row>
    <row r="180" spans="21:32" s="51" customFormat="1" ht="17.25" customHeight="1">
      <c r="U180" s="61"/>
      <c r="AE180" s="57"/>
      <c r="AF180" s="57"/>
    </row>
    <row r="181" spans="21:32" s="51" customFormat="1" ht="17.25" customHeight="1">
      <c r="U181" s="61"/>
      <c r="AE181" s="57"/>
      <c r="AF181" s="57"/>
    </row>
    <row r="182" spans="21:32" s="51" customFormat="1" ht="17.25" customHeight="1">
      <c r="U182" s="61"/>
      <c r="AE182" s="57"/>
      <c r="AF182" s="57"/>
    </row>
    <row r="183" spans="21:32" s="51" customFormat="1" ht="17.25" customHeight="1">
      <c r="U183" s="61"/>
      <c r="AE183" s="57"/>
      <c r="AF183" s="57"/>
    </row>
    <row r="184" spans="21:32" s="51" customFormat="1" ht="17.25" customHeight="1">
      <c r="U184" s="61"/>
      <c r="AE184" s="57"/>
      <c r="AF184" s="57"/>
    </row>
    <row r="185" spans="21:32" s="51" customFormat="1" ht="17.25" customHeight="1">
      <c r="U185" s="61"/>
      <c r="AE185" s="57"/>
      <c r="AF185" s="57"/>
    </row>
    <row r="186" spans="21:32" s="51" customFormat="1" ht="17.25" customHeight="1">
      <c r="U186" s="61"/>
      <c r="AE186" s="57"/>
      <c r="AF186" s="57"/>
    </row>
    <row r="187" spans="21:32" s="51" customFormat="1" ht="17.25" customHeight="1">
      <c r="U187" s="61"/>
      <c r="AE187" s="57"/>
      <c r="AF187" s="57"/>
    </row>
    <row r="188" spans="21:32" s="51" customFormat="1" ht="17.25" customHeight="1">
      <c r="U188" s="61"/>
      <c r="AE188" s="57"/>
      <c r="AF188" s="57"/>
    </row>
    <row r="189" spans="21:32" s="51" customFormat="1" ht="17.25" customHeight="1">
      <c r="U189" s="61"/>
      <c r="AE189" s="57"/>
      <c r="AF189" s="57"/>
    </row>
    <row r="190" spans="21:32" s="51" customFormat="1" ht="17.25" customHeight="1">
      <c r="U190" s="61"/>
      <c r="AE190" s="57"/>
      <c r="AF190" s="57"/>
    </row>
    <row r="191" spans="21:32" s="51" customFormat="1" ht="17.25" customHeight="1">
      <c r="U191" s="61"/>
      <c r="AE191" s="57"/>
      <c r="AF191" s="57"/>
    </row>
    <row r="192" spans="21:32" s="51" customFormat="1" ht="17.25" customHeight="1">
      <c r="U192" s="61"/>
      <c r="AE192" s="57"/>
      <c r="AF192" s="57"/>
    </row>
    <row r="193" spans="21:32" s="51" customFormat="1" ht="17.25" customHeight="1">
      <c r="U193" s="61"/>
      <c r="AE193" s="57"/>
      <c r="AF193" s="57"/>
    </row>
    <row r="194" spans="21:32" s="51" customFormat="1" ht="17.25" customHeight="1">
      <c r="U194" s="61"/>
      <c r="AE194" s="57"/>
      <c r="AF194" s="57"/>
    </row>
    <row r="195" spans="21:32" s="51" customFormat="1" ht="17.25" customHeight="1">
      <c r="U195" s="61"/>
      <c r="AE195" s="57"/>
      <c r="AF195" s="57"/>
    </row>
    <row r="196" spans="21:32" s="51" customFormat="1" ht="17.25" customHeight="1">
      <c r="U196" s="61"/>
      <c r="AE196" s="57"/>
      <c r="AF196" s="57"/>
    </row>
    <row r="197" spans="21:32" s="51" customFormat="1" ht="17.25" customHeight="1">
      <c r="U197" s="61"/>
      <c r="AE197" s="57"/>
      <c r="AF197" s="57"/>
    </row>
    <row r="198" spans="21:32" s="51" customFormat="1" ht="17.25" customHeight="1">
      <c r="U198" s="61"/>
      <c r="AE198" s="57"/>
      <c r="AF198" s="57"/>
    </row>
    <row r="199" spans="21:32" s="51" customFormat="1" ht="17.25" customHeight="1">
      <c r="U199" s="61"/>
      <c r="AE199" s="57"/>
      <c r="AF199" s="57"/>
    </row>
    <row r="200" spans="21:32" s="51" customFormat="1" ht="17.25" customHeight="1">
      <c r="U200" s="61"/>
      <c r="AE200" s="57"/>
      <c r="AF200" s="57"/>
    </row>
    <row r="201" spans="21:32" s="51" customFormat="1" ht="17.25" customHeight="1">
      <c r="U201" s="61"/>
      <c r="AE201" s="57"/>
      <c r="AF201" s="57"/>
    </row>
    <row r="202" spans="21:32" s="51" customFormat="1" ht="17.25" customHeight="1">
      <c r="U202" s="61"/>
      <c r="AE202" s="57"/>
      <c r="AF202" s="57"/>
    </row>
    <row r="203" spans="21:32" s="51" customFormat="1" ht="17.25" customHeight="1">
      <c r="U203" s="61"/>
      <c r="AE203" s="57"/>
      <c r="AF203" s="57"/>
    </row>
    <row r="204" spans="21:32" s="51" customFormat="1" ht="17.25" customHeight="1">
      <c r="U204" s="61"/>
      <c r="AE204" s="57"/>
      <c r="AF204" s="57"/>
    </row>
    <row r="205" spans="21:32" s="51" customFormat="1" ht="17.25" customHeight="1">
      <c r="U205" s="61"/>
      <c r="AE205" s="57"/>
      <c r="AF205" s="57"/>
    </row>
    <row r="206" spans="21:32" s="51" customFormat="1" ht="17.25" customHeight="1">
      <c r="U206" s="61"/>
      <c r="AE206" s="57"/>
      <c r="AF206" s="57"/>
    </row>
    <row r="207" spans="21:32" s="51" customFormat="1" ht="17.25" customHeight="1">
      <c r="U207" s="61"/>
      <c r="AE207" s="57"/>
      <c r="AF207" s="57"/>
    </row>
    <row r="208" spans="21:32" s="51" customFormat="1" ht="17.25" customHeight="1">
      <c r="U208" s="61"/>
      <c r="AE208" s="57"/>
      <c r="AF208" s="57"/>
    </row>
    <row r="209" spans="21:32" s="51" customFormat="1" ht="17.25" customHeight="1">
      <c r="U209" s="61"/>
      <c r="AE209" s="57"/>
      <c r="AF209" s="57"/>
    </row>
    <row r="210" spans="21:32" s="51" customFormat="1" ht="17.25" customHeight="1">
      <c r="U210" s="61"/>
      <c r="AE210" s="57"/>
      <c r="AF210" s="57"/>
    </row>
    <row r="211" spans="21:32" s="51" customFormat="1" ht="17.25" customHeight="1">
      <c r="U211" s="61"/>
      <c r="AE211" s="57"/>
      <c r="AF211" s="57"/>
    </row>
    <row r="212" spans="21:32" s="51" customFormat="1" ht="17.25" customHeight="1">
      <c r="U212" s="61"/>
      <c r="AE212" s="57"/>
      <c r="AF212" s="57"/>
    </row>
    <row r="213" spans="21:32" s="51" customFormat="1" ht="17.25" customHeight="1">
      <c r="U213" s="61"/>
      <c r="AE213" s="57"/>
      <c r="AF213" s="57"/>
    </row>
    <row r="214" spans="21:32" s="51" customFormat="1" ht="17.25" customHeight="1">
      <c r="U214" s="61"/>
      <c r="AE214" s="57"/>
      <c r="AF214" s="57"/>
    </row>
    <row r="215" spans="21:32" s="51" customFormat="1" ht="17.25" customHeight="1">
      <c r="U215" s="61"/>
      <c r="AE215" s="57"/>
      <c r="AF215" s="57"/>
    </row>
    <row r="216" spans="21:32" s="51" customFormat="1" ht="17.25" customHeight="1">
      <c r="U216" s="61"/>
      <c r="AE216" s="57"/>
      <c r="AF216" s="57"/>
    </row>
    <row r="217" spans="21:32" s="51" customFormat="1" ht="17.25" customHeight="1">
      <c r="U217" s="61"/>
      <c r="AE217" s="57"/>
      <c r="AF217" s="57"/>
    </row>
    <row r="218" spans="21:32" s="51" customFormat="1" ht="17.25" customHeight="1">
      <c r="U218" s="61"/>
      <c r="AE218" s="57"/>
      <c r="AF218" s="57"/>
    </row>
    <row r="219" spans="21:32" s="51" customFormat="1" ht="17.25" customHeight="1">
      <c r="U219" s="61"/>
      <c r="AE219" s="57"/>
      <c r="AF219" s="57"/>
    </row>
    <row r="220" spans="21:32" s="51" customFormat="1" ht="17.25" customHeight="1">
      <c r="U220" s="61"/>
      <c r="AE220" s="57"/>
      <c r="AF220" s="57"/>
    </row>
    <row r="221" spans="21:32" s="51" customFormat="1" ht="17.25" customHeight="1">
      <c r="U221" s="61"/>
      <c r="AE221" s="57"/>
      <c r="AF221" s="57"/>
    </row>
    <row r="222" spans="21:32" s="51" customFormat="1" ht="17.25" customHeight="1">
      <c r="U222" s="61"/>
      <c r="AE222" s="57"/>
      <c r="AF222" s="57"/>
    </row>
    <row r="223" spans="21:32" s="51" customFormat="1" ht="17.25" customHeight="1">
      <c r="U223" s="61"/>
      <c r="AE223" s="57"/>
      <c r="AF223" s="57"/>
    </row>
    <row r="224" spans="21:32" s="51" customFormat="1" ht="17.25" customHeight="1">
      <c r="U224" s="61"/>
      <c r="AE224" s="57"/>
      <c r="AF224" s="57"/>
    </row>
    <row r="225" spans="21:32" s="51" customFormat="1" ht="17.25" customHeight="1">
      <c r="U225" s="61"/>
      <c r="AE225" s="57"/>
      <c r="AF225" s="57"/>
    </row>
    <row r="226" spans="21:32" s="51" customFormat="1" ht="17.25" customHeight="1">
      <c r="U226" s="61"/>
      <c r="AE226" s="57"/>
      <c r="AF226" s="57"/>
    </row>
    <row r="227" spans="21:32" s="51" customFormat="1" ht="17.25" customHeight="1">
      <c r="U227" s="61"/>
      <c r="AE227" s="57"/>
      <c r="AF227" s="57"/>
    </row>
    <row r="228" spans="21:32" s="51" customFormat="1" ht="17.25" customHeight="1">
      <c r="U228" s="61"/>
      <c r="AE228" s="57"/>
      <c r="AF228" s="57"/>
    </row>
    <row r="229" spans="21:32" s="51" customFormat="1" ht="17.25" customHeight="1">
      <c r="U229" s="61"/>
      <c r="AE229" s="57"/>
      <c r="AF229" s="57"/>
    </row>
    <row r="230" spans="21:32" s="51" customFormat="1" ht="17.25" customHeight="1">
      <c r="U230" s="61"/>
      <c r="AE230" s="57"/>
      <c r="AF230" s="57"/>
    </row>
    <row r="231" spans="21:32" s="51" customFormat="1" ht="17.25" customHeight="1">
      <c r="U231" s="61"/>
      <c r="AE231" s="57"/>
      <c r="AF231" s="57"/>
    </row>
    <row r="232" spans="21:32" s="51" customFormat="1" ht="17.25" customHeight="1">
      <c r="U232" s="61"/>
      <c r="AE232" s="57"/>
      <c r="AF232" s="57"/>
    </row>
    <row r="233" spans="21:32" s="51" customFormat="1" ht="17.25" customHeight="1">
      <c r="U233" s="61"/>
      <c r="AE233" s="57"/>
      <c r="AF233" s="57"/>
    </row>
    <row r="234" spans="21:32" s="51" customFormat="1" ht="17.25" customHeight="1">
      <c r="U234" s="61"/>
      <c r="AE234" s="57"/>
      <c r="AF234" s="57"/>
    </row>
    <row r="235" spans="21:32" s="51" customFormat="1" ht="17.25" customHeight="1">
      <c r="U235" s="61"/>
      <c r="AE235" s="57"/>
      <c r="AF235" s="57"/>
    </row>
    <row r="236" spans="21:32" s="51" customFormat="1" ht="17.25" customHeight="1">
      <c r="U236" s="61"/>
      <c r="AE236" s="57"/>
      <c r="AF236" s="57"/>
    </row>
    <row r="237" spans="21:32" s="51" customFormat="1" ht="17.25" customHeight="1">
      <c r="U237" s="61"/>
      <c r="AE237" s="57"/>
      <c r="AF237" s="57"/>
    </row>
    <row r="238" spans="21:32" s="51" customFormat="1" ht="17.25" customHeight="1">
      <c r="U238" s="61"/>
      <c r="AE238" s="57"/>
      <c r="AF238" s="57"/>
    </row>
    <row r="239" spans="21:32" s="51" customFormat="1" ht="17.25" customHeight="1">
      <c r="U239" s="61"/>
      <c r="AE239" s="57"/>
      <c r="AF239" s="57"/>
    </row>
    <row r="240" spans="21:32" s="51" customFormat="1" ht="17.25" customHeight="1">
      <c r="U240" s="61"/>
      <c r="AE240" s="57"/>
      <c r="AF240" s="57"/>
    </row>
    <row r="241" spans="21:32" s="51" customFormat="1" ht="17.25" customHeight="1">
      <c r="U241" s="61"/>
      <c r="AE241" s="57"/>
      <c r="AF241" s="57"/>
    </row>
    <row r="242" spans="21:32" s="51" customFormat="1" ht="17.25" customHeight="1">
      <c r="U242" s="61"/>
      <c r="AE242" s="57"/>
      <c r="AF242" s="57"/>
    </row>
    <row r="243" spans="21:32" s="51" customFormat="1" ht="17.25" customHeight="1">
      <c r="U243" s="61"/>
      <c r="AE243" s="57"/>
      <c r="AF243" s="57"/>
    </row>
    <row r="244" spans="21:32" s="51" customFormat="1" ht="17.25" customHeight="1">
      <c r="U244" s="61"/>
      <c r="AE244" s="57"/>
      <c r="AF244" s="57"/>
    </row>
    <row r="245" spans="21:32" s="51" customFormat="1" ht="17.25" customHeight="1">
      <c r="U245" s="61"/>
      <c r="AE245" s="57"/>
      <c r="AF245" s="57"/>
    </row>
    <row r="246" spans="21:32" s="51" customFormat="1" ht="17.25" customHeight="1">
      <c r="U246" s="61"/>
      <c r="AE246" s="57"/>
      <c r="AF246" s="57"/>
    </row>
    <row r="247" spans="21:32" s="51" customFormat="1" ht="17.25" customHeight="1">
      <c r="U247" s="61"/>
      <c r="AE247" s="57"/>
      <c r="AF247" s="57"/>
    </row>
    <row r="248" spans="21:32" s="51" customFormat="1" ht="17.25" customHeight="1">
      <c r="U248" s="61"/>
      <c r="AE248" s="57"/>
      <c r="AF248" s="57"/>
    </row>
    <row r="249" spans="21:32" s="51" customFormat="1" ht="17.25" customHeight="1">
      <c r="U249" s="61"/>
      <c r="AE249" s="57"/>
      <c r="AF249" s="57"/>
    </row>
    <row r="250" spans="21:32" s="51" customFormat="1" ht="17.25" customHeight="1">
      <c r="U250" s="61"/>
      <c r="AE250" s="57"/>
      <c r="AF250" s="57"/>
    </row>
    <row r="251" spans="21:32" s="51" customFormat="1" ht="17.25" customHeight="1">
      <c r="U251" s="61"/>
      <c r="AE251" s="57"/>
      <c r="AF251" s="57"/>
    </row>
    <row r="252" spans="21:32" s="51" customFormat="1" ht="17.25" customHeight="1">
      <c r="U252" s="61"/>
      <c r="AE252" s="57"/>
      <c r="AF252" s="57"/>
    </row>
    <row r="253" spans="21:32" s="51" customFormat="1" ht="17.25" customHeight="1">
      <c r="U253" s="61"/>
      <c r="AE253" s="57"/>
      <c r="AF253" s="57"/>
    </row>
    <row r="254" spans="21:32" s="51" customFormat="1" ht="17.25" customHeight="1">
      <c r="U254" s="61"/>
      <c r="AE254" s="57"/>
      <c r="AF254" s="57"/>
    </row>
    <row r="255" spans="21:32" s="51" customFormat="1" ht="17.25" customHeight="1">
      <c r="U255" s="61"/>
      <c r="AE255" s="57"/>
      <c r="AF255" s="57"/>
    </row>
    <row r="256" spans="21:32" s="51" customFormat="1" ht="17.25" customHeight="1">
      <c r="U256" s="61"/>
      <c r="AE256" s="57"/>
      <c r="AF256" s="57"/>
    </row>
    <row r="257" spans="21:32" s="51" customFormat="1" ht="17.25" customHeight="1">
      <c r="U257" s="61"/>
      <c r="AE257" s="57"/>
      <c r="AF257" s="57"/>
    </row>
    <row r="258" spans="21:32" s="51" customFormat="1" ht="17.25" customHeight="1">
      <c r="U258" s="61"/>
      <c r="AE258" s="57"/>
      <c r="AF258" s="57"/>
    </row>
    <row r="259" spans="21:32" s="51" customFormat="1" ht="17.25" customHeight="1">
      <c r="U259" s="61"/>
      <c r="AE259" s="57"/>
      <c r="AF259" s="57"/>
    </row>
    <row r="260" spans="21:32" s="51" customFormat="1" ht="17.25" customHeight="1">
      <c r="U260" s="61"/>
      <c r="AE260" s="57"/>
      <c r="AF260" s="57"/>
    </row>
    <row r="261" spans="21:32" s="51" customFormat="1" ht="17.25" customHeight="1">
      <c r="U261" s="61"/>
      <c r="AE261" s="57"/>
      <c r="AF261" s="57"/>
    </row>
    <row r="262" spans="21:32" s="51" customFormat="1" ht="17.25" customHeight="1">
      <c r="U262" s="61"/>
      <c r="AE262" s="57"/>
      <c r="AF262" s="57"/>
    </row>
    <row r="263" spans="21:32" s="51" customFormat="1" ht="17.25" customHeight="1">
      <c r="U263" s="61"/>
      <c r="AE263" s="57"/>
      <c r="AF263" s="57"/>
    </row>
    <row r="264" spans="21:32" s="51" customFormat="1" ht="17.25" customHeight="1">
      <c r="U264" s="61"/>
      <c r="AE264" s="57"/>
      <c r="AF264" s="57"/>
    </row>
    <row r="265" spans="21:32" s="51" customFormat="1" ht="17.25" customHeight="1">
      <c r="U265" s="61"/>
      <c r="AE265" s="57"/>
      <c r="AF265" s="57"/>
    </row>
    <row r="266" spans="21:32" s="51" customFormat="1" ht="17.25" customHeight="1">
      <c r="U266" s="61"/>
      <c r="AE266" s="57"/>
      <c r="AF266" s="57"/>
    </row>
    <row r="267" spans="21:32" s="51" customFormat="1" ht="17.25" customHeight="1">
      <c r="U267" s="61"/>
      <c r="AE267" s="57"/>
      <c r="AF267" s="57"/>
    </row>
    <row r="268" spans="21:32" s="51" customFormat="1" ht="17.25" customHeight="1">
      <c r="U268" s="61"/>
      <c r="AE268" s="57"/>
      <c r="AF268" s="57"/>
    </row>
    <row r="269" spans="21:32" s="51" customFormat="1" ht="17.25" customHeight="1">
      <c r="U269" s="61"/>
      <c r="AE269" s="57"/>
      <c r="AF269" s="57"/>
    </row>
    <row r="270" spans="21:32" s="51" customFormat="1" ht="17.25" customHeight="1">
      <c r="U270" s="61"/>
      <c r="AE270" s="57"/>
      <c r="AF270" s="57"/>
    </row>
    <row r="271" spans="21:32" s="51" customFormat="1" ht="17.25" customHeight="1">
      <c r="U271" s="61"/>
      <c r="AE271" s="57"/>
      <c r="AF271" s="57"/>
    </row>
    <row r="272" spans="21:32" s="51" customFormat="1" ht="17.25" customHeight="1">
      <c r="U272" s="61"/>
      <c r="AE272" s="57"/>
      <c r="AF272" s="57"/>
    </row>
    <row r="273" spans="21:32" s="51" customFormat="1" ht="17.25" customHeight="1">
      <c r="U273" s="61"/>
      <c r="AE273" s="57"/>
      <c r="AF273" s="57"/>
    </row>
    <row r="274" spans="21:32" s="51" customFormat="1" ht="17.25" customHeight="1">
      <c r="U274" s="61"/>
      <c r="AE274" s="57"/>
      <c r="AF274" s="57"/>
    </row>
    <row r="275" spans="21:32" s="51" customFormat="1" ht="17.25" customHeight="1">
      <c r="U275" s="61"/>
      <c r="AE275" s="57"/>
      <c r="AF275" s="57"/>
    </row>
    <row r="276" spans="21:32" s="51" customFormat="1" ht="17.25" customHeight="1">
      <c r="U276" s="61"/>
      <c r="AE276" s="57"/>
      <c r="AF276" s="57"/>
    </row>
    <row r="277" spans="21:32" s="51" customFormat="1" ht="17.25" customHeight="1">
      <c r="U277" s="61"/>
      <c r="AE277" s="57"/>
      <c r="AF277" s="57"/>
    </row>
    <row r="278" spans="21:32" s="51" customFormat="1" ht="17.25" customHeight="1">
      <c r="U278" s="61"/>
      <c r="AE278" s="57"/>
      <c r="AF278" s="57"/>
    </row>
    <row r="279" spans="21:32" s="51" customFormat="1" ht="17.25" customHeight="1">
      <c r="U279" s="61"/>
      <c r="AE279" s="57"/>
      <c r="AF279" s="57"/>
    </row>
    <row r="280" spans="21:32" s="51" customFormat="1" ht="17.25" customHeight="1">
      <c r="U280" s="61"/>
      <c r="AE280" s="57"/>
      <c r="AF280" s="57"/>
    </row>
    <row r="281" spans="21:32" s="51" customFormat="1" ht="17.25" customHeight="1">
      <c r="U281" s="61"/>
      <c r="AE281" s="57"/>
      <c r="AF281" s="57"/>
    </row>
    <row r="282" spans="21:32" s="51" customFormat="1" ht="17.25" customHeight="1">
      <c r="U282" s="61"/>
      <c r="AE282" s="57"/>
      <c r="AF282" s="57"/>
    </row>
    <row r="283" spans="21:32" s="51" customFormat="1" ht="17.25" customHeight="1">
      <c r="U283" s="61"/>
      <c r="AE283" s="57"/>
      <c r="AF283" s="57"/>
    </row>
    <row r="284" spans="21:32" s="51" customFormat="1" ht="17.25" customHeight="1">
      <c r="U284" s="61"/>
      <c r="AE284" s="57"/>
      <c r="AF284" s="57"/>
    </row>
    <row r="285" spans="21:32" s="51" customFormat="1" ht="17.25" customHeight="1">
      <c r="U285" s="61"/>
      <c r="AE285" s="57"/>
      <c r="AF285" s="57"/>
    </row>
    <row r="286" spans="21:32" s="51" customFormat="1" ht="17.25" customHeight="1">
      <c r="U286" s="61"/>
      <c r="AE286" s="57"/>
      <c r="AF286" s="57"/>
    </row>
    <row r="287" spans="21:32" s="51" customFormat="1" ht="17.25" customHeight="1">
      <c r="U287" s="61"/>
      <c r="AE287" s="57"/>
      <c r="AF287" s="57"/>
    </row>
    <row r="288" spans="21:32" s="51" customFormat="1" ht="17.25" customHeight="1">
      <c r="U288" s="61"/>
      <c r="AE288" s="57"/>
      <c r="AF288" s="57"/>
    </row>
    <row r="289" spans="21:32" s="51" customFormat="1" ht="17.25" customHeight="1">
      <c r="U289" s="61"/>
      <c r="AE289" s="57"/>
      <c r="AF289" s="57"/>
    </row>
    <row r="290" spans="21:32" s="51" customFormat="1" ht="17.25" customHeight="1">
      <c r="U290" s="61"/>
      <c r="AE290" s="57"/>
      <c r="AF290" s="57"/>
    </row>
    <row r="291" spans="21:32" s="51" customFormat="1" ht="17.25" customHeight="1">
      <c r="U291" s="61"/>
      <c r="AE291" s="57"/>
      <c r="AF291" s="57"/>
    </row>
    <row r="292" spans="21:32" s="51" customFormat="1" ht="17.25" customHeight="1">
      <c r="U292" s="61"/>
      <c r="AE292" s="57"/>
      <c r="AF292" s="57"/>
    </row>
    <row r="293" spans="21:32" s="51" customFormat="1" ht="17.25" customHeight="1">
      <c r="U293" s="61"/>
      <c r="AE293" s="57"/>
      <c r="AF293" s="57"/>
    </row>
    <row r="294" spans="21:32" s="51" customFormat="1" ht="17.25" customHeight="1">
      <c r="U294" s="61"/>
      <c r="AE294" s="57"/>
      <c r="AF294" s="57"/>
    </row>
    <row r="295" spans="21:32" s="51" customFormat="1" ht="17.25" customHeight="1">
      <c r="U295" s="61"/>
      <c r="AE295" s="57"/>
      <c r="AF295" s="57"/>
    </row>
    <row r="296" spans="21:32" s="51" customFormat="1" ht="17.25" customHeight="1">
      <c r="U296" s="61"/>
      <c r="AE296" s="57"/>
      <c r="AF296" s="57"/>
    </row>
    <row r="297" spans="21:32" s="51" customFormat="1" ht="17.25" customHeight="1">
      <c r="U297" s="61"/>
      <c r="AE297" s="57"/>
      <c r="AF297" s="57"/>
    </row>
    <row r="298" spans="21:32" s="51" customFormat="1" ht="17.25" customHeight="1">
      <c r="U298" s="61"/>
      <c r="AE298" s="57"/>
      <c r="AF298" s="57"/>
    </row>
    <row r="299" spans="21:32" s="51" customFormat="1" ht="17.25" customHeight="1">
      <c r="U299" s="61"/>
      <c r="AE299" s="57"/>
      <c r="AF299" s="57"/>
    </row>
    <row r="300" spans="21:32" s="51" customFormat="1" ht="17.25" customHeight="1">
      <c r="U300" s="61"/>
      <c r="AE300" s="57"/>
      <c r="AF300" s="57"/>
    </row>
    <row r="301" spans="21:32" s="51" customFormat="1" ht="17.25" customHeight="1">
      <c r="U301" s="61"/>
      <c r="AE301" s="57"/>
      <c r="AF301" s="57"/>
    </row>
    <row r="302" spans="21:32" s="51" customFormat="1" ht="17.25" customHeight="1">
      <c r="U302" s="61"/>
      <c r="AE302" s="57"/>
      <c r="AF302" s="57"/>
    </row>
    <row r="303" spans="21:32" s="51" customFormat="1" ht="17.25" customHeight="1">
      <c r="U303" s="61"/>
      <c r="AE303" s="57"/>
      <c r="AF303" s="57"/>
    </row>
    <row r="304" spans="21:32" s="51" customFormat="1" ht="17.25" customHeight="1">
      <c r="U304" s="61"/>
      <c r="AE304" s="57"/>
      <c r="AF304" s="57"/>
    </row>
    <row r="305" spans="21:32" s="51" customFormat="1" ht="17.25" customHeight="1">
      <c r="U305" s="61"/>
      <c r="AE305" s="57"/>
      <c r="AF305" s="57"/>
    </row>
    <row r="306" spans="21:32" s="51" customFormat="1" ht="17.25" customHeight="1">
      <c r="U306" s="61"/>
      <c r="AE306" s="57"/>
      <c r="AF306" s="57"/>
    </row>
    <row r="307" spans="21:32" s="51" customFormat="1" ht="17.25" customHeight="1">
      <c r="U307" s="61"/>
      <c r="AE307" s="57"/>
      <c r="AF307" s="57"/>
    </row>
    <row r="308" spans="21:32" s="51" customFormat="1" ht="17.25" customHeight="1">
      <c r="U308" s="61"/>
      <c r="AE308" s="57"/>
      <c r="AF308" s="57"/>
    </row>
    <row r="309" spans="21:32" s="51" customFormat="1" ht="17.25" customHeight="1">
      <c r="U309" s="61"/>
      <c r="AE309" s="57"/>
      <c r="AF309" s="57"/>
    </row>
    <row r="310" spans="21:32" s="51" customFormat="1" ht="17.25" customHeight="1">
      <c r="U310" s="61"/>
      <c r="AE310" s="57"/>
      <c r="AF310" s="57"/>
    </row>
    <row r="311" spans="21:32" s="51" customFormat="1" ht="17.25" customHeight="1">
      <c r="U311" s="61"/>
      <c r="AE311" s="57"/>
      <c r="AF311" s="57"/>
    </row>
    <row r="312" spans="21:32" s="51" customFormat="1" ht="17.25" customHeight="1">
      <c r="U312" s="61"/>
      <c r="AE312" s="57"/>
      <c r="AF312" s="57"/>
    </row>
    <row r="313" spans="21:32" s="51" customFormat="1" ht="17.25" customHeight="1">
      <c r="U313" s="61"/>
      <c r="AE313" s="57"/>
      <c r="AF313" s="57"/>
    </row>
    <row r="314" spans="21:32" s="51" customFormat="1" ht="17.25" customHeight="1">
      <c r="U314" s="61"/>
      <c r="AE314" s="57"/>
      <c r="AF314" s="57"/>
    </row>
    <row r="315" spans="21:32" s="51" customFormat="1" ht="17.25" customHeight="1">
      <c r="U315" s="61"/>
      <c r="AE315" s="57"/>
      <c r="AF315" s="57"/>
    </row>
    <row r="316" spans="21:32" s="51" customFormat="1" ht="17.25" customHeight="1">
      <c r="U316" s="61"/>
      <c r="AE316" s="57"/>
      <c r="AF316" s="57"/>
    </row>
    <row r="317" spans="21:32" s="51" customFormat="1" ht="17.25" customHeight="1">
      <c r="U317" s="61"/>
      <c r="AE317" s="57"/>
      <c r="AF317" s="57"/>
    </row>
    <row r="318" spans="21:32" s="51" customFormat="1" ht="17.25" customHeight="1">
      <c r="U318" s="61"/>
      <c r="AE318" s="57"/>
      <c r="AF318" s="57"/>
    </row>
    <row r="319" spans="21:32" s="51" customFormat="1" ht="17.25" customHeight="1">
      <c r="U319" s="61"/>
      <c r="AE319" s="57"/>
      <c r="AF319" s="57"/>
    </row>
    <row r="320" spans="21:32" s="51" customFormat="1" ht="17.25" customHeight="1">
      <c r="U320" s="61"/>
      <c r="AE320" s="57"/>
      <c r="AF320" s="57"/>
    </row>
    <row r="321" spans="21:32" s="51" customFormat="1" ht="17.25" customHeight="1">
      <c r="U321" s="61"/>
      <c r="AE321" s="57"/>
      <c r="AF321" s="57"/>
    </row>
    <row r="322" spans="21:32" s="51" customFormat="1" ht="17.25" customHeight="1">
      <c r="U322" s="61"/>
      <c r="AE322" s="57"/>
      <c r="AF322" s="57"/>
    </row>
    <row r="323" spans="21:32" s="51" customFormat="1" ht="17.25" customHeight="1">
      <c r="U323" s="61"/>
      <c r="AE323" s="57"/>
      <c r="AF323" s="57"/>
    </row>
    <row r="324" spans="21:32" s="51" customFormat="1" ht="17.25" customHeight="1">
      <c r="U324" s="61"/>
      <c r="AE324" s="57"/>
      <c r="AF324" s="57"/>
    </row>
    <row r="325" spans="21:32" s="51" customFormat="1" ht="17.25" customHeight="1">
      <c r="U325" s="61"/>
      <c r="AE325" s="57"/>
      <c r="AF325" s="57"/>
    </row>
    <row r="326" spans="21:32" s="51" customFormat="1" ht="17.25" customHeight="1">
      <c r="U326" s="61"/>
      <c r="AE326" s="57"/>
      <c r="AF326" s="57"/>
    </row>
    <row r="327" spans="21:32" s="51" customFormat="1" ht="17.25" customHeight="1">
      <c r="U327" s="61"/>
      <c r="AE327" s="57"/>
      <c r="AF327" s="57"/>
    </row>
    <row r="328" spans="21:32" s="51" customFormat="1" ht="17.25" customHeight="1">
      <c r="U328" s="61"/>
      <c r="AE328" s="57"/>
      <c r="AF328" s="57"/>
    </row>
    <row r="329" spans="21:32" s="51" customFormat="1" ht="17.25" customHeight="1">
      <c r="U329" s="61"/>
      <c r="AE329" s="57"/>
      <c r="AF329" s="57"/>
    </row>
    <row r="330" spans="21:32" s="51" customFormat="1" ht="17.25" customHeight="1">
      <c r="U330" s="61"/>
      <c r="AE330" s="57"/>
      <c r="AF330" s="57"/>
    </row>
    <row r="331" spans="21:32" s="51" customFormat="1" ht="17.25" customHeight="1">
      <c r="U331" s="61"/>
      <c r="AE331" s="57"/>
      <c r="AF331" s="57"/>
    </row>
    <row r="332" spans="21:32" s="51" customFormat="1" ht="17.25" customHeight="1">
      <c r="U332" s="61"/>
      <c r="AE332" s="57"/>
      <c r="AF332" s="57"/>
    </row>
    <row r="333" spans="21:32" s="51" customFormat="1" ht="17.25" customHeight="1">
      <c r="U333" s="61"/>
      <c r="AE333" s="57"/>
      <c r="AF333" s="57"/>
    </row>
    <row r="334" spans="21:32" s="51" customFormat="1" ht="17.25" customHeight="1">
      <c r="U334" s="61"/>
      <c r="AE334" s="57"/>
      <c r="AF334" s="57"/>
    </row>
    <row r="335" spans="21:32" s="51" customFormat="1" ht="17.25" customHeight="1">
      <c r="U335" s="61"/>
      <c r="AE335" s="57"/>
      <c r="AF335" s="57"/>
    </row>
    <row r="336" spans="21:32" s="51" customFormat="1" ht="17.25" customHeight="1">
      <c r="U336" s="61"/>
      <c r="AE336" s="57"/>
      <c r="AF336" s="57"/>
    </row>
    <row r="337" spans="21:32" s="51" customFormat="1" ht="17.25" customHeight="1">
      <c r="U337" s="61"/>
      <c r="AE337" s="57"/>
      <c r="AF337" s="57"/>
    </row>
    <row r="338" spans="21:32" s="51" customFormat="1" ht="17.25" customHeight="1">
      <c r="U338" s="61"/>
      <c r="AE338" s="57"/>
      <c r="AF338" s="57"/>
    </row>
    <row r="339" spans="21:32" s="51" customFormat="1" ht="17.25" customHeight="1">
      <c r="U339" s="61"/>
      <c r="AE339" s="57"/>
      <c r="AF339" s="57"/>
    </row>
    <row r="340" spans="21:32" s="51" customFormat="1" ht="17.25" customHeight="1">
      <c r="U340" s="61"/>
      <c r="AE340" s="57"/>
      <c r="AF340" s="57"/>
    </row>
    <row r="341" spans="21:32" s="51" customFormat="1" ht="17.25" customHeight="1">
      <c r="U341" s="61"/>
      <c r="AE341" s="57"/>
      <c r="AF341" s="57"/>
    </row>
    <row r="342" spans="21:32" s="51" customFormat="1" ht="17.25" customHeight="1">
      <c r="U342" s="61"/>
      <c r="AE342" s="57"/>
      <c r="AF342" s="57"/>
    </row>
    <row r="343" spans="21:32" s="51" customFormat="1" ht="17.25" customHeight="1">
      <c r="U343" s="61"/>
      <c r="AE343" s="57"/>
      <c r="AF343" s="57"/>
    </row>
    <row r="344" spans="21:32" s="51" customFormat="1" ht="17.25" customHeight="1">
      <c r="U344" s="61"/>
      <c r="AE344" s="57"/>
      <c r="AF344" s="57"/>
    </row>
    <row r="345" spans="21:32" s="51" customFormat="1" ht="17.25" customHeight="1">
      <c r="U345" s="61"/>
      <c r="AE345" s="57"/>
      <c r="AF345" s="57"/>
    </row>
    <row r="346" spans="21:32" s="51" customFormat="1" ht="17.25" customHeight="1">
      <c r="U346" s="61"/>
      <c r="AE346" s="57"/>
      <c r="AF346" s="57"/>
    </row>
    <row r="347" spans="21:32" s="51" customFormat="1" ht="17.25" customHeight="1">
      <c r="U347" s="61"/>
      <c r="AE347" s="57"/>
      <c r="AF347" s="57"/>
    </row>
    <row r="348" spans="21:32" s="51" customFormat="1" ht="17.25" customHeight="1">
      <c r="U348" s="61"/>
      <c r="AE348" s="57"/>
      <c r="AF348" s="57"/>
    </row>
    <row r="349" spans="21:32" s="51" customFormat="1" ht="17.25" customHeight="1">
      <c r="U349" s="61"/>
      <c r="AE349" s="57"/>
      <c r="AF349" s="57"/>
    </row>
    <row r="350" spans="21:32" s="51" customFormat="1" ht="17.25" customHeight="1">
      <c r="U350" s="61"/>
      <c r="AE350" s="57"/>
      <c r="AF350" s="57"/>
    </row>
    <row r="351" spans="21:32" s="51" customFormat="1" ht="17.25" customHeight="1">
      <c r="U351" s="61"/>
      <c r="AE351" s="57"/>
      <c r="AF351" s="57"/>
    </row>
    <row r="352" spans="21:32" s="51" customFormat="1" ht="17.25" customHeight="1">
      <c r="U352" s="61"/>
      <c r="AE352" s="57"/>
      <c r="AF352" s="57"/>
    </row>
    <row r="353" spans="21:32" s="51" customFormat="1" ht="17.25" customHeight="1">
      <c r="U353" s="61"/>
      <c r="AE353" s="57"/>
      <c r="AF353" s="57"/>
    </row>
    <row r="354" spans="21:32" s="51" customFormat="1" ht="17.25" customHeight="1">
      <c r="U354" s="61"/>
      <c r="AE354" s="57"/>
      <c r="AF354" s="57"/>
    </row>
    <row r="355" spans="21:32" s="51" customFormat="1" ht="17.25" customHeight="1">
      <c r="U355" s="61"/>
      <c r="AE355" s="57"/>
      <c r="AF355" s="57"/>
    </row>
    <row r="356" spans="21:32" s="51" customFormat="1" ht="17.25" customHeight="1">
      <c r="U356" s="61"/>
      <c r="AE356" s="57"/>
      <c r="AF356" s="57"/>
    </row>
    <row r="357" spans="21:32" s="51" customFormat="1" ht="17.25" customHeight="1">
      <c r="U357" s="61"/>
      <c r="AE357" s="57"/>
      <c r="AF357" s="57"/>
    </row>
    <row r="358" spans="21:32" s="51" customFormat="1" ht="17.25" customHeight="1">
      <c r="U358" s="61"/>
      <c r="AE358" s="57"/>
      <c r="AF358" s="57"/>
    </row>
    <row r="359" spans="21:32" s="51" customFormat="1" ht="17.25" customHeight="1">
      <c r="U359" s="61"/>
      <c r="AE359" s="57"/>
      <c r="AF359" s="57"/>
    </row>
    <row r="360" spans="21:32" s="51" customFormat="1" ht="17.25" customHeight="1">
      <c r="U360" s="61"/>
      <c r="AE360" s="57"/>
      <c r="AF360" s="57"/>
    </row>
    <row r="361" spans="21:32" s="51" customFormat="1" ht="17.25" customHeight="1">
      <c r="U361" s="61"/>
      <c r="AE361" s="57"/>
      <c r="AF361" s="57"/>
    </row>
    <row r="362" spans="21:32" s="51" customFormat="1" ht="17.25" customHeight="1">
      <c r="U362" s="61"/>
      <c r="AE362" s="57"/>
      <c r="AF362" s="57"/>
    </row>
    <row r="363" spans="21:32" s="51" customFormat="1" ht="17.25" customHeight="1">
      <c r="U363" s="61"/>
      <c r="AE363" s="57"/>
      <c r="AF363" s="57"/>
    </row>
    <row r="364" spans="21:32" s="51" customFormat="1" ht="17.25" customHeight="1">
      <c r="U364" s="61"/>
      <c r="AE364" s="57"/>
      <c r="AF364" s="57"/>
    </row>
    <row r="365" spans="21:32" s="51" customFormat="1" ht="17.25" customHeight="1">
      <c r="U365" s="61"/>
      <c r="AE365" s="57"/>
      <c r="AF365" s="57"/>
    </row>
    <row r="366" spans="21:32" s="51" customFormat="1" ht="17.25" customHeight="1">
      <c r="U366" s="61"/>
      <c r="AE366" s="57"/>
      <c r="AF366" s="57"/>
    </row>
    <row r="367" spans="21:32" s="51" customFormat="1" ht="17.25" customHeight="1">
      <c r="U367" s="61"/>
      <c r="AE367" s="57"/>
      <c r="AF367" s="57"/>
    </row>
    <row r="368" spans="21:32" s="51" customFormat="1" ht="17.25" customHeight="1">
      <c r="U368" s="61"/>
      <c r="AE368" s="57"/>
      <c r="AF368" s="57"/>
    </row>
    <row r="369" spans="21:32" s="51" customFormat="1" ht="17.25" customHeight="1">
      <c r="U369" s="61"/>
      <c r="AE369" s="57"/>
      <c r="AF369" s="57"/>
    </row>
    <row r="370" spans="21:32" s="51" customFormat="1" ht="17.25" customHeight="1">
      <c r="U370" s="61"/>
      <c r="AE370" s="57"/>
      <c r="AF370" s="57"/>
    </row>
    <row r="371" spans="21:32" s="51" customFormat="1" ht="17.25" customHeight="1">
      <c r="U371" s="61"/>
      <c r="AE371" s="57"/>
      <c r="AF371" s="57"/>
    </row>
    <row r="372" spans="21:32" s="51" customFormat="1" ht="17.25" customHeight="1">
      <c r="U372" s="61"/>
      <c r="AE372" s="57"/>
      <c r="AF372" s="57"/>
    </row>
    <row r="373" spans="21:32" s="51" customFormat="1" ht="17.25" customHeight="1">
      <c r="U373" s="61"/>
      <c r="AE373" s="57"/>
      <c r="AF373" s="57"/>
    </row>
    <row r="374" spans="21:32" s="51" customFormat="1" ht="17.25" customHeight="1">
      <c r="U374" s="61"/>
      <c r="AE374" s="57"/>
      <c r="AF374" s="57"/>
    </row>
    <row r="375" spans="21:32" s="51" customFormat="1" ht="17.25" customHeight="1">
      <c r="U375" s="61"/>
      <c r="AE375" s="57"/>
      <c r="AF375" s="57"/>
    </row>
    <row r="376" spans="21:32" s="51" customFormat="1" ht="17.25" customHeight="1">
      <c r="U376" s="61"/>
      <c r="AE376" s="57"/>
      <c r="AF376" s="57"/>
    </row>
    <row r="377" spans="21:32" s="51" customFormat="1" ht="17.25" customHeight="1">
      <c r="U377" s="61"/>
      <c r="AE377" s="57"/>
      <c r="AF377" s="57"/>
    </row>
    <row r="378" spans="21:32" s="51" customFormat="1" ht="17.25" customHeight="1">
      <c r="U378" s="61"/>
      <c r="AE378" s="57"/>
      <c r="AF378" s="57"/>
    </row>
    <row r="379" spans="21:32" s="51" customFormat="1" ht="17.25" customHeight="1">
      <c r="U379" s="61"/>
      <c r="AE379" s="57"/>
      <c r="AF379" s="57"/>
    </row>
    <row r="380" spans="21:32" s="51" customFormat="1" ht="17.25" customHeight="1">
      <c r="U380" s="61"/>
      <c r="AE380" s="57"/>
      <c r="AF380" s="57"/>
    </row>
    <row r="381" spans="21:32" s="51" customFormat="1" ht="17.25" customHeight="1">
      <c r="U381" s="61"/>
      <c r="AE381" s="57"/>
      <c r="AF381" s="57"/>
    </row>
    <row r="382" spans="21:32" s="51" customFormat="1" ht="17.25" customHeight="1">
      <c r="U382" s="61"/>
      <c r="AE382" s="57"/>
      <c r="AF382" s="57"/>
    </row>
    <row r="383" spans="21:32" s="51" customFormat="1" ht="17.25" customHeight="1">
      <c r="U383" s="61"/>
      <c r="AE383" s="57"/>
      <c r="AF383" s="57"/>
    </row>
    <row r="384" spans="21:32" s="51" customFormat="1" ht="17.25" customHeight="1">
      <c r="U384" s="61"/>
      <c r="AE384" s="57"/>
      <c r="AF384" s="57"/>
    </row>
    <row r="385" spans="21:32" s="51" customFormat="1" ht="17.25" customHeight="1">
      <c r="U385" s="61"/>
      <c r="AE385" s="57"/>
      <c r="AF385" s="57"/>
    </row>
    <row r="386" spans="21:32" s="51" customFormat="1" ht="17.25" customHeight="1">
      <c r="U386" s="61"/>
      <c r="AE386" s="57"/>
      <c r="AF386" s="57"/>
    </row>
    <row r="387" spans="21:32" s="51" customFormat="1" ht="17.25" customHeight="1">
      <c r="U387" s="61"/>
      <c r="AE387" s="57"/>
      <c r="AF387" s="57"/>
    </row>
    <row r="388" spans="21:32" s="51" customFormat="1" ht="17.25" customHeight="1">
      <c r="U388" s="61"/>
      <c r="AE388" s="57"/>
      <c r="AF388" s="57"/>
    </row>
    <row r="389" spans="21:32" s="51" customFormat="1" ht="17.25" customHeight="1">
      <c r="U389" s="61"/>
      <c r="AE389" s="57"/>
      <c r="AF389" s="57"/>
    </row>
    <row r="390" spans="21:32" s="51" customFormat="1" ht="17.25" customHeight="1">
      <c r="U390" s="61"/>
      <c r="AE390" s="57"/>
      <c r="AF390" s="57"/>
    </row>
    <row r="391" spans="21:32" s="51" customFormat="1" ht="17.25" customHeight="1">
      <c r="U391" s="61"/>
      <c r="AE391" s="57"/>
      <c r="AF391" s="57"/>
    </row>
    <row r="392" spans="21:32" s="51" customFormat="1" ht="17.25" customHeight="1">
      <c r="U392" s="61"/>
      <c r="AE392" s="57"/>
      <c r="AF392" s="57"/>
    </row>
    <row r="393" spans="21:32" s="51" customFormat="1" ht="17.25" customHeight="1">
      <c r="U393" s="61"/>
      <c r="AE393" s="57"/>
      <c r="AF393" s="57"/>
    </row>
    <row r="394" spans="21:32" s="51" customFormat="1" ht="17.25" customHeight="1">
      <c r="U394" s="61"/>
      <c r="AE394" s="57"/>
      <c r="AF394" s="57"/>
    </row>
    <row r="395" spans="21:32" s="51" customFormat="1" ht="17.25" customHeight="1">
      <c r="U395" s="61"/>
      <c r="AE395" s="57"/>
      <c r="AF395" s="57"/>
    </row>
    <row r="396" spans="21:32" s="51" customFormat="1" ht="17.25" customHeight="1">
      <c r="U396" s="61"/>
      <c r="AE396" s="57"/>
      <c r="AF396" s="57"/>
    </row>
    <row r="397" spans="21:32" s="51" customFormat="1" ht="17.25" customHeight="1">
      <c r="U397" s="61"/>
      <c r="AE397" s="57"/>
      <c r="AF397" s="57"/>
    </row>
    <row r="398" spans="21:32" s="51" customFormat="1" ht="17.25" customHeight="1">
      <c r="U398" s="61"/>
      <c r="AE398" s="57"/>
      <c r="AF398" s="57"/>
    </row>
    <row r="399" spans="21:32" s="51" customFormat="1" ht="17.25" customHeight="1">
      <c r="U399" s="61"/>
      <c r="AE399" s="57"/>
      <c r="AF399" s="57"/>
    </row>
    <row r="400" spans="21:32" s="51" customFormat="1" ht="17.25" customHeight="1">
      <c r="U400" s="61"/>
      <c r="AE400" s="57"/>
      <c r="AF400" s="57"/>
    </row>
    <row r="401" spans="21:32" s="51" customFormat="1" ht="17.25" customHeight="1">
      <c r="U401" s="61"/>
      <c r="AE401" s="57"/>
      <c r="AF401" s="57"/>
    </row>
    <row r="402" spans="21:32" s="51" customFormat="1" ht="17.25" customHeight="1">
      <c r="U402" s="61"/>
      <c r="AE402" s="57"/>
      <c r="AF402" s="57"/>
    </row>
    <row r="403" spans="21:32" s="51" customFormat="1" ht="17.25" customHeight="1">
      <c r="U403" s="61"/>
      <c r="AE403" s="57"/>
      <c r="AF403" s="57"/>
    </row>
    <row r="404" spans="21:32" s="51" customFormat="1" ht="17.25" customHeight="1">
      <c r="U404" s="61"/>
      <c r="AE404" s="57"/>
      <c r="AF404" s="57"/>
    </row>
    <row r="405" spans="21:32" s="51" customFormat="1" ht="17.25" customHeight="1">
      <c r="U405" s="61"/>
      <c r="AE405" s="57"/>
      <c r="AF405" s="57"/>
    </row>
    <row r="406" spans="21:32" s="51" customFormat="1" ht="17.25" customHeight="1">
      <c r="U406" s="61"/>
      <c r="AE406" s="57"/>
      <c r="AF406" s="57"/>
    </row>
    <row r="407" spans="21:32" s="51" customFormat="1" ht="17.25" customHeight="1">
      <c r="U407" s="61"/>
      <c r="AE407" s="57"/>
      <c r="AF407" s="57"/>
    </row>
    <row r="408" spans="21:32" s="51" customFormat="1" ht="17.25" customHeight="1">
      <c r="U408" s="61"/>
      <c r="AE408" s="57"/>
      <c r="AF408" s="57"/>
    </row>
    <row r="409" spans="21:32" s="51" customFormat="1" ht="17.25" customHeight="1">
      <c r="U409" s="61"/>
      <c r="AE409" s="57"/>
      <c r="AF409" s="57"/>
    </row>
    <row r="410" spans="21:32" s="51" customFormat="1" ht="17.25" customHeight="1">
      <c r="U410" s="61"/>
      <c r="AE410" s="57"/>
      <c r="AF410" s="57"/>
    </row>
    <row r="411" spans="21:32" s="51" customFormat="1" ht="17.25" customHeight="1">
      <c r="U411" s="61"/>
      <c r="AE411" s="57"/>
      <c r="AF411" s="57"/>
    </row>
    <row r="412" spans="21:32" s="51" customFormat="1" ht="17.25" customHeight="1">
      <c r="U412" s="61"/>
      <c r="AE412" s="57"/>
      <c r="AF412" s="57"/>
    </row>
    <row r="413" spans="21:32" s="51" customFormat="1" ht="17.25" customHeight="1">
      <c r="U413" s="61"/>
      <c r="AE413" s="57"/>
      <c r="AF413" s="57"/>
    </row>
    <row r="414" spans="21:32" s="51" customFormat="1" ht="17.25" customHeight="1">
      <c r="U414" s="61"/>
      <c r="AE414" s="57"/>
      <c r="AF414" s="57"/>
    </row>
    <row r="415" spans="21:32" s="51" customFormat="1" ht="12">
      <c r="U415" s="61"/>
      <c r="AE415" s="57"/>
      <c r="AF415" s="57"/>
    </row>
    <row r="416" spans="21:32" s="51" customFormat="1" ht="12">
      <c r="U416" s="61"/>
      <c r="AE416" s="57"/>
      <c r="AF416" s="57"/>
    </row>
    <row r="417" spans="21:32" s="51" customFormat="1" ht="12">
      <c r="U417" s="61"/>
      <c r="AE417" s="57"/>
      <c r="AF417" s="57"/>
    </row>
    <row r="418" spans="21:32" s="51" customFormat="1" ht="12">
      <c r="U418" s="61"/>
      <c r="AE418" s="57"/>
      <c r="AF418" s="57"/>
    </row>
    <row r="419" spans="21:32" s="51" customFormat="1" ht="12">
      <c r="U419" s="61"/>
      <c r="AE419" s="57"/>
      <c r="AF419" s="57"/>
    </row>
    <row r="420" spans="21:32" s="51" customFormat="1" ht="12">
      <c r="U420" s="61"/>
      <c r="AE420" s="57"/>
      <c r="AF420" s="57"/>
    </row>
    <row r="421" spans="21:32" s="51" customFormat="1" ht="12">
      <c r="U421" s="61"/>
      <c r="AE421" s="57"/>
      <c r="AF421" s="57"/>
    </row>
    <row r="422" spans="21:32" s="51" customFormat="1" ht="12">
      <c r="U422" s="61"/>
      <c r="AE422" s="57"/>
      <c r="AF422" s="57"/>
    </row>
    <row r="423" spans="21:32" s="51" customFormat="1" ht="12">
      <c r="U423" s="61"/>
      <c r="AE423" s="57"/>
      <c r="AF423" s="57"/>
    </row>
    <row r="424" spans="21:32" s="51" customFormat="1" ht="12">
      <c r="U424" s="61"/>
      <c r="AE424" s="57"/>
      <c r="AF424" s="57"/>
    </row>
    <row r="425" spans="21:32" s="51" customFormat="1" ht="12">
      <c r="U425" s="61"/>
      <c r="AE425" s="57"/>
      <c r="AF425" s="57"/>
    </row>
    <row r="426" spans="21:32" s="51" customFormat="1" ht="12">
      <c r="U426" s="61"/>
      <c r="AE426" s="57"/>
      <c r="AF426" s="57"/>
    </row>
    <row r="427" spans="21:32" s="51" customFormat="1" ht="12">
      <c r="U427" s="61"/>
      <c r="AE427" s="57"/>
      <c r="AF427" s="57"/>
    </row>
    <row r="428" spans="21:32" s="51" customFormat="1" ht="12">
      <c r="U428" s="61"/>
      <c r="AE428" s="57"/>
      <c r="AF428" s="57"/>
    </row>
    <row r="429" spans="21:32" s="51" customFormat="1" ht="12">
      <c r="U429" s="61"/>
      <c r="AE429" s="57"/>
      <c r="AF429" s="57"/>
    </row>
    <row r="430" spans="21:32" s="51" customFormat="1" ht="12">
      <c r="U430" s="61"/>
      <c r="AE430" s="57"/>
      <c r="AF430" s="57"/>
    </row>
    <row r="431" spans="21:32" s="51" customFormat="1" ht="12">
      <c r="U431" s="61"/>
      <c r="AE431" s="57"/>
      <c r="AF431" s="57"/>
    </row>
    <row r="432" spans="21:32" s="51" customFormat="1" ht="12">
      <c r="U432" s="61"/>
      <c r="AE432" s="57"/>
      <c r="AF432" s="57"/>
    </row>
    <row r="433" spans="21:32" s="51" customFormat="1" ht="12">
      <c r="U433" s="61"/>
      <c r="AE433" s="57"/>
      <c r="AF433" s="57"/>
    </row>
    <row r="434" spans="21:32" s="51" customFormat="1" ht="12">
      <c r="U434" s="61"/>
      <c r="AE434" s="57"/>
      <c r="AF434" s="57"/>
    </row>
    <row r="435" spans="21:32" s="51" customFormat="1" ht="12">
      <c r="U435" s="61"/>
      <c r="AE435" s="57"/>
      <c r="AF435" s="57"/>
    </row>
    <row r="436" spans="21:32" s="51" customFormat="1" ht="12">
      <c r="U436" s="61"/>
      <c r="AE436" s="57"/>
      <c r="AF436" s="57"/>
    </row>
    <row r="437" spans="21:32" s="51" customFormat="1" ht="12">
      <c r="U437" s="61"/>
      <c r="AE437" s="57"/>
      <c r="AF437" s="57"/>
    </row>
    <row r="438" spans="21:32" s="51" customFormat="1" ht="12">
      <c r="U438" s="61"/>
      <c r="AE438" s="57"/>
      <c r="AF438" s="57"/>
    </row>
    <row r="439" spans="21:32" s="51" customFormat="1" ht="12">
      <c r="U439" s="61"/>
      <c r="AE439" s="57"/>
      <c r="AF439" s="57"/>
    </row>
    <row r="440" spans="21:32" s="51" customFormat="1" ht="12">
      <c r="U440" s="61"/>
      <c r="AE440" s="57"/>
      <c r="AF440" s="57"/>
    </row>
    <row r="441" spans="21:32" s="51" customFormat="1" ht="12">
      <c r="U441" s="61"/>
      <c r="AE441" s="57"/>
      <c r="AF441" s="57"/>
    </row>
    <row r="442" spans="21:32" s="51" customFormat="1" ht="12">
      <c r="U442" s="61"/>
      <c r="AE442" s="57"/>
      <c r="AF442" s="57"/>
    </row>
    <row r="443" spans="21:32" s="51" customFormat="1" ht="12">
      <c r="U443" s="61"/>
      <c r="AE443" s="57"/>
      <c r="AF443" s="57"/>
    </row>
    <row r="444" spans="21:32" s="51" customFormat="1" ht="12">
      <c r="U444" s="61"/>
      <c r="AE444" s="57"/>
      <c r="AF444" s="57"/>
    </row>
    <row r="445" spans="21:32" s="51" customFormat="1" ht="12">
      <c r="U445" s="61"/>
      <c r="AE445" s="57"/>
      <c r="AF445" s="57"/>
    </row>
    <row r="446" spans="21:32" s="51" customFormat="1" ht="12">
      <c r="U446" s="61"/>
      <c r="AE446" s="57"/>
      <c r="AF446" s="57"/>
    </row>
    <row r="447" spans="21:32" s="51" customFormat="1" ht="12">
      <c r="U447" s="61"/>
      <c r="AE447" s="57"/>
      <c r="AF447" s="57"/>
    </row>
    <row r="448" spans="21:32" s="51" customFormat="1" ht="12">
      <c r="U448" s="61"/>
      <c r="AE448" s="57"/>
      <c r="AF448" s="57"/>
    </row>
    <row r="449" spans="21:32" s="51" customFormat="1" ht="12">
      <c r="U449" s="61"/>
      <c r="AE449" s="57"/>
      <c r="AF449" s="57"/>
    </row>
    <row r="450" spans="21:32" s="51" customFormat="1" ht="12">
      <c r="U450" s="61"/>
      <c r="AE450" s="57"/>
      <c r="AF450" s="57"/>
    </row>
    <row r="451" spans="21:32" s="51" customFormat="1" ht="12">
      <c r="U451" s="61"/>
      <c r="AE451" s="57"/>
      <c r="AF451" s="57"/>
    </row>
    <row r="452" spans="21:32" s="51" customFormat="1" ht="12">
      <c r="U452" s="61"/>
      <c r="AE452" s="57"/>
      <c r="AF452" s="57"/>
    </row>
    <row r="453" spans="21:32" s="51" customFormat="1" ht="12">
      <c r="U453" s="61"/>
      <c r="AE453" s="57"/>
      <c r="AF453" s="57"/>
    </row>
    <row r="454" spans="21:32" s="51" customFormat="1" ht="12">
      <c r="U454" s="61"/>
      <c r="AE454" s="57"/>
      <c r="AF454" s="57"/>
    </row>
    <row r="455" spans="21:32" s="51" customFormat="1" ht="12">
      <c r="U455" s="61"/>
      <c r="AE455" s="57"/>
      <c r="AF455" s="57"/>
    </row>
    <row r="456" spans="21:32" s="51" customFormat="1" ht="12">
      <c r="U456" s="61"/>
      <c r="AE456" s="57"/>
      <c r="AF456" s="57"/>
    </row>
    <row r="457" spans="21:32" s="51" customFormat="1" ht="12">
      <c r="U457" s="61"/>
      <c r="AE457" s="57"/>
      <c r="AF457" s="57"/>
    </row>
    <row r="458" spans="21:32" s="51" customFormat="1" ht="12">
      <c r="U458" s="61"/>
      <c r="AE458" s="57"/>
      <c r="AF458" s="57"/>
    </row>
    <row r="459" spans="21:32" s="51" customFormat="1" ht="12">
      <c r="U459" s="61"/>
      <c r="AE459" s="57"/>
      <c r="AF459" s="57"/>
    </row>
    <row r="460" spans="21:32" s="51" customFormat="1" ht="12">
      <c r="U460" s="61"/>
      <c r="AE460" s="57"/>
      <c r="AF460" s="57"/>
    </row>
    <row r="461" spans="21:32" s="51" customFormat="1" ht="12">
      <c r="U461" s="61"/>
      <c r="AE461" s="57"/>
      <c r="AF461" s="57"/>
    </row>
    <row r="462" spans="21:32" s="51" customFormat="1" ht="12">
      <c r="U462" s="61"/>
      <c r="AE462" s="57"/>
      <c r="AF462" s="57"/>
    </row>
    <row r="463" spans="21:32" s="51" customFormat="1" ht="12">
      <c r="U463" s="61"/>
    </row>
    <row r="464" spans="21:32" s="51" customFormat="1" ht="12">
      <c r="U464" s="61"/>
    </row>
    <row r="465" spans="21:21" s="51" customFormat="1" ht="12">
      <c r="U465" s="61"/>
    </row>
    <row r="466" spans="21:21" s="51" customFormat="1" ht="12">
      <c r="U466" s="61"/>
    </row>
    <row r="467" spans="21:21" s="51" customFormat="1" ht="12">
      <c r="U467" s="61"/>
    </row>
    <row r="468" spans="21:21" s="51" customFormat="1" ht="12">
      <c r="U468" s="61"/>
    </row>
    <row r="469" spans="21:21" s="51" customFormat="1" ht="12">
      <c r="U469" s="61"/>
    </row>
    <row r="470" spans="21:21" s="51" customFormat="1" ht="12">
      <c r="U470" s="61"/>
    </row>
    <row r="471" spans="21:21" s="51" customFormat="1" ht="12">
      <c r="U471" s="61"/>
    </row>
    <row r="472" spans="21:21" s="51" customFormat="1" ht="12">
      <c r="U472" s="61"/>
    </row>
    <row r="473" spans="21:21" s="51" customFormat="1" ht="12">
      <c r="U473" s="61"/>
    </row>
    <row r="474" spans="21:21" s="51" customFormat="1" ht="12">
      <c r="U474" s="61"/>
    </row>
    <row r="475" spans="21:21" s="51" customFormat="1" ht="12">
      <c r="U475" s="61"/>
    </row>
    <row r="476" spans="21:21" s="51" customFormat="1" ht="12">
      <c r="U476" s="61"/>
    </row>
    <row r="477" spans="21:21" s="51" customFormat="1" ht="12">
      <c r="U477" s="61"/>
    </row>
    <row r="478" spans="21:21" s="51" customFormat="1" ht="12">
      <c r="U478" s="61"/>
    </row>
    <row r="479" spans="21:21" s="51" customFormat="1" ht="12">
      <c r="U479" s="61"/>
    </row>
    <row r="480" spans="21:21" s="51" customFormat="1" ht="12">
      <c r="U480" s="61"/>
    </row>
    <row r="481" spans="21:21" s="51" customFormat="1" ht="12">
      <c r="U481" s="61"/>
    </row>
    <row r="482" spans="21:21" s="51" customFormat="1" ht="12">
      <c r="U482" s="61"/>
    </row>
    <row r="483" spans="21:21" s="51" customFormat="1" ht="12">
      <c r="U483" s="61"/>
    </row>
    <row r="484" spans="21:21" s="51" customFormat="1" ht="12">
      <c r="U484" s="61"/>
    </row>
    <row r="485" spans="21:21" s="51" customFormat="1" ht="12">
      <c r="U485" s="61"/>
    </row>
    <row r="486" spans="21:21" s="51" customFormat="1" ht="12">
      <c r="U486" s="61"/>
    </row>
    <row r="487" spans="21:21" s="51" customFormat="1" ht="12">
      <c r="U487" s="61"/>
    </row>
    <row r="488" spans="21:21" s="51" customFormat="1" ht="12">
      <c r="U488" s="61"/>
    </row>
    <row r="489" spans="21:21" s="51" customFormat="1" ht="12">
      <c r="U489" s="61"/>
    </row>
    <row r="490" spans="21:21" s="51" customFormat="1" ht="12">
      <c r="U490" s="61"/>
    </row>
    <row r="491" spans="21:21" s="51" customFormat="1" ht="12">
      <c r="U491" s="61"/>
    </row>
    <row r="492" spans="21:21" s="51" customFormat="1" ht="12">
      <c r="U492" s="61"/>
    </row>
    <row r="493" spans="21:21" s="51" customFormat="1" ht="12">
      <c r="U493" s="61"/>
    </row>
    <row r="494" spans="21:21" s="51" customFormat="1" ht="12">
      <c r="U494" s="61"/>
    </row>
    <row r="495" spans="21:21" s="51" customFormat="1" ht="12">
      <c r="U495" s="61"/>
    </row>
    <row r="496" spans="21:21" s="51" customFormat="1" ht="12">
      <c r="U496" s="61"/>
    </row>
    <row r="497" spans="21:21" s="51" customFormat="1" ht="12">
      <c r="U497" s="61"/>
    </row>
    <row r="498" spans="21:21" s="51" customFormat="1" ht="12">
      <c r="U498" s="61"/>
    </row>
    <row r="499" spans="21:21" s="51" customFormat="1" ht="12">
      <c r="U499" s="61"/>
    </row>
    <row r="500" spans="21:21" s="51" customFormat="1" ht="12">
      <c r="U500" s="61"/>
    </row>
    <row r="501" spans="21:21" s="51" customFormat="1" ht="12">
      <c r="U501" s="61"/>
    </row>
    <row r="502" spans="21:21" s="51" customFormat="1" ht="12">
      <c r="U502" s="61"/>
    </row>
    <row r="503" spans="21:21" s="51" customFormat="1" ht="12">
      <c r="U503" s="61"/>
    </row>
    <row r="504" spans="21:21" s="51" customFormat="1" ht="12">
      <c r="U504" s="61"/>
    </row>
    <row r="505" spans="21:21" s="51" customFormat="1" ht="12">
      <c r="U505" s="61"/>
    </row>
    <row r="506" spans="21:21" s="51" customFormat="1" ht="12">
      <c r="U506" s="61"/>
    </row>
    <row r="507" spans="21:21" s="51" customFormat="1" ht="12">
      <c r="U507" s="61"/>
    </row>
    <row r="508" spans="21:21" s="51" customFormat="1" ht="12">
      <c r="U508" s="61"/>
    </row>
    <row r="509" spans="21:21" s="51" customFormat="1" ht="12">
      <c r="U509" s="61"/>
    </row>
    <row r="510" spans="21:21" s="51" customFormat="1" ht="12">
      <c r="U510" s="61"/>
    </row>
    <row r="511" spans="21:21" s="51" customFormat="1" ht="12">
      <c r="U511" s="61"/>
    </row>
    <row r="512" spans="21:21" s="51" customFormat="1" ht="12">
      <c r="U512" s="61"/>
    </row>
    <row r="513" spans="21:21" s="51" customFormat="1" ht="12">
      <c r="U513" s="61"/>
    </row>
    <row r="514" spans="21:21" s="51" customFormat="1" ht="12">
      <c r="U514" s="61"/>
    </row>
    <row r="515" spans="21:21" s="51" customFormat="1" ht="12">
      <c r="U515" s="61"/>
    </row>
    <row r="516" spans="21:21" s="51" customFormat="1" ht="12">
      <c r="U516" s="61"/>
    </row>
    <row r="517" spans="21:21" s="51" customFormat="1" ht="12">
      <c r="U517" s="61"/>
    </row>
    <row r="518" spans="21:21" s="51" customFormat="1" ht="12">
      <c r="U518" s="61"/>
    </row>
    <row r="519" spans="21:21" s="51" customFormat="1" ht="12">
      <c r="U519" s="61"/>
    </row>
    <row r="520" spans="21:21" s="51" customFormat="1" ht="12">
      <c r="U520" s="61"/>
    </row>
    <row r="521" spans="21:21" s="51" customFormat="1" ht="12">
      <c r="U521" s="61"/>
    </row>
    <row r="522" spans="21:21" s="51" customFormat="1" ht="12">
      <c r="U522" s="61"/>
    </row>
    <row r="523" spans="21:21" s="51" customFormat="1" ht="12">
      <c r="U523" s="61"/>
    </row>
    <row r="524" spans="21:21" s="51" customFormat="1" ht="12">
      <c r="U524" s="61"/>
    </row>
    <row r="525" spans="21:21" s="51" customFormat="1" ht="12">
      <c r="U525" s="61"/>
    </row>
    <row r="526" spans="21:21" s="51" customFormat="1" ht="12">
      <c r="U526" s="61"/>
    </row>
    <row r="527" spans="21:21" s="51" customFormat="1" ht="12">
      <c r="U527" s="61"/>
    </row>
    <row r="528" spans="21:21" s="51" customFormat="1" ht="12">
      <c r="U528" s="61"/>
    </row>
    <row r="529" spans="21:21" s="51" customFormat="1" ht="12">
      <c r="U529" s="61"/>
    </row>
    <row r="530" spans="21:21" s="51" customFormat="1" ht="12">
      <c r="U530" s="61"/>
    </row>
    <row r="531" spans="21:21" s="51" customFormat="1" ht="12">
      <c r="U531" s="61"/>
    </row>
    <row r="532" spans="21:21" s="51" customFormat="1" ht="12">
      <c r="U532" s="61"/>
    </row>
    <row r="533" spans="21:21" s="51" customFormat="1" ht="12">
      <c r="U533" s="61"/>
    </row>
    <row r="534" spans="21:21" s="51" customFormat="1" ht="12">
      <c r="U534" s="61"/>
    </row>
    <row r="535" spans="21:21" s="51" customFormat="1" ht="12">
      <c r="U535" s="61"/>
    </row>
    <row r="536" spans="21:21" s="51" customFormat="1" ht="12">
      <c r="U536" s="61"/>
    </row>
    <row r="537" spans="21:21" s="51" customFormat="1" ht="12">
      <c r="U537" s="61"/>
    </row>
    <row r="538" spans="21:21" s="51" customFormat="1" ht="12">
      <c r="U538" s="61"/>
    </row>
    <row r="539" spans="21:21" s="51" customFormat="1" ht="12">
      <c r="U539" s="61"/>
    </row>
    <row r="540" spans="21:21" s="51" customFormat="1" ht="12">
      <c r="U540" s="61"/>
    </row>
    <row r="541" spans="21:21" s="51" customFormat="1" ht="12">
      <c r="U541" s="61"/>
    </row>
    <row r="542" spans="21:21" s="51" customFormat="1" ht="12">
      <c r="U542" s="61"/>
    </row>
    <row r="543" spans="21:21" s="51" customFormat="1" ht="12">
      <c r="U543" s="61"/>
    </row>
    <row r="544" spans="21:21" s="51" customFormat="1" ht="12">
      <c r="U544" s="61"/>
    </row>
    <row r="545" spans="21:21" s="51" customFormat="1" ht="12">
      <c r="U545" s="61"/>
    </row>
    <row r="546" spans="21:21" s="51" customFormat="1" ht="12">
      <c r="U546" s="61"/>
    </row>
    <row r="547" spans="21:21" s="51" customFormat="1" ht="12">
      <c r="U547" s="61"/>
    </row>
    <row r="548" spans="21:21" s="51" customFormat="1" ht="12">
      <c r="U548" s="61"/>
    </row>
    <row r="549" spans="21:21" s="51" customFormat="1" ht="12">
      <c r="U549" s="61"/>
    </row>
    <row r="550" spans="21:21" s="51" customFormat="1" ht="12">
      <c r="U550" s="61"/>
    </row>
    <row r="551" spans="21:21" s="51" customFormat="1" ht="12">
      <c r="U551" s="61"/>
    </row>
    <row r="552" spans="21:21" s="51" customFormat="1" ht="12">
      <c r="U552" s="61"/>
    </row>
    <row r="553" spans="21:21" s="51" customFormat="1" ht="12">
      <c r="U553" s="61"/>
    </row>
    <row r="554" spans="21:21" s="51" customFormat="1" ht="12">
      <c r="U554" s="61"/>
    </row>
    <row r="555" spans="21:21" s="51" customFormat="1" ht="12">
      <c r="U555" s="61"/>
    </row>
    <row r="556" spans="21:21" s="51" customFormat="1" ht="12">
      <c r="U556" s="61"/>
    </row>
    <row r="557" spans="21:21" s="51" customFormat="1" ht="12">
      <c r="U557" s="61"/>
    </row>
    <row r="558" spans="21:21" s="51" customFormat="1" ht="12">
      <c r="U558" s="61"/>
    </row>
    <row r="559" spans="21:21" s="51" customFormat="1" ht="12">
      <c r="U559" s="61"/>
    </row>
    <row r="560" spans="21:21" s="51" customFormat="1" ht="12">
      <c r="U560" s="61"/>
    </row>
    <row r="561" spans="21:21" s="51" customFormat="1" ht="12">
      <c r="U561" s="61"/>
    </row>
    <row r="562" spans="21:21" s="51" customFormat="1" ht="12">
      <c r="U562" s="61"/>
    </row>
    <row r="563" spans="21:21" s="51" customFormat="1" ht="12">
      <c r="U563" s="61"/>
    </row>
    <row r="564" spans="21:21" s="51" customFormat="1" ht="12">
      <c r="U564" s="61"/>
    </row>
    <row r="565" spans="21:21" s="51" customFormat="1" ht="12">
      <c r="U565" s="61"/>
    </row>
    <row r="566" spans="21:21" s="51" customFormat="1" ht="12">
      <c r="U566" s="61"/>
    </row>
    <row r="567" spans="21:21" s="51" customFormat="1" ht="12">
      <c r="U567" s="61"/>
    </row>
    <row r="568" spans="21:21" s="51" customFormat="1" ht="12">
      <c r="U568" s="61"/>
    </row>
    <row r="569" spans="21:21" s="51" customFormat="1" ht="12">
      <c r="U569" s="61"/>
    </row>
    <row r="570" spans="21:21" s="51" customFormat="1" ht="12">
      <c r="U570" s="61"/>
    </row>
    <row r="571" spans="21:21" s="51" customFormat="1" ht="12">
      <c r="U571" s="61"/>
    </row>
    <row r="572" spans="21:21" s="51" customFormat="1" ht="12">
      <c r="U572" s="61"/>
    </row>
    <row r="573" spans="21:21" s="51" customFormat="1" ht="12">
      <c r="U573" s="61"/>
    </row>
    <row r="574" spans="21:21" s="51" customFormat="1" ht="12">
      <c r="U574" s="61"/>
    </row>
    <row r="575" spans="21:21" s="51" customFormat="1" ht="12">
      <c r="U575" s="61"/>
    </row>
    <row r="576" spans="21:21" s="51" customFormat="1" ht="12">
      <c r="U576" s="61"/>
    </row>
    <row r="577" spans="21:21" s="51" customFormat="1" ht="12">
      <c r="U577" s="61"/>
    </row>
    <row r="578" spans="21:21" s="51" customFormat="1" ht="12">
      <c r="U578" s="61"/>
    </row>
    <row r="579" spans="21:21" s="51" customFormat="1" ht="12">
      <c r="U579" s="61"/>
    </row>
    <row r="580" spans="21:21" s="51" customFormat="1" ht="12">
      <c r="U580" s="61"/>
    </row>
    <row r="581" spans="21:21" s="51" customFormat="1" ht="12">
      <c r="U581" s="61"/>
    </row>
    <row r="582" spans="21:21" s="51" customFormat="1" ht="12">
      <c r="U582" s="61"/>
    </row>
    <row r="583" spans="21:21" s="51" customFormat="1" ht="12">
      <c r="U583" s="61"/>
    </row>
    <row r="584" spans="21:21" s="51" customFormat="1" ht="12">
      <c r="U584" s="61"/>
    </row>
    <row r="585" spans="21:21" s="51" customFormat="1" ht="12">
      <c r="U585" s="61"/>
    </row>
    <row r="586" spans="21:21" s="51" customFormat="1" ht="12">
      <c r="U586" s="61"/>
    </row>
    <row r="587" spans="21:21" s="51" customFormat="1" ht="12">
      <c r="U587" s="61"/>
    </row>
    <row r="588" spans="21:21" s="51" customFormat="1" ht="12">
      <c r="U588" s="61"/>
    </row>
    <row r="589" spans="21:21" s="51" customFormat="1" ht="12">
      <c r="U589" s="61"/>
    </row>
    <row r="590" spans="21:21" s="51" customFormat="1" ht="12">
      <c r="U590" s="61"/>
    </row>
    <row r="591" spans="21:21" s="51" customFormat="1" ht="12">
      <c r="U591" s="61"/>
    </row>
    <row r="592" spans="21:21" s="51" customFormat="1" ht="12">
      <c r="U592" s="61"/>
    </row>
    <row r="593" spans="21:21" s="51" customFormat="1" ht="12">
      <c r="U593" s="61"/>
    </row>
    <row r="594" spans="21:21" s="51" customFormat="1" ht="12">
      <c r="U594" s="61"/>
    </row>
    <row r="595" spans="21:21" s="51" customFormat="1" ht="12">
      <c r="U595" s="61"/>
    </row>
    <row r="596" spans="21:21" s="51" customFormat="1" ht="12">
      <c r="U596" s="61"/>
    </row>
    <row r="597" spans="21:21" s="51" customFormat="1" ht="12">
      <c r="U597" s="61"/>
    </row>
    <row r="598" spans="21:21" s="51" customFormat="1" ht="12">
      <c r="U598" s="61"/>
    </row>
    <row r="599" spans="21:21" s="51" customFormat="1" ht="12">
      <c r="U599" s="61"/>
    </row>
    <row r="600" spans="21:21" s="51" customFormat="1" ht="12">
      <c r="U600" s="61"/>
    </row>
    <row r="601" spans="21:21" s="51" customFormat="1" ht="12">
      <c r="U601" s="61"/>
    </row>
    <row r="602" spans="21:21" s="51" customFormat="1" ht="12">
      <c r="U602" s="61"/>
    </row>
    <row r="603" spans="21:21" s="51" customFormat="1" ht="12">
      <c r="U603" s="61"/>
    </row>
    <row r="604" spans="21:21" s="51" customFormat="1" ht="12">
      <c r="U604" s="61"/>
    </row>
    <row r="605" spans="21:21" s="51" customFormat="1" ht="12">
      <c r="U605" s="61"/>
    </row>
    <row r="606" spans="21:21" s="51" customFormat="1" ht="12">
      <c r="U606" s="61"/>
    </row>
    <row r="607" spans="21:21" s="51" customFormat="1" ht="12">
      <c r="U607" s="61"/>
    </row>
    <row r="608" spans="21:21" s="51" customFormat="1" ht="12">
      <c r="U608" s="61"/>
    </row>
    <row r="609" spans="12:21" s="51" customFormat="1" ht="12">
      <c r="U609" s="61"/>
    </row>
    <row r="610" spans="12:21" s="51" customFormat="1" ht="12">
      <c r="L610" s="47"/>
      <c r="M610" s="47"/>
      <c r="N610" s="47"/>
      <c r="O610" s="47"/>
      <c r="P610" s="47"/>
      <c r="U610" s="61"/>
    </row>
    <row r="611" spans="12:21" s="51" customFormat="1" ht="12">
      <c r="L611" s="47"/>
      <c r="M611" s="47"/>
      <c r="N611" s="47"/>
      <c r="O611" s="47"/>
      <c r="P611" s="47"/>
      <c r="U611" s="61"/>
    </row>
    <row r="612" spans="12:21" s="51" customFormat="1" ht="12">
      <c r="L612" s="47"/>
      <c r="M612" s="47"/>
      <c r="N612" s="47"/>
      <c r="O612" s="47"/>
      <c r="P612" s="47"/>
      <c r="U612" s="61"/>
    </row>
    <row r="613" spans="12:21" s="51" customFormat="1" ht="12">
      <c r="L613" s="47"/>
      <c r="M613" s="47"/>
      <c r="N613" s="47"/>
      <c r="O613" s="47"/>
      <c r="P613" s="47"/>
      <c r="U613" s="61"/>
    </row>
    <row r="614" spans="12:21" s="51" customFormat="1" ht="12">
      <c r="L614" s="47"/>
      <c r="M614" s="47"/>
      <c r="N614" s="47"/>
      <c r="O614" s="47"/>
      <c r="P614" s="47"/>
      <c r="U614" s="61"/>
    </row>
    <row r="615" spans="12:21" s="51" customFormat="1" ht="12">
      <c r="L615" s="47"/>
      <c r="M615" s="47"/>
      <c r="N615" s="47"/>
      <c r="O615" s="47"/>
      <c r="P615" s="47"/>
      <c r="U615" s="61"/>
    </row>
    <row r="616" spans="12:21" s="51" customFormat="1" ht="12">
      <c r="L616" s="47"/>
      <c r="M616" s="47"/>
      <c r="N616" s="47"/>
      <c r="O616" s="47"/>
      <c r="P616" s="47"/>
      <c r="U616" s="61"/>
    </row>
    <row r="617" spans="12:21" s="51" customFormat="1" ht="12">
      <c r="L617" s="47"/>
      <c r="M617" s="47"/>
      <c r="N617" s="47"/>
      <c r="O617" s="47"/>
      <c r="P617" s="47"/>
      <c r="U617" s="61"/>
    </row>
    <row r="618" spans="12:21" s="51" customFormat="1" ht="12">
      <c r="L618" s="47"/>
      <c r="M618" s="47"/>
      <c r="N618" s="47"/>
      <c r="O618" s="47"/>
      <c r="P618" s="47"/>
      <c r="U618" s="61"/>
    </row>
    <row r="619" spans="12:21" s="51" customFormat="1" ht="12">
      <c r="L619" s="47"/>
      <c r="M619" s="47"/>
      <c r="N619" s="47"/>
      <c r="O619" s="47"/>
      <c r="P619" s="47"/>
      <c r="U619" s="61"/>
    </row>
    <row r="620" spans="12:21" s="51" customFormat="1" ht="12">
      <c r="L620" s="47"/>
      <c r="M620" s="47"/>
      <c r="N620" s="47"/>
      <c r="O620" s="47"/>
      <c r="P620" s="47"/>
      <c r="U620" s="61"/>
    </row>
    <row r="621" spans="12:21" s="51" customFormat="1" ht="12">
      <c r="L621" s="47"/>
      <c r="M621" s="47"/>
      <c r="N621" s="47"/>
      <c r="O621" s="47"/>
      <c r="P621" s="47"/>
      <c r="U621" s="61"/>
    </row>
    <row r="622" spans="12:21" s="51" customFormat="1" ht="12">
      <c r="L622" s="47"/>
      <c r="M622" s="47"/>
      <c r="N622" s="47"/>
      <c r="O622" s="47"/>
      <c r="P622" s="47"/>
      <c r="Q622" s="47"/>
      <c r="U622" s="61"/>
    </row>
    <row r="623" spans="12:21" s="51" customFormat="1" ht="12">
      <c r="L623" s="47"/>
      <c r="M623" s="47"/>
      <c r="N623" s="47"/>
      <c r="O623" s="47"/>
      <c r="P623" s="47"/>
      <c r="Q623" s="47"/>
      <c r="U623" s="61"/>
    </row>
    <row r="624" spans="12:21" s="51" customFormat="1" ht="12">
      <c r="L624" s="47"/>
      <c r="M624" s="47"/>
      <c r="N624" s="47"/>
      <c r="O624" s="47"/>
      <c r="P624" s="47"/>
      <c r="Q624" s="47"/>
      <c r="U624" s="61"/>
    </row>
    <row r="625" spans="11:21" s="51" customFormat="1" ht="12">
      <c r="L625" s="47"/>
      <c r="M625" s="47"/>
      <c r="N625" s="47"/>
      <c r="O625" s="47"/>
      <c r="P625" s="47"/>
      <c r="Q625" s="47"/>
      <c r="U625" s="61"/>
    </row>
    <row r="626" spans="11:21" s="51" customFormat="1" ht="12">
      <c r="L626" s="47"/>
      <c r="M626" s="47"/>
      <c r="N626" s="47"/>
      <c r="O626" s="47"/>
      <c r="P626" s="47"/>
      <c r="Q626" s="47"/>
      <c r="U626" s="61"/>
    </row>
    <row r="627" spans="11:21" s="51" customFormat="1" ht="12">
      <c r="L627" s="47"/>
      <c r="M627" s="47"/>
      <c r="N627" s="47"/>
      <c r="O627" s="47"/>
      <c r="P627" s="47"/>
      <c r="Q627" s="47"/>
      <c r="U627" s="61"/>
    </row>
    <row r="628" spans="11:21" s="51" customFormat="1" ht="12">
      <c r="L628" s="47"/>
      <c r="M628" s="47"/>
      <c r="N628" s="47"/>
      <c r="O628" s="47"/>
      <c r="P628" s="47"/>
      <c r="Q628" s="47"/>
      <c r="U628" s="61"/>
    </row>
    <row r="629" spans="11:21" s="51" customFormat="1" ht="12">
      <c r="L629" s="47"/>
      <c r="M629" s="47"/>
      <c r="N629" s="47"/>
      <c r="O629" s="47"/>
      <c r="P629" s="47"/>
      <c r="Q629" s="47"/>
      <c r="U629" s="61"/>
    </row>
    <row r="630" spans="11:21" s="51" customFormat="1" ht="12">
      <c r="L630" s="47"/>
      <c r="M630" s="47"/>
      <c r="N630" s="47"/>
      <c r="O630" s="47"/>
      <c r="P630" s="47"/>
      <c r="Q630" s="47"/>
      <c r="U630" s="61"/>
    </row>
    <row r="631" spans="11:21" s="51" customFormat="1" ht="12">
      <c r="L631" s="47"/>
      <c r="M631" s="47"/>
      <c r="N631" s="47"/>
      <c r="O631" s="47"/>
      <c r="P631" s="47"/>
      <c r="Q631" s="47"/>
      <c r="U631" s="61"/>
    </row>
    <row r="632" spans="11:21" s="51" customFormat="1" ht="12">
      <c r="L632" s="47"/>
      <c r="M632" s="47"/>
      <c r="N632" s="47"/>
      <c r="O632" s="47"/>
      <c r="P632" s="47"/>
      <c r="Q632" s="47"/>
      <c r="U632" s="61"/>
    </row>
    <row r="633" spans="11:21" s="51" customFormat="1" ht="12">
      <c r="L633" s="47"/>
      <c r="M633" s="47"/>
      <c r="N633" s="47"/>
      <c r="O633" s="47"/>
      <c r="P633" s="47"/>
      <c r="Q633" s="47"/>
      <c r="U633" s="61"/>
    </row>
    <row r="634" spans="11:21" s="51" customFormat="1" ht="12">
      <c r="L634" s="47"/>
      <c r="M634" s="47"/>
      <c r="N634" s="47"/>
      <c r="O634" s="47"/>
      <c r="P634" s="47"/>
      <c r="Q634" s="47"/>
      <c r="U634" s="61"/>
    </row>
    <row r="635" spans="11:21" s="51" customFormat="1" ht="12">
      <c r="L635" s="47"/>
      <c r="M635" s="47"/>
      <c r="N635" s="47"/>
      <c r="O635" s="47"/>
      <c r="P635" s="47"/>
      <c r="Q635" s="47"/>
      <c r="U635" s="61"/>
    </row>
    <row r="636" spans="11:21" s="51" customFormat="1" ht="12">
      <c r="L636" s="47"/>
      <c r="M636" s="47"/>
      <c r="N636" s="47"/>
      <c r="O636" s="47"/>
      <c r="P636" s="47"/>
      <c r="Q636" s="47"/>
      <c r="U636" s="61"/>
    </row>
    <row r="637" spans="11:21" s="51" customFormat="1" ht="12">
      <c r="L637" s="47"/>
      <c r="M637" s="47"/>
      <c r="N637" s="47"/>
      <c r="O637" s="47"/>
      <c r="P637" s="47"/>
      <c r="Q637" s="47"/>
      <c r="U637" s="61"/>
    </row>
    <row r="638" spans="11:21" s="51" customFormat="1" ht="12">
      <c r="K638" s="47"/>
      <c r="L638" s="47"/>
      <c r="M638" s="47"/>
      <c r="N638" s="47"/>
      <c r="O638" s="47"/>
      <c r="P638" s="47"/>
      <c r="Q638" s="47"/>
      <c r="U638" s="61"/>
    </row>
    <row r="639" spans="11:21" s="51" customFormat="1" ht="12">
      <c r="K639" s="47"/>
      <c r="L639" s="47"/>
      <c r="M639" s="47"/>
      <c r="N639" s="47"/>
      <c r="O639" s="47"/>
      <c r="P639" s="47"/>
      <c r="Q639" s="47"/>
      <c r="U639" s="61"/>
    </row>
    <row r="640" spans="11:21" s="51" customFormat="1" ht="12">
      <c r="K640" s="47"/>
      <c r="L640" s="47"/>
      <c r="M640" s="47"/>
      <c r="N640" s="47"/>
      <c r="O640" s="47"/>
      <c r="P640" s="47"/>
      <c r="Q640" s="47"/>
      <c r="U640" s="61"/>
    </row>
    <row r="641" spans="9:21" s="51" customFormat="1" ht="12">
      <c r="K641" s="47"/>
      <c r="L641" s="47"/>
      <c r="M641" s="47"/>
      <c r="N641" s="47"/>
      <c r="O641" s="47"/>
      <c r="P641" s="47"/>
      <c r="Q641" s="47"/>
      <c r="U641" s="61"/>
    </row>
    <row r="642" spans="9:21" s="51" customFormat="1" ht="12">
      <c r="K642" s="47"/>
      <c r="L642" s="47"/>
      <c r="M642" s="47"/>
      <c r="N642" s="47"/>
      <c r="O642" s="47"/>
      <c r="P642" s="47"/>
      <c r="Q642" s="47"/>
      <c r="U642" s="61"/>
    </row>
    <row r="643" spans="9:21" s="51" customFormat="1" ht="12">
      <c r="K643" s="47"/>
      <c r="L643" s="47"/>
      <c r="M643" s="47"/>
      <c r="N643" s="47"/>
      <c r="O643" s="47"/>
      <c r="P643" s="47"/>
      <c r="Q643" s="47"/>
      <c r="U643" s="61"/>
    </row>
    <row r="644" spans="9:21" s="51" customFormat="1" ht="12">
      <c r="K644" s="47"/>
      <c r="L644" s="47"/>
      <c r="M644" s="47"/>
      <c r="N644" s="47"/>
      <c r="O644" s="47"/>
      <c r="P644" s="47"/>
      <c r="Q644" s="47"/>
      <c r="U644" s="61"/>
    </row>
    <row r="645" spans="9:21" s="51" customFormat="1" ht="12">
      <c r="K645" s="47"/>
      <c r="L645" s="47"/>
      <c r="M645" s="47"/>
      <c r="N645" s="47"/>
      <c r="O645" s="47"/>
      <c r="P645" s="47"/>
      <c r="Q645" s="47"/>
      <c r="U645" s="61"/>
    </row>
    <row r="646" spans="9:21" s="51" customFormat="1" ht="12">
      <c r="K646" s="47"/>
      <c r="L646" s="47"/>
      <c r="M646" s="47"/>
      <c r="N646" s="47"/>
      <c r="O646" s="47"/>
      <c r="P646" s="47"/>
      <c r="Q646" s="47"/>
      <c r="U646" s="61"/>
    </row>
    <row r="647" spans="9:21" s="51" customFormat="1" ht="12">
      <c r="K647" s="47"/>
      <c r="L647" s="47"/>
      <c r="M647" s="47"/>
      <c r="N647" s="47"/>
      <c r="O647" s="47"/>
      <c r="P647" s="47"/>
      <c r="Q647" s="47"/>
      <c r="U647" s="61"/>
    </row>
    <row r="648" spans="9:21" s="51" customFormat="1" ht="12">
      <c r="K648" s="47"/>
      <c r="L648" s="47"/>
      <c r="M648" s="47"/>
      <c r="N648" s="47"/>
      <c r="O648" s="47"/>
      <c r="P648" s="47"/>
      <c r="Q648" s="47"/>
      <c r="U648" s="61"/>
    </row>
    <row r="649" spans="9:21" s="51" customFormat="1" ht="12">
      <c r="K649" s="47"/>
      <c r="L649" s="47"/>
      <c r="M649" s="47"/>
      <c r="N649" s="47"/>
      <c r="O649" s="47"/>
      <c r="P649" s="47"/>
      <c r="Q649" s="47"/>
      <c r="U649" s="61"/>
    </row>
    <row r="650" spans="9:21">
      <c r="I650" s="47"/>
      <c r="J650" s="51"/>
    </row>
    <row r="651" spans="9:21">
      <c r="I651" s="47"/>
    </row>
    <row r="652" spans="9:21">
      <c r="I652" s="47"/>
    </row>
    <row r="653" spans="9:21">
      <c r="I653" s="47"/>
    </row>
    <row r="654" spans="9:21">
      <c r="I654" s="47"/>
    </row>
    <row r="655" spans="9:21">
      <c r="I655" s="47"/>
    </row>
    <row r="656" spans="9:21">
      <c r="I656" s="47"/>
    </row>
    <row r="657" spans="9:9">
      <c r="I657" s="47"/>
    </row>
    <row r="658" spans="9:9">
      <c r="I658" s="47"/>
    </row>
    <row r="659" spans="9:9">
      <c r="I659" s="47"/>
    </row>
    <row r="660" spans="9:9">
      <c r="I660" s="47"/>
    </row>
    <row r="661" spans="9:9">
      <c r="I661" s="47"/>
    </row>
    <row r="662" spans="9:9">
      <c r="I662" s="47"/>
    </row>
    <row r="663" spans="9:9">
      <c r="I663" s="47"/>
    </row>
    <row r="664" spans="9:9">
      <c r="I664" s="47"/>
    </row>
    <row r="665" spans="9:9">
      <c r="I665" s="47"/>
    </row>
    <row r="666" spans="9:9">
      <c r="I666" s="47"/>
    </row>
    <row r="667" spans="9:9">
      <c r="I667" s="47"/>
    </row>
    <row r="668" spans="9:9">
      <c r="I668" s="47"/>
    </row>
    <row r="669" spans="9:9">
      <c r="I669" s="47"/>
    </row>
    <row r="670" spans="9:9">
      <c r="I670" s="47"/>
    </row>
    <row r="671" spans="9:9">
      <c r="I671" s="47"/>
    </row>
    <row r="672" spans="9:9">
      <c r="I672" s="47"/>
    </row>
    <row r="673" spans="9:9">
      <c r="I673" s="47"/>
    </row>
    <row r="674" spans="9:9">
      <c r="I674" s="47"/>
    </row>
    <row r="675" spans="9:9">
      <c r="I675" s="47"/>
    </row>
    <row r="676" spans="9:9">
      <c r="I676" s="47"/>
    </row>
    <row r="677" spans="9:9">
      <c r="I677" s="47"/>
    </row>
    <row r="678" spans="9:9">
      <c r="I678" s="47"/>
    </row>
    <row r="679" spans="9:9">
      <c r="I679" s="47"/>
    </row>
    <row r="680" spans="9:9">
      <c r="I680" s="47"/>
    </row>
    <row r="681" spans="9:9">
      <c r="I681" s="47"/>
    </row>
    <row r="682" spans="9:9">
      <c r="I682" s="47"/>
    </row>
    <row r="683" spans="9:9">
      <c r="I683" s="47"/>
    </row>
    <row r="684" spans="9:9">
      <c r="I684" s="47"/>
    </row>
    <row r="685" spans="9:9">
      <c r="I685" s="47"/>
    </row>
    <row r="686" spans="9:9">
      <c r="I686" s="47"/>
    </row>
    <row r="687" spans="9:9">
      <c r="I687" s="47"/>
    </row>
    <row r="688" spans="9:9">
      <c r="I688" s="47"/>
    </row>
    <row r="689" spans="9:9">
      <c r="I689" s="47"/>
    </row>
    <row r="690" spans="9:9">
      <c r="I690" s="47"/>
    </row>
    <row r="691" spans="9:9">
      <c r="I691" s="47"/>
    </row>
    <row r="692" spans="9:9">
      <c r="I692" s="47"/>
    </row>
    <row r="693" spans="9:9">
      <c r="I693" s="47"/>
    </row>
    <row r="694" spans="9:9">
      <c r="I694" s="47"/>
    </row>
    <row r="695" spans="9:9">
      <c r="I695" s="47"/>
    </row>
    <row r="696" spans="9:9">
      <c r="I696" s="47"/>
    </row>
    <row r="697" spans="9:9">
      <c r="I697" s="47"/>
    </row>
    <row r="698" spans="9:9">
      <c r="I698" s="47"/>
    </row>
    <row r="699" spans="9:9">
      <c r="I699" s="47"/>
    </row>
    <row r="700" spans="9:9">
      <c r="I700" s="47"/>
    </row>
    <row r="701" spans="9:9">
      <c r="I701" s="47"/>
    </row>
    <row r="702" spans="9:9">
      <c r="I702" s="47"/>
    </row>
    <row r="703" spans="9:9">
      <c r="I703" s="47"/>
    </row>
    <row r="704" spans="9:9">
      <c r="I704" s="47"/>
    </row>
    <row r="705" spans="9:9">
      <c r="I705" s="47"/>
    </row>
    <row r="706" spans="9:9">
      <c r="I706" s="47"/>
    </row>
    <row r="707" spans="9:9">
      <c r="I707" s="47"/>
    </row>
    <row r="708" spans="9:9">
      <c r="I708" s="47"/>
    </row>
    <row r="709" spans="9:9">
      <c r="I709" s="47"/>
    </row>
    <row r="710" spans="9:9">
      <c r="I710" s="47"/>
    </row>
    <row r="711" spans="9:9">
      <c r="I711" s="47"/>
    </row>
    <row r="712" spans="9:9">
      <c r="I712" s="47"/>
    </row>
    <row r="713" spans="9:9">
      <c r="I713" s="47"/>
    </row>
    <row r="714" spans="9:9">
      <c r="I714" s="47"/>
    </row>
    <row r="715" spans="9:9">
      <c r="I715" s="47"/>
    </row>
  </sheetData>
  <mergeCells count="91">
    <mergeCell ref="D12:E12"/>
    <mergeCell ref="G12:H12"/>
    <mergeCell ref="A4:B4"/>
    <mergeCell ref="A5:B5"/>
    <mergeCell ref="A6:B6"/>
    <mergeCell ref="A7:B7"/>
    <mergeCell ref="C8:E8"/>
    <mergeCell ref="D9:E9"/>
    <mergeCell ref="G9:H9"/>
    <mergeCell ref="D10:E10"/>
    <mergeCell ref="G10:H10"/>
    <mergeCell ref="D11:E11"/>
    <mergeCell ref="G11:H11"/>
    <mergeCell ref="D13:E13"/>
    <mergeCell ref="G13:H13"/>
    <mergeCell ref="D14:E14"/>
    <mergeCell ref="G14:H14"/>
    <mergeCell ref="D15:E15"/>
    <mergeCell ref="G15:H15"/>
    <mergeCell ref="D16:E16"/>
    <mergeCell ref="G16:H16"/>
    <mergeCell ref="D17:E17"/>
    <mergeCell ref="G17:H17"/>
    <mergeCell ref="D18:E18"/>
    <mergeCell ref="G18:H18"/>
    <mergeCell ref="D19:E19"/>
    <mergeCell ref="G19:H19"/>
    <mergeCell ref="D20:E20"/>
    <mergeCell ref="G20:H20"/>
    <mergeCell ref="D21:E21"/>
    <mergeCell ref="G21:H21"/>
    <mergeCell ref="D22:E22"/>
    <mergeCell ref="G22:H22"/>
    <mergeCell ref="D23:E23"/>
    <mergeCell ref="G23:H23"/>
    <mergeCell ref="D24:E24"/>
    <mergeCell ref="G24:H24"/>
    <mergeCell ref="D25:E25"/>
    <mergeCell ref="G25:H25"/>
    <mergeCell ref="D26:E26"/>
    <mergeCell ref="G26:H26"/>
    <mergeCell ref="D27:E27"/>
    <mergeCell ref="G27:H27"/>
    <mergeCell ref="D28:E28"/>
    <mergeCell ref="G28:H28"/>
    <mergeCell ref="D29:E29"/>
    <mergeCell ref="G29:H29"/>
    <mergeCell ref="D30:E30"/>
    <mergeCell ref="G30:H30"/>
    <mergeCell ref="D31:E31"/>
    <mergeCell ref="G31:H31"/>
    <mergeCell ref="D32:E32"/>
    <mergeCell ref="G32:H32"/>
    <mergeCell ref="D33:E33"/>
    <mergeCell ref="G33:H33"/>
    <mergeCell ref="D34:E34"/>
    <mergeCell ref="G34:H34"/>
    <mergeCell ref="D35:E35"/>
    <mergeCell ref="G35:H35"/>
    <mergeCell ref="D36:E36"/>
    <mergeCell ref="G36:H36"/>
    <mergeCell ref="D37:E37"/>
    <mergeCell ref="G37:H37"/>
    <mergeCell ref="D38:E38"/>
    <mergeCell ref="G38:H38"/>
    <mergeCell ref="D39:E39"/>
    <mergeCell ref="G39:H39"/>
    <mergeCell ref="D40:E40"/>
    <mergeCell ref="G40:H40"/>
    <mergeCell ref="D41:E41"/>
    <mergeCell ref="G41:H41"/>
    <mergeCell ref="D42:E42"/>
    <mergeCell ref="G42:H42"/>
    <mergeCell ref="D43:E43"/>
    <mergeCell ref="G43:H43"/>
    <mergeCell ref="D44:E44"/>
    <mergeCell ref="G44:H44"/>
    <mergeCell ref="D45:E45"/>
    <mergeCell ref="G45:H45"/>
    <mergeCell ref="D46:E46"/>
    <mergeCell ref="G46:H46"/>
    <mergeCell ref="D47:E47"/>
    <mergeCell ref="G47:H47"/>
    <mergeCell ref="D48:E48"/>
    <mergeCell ref="G48:H48"/>
    <mergeCell ref="D49:E49"/>
    <mergeCell ref="G49:H49"/>
    <mergeCell ref="D50:E50"/>
    <mergeCell ref="G50:H50"/>
    <mergeCell ref="D51:E51"/>
    <mergeCell ref="G51:H51"/>
  </mergeCells>
  <phoneticPr fontId="4" type="noConversion"/>
  <pageMargins left="0.6692913385826772" right="0.43307086614173229" top="0.98425196850393704" bottom="0.78740157480314965" header="0" footer="0.59055118110236227"/>
  <pageSetup paperSize="9" orientation="portrait" r:id="rId1"/>
  <headerFooter alignWithMargins="0"/>
  <ignoredErrors>
    <ignoredError sqref="M18:M32" formula="1"/>
  </ignoredErrors>
  <drawing r:id="rId2"/>
  <legacyDrawing r:id="rId3"/>
  <controls>
    <mc:AlternateContent xmlns:mc="http://schemas.openxmlformats.org/markup-compatibility/2006">
      <mc:Choice Requires="x14">
        <control shapeId="5130" r:id="rId4" name="CommandButton4">
          <controlPr defaultSize="0" autoLine="0" autoPict="0" r:id="rId5">
            <anchor moveWithCells="1">
              <from>
                <xdr:col>9</xdr:col>
                <xdr:colOff>85725</xdr:colOff>
                <xdr:row>5</xdr:row>
                <xdr:rowOff>228600</xdr:rowOff>
              </from>
              <to>
                <xdr:col>10</xdr:col>
                <xdr:colOff>552450</xdr:colOff>
                <xdr:row>7</xdr:row>
                <xdr:rowOff>57150</xdr:rowOff>
              </to>
            </anchor>
          </controlPr>
        </control>
      </mc:Choice>
      <mc:Fallback>
        <control shapeId="5130" r:id="rId4" name="CommandButton4"/>
      </mc:Fallback>
    </mc:AlternateContent>
    <mc:AlternateContent xmlns:mc="http://schemas.openxmlformats.org/markup-compatibility/2006">
      <mc:Choice Requires="x14">
        <control shapeId="5129" r:id="rId6" name="ComboBox1">
          <controlPr defaultSize="0" autoLine="0" autoPict="0" r:id="rId7">
            <anchor moveWithCells="1">
              <from>
                <xdr:col>9</xdr:col>
                <xdr:colOff>85725</xdr:colOff>
                <xdr:row>3</xdr:row>
                <xdr:rowOff>0</xdr:rowOff>
              </from>
              <to>
                <xdr:col>10</xdr:col>
                <xdr:colOff>552450</xdr:colOff>
                <xdr:row>4</xdr:row>
                <xdr:rowOff>9525</xdr:rowOff>
              </to>
            </anchor>
          </controlPr>
        </control>
      </mc:Choice>
      <mc:Fallback>
        <control shapeId="5129" r:id="rId6" name="ComboBox1"/>
      </mc:Fallback>
    </mc:AlternateContent>
    <mc:AlternateContent xmlns:mc="http://schemas.openxmlformats.org/markup-compatibility/2006">
      <mc:Choice Requires="x14">
        <control shapeId="5128" r:id="rId8" name="CommandButton3">
          <controlPr defaultSize="0" autoLine="0" autoPict="0" r:id="rId9">
            <anchor moveWithCells="1">
              <from>
                <xdr:col>9</xdr:col>
                <xdr:colOff>85725</xdr:colOff>
                <xdr:row>4</xdr:row>
                <xdr:rowOff>47625</xdr:rowOff>
              </from>
              <to>
                <xdr:col>10</xdr:col>
                <xdr:colOff>552450</xdr:colOff>
                <xdr:row>5</xdr:row>
                <xdr:rowOff>161925</xdr:rowOff>
              </to>
            </anchor>
          </controlPr>
        </control>
      </mc:Choice>
      <mc:Fallback>
        <control shapeId="5128" r:id="rId8" name="CommandButton3"/>
      </mc:Fallback>
    </mc:AlternateContent>
    <mc:AlternateContent xmlns:mc="http://schemas.openxmlformats.org/markup-compatibility/2006">
      <mc:Choice Requires="x14">
        <control shapeId="5121" r:id="rId10" name="CommandButton1">
          <controlPr defaultSize="0" autoLine="0" autoPict="0" r:id="rId11">
            <anchor moveWithCells="1">
              <from>
                <xdr:col>16</xdr:col>
                <xdr:colOff>85725</xdr:colOff>
                <xdr:row>16</xdr:row>
                <xdr:rowOff>0</xdr:rowOff>
              </from>
              <to>
                <xdr:col>17</xdr:col>
                <xdr:colOff>533400</xdr:colOff>
                <xdr:row>17</xdr:row>
                <xdr:rowOff>123825</xdr:rowOff>
              </to>
            </anchor>
          </controlPr>
        </control>
      </mc:Choice>
      <mc:Fallback>
        <control shapeId="5121" r:id="rId10" name="CommandButton1"/>
      </mc:Fallback>
    </mc:AlternateContent>
    <mc:AlternateContent xmlns:mc="http://schemas.openxmlformats.org/markup-compatibility/2006">
      <mc:Choice Requires="x14">
        <control shapeId="5122" r:id="rId12" name="CommandButton2">
          <controlPr defaultSize="0" autoLine="0" autoPict="0" r:id="rId13">
            <anchor moveWithCells="1">
              <from>
                <xdr:col>16</xdr:col>
                <xdr:colOff>95250</xdr:colOff>
                <xdr:row>17</xdr:row>
                <xdr:rowOff>190500</xdr:rowOff>
              </from>
              <to>
                <xdr:col>17</xdr:col>
                <xdr:colOff>542925</xdr:colOff>
                <xdr:row>19</xdr:row>
                <xdr:rowOff>28575</xdr:rowOff>
              </to>
            </anchor>
          </controlPr>
        </control>
      </mc:Choice>
      <mc:Fallback>
        <control shapeId="5122" r:id="rId12" name="CommandButton2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FD5EB1-60DD-43B4-819D-F5CF2B2E8AD6}">
  <sheetPr codeName="shW_LongTEST">
    <tabColor rgb="FF00B050"/>
  </sheetPr>
  <dimension ref="A1:AL822"/>
  <sheetViews>
    <sheetView showGridLines="0" zoomScaleNormal="100" zoomScaleSheetLayoutView="85" workbookViewId="0">
      <selection activeCell="T28" sqref="T28"/>
    </sheetView>
  </sheetViews>
  <sheetFormatPr defaultColWidth="9" defaultRowHeight="12"/>
  <cols>
    <col min="1" max="1" width="5.25" style="47" customWidth="1"/>
    <col min="2" max="2" width="13.875" style="47" customWidth="1"/>
    <col min="3" max="3" width="10.875" style="47" customWidth="1"/>
    <col min="4" max="4" width="11.25" style="47" customWidth="1"/>
    <col min="5" max="5" width="0.125" style="47" customWidth="1"/>
    <col min="6" max="6" width="11.125" style="47" customWidth="1"/>
    <col min="7" max="7" width="13.125" style="47" customWidth="1"/>
    <col min="8" max="8" width="8.25" style="47" customWidth="1"/>
    <col min="9" max="9" width="8.625" style="47" customWidth="1"/>
    <col min="10" max="10" width="7.625" style="48" customWidth="1"/>
    <col min="11" max="11" width="9" style="47" customWidth="1"/>
    <col min="12" max="12" width="13.625" style="47" customWidth="1"/>
    <col min="13" max="14" width="10.125" style="47" bestFit="1" customWidth="1"/>
    <col min="15" max="15" width="8.625" style="47" customWidth="1"/>
    <col min="16" max="16" width="8" style="47" customWidth="1"/>
    <col min="17" max="17" width="9.75" style="47" customWidth="1"/>
    <col min="18" max="20" width="9" style="47"/>
    <col min="21" max="21" width="10.125" style="47" customWidth="1"/>
    <col min="22" max="22" width="10" style="47" customWidth="1"/>
    <col min="23" max="23" width="12.375" style="47" customWidth="1"/>
    <col min="24" max="24" width="5.375" style="47" customWidth="1"/>
    <col min="25" max="25" width="8.375" style="47" customWidth="1"/>
    <col min="26" max="26" width="9.875" style="47" customWidth="1"/>
    <col min="27" max="27" width="12.625" style="47" customWidth="1"/>
    <col min="28" max="28" width="6.375" style="96" customWidth="1"/>
    <col min="29" max="29" width="9" style="47" customWidth="1"/>
    <col min="30" max="30" width="8" style="47" customWidth="1"/>
    <col min="31" max="31" width="10.25" style="47" customWidth="1"/>
    <col min="32" max="33" width="10.125" style="47" bestFit="1" customWidth="1"/>
    <col min="34" max="16384" width="9" style="47"/>
  </cols>
  <sheetData>
    <row r="1" spans="1:38" s="51" customFormat="1" ht="31.5" customHeight="1">
      <c r="A1" s="118" t="s">
        <v>181</v>
      </c>
      <c r="B1" s="119"/>
      <c r="C1" s="119"/>
      <c r="D1" s="119"/>
      <c r="E1" s="119"/>
      <c r="F1" s="119"/>
      <c r="G1" s="119"/>
      <c r="H1" s="119"/>
      <c r="I1" s="119"/>
      <c r="J1" s="119"/>
      <c r="L1" s="67" t="s">
        <v>182</v>
      </c>
      <c r="M1" s="68">
        <f>P1-R1</f>
        <v>-1.2959758137904664</v>
      </c>
      <c r="N1" s="470" t="s">
        <v>183</v>
      </c>
      <c r="O1" s="470"/>
      <c r="P1" s="69">
        <f>StepTest!G41</f>
        <v>4.93</v>
      </c>
      <c r="Q1" s="70" t="s">
        <v>184</v>
      </c>
      <c r="R1" s="71">
        <f>G35</f>
        <v>6.2259758137904662</v>
      </c>
      <c r="S1" s="72">
        <f>D7/2000</f>
        <v>0.85</v>
      </c>
      <c r="T1" s="73">
        <v>19.029455844130766</v>
      </c>
      <c r="V1" s="294" t="s">
        <v>13</v>
      </c>
      <c r="W1" s="294" t="s">
        <v>28</v>
      </c>
      <c r="X1" s="294" t="s">
        <v>158</v>
      </c>
      <c r="Y1" s="294" t="s">
        <v>32</v>
      </c>
      <c r="Z1" s="294" t="s">
        <v>159</v>
      </c>
      <c r="AA1" s="294" t="s">
        <v>39</v>
      </c>
      <c r="AB1" s="295" t="s">
        <v>12</v>
      </c>
      <c r="AC1" s="294" t="s">
        <v>12</v>
      </c>
    </row>
    <row r="2" spans="1:38" s="51" customFormat="1" ht="21.6" customHeight="1">
      <c r="A2" s="120" t="str">
        <f>StepTest!A4</f>
        <v>조 사 명</v>
      </c>
      <c r="B2" s="120"/>
      <c r="C2" s="121" t="str">
        <f>StepTest!C4</f>
        <v>농업용 대형관정 사후관리 및 연장허가 용역 (외산,내산지구)</v>
      </c>
      <c r="D2" s="122"/>
      <c r="E2" s="122"/>
      <c r="F2" s="122"/>
      <c r="G2" s="122"/>
      <c r="H2" s="122"/>
      <c r="I2" s="122"/>
      <c r="J2" s="123"/>
      <c r="O2" s="51" t="s">
        <v>185</v>
      </c>
      <c r="P2" s="75">
        <f>G8</f>
        <v>10.5</v>
      </c>
      <c r="T2" s="51">
        <v>44</v>
      </c>
      <c r="U2" s="55">
        <f>B10</f>
        <v>300</v>
      </c>
      <c r="V2" s="55">
        <f>U2</f>
        <v>300</v>
      </c>
      <c r="W2" s="51">
        <f>T1</f>
        <v>19.029455844130766</v>
      </c>
      <c r="X2" s="51">
        <f>StepTest!U4</f>
        <v>0.85</v>
      </c>
      <c r="Y2" s="51">
        <f>Input!A45</f>
        <v>5.0000000000000001E-4</v>
      </c>
      <c r="Z2" s="51">
        <f>E10</f>
        <v>6.9444444444444447E-4</v>
      </c>
      <c r="AA2" s="56">
        <f>D10</f>
        <v>1</v>
      </c>
      <c r="AB2" s="76">
        <f t="shared" ref="AB2:AB65" si="0">AC2+AD$2</f>
        <v>3.8447953232839152</v>
      </c>
      <c r="AC2" s="57">
        <f>1.6*V2/(4*PI()*W2)*LOG10((2.25*W2*Z2)/(X2*X2*Y2))</f>
        <v>3.8447953232839152</v>
      </c>
      <c r="AD2" s="74">
        <v>0</v>
      </c>
      <c r="AE2" s="56">
        <f>AA2</f>
        <v>1</v>
      </c>
      <c r="AF2" s="57">
        <f t="shared" ref="AF2:AF14" si="1">AC2-$P$3-O3</f>
        <v>1.0947958279694281</v>
      </c>
      <c r="AG2" s="57">
        <f>AC2</f>
        <v>3.8447953232839152</v>
      </c>
    </row>
    <row r="3" spans="1:38" s="51" customFormat="1" ht="21.6" customHeight="1">
      <c r="A3" s="120" t="str">
        <f>StepTest!A5</f>
        <v>지 구 명</v>
      </c>
      <c r="B3" s="120"/>
      <c r="C3" s="121" t="str">
        <f>StepTest!C5</f>
        <v>외산지구</v>
      </c>
      <c r="D3" s="122"/>
      <c r="E3" s="122"/>
      <c r="F3" s="124"/>
      <c r="G3" s="122"/>
      <c r="H3" s="125" t="str">
        <f>StepTest!H5</f>
        <v>공  번 : W - 1</v>
      </c>
      <c r="I3" s="125"/>
      <c r="J3" s="126"/>
      <c r="L3" s="77" t="s">
        <v>48</v>
      </c>
      <c r="M3" s="58">
        <f t="shared" ref="M3:M10" si="2">Q17</f>
        <v>1</v>
      </c>
      <c r="N3" s="78"/>
      <c r="O3" s="290"/>
      <c r="P3" s="292">
        <v>2.7499994953144871</v>
      </c>
      <c r="V3" s="55">
        <f>V2</f>
        <v>300</v>
      </c>
      <c r="W3" s="51">
        <f>W$2</f>
        <v>19.029455844130766</v>
      </c>
      <c r="X3" s="51">
        <f>X2</f>
        <v>0.85</v>
      </c>
      <c r="Y3" s="51">
        <f>Y$2</f>
        <v>5.0000000000000001E-4</v>
      </c>
      <c r="Z3" s="51">
        <f t="shared" ref="Z3:Z66" si="3">E11</f>
        <v>1.3888888888888889E-3</v>
      </c>
      <c r="AA3" s="56">
        <f t="shared" ref="AA3:AA66" si="4">D11</f>
        <v>2</v>
      </c>
      <c r="AB3" s="76">
        <f t="shared" si="0"/>
        <v>4.4490427034039062</v>
      </c>
      <c r="AC3" s="57">
        <f t="shared" ref="AC3:AC34" si="5">1.6*V3/(4*PI()*W3)*LOG10((2.25*W3*Z3)/(X3*X3*Y3))</f>
        <v>4.4490427034039062</v>
      </c>
      <c r="AD3" s="57">
        <f>AB69</f>
        <v>9.6499994953144874</v>
      </c>
      <c r="AE3" s="56">
        <f t="shared" ref="AE3:AE66" si="6">AA3</f>
        <v>2</v>
      </c>
      <c r="AF3" s="57">
        <f t="shared" si="1"/>
        <v>1.6990432080894191</v>
      </c>
      <c r="AG3" s="57">
        <f t="shared" ref="AG3:AG16" si="7">AC3</f>
        <v>4.4490427034039062</v>
      </c>
    </row>
    <row r="4" spans="1:38" s="51" customFormat="1" ht="21.6" customHeight="1">
      <c r="A4" s="120" t="str">
        <f>StepTest!A6</f>
        <v>위    치</v>
      </c>
      <c r="B4" s="120"/>
      <c r="C4" s="121" t="str">
        <f>StepTest!C6</f>
        <v>충청남도 부여군 외산면 반교리 574</v>
      </c>
      <c r="D4" s="125"/>
      <c r="E4" s="125"/>
      <c r="F4" s="122"/>
      <c r="G4" s="122"/>
      <c r="H4" s="122"/>
      <c r="I4" s="122"/>
      <c r="J4" s="123"/>
      <c r="L4" s="77" t="s">
        <v>186</v>
      </c>
      <c r="M4" s="58">
        <f t="shared" si="2"/>
        <v>1.51</v>
      </c>
      <c r="N4" s="78"/>
      <c r="O4" s="291"/>
      <c r="P4" s="291"/>
      <c r="V4" s="55">
        <f t="shared" ref="V4:V67" si="8">V3</f>
        <v>300</v>
      </c>
      <c r="W4" s="51">
        <f t="shared" ref="W4:W67" si="9">W$2</f>
        <v>19.029455844130766</v>
      </c>
      <c r="X4" s="51">
        <f t="shared" ref="X4:X67" si="10">X3</f>
        <v>0.85</v>
      </c>
      <c r="Y4" s="51">
        <f t="shared" ref="Y4:Y67" si="11">Y$2</f>
        <v>5.0000000000000001E-4</v>
      </c>
      <c r="Z4" s="51">
        <f t="shared" si="3"/>
        <v>2.0833333333333333E-3</v>
      </c>
      <c r="AA4" s="56">
        <f t="shared" si="4"/>
        <v>3</v>
      </c>
      <c r="AB4" s="76">
        <f t="shared" si="0"/>
        <v>4.8025047619331032</v>
      </c>
      <c r="AC4" s="57">
        <f>1.6*V4/(4*PI()*W4)*LOG10((2.25*W4*Z4)/(X4*X4*Y4))</f>
        <v>4.8025047619331032</v>
      </c>
      <c r="AD4" s="57">
        <f>AC69</f>
        <v>9.6499994953144874</v>
      </c>
      <c r="AE4" s="56">
        <f t="shared" si="6"/>
        <v>3</v>
      </c>
      <c r="AF4" s="57">
        <f t="shared" si="1"/>
        <v>2.0525052666186161</v>
      </c>
      <c r="AG4" s="57">
        <f t="shared" si="7"/>
        <v>4.8025047619331032</v>
      </c>
    </row>
    <row r="5" spans="1:38" s="51" customFormat="1" ht="21.6" customHeight="1">
      <c r="A5" s="120" t="str">
        <f>StepTest!A7</f>
        <v>조 사 자</v>
      </c>
      <c r="B5" s="120"/>
      <c r="C5" s="127" t="str">
        <f>StepTest!C7</f>
        <v>부여지하수개발주식회사</v>
      </c>
      <c r="D5" s="329"/>
      <c r="E5" s="122"/>
      <c r="F5" s="128" t="s">
        <v>169</v>
      </c>
      <c r="G5" s="129">
        <f>Input!I50</f>
        <v>0</v>
      </c>
      <c r="H5" s="130"/>
      <c r="I5" s="130"/>
      <c r="J5" s="130"/>
      <c r="L5" s="77" t="s">
        <v>187</v>
      </c>
      <c r="M5" s="58">
        <f t="shared" si="2"/>
        <v>1.78</v>
      </c>
      <c r="N5" s="78"/>
      <c r="O5" s="291"/>
      <c r="P5" s="291"/>
      <c r="V5" s="55">
        <f t="shared" si="8"/>
        <v>300</v>
      </c>
      <c r="W5" s="51">
        <f t="shared" si="9"/>
        <v>19.029455844130766</v>
      </c>
      <c r="X5" s="51">
        <f t="shared" si="10"/>
        <v>0.85</v>
      </c>
      <c r="Y5" s="51">
        <f t="shared" si="11"/>
        <v>5.0000000000000001E-4</v>
      </c>
      <c r="Z5" s="51">
        <f t="shared" si="3"/>
        <v>2.7777777777777779E-3</v>
      </c>
      <c r="AA5" s="56">
        <f t="shared" si="4"/>
        <v>4</v>
      </c>
      <c r="AB5" s="76">
        <f t="shared" si="0"/>
        <v>5.0532900835238967</v>
      </c>
      <c r="AC5" s="57">
        <f t="shared" si="5"/>
        <v>5.0532900835238967</v>
      </c>
      <c r="AD5" s="57">
        <f>AF69</f>
        <v>6.9</v>
      </c>
      <c r="AE5" s="56">
        <f t="shared" si="6"/>
        <v>4</v>
      </c>
      <c r="AF5" s="57">
        <f t="shared" si="1"/>
        <v>2.3032905882094097</v>
      </c>
      <c r="AG5" s="57">
        <f t="shared" si="7"/>
        <v>5.0532900835238967</v>
      </c>
    </row>
    <row r="6" spans="1:38" s="51" customFormat="1" ht="21.6" customHeight="1">
      <c r="A6" s="120" t="str">
        <f>StepTest!A8</f>
        <v>수중모타</v>
      </c>
      <c r="B6" s="120"/>
      <c r="C6" s="471">
        <f>StepTest!C8</f>
        <v>15</v>
      </c>
      <c r="D6" s="471"/>
      <c r="E6" s="472"/>
      <c r="F6" s="128" t="s">
        <v>165</v>
      </c>
      <c r="G6" s="129">
        <f>Input!I51</f>
        <v>0</v>
      </c>
      <c r="H6" s="130"/>
      <c r="I6" s="130"/>
      <c r="J6" s="130"/>
      <c r="K6" s="51">
        <v>0.2</v>
      </c>
      <c r="L6" s="293">
        <v>0.2</v>
      </c>
      <c r="M6" s="58">
        <f t="shared" si="2"/>
        <v>1.94</v>
      </c>
      <c r="N6" s="78"/>
      <c r="O6" s="291"/>
      <c r="P6" s="291"/>
      <c r="V6" s="55">
        <f t="shared" si="8"/>
        <v>300</v>
      </c>
      <c r="W6" s="51">
        <f t="shared" si="9"/>
        <v>19.029455844130766</v>
      </c>
      <c r="X6" s="51">
        <f t="shared" si="10"/>
        <v>0.85</v>
      </c>
      <c r="Y6" s="51">
        <f t="shared" si="11"/>
        <v>5.0000000000000001E-4</v>
      </c>
      <c r="Z6" s="51">
        <f t="shared" si="3"/>
        <v>3.472222222222222E-3</v>
      </c>
      <c r="AA6" s="56">
        <f t="shared" si="4"/>
        <v>5</v>
      </c>
      <c r="AB6" s="76">
        <f t="shared" si="0"/>
        <v>5.2478142914466055</v>
      </c>
      <c r="AC6" s="57">
        <f t="shared" si="5"/>
        <v>5.2478142914466055</v>
      </c>
      <c r="AE6" s="56">
        <f t="shared" si="6"/>
        <v>5</v>
      </c>
      <c r="AF6" s="57">
        <f t="shared" si="1"/>
        <v>2.4978147961321184</v>
      </c>
      <c r="AG6" s="57">
        <f t="shared" si="7"/>
        <v>5.2478142914466055</v>
      </c>
      <c r="AL6" s="51">
        <f>10*(2.54/2/100)</f>
        <v>0.127</v>
      </c>
    </row>
    <row r="7" spans="1:38" s="51" customFormat="1" ht="21.6" customHeight="1">
      <c r="A7" s="120" t="str">
        <f>StepTest!A9</f>
        <v>우물현황</v>
      </c>
      <c r="B7" s="120"/>
      <c r="C7" s="131" t="str">
        <f>StepTest!C9</f>
        <v>직     경</v>
      </c>
      <c r="D7" s="132">
        <f>StepTest!D9</f>
        <v>1700</v>
      </c>
      <c r="E7" s="133"/>
      <c r="F7" s="134" t="s">
        <v>168</v>
      </c>
      <c r="G7" s="135">
        <f>StepTest!G9</f>
        <v>20</v>
      </c>
      <c r="H7" s="122"/>
      <c r="I7" s="122"/>
      <c r="J7" s="123"/>
      <c r="M7" s="58">
        <f t="shared" si="2"/>
        <v>2.04</v>
      </c>
      <c r="N7" s="78"/>
      <c r="O7" s="291"/>
      <c r="P7" s="291"/>
      <c r="V7" s="55">
        <f t="shared" si="8"/>
        <v>300</v>
      </c>
      <c r="W7" s="51">
        <f t="shared" si="9"/>
        <v>19.029455844130766</v>
      </c>
      <c r="X7" s="51">
        <f t="shared" si="10"/>
        <v>0.85</v>
      </c>
      <c r="Y7" s="51">
        <f t="shared" si="11"/>
        <v>5.0000000000000001E-4</v>
      </c>
      <c r="Z7" s="51">
        <f t="shared" si="3"/>
        <v>6.9444444444444441E-3</v>
      </c>
      <c r="AA7" s="56">
        <f t="shared" si="4"/>
        <v>10</v>
      </c>
      <c r="AB7" s="76">
        <f t="shared" si="0"/>
        <v>5.8520616715665961</v>
      </c>
      <c r="AC7" s="57">
        <f t="shared" si="5"/>
        <v>5.8520616715665961</v>
      </c>
      <c r="AE7" s="56">
        <f t="shared" si="6"/>
        <v>10</v>
      </c>
      <c r="AF7" s="57">
        <f t="shared" si="1"/>
        <v>3.102062176252109</v>
      </c>
      <c r="AG7" s="57">
        <f t="shared" si="7"/>
        <v>5.8520616715665961</v>
      </c>
      <c r="AL7" s="51">
        <f>AL6*2</f>
        <v>0.254</v>
      </c>
    </row>
    <row r="8" spans="1:38" s="51" customFormat="1" ht="21.6" customHeight="1">
      <c r="A8" s="120" t="str">
        <f>StepTest!A10</f>
        <v>양수시험</v>
      </c>
      <c r="B8" s="120"/>
      <c r="C8" s="136" t="s">
        <v>188</v>
      </c>
      <c r="D8" s="137">
        <f>StepTest!D10</f>
        <v>3.6</v>
      </c>
      <c r="E8" s="133"/>
      <c r="F8" s="134" t="s">
        <v>189</v>
      </c>
      <c r="G8" s="138">
        <f>F77</f>
        <v>10.5</v>
      </c>
      <c r="H8" s="130">
        <f>Input!C40</f>
        <v>150</v>
      </c>
      <c r="I8" s="130"/>
      <c r="J8" s="120"/>
      <c r="K8" s="330">
        <f>Input!M50</f>
        <v>6.9</v>
      </c>
      <c r="L8" s="371">
        <f>G10-K11</f>
        <v>0.49054844784943707</v>
      </c>
      <c r="M8" s="58">
        <f t="shared" si="2"/>
        <v>2.19</v>
      </c>
      <c r="N8" s="78"/>
      <c r="O8" s="291"/>
      <c r="P8" s="291"/>
      <c r="V8" s="55">
        <f t="shared" si="8"/>
        <v>300</v>
      </c>
      <c r="W8" s="51">
        <f t="shared" si="9"/>
        <v>19.029455844130766</v>
      </c>
      <c r="X8" s="51">
        <f t="shared" si="10"/>
        <v>0.85</v>
      </c>
      <c r="Y8" s="51">
        <f t="shared" si="11"/>
        <v>5.0000000000000001E-4</v>
      </c>
      <c r="Z8" s="51">
        <f t="shared" si="3"/>
        <v>1.0416666666666666E-2</v>
      </c>
      <c r="AA8" s="56">
        <f t="shared" si="4"/>
        <v>15</v>
      </c>
      <c r="AB8" s="76">
        <f t="shared" si="0"/>
        <v>6.2055237300957931</v>
      </c>
      <c r="AC8" s="57">
        <f t="shared" si="5"/>
        <v>6.2055237300957931</v>
      </c>
      <c r="AE8" s="56">
        <f t="shared" si="6"/>
        <v>15</v>
      </c>
      <c r="AF8" s="57">
        <f t="shared" si="1"/>
        <v>3.455524234781306</v>
      </c>
      <c r="AG8" s="57">
        <f t="shared" si="7"/>
        <v>6.2055237300957931</v>
      </c>
    </row>
    <row r="9" spans="1:38" s="51" customFormat="1" ht="21.6" customHeight="1">
      <c r="A9" s="134" t="s">
        <v>170</v>
      </c>
      <c r="B9" s="139" t="s">
        <v>171</v>
      </c>
      <c r="C9" s="136" t="s">
        <v>190</v>
      </c>
      <c r="D9" s="473" t="s">
        <v>173</v>
      </c>
      <c r="E9" s="473"/>
      <c r="F9" s="139" t="s">
        <v>174</v>
      </c>
      <c r="G9" s="139" t="s">
        <v>175</v>
      </c>
      <c r="H9" s="140"/>
      <c r="I9" s="140"/>
      <c r="J9" s="140"/>
      <c r="K9" s="75">
        <f>G8-D8</f>
        <v>6.9</v>
      </c>
      <c r="M9" s="58">
        <f t="shared" si="2"/>
        <v>2.08</v>
      </c>
      <c r="N9" s="78"/>
      <c r="O9" s="291"/>
      <c r="P9" s="291"/>
      <c r="V9" s="55">
        <f t="shared" si="8"/>
        <v>300</v>
      </c>
      <c r="W9" s="51">
        <f t="shared" si="9"/>
        <v>19.029455844130766</v>
      </c>
      <c r="X9" s="51">
        <f t="shared" si="10"/>
        <v>0.85</v>
      </c>
      <c r="Y9" s="51">
        <f t="shared" si="11"/>
        <v>5.0000000000000001E-4</v>
      </c>
      <c r="Z9" s="51">
        <f t="shared" si="3"/>
        <v>1.3888888888888888E-2</v>
      </c>
      <c r="AA9" s="56">
        <f t="shared" si="4"/>
        <v>20</v>
      </c>
      <c r="AB9" s="76">
        <f t="shared" si="0"/>
        <v>6.4563090516865875</v>
      </c>
      <c r="AC9" s="57">
        <f t="shared" si="5"/>
        <v>6.4563090516865875</v>
      </c>
      <c r="AE9" s="56">
        <f t="shared" si="6"/>
        <v>20</v>
      </c>
      <c r="AF9" s="57">
        <f t="shared" si="1"/>
        <v>3.7063095563721005</v>
      </c>
      <c r="AG9" s="57">
        <f t="shared" si="7"/>
        <v>6.4563090516865875</v>
      </c>
    </row>
    <row r="10" spans="1:38" s="51" customFormat="1" ht="21" customHeight="1">
      <c r="A10" s="140">
        <v>1</v>
      </c>
      <c r="B10" s="141">
        <f>Input!C26</f>
        <v>300</v>
      </c>
      <c r="C10" s="142">
        <v>45389.479166666664</v>
      </c>
      <c r="D10" s="143">
        <v>1</v>
      </c>
      <c r="E10" s="133">
        <f>D10/1440</f>
        <v>6.9444444444444447E-4</v>
      </c>
      <c r="F10" s="144">
        <f>G10+D$8</f>
        <v>4.6947958279694282</v>
      </c>
      <c r="G10" s="145">
        <f>AF2</f>
        <v>1.0947958279694281</v>
      </c>
      <c r="H10" s="146"/>
      <c r="I10" s="146"/>
      <c r="J10" s="146"/>
      <c r="K10" s="79">
        <f>K8-K9</f>
        <v>0</v>
      </c>
      <c r="L10" s="75">
        <f>K10+Q17</f>
        <v>1</v>
      </c>
      <c r="M10" s="58">
        <f t="shared" si="2"/>
        <v>1.87</v>
      </c>
      <c r="N10" s="78"/>
      <c r="O10" s="291"/>
      <c r="P10" s="291"/>
      <c r="V10" s="55">
        <f t="shared" si="8"/>
        <v>300</v>
      </c>
      <c r="W10" s="51">
        <f t="shared" si="9"/>
        <v>19.029455844130766</v>
      </c>
      <c r="X10" s="51">
        <f t="shared" si="10"/>
        <v>0.85</v>
      </c>
      <c r="Y10" s="51">
        <f t="shared" si="11"/>
        <v>5.0000000000000001E-4</v>
      </c>
      <c r="Z10" s="51">
        <f t="shared" si="3"/>
        <v>1.7361111111111112E-2</v>
      </c>
      <c r="AA10" s="56">
        <f t="shared" si="4"/>
        <v>25</v>
      </c>
      <c r="AB10" s="76">
        <f t="shared" si="0"/>
        <v>6.6508332596092954</v>
      </c>
      <c r="AC10" s="57">
        <f t="shared" si="5"/>
        <v>6.6508332596092954</v>
      </c>
      <c r="AE10" s="56">
        <f t="shared" si="6"/>
        <v>25</v>
      </c>
      <c r="AF10" s="57">
        <f t="shared" si="1"/>
        <v>3.9008337642948083</v>
      </c>
      <c r="AG10" s="57">
        <f t="shared" si="7"/>
        <v>6.6508332596092954</v>
      </c>
    </row>
    <row r="11" spans="1:38" s="51" customFormat="1" ht="21" customHeight="1">
      <c r="A11" s="140"/>
      <c r="B11" s="140"/>
      <c r="C11" s="142"/>
      <c r="D11" s="143">
        <v>2</v>
      </c>
      <c r="E11" s="133">
        <f t="shared" ref="E11:E74" si="12">D11/1440</f>
        <v>1.3888888888888889E-3</v>
      </c>
      <c r="F11" s="144">
        <f t="shared" ref="F11:F62" si="13">G11+D$8</f>
        <v>5.2990432080894188</v>
      </c>
      <c r="G11" s="144">
        <f>AF3</f>
        <v>1.6990432080894191</v>
      </c>
      <c r="H11" s="146"/>
      <c r="I11" s="146"/>
      <c r="J11" s="146"/>
      <c r="K11" s="80">
        <f>G11-G10</f>
        <v>0.60424738011999102</v>
      </c>
      <c r="L11" s="75" t="s">
        <v>21</v>
      </c>
      <c r="N11" s="78"/>
      <c r="O11" s="291"/>
      <c r="V11" s="55">
        <f t="shared" si="8"/>
        <v>300</v>
      </c>
      <c r="W11" s="51">
        <f t="shared" si="9"/>
        <v>19.029455844130766</v>
      </c>
      <c r="X11" s="51">
        <f t="shared" si="10"/>
        <v>0.85</v>
      </c>
      <c r="Y11" s="51">
        <f t="shared" si="11"/>
        <v>5.0000000000000001E-4</v>
      </c>
      <c r="Z11" s="51">
        <f t="shared" si="3"/>
        <v>2.0833333333333332E-2</v>
      </c>
      <c r="AA11" s="56">
        <f t="shared" si="4"/>
        <v>30</v>
      </c>
      <c r="AB11" s="76">
        <f t="shared" si="0"/>
        <v>6.8097711102157845</v>
      </c>
      <c r="AC11" s="57">
        <f t="shared" si="5"/>
        <v>6.8097711102157845</v>
      </c>
      <c r="AE11" s="56">
        <f t="shared" si="6"/>
        <v>30</v>
      </c>
      <c r="AF11" s="57">
        <f t="shared" si="1"/>
        <v>4.0597716149012975</v>
      </c>
      <c r="AG11" s="57">
        <f t="shared" si="7"/>
        <v>6.8097711102157845</v>
      </c>
    </row>
    <row r="12" spans="1:38" s="51" customFormat="1" ht="21" customHeight="1">
      <c r="A12" s="140"/>
      <c r="B12" s="140"/>
      <c r="C12" s="142"/>
      <c r="D12" s="143">
        <v>3</v>
      </c>
      <c r="E12" s="133">
        <f t="shared" si="12"/>
        <v>2.0833333333333333E-3</v>
      </c>
      <c r="F12" s="144">
        <f t="shared" si="13"/>
        <v>5.6525052666186166</v>
      </c>
      <c r="G12" s="144">
        <f t="shared" ref="G12:G74" si="14">AF4</f>
        <v>2.0525052666186161</v>
      </c>
      <c r="H12" s="146"/>
      <c r="I12" s="146"/>
      <c r="J12" s="146"/>
      <c r="K12" s="80">
        <f t="shared" ref="K12:K47" si="15">G12-G11</f>
        <v>0.35346205852919699</v>
      </c>
      <c r="L12" s="75" t="s">
        <v>21</v>
      </c>
      <c r="N12" s="78"/>
      <c r="O12" s="291"/>
      <c r="V12" s="55">
        <f t="shared" si="8"/>
        <v>300</v>
      </c>
      <c r="W12" s="51">
        <f t="shared" si="9"/>
        <v>19.029455844130766</v>
      </c>
      <c r="X12" s="51">
        <f t="shared" si="10"/>
        <v>0.85</v>
      </c>
      <c r="Y12" s="51">
        <f t="shared" si="11"/>
        <v>5.0000000000000001E-4</v>
      </c>
      <c r="Z12" s="51">
        <f t="shared" si="3"/>
        <v>2.4305555555555556E-2</v>
      </c>
      <c r="AA12" s="56">
        <f t="shared" si="4"/>
        <v>35</v>
      </c>
      <c r="AB12" s="76">
        <f t="shared" si="0"/>
        <v>6.9441511481668741</v>
      </c>
      <c r="AC12" s="57">
        <f t="shared" si="5"/>
        <v>6.9441511481668741</v>
      </c>
      <c r="AE12" s="56">
        <f t="shared" si="6"/>
        <v>35</v>
      </c>
      <c r="AF12" s="57">
        <f t="shared" si="1"/>
        <v>4.194151652852387</v>
      </c>
      <c r="AG12" s="57">
        <f t="shared" si="7"/>
        <v>6.9441511481668741</v>
      </c>
    </row>
    <row r="13" spans="1:38" s="51" customFormat="1" ht="21" customHeight="1">
      <c r="A13" s="140"/>
      <c r="B13" s="140"/>
      <c r="C13" s="142"/>
      <c r="D13" s="143">
        <v>4</v>
      </c>
      <c r="E13" s="133">
        <f t="shared" si="12"/>
        <v>2.7777777777777779E-3</v>
      </c>
      <c r="F13" s="144">
        <f t="shared" si="13"/>
        <v>5.9032905882094102</v>
      </c>
      <c r="G13" s="144">
        <f t="shared" si="14"/>
        <v>2.3032905882094097</v>
      </c>
      <c r="H13" s="146"/>
      <c r="I13" s="146"/>
      <c r="J13" s="146"/>
      <c r="K13" s="80">
        <f t="shared" si="15"/>
        <v>0.25078532159079359</v>
      </c>
      <c r="L13" s="75" t="s">
        <v>21</v>
      </c>
      <c r="M13" s="293">
        <v>1</v>
      </c>
      <c r="N13" s="78"/>
      <c r="O13" s="291"/>
      <c r="V13" s="55">
        <f t="shared" si="8"/>
        <v>300</v>
      </c>
      <c r="W13" s="51">
        <f t="shared" si="9"/>
        <v>19.029455844130766</v>
      </c>
      <c r="X13" s="51">
        <f t="shared" si="10"/>
        <v>0.85</v>
      </c>
      <c r="Y13" s="51">
        <f t="shared" si="11"/>
        <v>5.0000000000000001E-4</v>
      </c>
      <c r="Z13" s="51">
        <f t="shared" si="3"/>
        <v>2.7777777777777776E-2</v>
      </c>
      <c r="AA13" s="56">
        <f t="shared" si="4"/>
        <v>40</v>
      </c>
      <c r="AB13" s="76">
        <f t="shared" si="0"/>
        <v>7.0605564318065781</v>
      </c>
      <c r="AC13" s="57">
        <f t="shared" si="5"/>
        <v>7.0605564318065781</v>
      </c>
      <c r="AE13" s="56">
        <f t="shared" si="6"/>
        <v>40</v>
      </c>
      <c r="AF13" s="57">
        <f t="shared" si="1"/>
        <v>4.310556936492091</v>
      </c>
      <c r="AG13" s="57">
        <f t="shared" si="7"/>
        <v>7.0605564318065781</v>
      </c>
    </row>
    <row r="14" spans="1:38" s="51" customFormat="1" ht="21" customHeight="1">
      <c r="A14" s="140"/>
      <c r="B14" s="140"/>
      <c r="C14" s="142"/>
      <c r="D14" s="143">
        <v>5</v>
      </c>
      <c r="E14" s="133">
        <f t="shared" si="12"/>
        <v>3.472222222222222E-3</v>
      </c>
      <c r="F14" s="144">
        <f t="shared" si="13"/>
        <v>6.0978147961321181</v>
      </c>
      <c r="G14" s="144">
        <f t="shared" si="14"/>
        <v>2.4978147961321184</v>
      </c>
      <c r="H14" s="146"/>
      <c r="I14" s="146"/>
      <c r="J14" s="146"/>
      <c r="K14" s="80">
        <f t="shared" si="15"/>
        <v>0.19452420792270875</v>
      </c>
      <c r="L14" s="75" t="s">
        <v>21</v>
      </c>
      <c r="N14" s="78"/>
      <c r="O14" s="291"/>
      <c r="V14" s="55">
        <f t="shared" si="8"/>
        <v>300</v>
      </c>
      <c r="W14" s="51">
        <f t="shared" si="9"/>
        <v>19.029455844130766</v>
      </c>
      <c r="X14" s="51">
        <f t="shared" si="10"/>
        <v>0.85</v>
      </c>
      <c r="Y14" s="51">
        <f t="shared" si="11"/>
        <v>5.0000000000000001E-4</v>
      </c>
      <c r="Z14" s="51">
        <f t="shared" si="3"/>
        <v>3.125E-2</v>
      </c>
      <c r="AA14" s="56">
        <f t="shared" si="4"/>
        <v>45</v>
      </c>
      <c r="AB14" s="76">
        <f t="shared" si="0"/>
        <v>7.1632331687449806</v>
      </c>
      <c r="AC14" s="57">
        <f t="shared" si="5"/>
        <v>7.1632331687449806</v>
      </c>
      <c r="AE14" s="56">
        <f t="shared" si="6"/>
        <v>45</v>
      </c>
      <c r="AF14" s="57">
        <f t="shared" si="1"/>
        <v>4.4132336734304936</v>
      </c>
      <c r="AG14" s="57">
        <f t="shared" si="7"/>
        <v>7.1632331687449806</v>
      </c>
    </row>
    <row r="15" spans="1:38" s="51" customFormat="1" ht="21" customHeight="1">
      <c r="A15" s="140"/>
      <c r="B15" s="329"/>
      <c r="C15" s="142"/>
      <c r="D15" s="143">
        <v>10</v>
      </c>
      <c r="E15" s="133">
        <f t="shared" si="12"/>
        <v>6.9444444444444441E-3</v>
      </c>
      <c r="F15" s="144">
        <f t="shared" si="13"/>
        <v>6.7020621762521095</v>
      </c>
      <c r="G15" s="144">
        <f t="shared" si="14"/>
        <v>3.102062176252109</v>
      </c>
      <c r="H15" s="146"/>
      <c r="I15" s="146"/>
      <c r="J15" s="146"/>
      <c r="K15" s="80">
        <f t="shared" si="15"/>
        <v>0.60424738011999057</v>
      </c>
      <c r="L15" s="75" t="s">
        <v>21</v>
      </c>
      <c r="N15" s="81"/>
      <c r="O15" s="53"/>
      <c r="V15" s="55">
        <f t="shared" si="8"/>
        <v>300</v>
      </c>
      <c r="W15" s="51">
        <f t="shared" si="9"/>
        <v>19.029455844130766</v>
      </c>
      <c r="X15" s="51">
        <f t="shared" si="10"/>
        <v>0.85</v>
      </c>
      <c r="Y15" s="51">
        <f t="shared" si="11"/>
        <v>5.0000000000000001E-4</v>
      </c>
      <c r="Z15" s="51">
        <f t="shared" si="3"/>
        <v>3.4722222222222224E-2</v>
      </c>
      <c r="AA15" s="56">
        <f t="shared" si="4"/>
        <v>50</v>
      </c>
      <c r="AB15" s="76">
        <f t="shared" si="0"/>
        <v>7.255080639729286</v>
      </c>
      <c r="AC15" s="57">
        <f t="shared" si="5"/>
        <v>7.255080639729286</v>
      </c>
      <c r="AE15" s="56">
        <f t="shared" si="6"/>
        <v>50</v>
      </c>
      <c r="AF15" s="57">
        <f>AC15-$P$3</f>
        <v>4.5050811444147989</v>
      </c>
      <c r="AG15" s="57">
        <f t="shared" si="7"/>
        <v>7.255080639729286</v>
      </c>
    </row>
    <row r="16" spans="1:38" s="51" customFormat="1" ht="21" customHeight="1">
      <c r="A16" s="140"/>
      <c r="B16" s="140"/>
      <c r="C16" s="142"/>
      <c r="D16" s="143">
        <v>15</v>
      </c>
      <c r="E16" s="133">
        <f t="shared" si="12"/>
        <v>1.0416666666666666E-2</v>
      </c>
      <c r="F16" s="144">
        <f t="shared" si="13"/>
        <v>7.0555242347813056</v>
      </c>
      <c r="G16" s="144">
        <f t="shared" si="14"/>
        <v>3.455524234781306</v>
      </c>
      <c r="H16" s="146"/>
      <c r="I16" s="146"/>
      <c r="J16" s="146"/>
      <c r="K16" s="80">
        <f t="shared" si="15"/>
        <v>0.35346205852919699</v>
      </c>
      <c r="L16" s="387" t="s">
        <v>247</v>
      </c>
      <c r="M16" s="388" t="s">
        <v>178</v>
      </c>
      <c r="N16" s="388" t="s">
        <v>179</v>
      </c>
      <c r="O16" s="388" t="s">
        <v>245</v>
      </c>
      <c r="P16" s="388" t="s">
        <v>246</v>
      </c>
      <c r="Q16" s="388" t="s">
        <v>248</v>
      </c>
      <c r="V16" s="55">
        <f t="shared" si="8"/>
        <v>300</v>
      </c>
      <c r="W16" s="51">
        <f t="shared" si="9"/>
        <v>19.029455844130766</v>
      </c>
      <c r="X16" s="51">
        <f t="shared" si="10"/>
        <v>0.85</v>
      </c>
      <c r="Y16" s="51">
        <f t="shared" si="11"/>
        <v>5.0000000000000001E-4</v>
      </c>
      <c r="Z16" s="51">
        <f t="shared" si="3"/>
        <v>3.8194444444444448E-2</v>
      </c>
      <c r="AA16" s="56">
        <f t="shared" si="4"/>
        <v>55</v>
      </c>
      <c r="AB16" s="76">
        <f t="shared" si="0"/>
        <v>7.3381667837124516</v>
      </c>
      <c r="AC16" s="57">
        <f t="shared" si="5"/>
        <v>7.3381667837124516</v>
      </c>
      <c r="AE16" s="56">
        <f t="shared" si="6"/>
        <v>55</v>
      </c>
      <c r="AF16" s="57">
        <f>AC16-$P$3</f>
        <v>4.5881672883979645</v>
      </c>
      <c r="AG16" s="57">
        <f t="shared" si="7"/>
        <v>7.3381667837124516</v>
      </c>
    </row>
    <row r="17" spans="1:32" s="51" customFormat="1" ht="21" customHeight="1">
      <c r="A17" s="140"/>
      <c r="B17" s="140"/>
      <c r="C17" s="142"/>
      <c r="D17" s="143">
        <v>20</v>
      </c>
      <c r="E17" s="133">
        <f t="shared" si="12"/>
        <v>1.3888888888888888E-2</v>
      </c>
      <c r="F17" s="144">
        <f t="shared" si="13"/>
        <v>7.306309556372101</v>
      </c>
      <c r="G17" s="144">
        <f t="shared" si="14"/>
        <v>3.7063095563721005</v>
      </c>
      <c r="H17" s="146"/>
      <c r="I17" s="146"/>
      <c r="J17" s="146"/>
      <c r="K17" s="80">
        <f t="shared" si="15"/>
        <v>0.25078532159079447</v>
      </c>
      <c r="L17" s="373">
        <f>D10</f>
        <v>1</v>
      </c>
      <c r="M17" s="374">
        <f>INT(B10/1440*10000)/10000</f>
        <v>0.20830000000000001</v>
      </c>
      <c r="N17" s="374">
        <f>L17*M17</f>
        <v>0.20830000000000001</v>
      </c>
      <c r="O17" s="374">
        <f>INT((D7/2/1000)^2*PI()*100000)/100000</f>
        <v>2.2698</v>
      </c>
      <c r="P17" s="374">
        <f>INT(N17/O17*100)/100</f>
        <v>0.09</v>
      </c>
      <c r="Q17" s="375">
        <f>INT((G10-P17)*100)/100</f>
        <v>1</v>
      </c>
      <c r="V17" s="55">
        <f t="shared" si="8"/>
        <v>300</v>
      </c>
      <c r="W17" s="51">
        <f t="shared" si="9"/>
        <v>19.029455844130766</v>
      </c>
      <c r="X17" s="51">
        <f t="shared" si="10"/>
        <v>0.85</v>
      </c>
      <c r="Y17" s="51">
        <f t="shared" si="11"/>
        <v>5.0000000000000001E-4</v>
      </c>
      <c r="Z17" s="51">
        <f t="shared" si="3"/>
        <v>4.1666666666666664E-2</v>
      </c>
      <c r="AA17" s="56">
        <f t="shared" si="4"/>
        <v>60</v>
      </c>
      <c r="AB17" s="76">
        <f t="shared" si="0"/>
        <v>7.4140184903357742</v>
      </c>
      <c r="AC17" s="57">
        <f t="shared" si="5"/>
        <v>7.4140184903357742</v>
      </c>
      <c r="AE17" s="56">
        <f t="shared" si="6"/>
        <v>60</v>
      </c>
      <c r="AF17" s="57">
        <f>AC17-$P$3</f>
        <v>4.6640189950212871</v>
      </c>
    </row>
    <row r="18" spans="1:32" s="51" customFormat="1" ht="21" customHeight="1">
      <c r="A18" s="140"/>
      <c r="B18" s="140"/>
      <c r="C18" s="142"/>
      <c r="D18" s="143">
        <v>25</v>
      </c>
      <c r="E18" s="133">
        <f t="shared" si="12"/>
        <v>1.7361111111111112E-2</v>
      </c>
      <c r="F18" s="144">
        <f t="shared" si="13"/>
        <v>7.5008337642948089</v>
      </c>
      <c r="G18" s="144">
        <f t="shared" si="14"/>
        <v>3.9008337642948083</v>
      </c>
      <c r="H18" s="146"/>
      <c r="I18" s="146"/>
      <c r="J18" s="146"/>
      <c r="K18" s="80">
        <f t="shared" si="15"/>
        <v>0.19452420792270786</v>
      </c>
      <c r="L18" s="373">
        <f t="shared" ref="L18:L31" si="16">D11</f>
        <v>2</v>
      </c>
      <c r="M18" s="374">
        <f>M17</f>
        <v>0.20830000000000001</v>
      </c>
      <c r="N18" s="374">
        <f>L18*M18</f>
        <v>0.41660000000000003</v>
      </c>
      <c r="O18" s="374">
        <f>O17</f>
        <v>2.2698</v>
      </c>
      <c r="P18" s="374">
        <f>INT(N18/O18*100)/100</f>
        <v>0.18</v>
      </c>
      <c r="Q18" s="375">
        <f t="shared" ref="Q18:Q27" si="17">INT((G11-P18)*100)/100</f>
        <v>1.51</v>
      </c>
      <c r="V18" s="55">
        <f t="shared" si="8"/>
        <v>300</v>
      </c>
      <c r="W18" s="51">
        <f t="shared" si="9"/>
        <v>19.029455844130766</v>
      </c>
      <c r="X18" s="51">
        <f t="shared" si="10"/>
        <v>0.85</v>
      </c>
      <c r="Y18" s="51">
        <f t="shared" si="11"/>
        <v>5.0000000000000001E-4</v>
      </c>
      <c r="Z18" s="51">
        <f t="shared" si="3"/>
        <v>5.2083333333333336E-2</v>
      </c>
      <c r="AA18" s="56">
        <f t="shared" si="4"/>
        <v>75</v>
      </c>
      <c r="AB18" s="76">
        <f t="shared" si="0"/>
        <v>7.608542698258483</v>
      </c>
      <c r="AC18" s="57">
        <f t="shared" si="5"/>
        <v>7.608542698258483</v>
      </c>
      <c r="AE18" s="56">
        <f t="shared" si="6"/>
        <v>75</v>
      </c>
      <c r="AF18" s="57">
        <f>AC18-$P$3</f>
        <v>4.8585432029439959</v>
      </c>
    </row>
    <row r="19" spans="1:32" s="51" customFormat="1" ht="21" customHeight="1">
      <c r="A19" s="140"/>
      <c r="B19" s="140"/>
      <c r="C19" s="142"/>
      <c r="D19" s="143">
        <v>30</v>
      </c>
      <c r="E19" s="133">
        <f t="shared" si="12"/>
        <v>2.0833333333333332E-2</v>
      </c>
      <c r="F19" s="144">
        <f t="shared" si="13"/>
        <v>7.6597716149012971</v>
      </c>
      <c r="G19" s="144">
        <f t="shared" si="14"/>
        <v>4.0597716149012975</v>
      </c>
      <c r="H19" s="146"/>
      <c r="I19" s="146"/>
      <c r="J19" s="146"/>
      <c r="K19" s="80">
        <f t="shared" si="15"/>
        <v>0.15893785060648913</v>
      </c>
      <c r="L19" s="373">
        <f t="shared" si="16"/>
        <v>3</v>
      </c>
      <c r="M19" s="374">
        <f>M18</f>
        <v>0.20830000000000001</v>
      </c>
      <c r="N19" s="374">
        <f t="shared" ref="N19:N27" si="18">L19*M19</f>
        <v>0.62490000000000001</v>
      </c>
      <c r="O19" s="374">
        <f t="shared" ref="O19:O31" si="19">O18</f>
        <v>2.2698</v>
      </c>
      <c r="P19" s="374">
        <f>INT(N19/O19*100)/100</f>
        <v>0.27</v>
      </c>
      <c r="Q19" s="375">
        <f t="shared" si="17"/>
        <v>1.78</v>
      </c>
      <c r="V19" s="55">
        <f t="shared" si="8"/>
        <v>300</v>
      </c>
      <c r="W19" s="51">
        <f t="shared" si="9"/>
        <v>19.029455844130766</v>
      </c>
      <c r="X19" s="51">
        <f t="shared" si="10"/>
        <v>0.85</v>
      </c>
      <c r="Y19" s="51">
        <f t="shared" si="11"/>
        <v>5.0000000000000001E-4</v>
      </c>
      <c r="Z19" s="51">
        <f t="shared" si="3"/>
        <v>6.25E-2</v>
      </c>
      <c r="AA19" s="56">
        <f t="shared" si="4"/>
        <v>90</v>
      </c>
      <c r="AB19" s="76">
        <f t="shared" si="0"/>
        <v>7.7674805488649712</v>
      </c>
      <c r="AC19" s="57">
        <f t="shared" si="5"/>
        <v>7.7674805488649712</v>
      </c>
      <c r="AE19" s="56">
        <f t="shared" si="6"/>
        <v>90</v>
      </c>
      <c r="AF19" s="57">
        <f>AC19-$P$3</f>
        <v>5.0174810535504841</v>
      </c>
    </row>
    <row r="20" spans="1:32" s="51" customFormat="1" ht="21" customHeight="1">
      <c r="A20" s="140"/>
      <c r="B20" s="140"/>
      <c r="C20" s="142"/>
      <c r="D20" s="143">
        <v>35</v>
      </c>
      <c r="E20" s="133">
        <f t="shared" si="12"/>
        <v>2.4305555555555556E-2</v>
      </c>
      <c r="F20" s="144">
        <f t="shared" si="13"/>
        <v>7.7941516528523866</v>
      </c>
      <c r="G20" s="144">
        <f t="shared" si="14"/>
        <v>4.194151652852387</v>
      </c>
      <c r="H20" s="146"/>
      <c r="I20" s="146"/>
      <c r="J20" s="146"/>
      <c r="K20" s="80">
        <f t="shared" si="15"/>
        <v>0.13438003795108955</v>
      </c>
      <c r="L20" s="373">
        <f t="shared" si="16"/>
        <v>4</v>
      </c>
      <c r="M20" s="374">
        <f>M19</f>
        <v>0.20830000000000001</v>
      </c>
      <c r="N20" s="374">
        <f>L20*M20</f>
        <v>0.83320000000000005</v>
      </c>
      <c r="O20" s="374">
        <f>O19</f>
        <v>2.2698</v>
      </c>
      <c r="P20" s="374">
        <f>INT(N20/O20*100)/100</f>
        <v>0.36</v>
      </c>
      <c r="Q20" s="375">
        <f t="shared" si="17"/>
        <v>1.94</v>
      </c>
      <c r="V20" s="55">
        <f t="shared" si="8"/>
        <v>300</v>
      </c>
      <c r="W20" s="51">
        <f t="shared" si="9"/>
        <v>19.029455844130766</v>
      </c>
      <c r="X20" s="51">
        <f t="shared" si="10"/>
        <v>0.85</v>
      </c>
      <c r="Y20" s="51">
        <f t="shared" si="11"/>
        <v>5.0000000000000001E-4</v>
      </c>
      <c r="Z20" s="51">
        <f t="shared" si="3"/>
        <v>7.2916666666666671E-2</v>
      </c>
      <c r="AA20" s="56">
        <f t="shared" si="4"/>
        <v>105</v>
      </c>
      <c r="AB20" s="76">
        <f t="shared" si="0"/>
        <v>7.9018605868160616</v>
      </c>
      <c r="AC20" s="57">
        <f t="shared" si="5"/>
        <v>7.9018605868160616</v>
      </c>
      <c r="AE20" s="56">
        <f t="shared" si="6"/>
        <v>105</v>
      </c>
      <c r="AF20" s="57">
        <f t="shared" ref="AF20:AF69" si="20">AC20-$P$3</f>
        <v>5.1518610915015746</v>
      </c>
    </row>
    <row r="21" spans="1:32" s="51" customFormat="1" ht="21" customHeight="1">
      <c r="A21" s="140"/>
      <c r="B21" s="140"/>
      <c r="C21" s="142"/>
      <c r="D21" s="143">
        <v>40</v>
      </c>
      <c r="E21" s="133">
        <f t="shared" si="12"/>
        <v>2.7777777777777776E-2</v>
      </c>
      <c r="F21" s="144">
        <f t="shared" si="13"/>
        <v>7.9105569364920907</v>
      </c>
      <c r="G21" s="144">
        <f t="shared" si="14"/>
        <v>4.310556936492091</v>
      </c>
      <c r="H21" s="146"/>
      <c r="I21" s="146"/>
      <c r="J21" s="146"/>
      <c r="K21" s="80">
        <f t="shared" si="15"/>
        <v>0.11640528363970404</v>
      </c>
      <c r="L21" s="373">
        <f t="shared" si="16"/>
        <v>5</v>
      </c>
      <c r="M21" s="374">
        <f>M20</f>
        <v>0.20830000000000001</v>
      </c>
      <c r="N21" s="374">
        <f t="shared" si="18"/>
        <v>1.0415000000000001</v>
      </c>
      <c r="O21" s="374">
        <f t="shared" si="19"/>
        <v>2.2698</v>
      </c>
      <c r="P21" s="374">
        <f>INT(N21/O21*100)/100</f>
        <v>0.45</v>
      </c>
      <c r="Q21" s="375">
        <f t="shared" si="17"/>
        <v>2.04</v>
      </c>
      <c r="V21" s="55">
        <f t="shared" si="8"/>
        <v>300</v>
      </c>
      <c r="W21" s="51">
        <f t="shared" si="9"/>
        <v>19.029455844130766</v>
      </c>
      <c r="X21" s="51">
        <f t="shared" si="10"/>
        <v>0.85</v>
      </c>
      <c r="Y21" s="51">
        <f t="shared" si="11"/>
        <v>5.0000000000000001E-4</v>
      </c>
      <c r="Z21" s="51">
        <f t="shared" si="3"/>
        <v>8.3333333333333329E-2</v>
      </c>
      <c r="AA21" s="56">
        <f t="shared" si="4"/>
        <v>120</v>
      </c>
      <c r="AB21" s="76">
        <f t="shared" si="0"/>
        <v>8.0182658704557657</v>
      </c>
      <c r="AC21" s="57">
        <f t="shared" si="5"/>
        <v>8.0182658704557657</v>
      </c>
      <c r="AE21" s="56">
        <f t="shared" si="6"/>
        <v>120</v>
      </c>
      <c r="AF21" s="57">
        <f t="shared" si="20"/>
        <v>5.2682663751412786</v>
      </c>
    </row>
    <row r="22" spans="1:32" s="51" customFormat="1" ht="21" customHeight="1">
      <c r="A22" s="140"/>
      <c r="B22" s="140"/>
      <c r="C22" s="142"/>
      <c r="D22" s="143">
        <v>45</v>
      </c>
      <c r="E22" s="133">
        <f t="shared" si="12"/>
        <v>3.125E-2</v>
      </c>
      <c r="F22" s="144">
        <f t="shared" si="13"/>
        <v>8.0132336734304932</v>
      </c>
      <c r="G22" s="144">
        <f t="shared" si="14"/>
        <v>4.4132336734304936</v>
      </c>
      <c r="H22" s="146"/>
      <c r="I22" s="146"/>
      <c r="J22" s="146"/>
      <c r="K22" s="80">
        <f t="shared" si="15"/>
        <v>0.10267673693840251</v>
      </c>
      <c r="L22" s="373">
        <f t="shared" si="16"/>
        <v>10</v>
      </c>
      <c r="M22" s="374">
        <f t="shared" ref="M22:M31" si="21">M21</f>
        <v>0.20830000000000001</v>
      </c>
      <c r="N22" s="374">
        <f>L22*M22</f>
        <v>2.0830000000000002</v>
      </c>
      <c r="O22" s="374">
        <f>O21</f>
        <v>2.2698</v>
      </c>
      <c r="P22" s="374">
        <f t="shared" ref="P22:P27" si="22">INT(N22/O22*100)/100</f>
        <v>0.91</v>
      </c>
      <c r="Q22" s="375">
        <f t="shared" si="17"/>
        <v>2.19</v>
      </c>
      <c r="V22" s="55">
        <f t="shared" si="8"/>
        <v>300</v>
      </c>
      <c r="W22" s="51">
        <f t="shared" si="9"/>
        <v>19.029455844130766</v>
      </c>
      <c r="X22" s="51">
        <f t="shared" si="10"/>
        <v>0.85</v>
      </c>
      <c r="Y22" s="51">
        <f t="shared" si="11"/>
        <v>5.0000000000000001E-4</v>
      </c>
      <c r="Z22" s="51">
        <f t="shared" si="3"/>
        <v>9.7222222222222224E-2</v>
      </c>
      <c r="AA22" s="56">
        <f t="shared" si="4"/>
        <v>140</v>
      </c>
      <c r="AB22" s="76">
        <f t="shared" si="0"/>
        <v>8.1526459084068552</v>
      </c>
      <c r="AC22" s="57">
        <f t="shared" si="5"/>
        <v>8.1526459084068552</v>
      </c>
      <c r="AE22" s="56">
        <f t="shared" si="6"/>
        <v>140</v>
      </c>
      <c r="AF22" s="57">
        <f t="shared" si="20"/>
        <v>5.4026464130923681</v>
      </c>
    </row>
    <row r="23" spans="1:32" s="51" customFormat="1" ht="21" customHeight="1">
      <c r="A23" s="140"/>
      <c r="B23" s="140"/>
      <c r="C23" s="142"/>
      <c r="D23" s="143">
        <v>50</v>
      </c>
      <c r="E23" s="133">
        <f t="shared" si="12"/>
        <v>3.4722222222222224E-2</v>
      </c>
      <c r="F23" s="144">
        <f t="shared" si="13"/>
        <v>8.1050811444147985</v>
      </c>
      <c r="G23" s="144">
        <f t="shared" si="14"/>
        <v>4.5050811444147989</v>
      </c>
      <c r="H23" s="146"/>
      <c r="I23" s="146"/>
      <c r="J23" s="146"/>
      <c r="K23" s="80">
        <f t="shared" si="15"/>
        <v>9.1847470984305346E-2</v>
      </c>
      <c r="L23" s="373">
        <f t="shared" si="16"/>
        <v>15</v>
      </c>
      <c r="M23" s="374">
        <f t="shared" si="21"/>
        <v>0.20830000000000001</v>
      </c>
      <c r="N23" s="374">
        <f t="shared" si="18"/>
        <v>3.1245000000000003</v>
      </c>
      <c r="O23" s="374">
        <f t="shared" si="19"/>
        <v>2.2698</v>
      </c>
      <c r="P23" s="374">
        <f t="shared" si="22"/>
        <v>1.37</v>
      </c>
      <c r="Q23" s="375">
        <f t="shared" si="17"/>
        <v>2.08</v>
      </c>
      <c r="V23" s="55">
        <f t="shared" si="8"/>
        <v>300</v>
      </c>
      <c r="W23" s="51">
        <f t="shared" si="9"/>
        <v>19.029455844130766</v>
      </c>
      <c r="X23" s="51">
        <f t="shared" si="10"/>
        <v>0.85</v>
      </c>
      <c r="Y23" s="51">
        <f t="shared" si="11"/>
        <v>5.0000000000000001E-4</v>
      </c>
      <c r="Z23" s="51">
        <f t="shared" si="3"/>
        <v>0.1111111111111111</v>
      </c>
      <c r="AA23" s="56">
        <f t="shared" si="4"/>
        <v>160</v>
      </c>
      <c r="AB23" s="76">
        <f t="shared" si="0"/>
        <v>8.2690511920465593</v>
      </c>
      <c r="AC23" s="57">
        <f t="shared" si="5"/>
        <v>8.2690511920465593</v>
      </c>
      <c r="AE23" s="56">
        <f t="shared" si="6"/>
        <v>160</v>
      </c>
      <c r="AF23" s="57">
        <f t="shared" si="20"/>
        <v>5.5190516967320722</v>
      </c>
    </row>
    <row r="24" spans="1:32" s="51" customFormat="1" ht="21" customHeight="1">
      <c r="A24" s="140"/>
      <c r="B24" s="140"/>
      <c r="C24" s="142"/>
      <c r="D24" s="143">
        <v>55</v>
      </c>
      <c r="E24" s="133">
        <f t="shared" si="12"/>
        <v>3.8194444444444448E-2</v>
      </c>
      <c r="F24" s="144">
        <f t="shared" si="13"/>
        <v>8.188167288397965</v>
      </c>
      <c r="G24" s="144">
        <f t="shared" si="14"/>
        <v>4.5881672883979645</v>
      </c>
      <c r="H24" s="146"/>
      <c r="I24" s="146"/>
      <c r="J24" s="146"/>
      <c r="K24" s="80">
        <f t="shared" si="15"/>
        <v>8.3086143983165606E-2</v>
      </c>
      <c r="L24" s="373">
        <f t="shared" si="16"/>
        <v>20</v>
      </c>
      <c r="M24" s="374">
        <f t="shared" si="21"/>
        <v>0.20830000000000001</v>
      </c>
      <c r="N24" s="374">
        <f t="shared" si="18"/>
        <v>4.1660000000000004</v>
      </c>
      <c r="O24" s="374">
        <f t="shared" si="19"/>
        <v>2.2698</v>
      </c>
      <c r="P24" s="374">
        <f t="shared" si="22"/>
        <v>1.83</v>
      </c>
      <c r="Q24" s="375">
        <f t="shared" si="17"/>
        <v>1.87</v>
      </c>
      <c r="V24" s="55">
        <f t="shared" si="8"/>
        <v>300</v>
      </c>
      <c r="W24" s="51">
        <f t="shared" si="9"/>
        <v>19.029455844130766</v>
      </c>
      <c r="X24" s="51">
        <f t="shared" si="10"/>
        <v>0.85</v>
      </c>
      <c r="Y24" s="51">
        <f t="shared" si="11"/>
        <v>5.0000000000000001E-4</v>
      </c>
      <c r="Z24" s="51">
        <f t="shared" si="3"/>
        <v>0.125</v>
      </c>
      <c r="AA24" s="56">
        <f t="shared" si="4"/>
        <v>180</v>
      </c>
      <c r="AB24" s="76">
        <f t="shared" si="0"/>
        <v>8.3717279289849635</v>
      </c>
      <c r="AC24" s="57">
        <f t="shared" si="5"/>
        <v>8.3717279289849635</v>
      </c>
      <c r="AE24" s="56">
        <f t="shared" si="6"/>
        <v>180</v>
      </c>
      <c r="AF24" s="57">
        <f t="shared" si="20"/>
        <v>5.6217284336704765</v>
      </c>
    </row>
    <row r="25" spans="1:32" s="51" customFormat="1" ht="21" customHeight="1">
      <c r="A25" s="140"/>
      <c r="B25" s="140"/>
      <c r="C25" s="142">
        <f>$C$10+D25/1440</f>
        <v>45389.520833333328</v>
      </c>
      <c r="D25" s="143">
        <v>60</v>
      </c>
      <c r="E25" s="133">
        <f t="shared" si="12"/>
        <v>4.1666666666666664E-2</v>
      </c>
      <c r="F25" s="144">
        <f t="shared" si="13"/>
        <v>8.2640189950212868</v>
      </c>
      <c r="G25" s="144">
        <f t="shared" si="14"/>
        <v>4.6640189950212871</v>
      </c>
      <c r="H25" s="146"/>
      <c r="I25" s="146"/>
      <c r="J25" s="146"/>
      <c r="K25" s="80">
        <f t="shared" si="15"/>
        <v>7.5851706623322634E-2</v>
      </c>
      <c r="L25" s="373">
        <f t="shared" si="16"/>
        <v>25</v>
      </c>
      <c r="M25" s="374">
        <f t="shared" si="21"/>
        <v>0.20830000000000001</v>
      </c>
      <c r="N25" s="374">
        <f t="shared" si="18"/>
        <v>5.2075000000000005</v>
      </c>
      <c r="O25" s="374">
        <f t="shared" si="19"/>
        <v>2.2698</v>
      </c>
      <c r="P25" s="374">
        <f t="shared" si="22"/>
        <v>2.29</v>
      </c>
      <c r="Q25" s="375">
        <f t="shared" si="17"/>
        <v>1.61</v>
      </c>
      <c r="V25" s="55">
        <f t="shared" si="8"/>
        <v>300</v>
      </c>
      <c r="W25" s="51">
        <f t="shared" si="9"/>
        <v>19.029455844130766</v>
      </c>
      <c r="X25" s="51">
        <f t="shared" si="10"/>
        <v>0.85</v>
      </c>
      <c r="Y25" s="51">
        <f t="shared" si="11"/>
        <v>5.0000000000000001E-4</v>
      </c>
      <c r="Z25" s="51">
        <f t="shared" si="3"/>
        <v>0.16666666666666666</v>
      </c>
      <c r="AA25" s="56">
        <f t="shared" si="4"/>
        <v>240</v>
      </c>
      <c r="AB25" s="76">
        <f t="shared" si="0"/>
        <v>8.6225132505757571</v>
      </c>
      <c r="AC25" s="57">
        <f t="shared" si="5"/>
        <v>8.6225132505757571</v>
      </c>
      <c r="AE25" s="56">
        <f t="shared" si="6"/>
        <v>240</v>
      </c>
      <c r="AF25" s="57">
        <f t="shared" si="20"/>
        <v>5.8725137552612701</v>
      </c>
    </row>
    <row r="26" spans="1:32" s="51" customFormat="1" ht="21" customHeight="1">
      <c r="A26" s="140"/>
      <c r="B26" s="140"/>
      <c r="C26" s="142"/>
      <c r="D26" s="143">
        <v>75</v>
      </c>
      <c r="E26" s="133">
        <f t="shared" si="12"/>
        <v>5.2083333333333336E-2</v>
      </c>
      <c r="F26" s="144">
        <f t="shared" si="13"/>
        <v>8.4585432029439964</v>
      </c>
      <c r="G26" s="144">
        <f t="shared" si="14"/>
        <v>4.8585432029439959</v>
      </c>
      <c r="H26" s="146"/>
      <c r="I26" s="146"/>
      <c r="J26" s="146"/>
      <c r="K26" s="80">
        <f t="shared" si="15"/>
        <v>0.19452420792270875</v>
      </c>
      <c r="L26" s="373">
        <f t="shared" si="16"/>
        <v>30</v>
      </c>
      <c r="M26" s="374">
        <f t="shared" si="21"/>
        <v>0.20830000000000001</v>
      </c>
      <c r="N26" s="374">
        <f t="shared" si="18"/>
        <v>6.2490000000000006</v>
      </c>
      <c r="O26" s="374">
        <f t="shared" si="19"/>
        <v>2.2698</v>
      </c>
      <c r="P26" s="374">
        <f t="shared" si="22"/>
        <v>2.75</v>
      </c>
      <c r="Q26" s="375">
        <f t="shared" si="17"/>
        <v>1.3</v>
      </c>
      <c r="V26" s="55">
        <f t="shared" si="8"/>
        <v>300</v>
      </c>
      <c r="W26" s="51">
        <f t="shared" si="9"/>
        <v>19.029455844130766</v>
      </c>
      <c r="X26" s="51">
        <f t="shared" si="10"/>
        <v>0.85</v>
      </c>
      <c r="Y26" s="51">
        <f t="shared" si="11"/>
        <v>5.0000000000000001E-4</v>
      </c>
      <c r="Z26" s="51">
        <f t="shared" si="3"/>
        <v>0.20833333333333334</v>
      </c>
      <c r="AA26" s="56">
        <f t="shared" si="4"/>
        <v>300</v>
      </c>
      <c r="AB26" s="76">
        <f t="shared" si="0"/>
        <v>8.817037458498465</v>
      </c>
      <c r="AC26" s="57">
        <f t="shared" si="5"/>
        <v>8.817037458498465</v>
      </c>
      <c r="AE26" s="56">
        <f t="shared" si="6"/>
        <v>300</v>
      </c>
      <c r="AF26" s="57">
        <f t="shared" si="20"/>
        <v>6.0670379631839779</v>
      </c>
    </row>
    <row r="27" spans="1:32" s="51" customFormat="1" ht="21" customHeight="1">
      <c r="A27" s="140"/>
      <c r="B27" s="140"/>
      <c r="C27" s="142"/>
      <c r="D27" s="143">
        <v>90</v>
      </c>
      <c r="E27" s="133">
        <f t="shared" si="12"/>
        <v>6.25E-2</v>
      </c>
      <c r="F27" s="144">
        <f t="shared" si="13"/>
        <v>8.6174810535504847</v>
      </c>
      <c r="G27" s="144">
        <f t="shared" si="14"/>
        <v>5.0174810535504841</v>
      </c>
      <c r="H27" s="146"/>
      <c r="I27" s="146"/>
      <c r="J27" s="146"/>
      <c r="K27" s="80">
        <f t="shared" si="15"/>
        <v>0.15893785060648824</v>
      </c>
      <c r="L27" s="373">
        <f t="shared" si="16"/>
        <v>35</v>
      </c>
      <c r="M27" s="374">
        <f t="shared" si="21"/>
        <v>0.20830000000000001</v>
      </c>
      <c r="N27" s="374">
        <f t="shared" si="18"/>
        <v>7.2905000000000006</v>
      </c>
      <c r="O27" s="374">
        <f t="shared" si="19"/>
        <v>2.2698</v>
      </c>
      <c r="P27" s="374">
        <f t="shared" si="22"/>
        <v>3.21</v>
      </c>
      <c r="Q27" s="375">
        <f t="shared" si="17"/>
        <v>0.98</v>
      </c>
      <c r="V27" s="55">
        <f t="shared" si="8"/>
        <v>300</v>
      </c>
      <c r="W27" s="51">
        <f t="shared" si="9"/>
        <v>19.029455844130766</v>
      </c>
      <c r="X27" s="51">
        <f t="shared" si="10"/>
        <v>0.85</v>
      </c>
      <c r="Y27" s="51">
        <f t="shared" si="11"/>
        <v>5.0000000000000001E-4</v>
      </c>
      <c r="Z27" s="51">
        <f t="shared" si="3"/>
        <v>0.25</v>
      </c>
      <c r="AA27" s="56">
        <f t="shared" si="4"/>
        <v>360</v>
      </c>
      <c r="AB27" s="76">
        <f t="shared" si="0"/>
        <v>8.9759753091049532</v>
      </c>
      <c r="AC27" s="57">
        <f t="shared" si="5"/>
        <v>8.9759753091049532</v>
      </c>
      <c r="AE27" s="56">
        <f t="shared" si="6"/>
        <v>360</v>
      </c>
      <c r="AF27" s="57">
        <f t="shared" si="20"/>
        <v>6.2259758137904662</v>
      </c>
    </row>
    <row r="28" spans="1:32" s="51" customFormat="1" ht="21" customHeight="1">
      <c r="A28" s="140"/>
      <c r="B28" s="140"/>
      <c r="C28" s="142"/>
      <c r="D28" s="143">
        <v>105</v>
      </c>
      <c r="E28" s="133">
        <f t="shared" si="12"/>
        <v>7.2916666666666671E-2</v>
      </c>
      <c r="F28" s="144">
        <f t="shared" si="13"/>
        <v>8.7518610915015742</v>
      </c>
      <c r="G28" s="144">
        <f t="shared" si="14"/>
        <v>5.1518610915015746</v>
      </c>
      <c r="H28" s="146"/>
      <c r="I28" s="146"/>
      <c r="J28" s="146"/>
      <c r="K28" s="80">
        <f t="shared" si="15"/>
        <v>0.13438003795109044</v>
      </c>
      <c r="L28" s="373">
        <f t="shared" si="16"/>
        <v>40</v>
      </c>
      <c r="M28" s="374">
        <f t="shared" si="21"/>
        <v>0.20830000000000001</v>
      </c>
      <c r="N28" s="374">
        <f>L28*M28</f>
        <v>8.3320000000000007</v>
      </c>
      <c r="O28" s="374">
        <f t="shared" si="19"/>
        <v>2.2698</v>
      </c>
      <c r="P28" s="374">
        <f>INT(N28/O28*100)/100</f>
        <v>3.67</v>
      </c>
      <c r="Q28" s="375">
        <f>INT((G21-P28)*100)/100</f>
        <v>0.64</v>
      </c>
      <c r="S28"/>
      <c r="V28" s="55">
        <f t="shared" si="8"/>
        <v>300</v>
      </c>
      <c r="W28" s="51">
        <f t="shared" si="9"/>
        <v>19.029455844130766</v>
      </c>
      <c r="X28" s="51">
        <f t="shared" si="10"/>
        <v>0.85</v>
      </c>
      <c r="Y28" s="51">
        <f t="shared" si="11"/>
        <v>5.0000000000000001E-4</v>
      </c>
      <c r="Z28" s="51">
        <f t="shared" si="3"/>
        <v>0.29166666666666669</v>
      </c>
      <c r="AA28" s="83">
        <f t="shared" si="4"/>
        <v>420</v>
      </c>
      <c r="AB28" s="76">
        <f t="shared" si="0"/>
        <v>9.1103553470560428</v>
      </c>
      <c r="AC28" s="57">
        <f t="shared" si="5"/>
        <v>9.1103553470560428</v>
      </c>
      <c r="AE28" s="56">
        <f t="shared" si="6"/>
        <v>420</v>
      </c>
      <c r="AF28" s="57">
        <f t="shared" si="20"/>
        <v>6.3603558517415557</v>
      </c>
    </row>
    <row r="29" spans="1:32" s="51" customFormat="1" ht="21" customHeight="1">
      <c r="A29" s="140"/>
      <c r="B29" s="140"/>
      <c r="C29" s="142"/>
      <c r="D29" s="143">
        <v>120</v>
      </c>
      <c r="E29" s="133">
        <f t="shared" si="12"/>
        <v>8.3333333333333329E-2</v>
      </c>
      <c r="F29" s="144">
        <f t="shared" si="13"/>
        <v>8.8682663751412782</v>
      </c>
      <c r="G29" s="144">
        <f t="shared" si="14"/>
        <v>5.2682663751412786</v>
      </c>
      <c r="H29" s="146"/>
      <c r="I29" s="146"/>
      <c r="J29" s="146"/>
      <c r="K29" s="80">
        <f t="shared" si="15"/>
        <v>0.11640528363970404</v>
      </c>
      <c r="L29" s="373">
        <f t="shared" si="16"/>
        <v>45</v>
      </c>
      <c r="M29" s="374">
        <f t="shared" si="21"/>
        <v>0.20830000000000001</v>
      </c>
      <c r="N29" s="374">
        <f>L29*M29</f>
        <v>9.3734999999999999</v>
      </c>
      <c r="O29" s="374">
        <f t="shared" si="19"/>
        <v>2.2698</v>
      </c>
      <c r="P29" s="374">
        <f>INT(N29/O29*100)/100</f>
        <v>4.12</v>
      </c>
      <c r="Q29" s="375">
        <f>INT((G22-P29)*100)/100</f>
        <v>0.28999999999999998</v>
      </c>
      <c r="V29" s="55">
        <f t="shared" si="8"/>
        <v>300</v>
      </c>
      <c r="W29" s="51">
        <f t="shared" si="9"/>
        <v>19.029455844130766</v>
      </c>
      <c r="X29" s="51">
        <f t="shared" si="10"/>
        <v>0.85</v>
      </c>
      <c r="Y29" s="51">
        <f t="shared" si="11"/>
        <v>5.0000000000000001E-4</v>
      </c>
      <c r="Z29" s="51">
        <f t="shared" si="3"/>
        <v>0.33333333333333331</v>
      </c>
      <c r="AA29" s="56">
        <f t="shared" si="4"/>
        <v>480</v>
      </c>
      <c r="AB29" s="76">
        <f t="shared" si="0"/>
        <v>9.2267606306957486</v>
      </c>
      <c r="AC29" s="57">
        <f t="shared" si="5"/>
        <v>9.2267606306957486</v>
      </c>
      <c r="AE29" s="56">
        <f t="shared" si="6"/>
        <v>480</v>
      </c>
      <c r="AF29" s="57">
        <f t="shared" si="20"/>
        <v>6.4767611353812615</v>
      </c>
    </row>
    <row r="30" spans="1:32" s="51" customFormat="1" ht="21" customHeight="1">
      <c r="A30" s="140" t="s">
        <v>4</v>
      </c>
      <c r="B30" s="140" t="s">
        <v>4</v>
      </c>
      <c r="C30" s="142" t="s">
        <v>4</v>
      </c>
      <c r="D30" s="143">
        <v>140</v>
      </c>
      <c r="E30" s="133">
        <f t="shared" si="12"/>
        <v>9.7222222222222224E-2</v>
      </c>
      <c r="F30" s="144">
        <f t="shared" si="13"/>
        <v>9.0026464130923678</v>
      </c>
      <c r="G30" s="144">
        <f t="shared" si="14"/>
        <v>5.4026464130923681</v>
      </c>
      <c r="H30" s="146"/>
      <c r="I30" s="146"/>
      <c r="J30" s="146"/>
      <c r="K30" s="80">
        <f t="shared" si="15"/>
        <v>0.13438003795108955</v>
      </c>
      <c r="L30" s="373">
        <f t="shared" si="16"/>
        <v>50</v>
      </c>
      <c r="M30" s="374">
        <f t="shared" si="21"/>
        <v>0.20830000000000001</v>
      </c>
      <c r="N30" s="374">
        <f>L30*M30</f>
        <v>10.415000000000001</v>
      </c>
      <c r="O30" s="374">
        <f t="shared" si="19"/>
        <v>2.2698</v>
      </c>
      <c r="P30" s="374">
        <f>INT(N30/O30*100)/100</f>
        <v>4.58</v>
      </c>
      <c r="Q30" s="375">
        <f>INT((G23-P30)*100)/100</f>
        <v>-0.08</v>
      </c>
      <c r="V30" s="55">
        <f t="shared" si="8"/>
        <v>300</v>
      </c>
      <c r="W30" s="51">
        <f t="shared" si="9"/>
        <v>19.029455844130766</v>
      </c>
      <c r="X30" s="51">
        <f t="shared" si="10"/>
        <v>0.85</v>
      </c>
      <c r="Y30" s="51">
        <f t="shared" si="11"/>
        <v>5.0000000000000001E-4</v>
      </c>
      <c r="Z30" s="51">
        <f t="shared" si="3"/>
        <v>0.375</v>
      </c>
      <c r="AA30" s="83">
        <f t="shared" si="4"/>
        <v>540</v>
      </c>
      <c r="AB30" s="76">
        <f t="shared" si="0"/>
        <v>9.3294373676341493</v>
      </c>
      <c r="AC30" s="57">
        <f t="shared" si="5"/>
        <v>9.3294373676341493</v>
      </c>
      <c r="AE30" s="56">
        <f t="shared" si="6"/>
        <v>540</v>
      </c>
      <c r="AF30" s="57">
        <f t="shared" si="20"/>
        <v>6.5794378723196623</v>
      </c>
    </row>
    <row r="31" spans="1:32" s="51" customFormat="1" ht="21" customHeight="1">
      <c r="A31" s="140"/>
      <c r="B31" s="140"/>
      <c r="C31" s="142"/>
      <c r="D31" s="143">
        <v>160</v>
      </c>
      <c r="E31" s="133">
        <f t="shared" si="12"/>
        <v>0.1111111111111111</v>
      </c>
      <c r="F31" s="144">
        <f t="shared" si="13"/>
        <v>9.1190516967320718</v>
      </c>
      <c r="G31" s="144">
        <f t="shared" si="14"/>
        <v>5.5190516967320722</v>
      </c>
      <c r="H31" s="146"/>
      <c r="I31" s="146"/>
      <c r="J31" s="146"/>
      <c r="K31" s="80">
        <f t="shared" si="15"/>
        <v>0.11640528363970404</v>
      </c>
      <c r="L31" s="373">
        <f t="shared" si="16"/>
        <v>55</v>
      </c>
      <c r="M31" s="374">
        <f t="shared" si="21"/>
        <v>0.20830000000000001</v>
      </c>
      <c r="N31" s="374">
        <f>L31*M31</f>
        <v>11.4565</v>
      </c>
      <c r="O31" s="374">
        <f t="shared" si="19"/>
        <v>2.2698</v>
      </c>
      <c r="P31" s="374">
        <f>INT(N31/O31*100)/100</f>
        <v>5.04</v>
      </c>
      <c r="Q31" s="375">
        <f>INT((G24-P31)*100)/100</f>
        <v>-0.46</v>
      </c>
      <c r="V31" s="55">
        <f t="shared" si="8"/>
        <v>300</v>
      </c>
      <c r="W31" s="51">
        <f t="shared" si="9"/>
        <v>19.029455844130766</v>
      </c>
      <c r="X31" s="51">
        <f t="shared" si="10"/>
        <v>0.85</v>
      </c>
      <c r="Y31" s="51">
        <f t="shared" si="11"/>
        <v>5.0000000000000001E-4</v>
      </c>
      <c r="Z31" s="51">
        <f t="shared" si="3"/>
        <v>0.41666666666666669</v>
      </c>
      <c r="AA31" s="56">
        <f t="shared" si="4"/>
        <v>600</v>
      </c>
      <c r="AB31" s="76">
        <f t="shared" si="0"/>
        <v>9.4212848386184564</v>
      </c>
      <c r="AC31" s="57">
        <f t="shared" si="5"/>
        <v>9.4212848386184564</v>
      </c>
      <c r="AE31" s="56">
        <f t="shared" si="6"/>
        <v>600</v>
      </c>
      <c r="AF31" s="57">
        <f t="shared" si="20"/>
        <v>6.6712853433039694</v>
      </c>
    </row>
    <row r="32" spans="1:32" s="51" customFormat="1" ht="21" customHeight="1">
      <c r="A32" s="140"/>
      <c r="B32" s="140"/>
      <c r="C32" s="142"/>
      <c r="D32" s="143">
        <v>180</v>
      </c>
      <c r="E32" s="133">
        <f t="shared" si="12"/>
        <v>0.125</v>
      </c>
      <c r="F32" s="144">
        <f t="shared" si="13"/>
        <v>9.2217284336704761</v>
      </c>
      <c r="G32" s="144">
        <f t="shared" si="14"/>
        <v>5.6217284336704765</v>
      </c>
      <c r="H32" s="146"/>
      <c r="I32" s="146"/>
      <c r="J32" s="146"/>
      <c r="K32" s="80">
        <f t="shared" si="15"/>
        <v>0.10267673693840429</v>
      </c>
      <c r="L32" s="82" t="s">
        <v>21</v>
      </c>
      <c r="O32" s="84"/>
      <c r="V32" s="55">
        <f t="shared" si="8"/>
        <v>300</v>
      </c>
      <c r="W32" s="51">
        <f t="shared" si="9"/>
        <v>19.029455844130766</v>
      </c>
      <c r="X32" s="51">
        <f t="shared" si="10"/>
        <v>0.85</v>
      </c>
      <c r="Y32" s="51">
        <f t="shared" si="11"/>
        <v>5.0000000000000001E-4</v>
      </c>
      <c r="Z32" s="51">
        <f t="shared" si="3"/>
        <v>0.45833333333333331</v>
      </c>
      <c r="AA32" s="83">
        <f t="shared" si="4"/>
        <v>660</v>
      </c>
      <c r="AB32" s="76">
        <f t="shared" si="0"/>
        <v>9.5043709826016194</v>
      </c>
      <c r="AC32" s="57">
        <f t="shared" si="5"/>
        <v>9.5043709826016194</v>
      </c>
      <c r="AE32" s="56">
        <f t="shared" si="6"/>
        <v>660</v>
      </c>
      <c r="AF32" s="57">
        <f t="shared" si="20"/>
        <v>6.7543714872871323</v>
      </c>
    </row>
    <row r="33" spans="1:32" s="51" customFormat="1" ht="21" customHeight="1">
      <c r="A33" s="140"/>
      <c r="B33" s="140"/>
      <c r="C33" s="142">
        <f>$C$10+D33/1440</f>
        <v>45389.645833333328</v>
      </c>
      <c r="D33" s="143">
        <f t="shared" ref="D33:D76" si="23">D32+60</f>
        <v>240</v>
      </c>
      <c r="E33" s="133">
        <f t="shared" si="12"/>
        <v>0.16666666666666666</v>
      </c>
      <c r="F33" s="144">
        <f t="shared" si="13"/>
        <v>9.4725137552612697</v>
      </c>
      <c r="G33" s="144">
        <f t="shared" si="14"/>
        <v>5.8725137552612701</v>
      </c>
      <c r="H33" s="146"/>
      <c r="I33" s="146"/>
      <c r="J33" s="146"/>
      <c r="K33" s="80">
        <f t="shared" si="15"/>
        <v>0.25078532159079359</v>
      </c>
      <c r="L33" s="75" t="s">
        <v>21</v>
      </c>
      <c r="O33" s="84"/>
      <c r="V33" s="55">
        <f t="shared" si="8"/>
        <v>300</v>
      </c>
      <c r="W33" s="51">
        <f t="shared" si="9"/>
        <v>19.029455844130766</v>
      </c>
      <c r="X33" s="51">
        <f t="shared" si="10"/>
        <v>0.85</v>
      </c>
      <c r="Y33" s="51">
        <f t="shared" si="11"/>
        <v>5.0000000000000001E-4</v>
      </c>
      <c r="Z33" s="51">
        <f t="shared" si="3"/>
        <v>0.5</v>
      </c>
      <c r="AA33" s="56">
        <f t="shared" si="4"/>
        <v>720</v>
      </c>
      <c r="AB33" s="76">
        <f t="shared" si="0"/>
        <v>9.5802226892249429</v>
      </c>
      <c r="AC33" s="57">
        <f t="shared" si="5"/>
        <v>9.5802226892249429</v>
      </c>
      <c r="AE33" s="56">
        <f t="shared" si="6"/>
        <v>720</v>
      </c>
      <c r="AF33" s="57">
        <f t="shared" si="20"/>
        <v>6.8302231939104558</v>
      </c>
    </row>
    <row r="34" spans="1:32" s="51" customFormat="1" ht="21" customHeight="1">
      <c r="A34" s="140"/>
      <c r="B34" s="140"/>
      <c r="C34" s="142"/>
      <c r="D34" s="143">
        <f t="shared" si="23"/>
        <v>300</v>
      </c>
      <c r="E34" s="133">
        <f t="shared" si="12"/>
        <v>0.20833333333333334</v>
      </c>
      <c r="F34" s="144">
        <f t="shared" si="13"/>
        <v>9.6670379631839776</v>
      </c>
      <c r="G34" s="144">
        <f t="shared" si="14"/>
        <v>6.0670379631839779</v>
      </c>
      <c r="H34" s="146"/>
      <c r="I34" s="146"/>
      <c r="J34" s="146"/>
      <c r="K34" s="80">
        <f t="shared" si="15"/>
        <v>0.19452420792270786</v>
      </c>
      <c r="L34" s="75" t="s">
        <v>21</v>
      </c>
      <c r="P34" s="84"/>
      <c r="V34" s="55">
        <f t="shared" si="8"/>
        <v>300</v>
      </c>
      <c r="W34" s="51">
        <f t="shared" si="9"/>
        <v>19.029455844130766</v>
      </c>
      <c r="X34" s="51">
        <f t="shared" si="10"/>
        <v>0.85</v>
      </c>
      <c r="Y34" s="51">
        <f t="shared" si="11"/>
        <v>5.0000000000000001E-4</v>
      </c>
      <c r="Z34" s="51">
        <f t="shared" si="3"/>
        <v>0.54166666666666663</v>
      </c>
      <c r="AA34" s="83">
        <f t="shared" si="4"/>
        <v>780</v>
      </c>
      <c r="AB34" s="76">
        <f t="shared" si="0"/>
        <v>9.6499994953144874</v>
      </c>
      <c r="AC34" s="57">
        <f t="shared" si="5"/>
        <v>9.6499994953144874</v>
      </c>
      <c r="AE34" s="56">
        <f t="shared" si="6"/>
        <v>780</v>
      </c>
      <c r="AF34" s="57">
        <f t="shared" si="20"/>
        <v>6.9</v>
      </c>
    </row>
    <row r="35" spans="1:32" s="51" customFormat="1" ht="21" customHeight="1">
      <c r="A35" s="140" t="s">
        <v>4</v>
      </c>
      <c r="B35" s="140" t="s">
        <v>4</v>
      </c>
      <c r="C35" s="142" t="s">
        <v>4</v>
      </c>
      <c r="D35" s="143">
        <f t="shared" si="23"/>
        <v>360</v>
      </c>
      <c r="E35" s="133">
        <f t="shared" si="12"/>
        <v>0.25</v>
      </c>
      <c r="F35" s="144">
        <f t="shared" si="13"/>
        <v>9.8259758137904658</v>
      </c>
      <c r="G35" s="144">
        <f t="shared" si="14"/>
        <v>6.2259758137904662</v>
      </c>
      <c r="H35" s="146"/>
      <c r="I35" s="146"/>
      <c r="J35" s="146"/>
      <c r="K35" s="80">
        <f t="shared" si="15"/>
        <v>0.15893785060648824</v>
      </c>
      <c r="L35" s="75" t="s">
        <v>21</v>
      </c>
      <c r="O35" s="84"/>
      <c r="V35" s="55">
        <f t="shared" si="8"/>
        <v>300</v>
      </c>
      <c r="W35" s="51">
        <f t="shared" si="9"/>
        <v>19.029455844130766</v>
      </c>
      <c r="X35" s="51">
        <f t="shared" si="10"/>
        <v>0.85</v>
      </c>
      <c r="Y35" s="51">
        <f t="shared" si="11"/>
        <v>5.0000000000000001E-4</v>
      </c>
      <c r="Z35" s="51">
        <f t="shared" si="3"/>
        <v>0.58333333333333337</v>
      </c>
      <c r="AA35" s="56">
        <f t="shared" si="4"/>
        <v>840</v>
      </c>
      <c r="AB35" s="76">
        <f t="shared" si="0"/>
        <v>9.6499994953144874</v>
      </c>
      <c r="AC35" s="57">
        <f t="shared" ref="AC35:AC38" si="24">AC34</f>
        <v>9.6499994953144874</v>
      </c>
      <c r="AE35" s="56">
        <f t="shared" si="6"/>
        <v>840</v>
      </c>
      <c r="AF35" s="57">
        <f t="shared" si="20"/>
        <v>6.9</v>
      </c>
    </row>
    <row r="36" spans="1:32" s="51" customFormat="1" ht="21" customHeight="1">
      <c r="A36" s="140"/>
      <c r="B36" s="140"/>
      <c r="C36" s="142"/>
      <c r="D36" s="143">
        <f t="shared" si="23"/>
        <v>420</v>
      </c>
      <c r="E36" s="133">
        <f t="shared" si="12"/>
        <v>0.29166666666666669</v>
      </c>
      <c r="F36" s="144">
        <f t="shared" si="13"/>
        <v>9.9603558517415554</v>
      </c>
      <c r="G36" s="144">
        <f t="shared" si="14"/>
        <v>6.3603558517415557</v>
      </c>
      <c r="H36" s="146"/>
      <c r="I36" s="146"/>
      <c r="J36" s="146"/>
      <c r="K36" s="80">
        <f t="shared" si="15"/>
        <v>0.13438003795108955</v>
      </c>
      <c r="L36" s="75" t="s">
        <v>21</v>
      </c>
      <c r="V36" s="55">
        <f t="shared" si="8"/>
        <v>300</v>
      </c>
      <c r="W36" s="51">
        <f t="shared" si="9"/>
        <v>19.029455844130766</v>
      </c>
      <c r="X36" s="51">
        <f t="shared" si="10"/>
        <v>0.85</v>
      </c>
      <c r="Y36" s="51">
        <f t="shared" si="11"/>
        <v>5.0000000000000001E-4</v>
      </c>
      <c r="Z36" s="51">
        <f t="shared" si="3"/>
        <v>0.625</v>
      </c>
      <c r="AA36" s="83">
        <f t="shared" si="4"/>
        <v>900</v>
      </c>
      <c r="AB36" s="76">
        <f t="shared" si="0"/>
        <v>9.6499994953144874</v>
      </c>
      <c r="AC36" s="57">
        <f t="shared" si="24"/>
        <v>9.6499994953144874</v>
      </c>
      <c r="AE36" s="56">
        <f t="shared" si="6"/>
        <v>900</v>
      </c>
      <c r="AF36" s="57">
        <f t="shared" si="20"/>
        <v>6.9</v>
      </c>
    </row>
    <row r="37" spans="1:32" s="51" customFormat="1" ht="21" customHeight="1">
      <c r="A37" s="140"/>
      <c r="B37" s="140"/>
      <c r="C37" s="142"/>
      <c r="D37" s="143">
        <f t="shared" si="23"/>
        <v>480</v>
      </c>
      <c r="E37" s="133">
        <f t="shared" si="12"/>
        <v>0.33333333333333331</v>
      </c>
      <c r="F37" s="144">
        <f t="shared" si="13"/>
        <v>10.076761135381261</v>
      </c>
      <c r="G37" s="144">
        <f t="shared" si="14"/>
        <v>6.4767611353812615</v>
      </c>
      <c r="H37" s="146"/>
      <c r="I37" s="146"/>
      <c r="J37" s="146"/>
      <c r="K37" s="80">
        <f t="shared" si="15"/>
        <v>0.11640528363970581</v>
      </c>
      <c r="L37" s="75" t="s">
        <v>21</v>
      </c>
      <c r="V37" s="55">
        <f t="shared" si="8"/>
        <v>300</v>
      </c>
      <c r="W37" s="51">
        <f t="shared" si="9"/>
        <v>19.029455844130766</v>
      </c>
      <c r="X37" s="51">
        <f t="shared" si="10"/>
        <v>0.85</v>
      </c>
      <c r="Y37" s="51">
        <f t="shared" si="11"/>
        <v>5.0000000000000001E-4</v>
      </c>
      <c r="Z37" s="51">
        <f t="shared" si="3"/>
        <v>0.66666666666666663</v>
      </c>
      <c r="AA37" s="56">
        <f t="shared" si="4"/>
        <v>960</v>
      </c>
      <c r="AB37" s="76">
        <f t="shared" si="0"/>
        <v>9.6499994953144874</v>
      </c>
      <c r="AC37" s="57">
        <f t="shared" si="24"/>
        <v>9.6499994953144874</v>
      </c>
      <c r="AD37" s="51">
        <v>37</v>
      </c>
      <c r="AE37" s="56">
        <f t="shared" si="6"/>
        <v>960</v>
      </c>
      <c r="AF37" s="57">
        <f t="shared" si="20"/>
        <v>6.9</v>
      </c>
    </row>
    <row r="38" spans="1:32" s="51" customFormat="1" ht="21" customHeight="1">
      <c r="A38" s="140"/>
      <c r="B38" s="140"/>
      <c r="C38" s="142"/>
      <c r="D38" s="143">
        <f t="shared" si="23"/>
        <v>540</v>
      </c>
      <c r="E38" s="133">
        <f t="shared" si="12"/>
        <v>0.375</v>
      </c>
      <c r="F38" s="144">
        <f t="shared" si="13"/>
        <v>10.179437872319662</v>
      </c>
      <c r="G38" s="144">
        <f t="shared" si="14"/>
        <v>6.5794378723196623</v>
      </c>
      <c r="H38" s="146"/>
      <c r="I38" s="146"/>
      <c r="J38" s="146"/>
      <c r="K38" s="80">
        <f t="shared" si="15"/>
        <v>0.10267673693840074</v>
      </c>
      <c r="L38" s="75" t="s">
        <v>21</v>
      </c>
      <c r="V38" s="55">
        <f t="shared" si="8"/>
        <v>300</v>
      </c>
      <c r="W38" s="51">
        <f t="shared" si="9"/>
        <v>19.029455844130766</v>
      </c>
      <c r="X38" s="51">
        <f t="shared" si="10"/>
        <v>0.85</v>
      </c>
      <c r="Y38" s="51">
        <f t="shared" si="11"/>
        <v>5.0000000000000001E-4</v>
      </c>
      <c r="Z38" s="51">
        <f t="shared" si="3"/>
        <v>0.70833333333333337</v>
      </c>
      <c r="AA38" s="56">
        <f t="shared" si="4"/>
        <v>1020</v>
      </c>
      <c r="AB38" s="76">
        <f t="shared" si="0"/>
        <v>9.6499994953144874</v>
      </c>
      <c r="AC38" s="57">
        <f t="shared" si="24"/>
        <v>9.6499994953144874</v>
      </c>
      <c r="AD38" s="52" t="s">
        <v>40</v>
      </c>
      <c r="AE38" s="56">
        <f t="shared" si="6"/>
        <v>1020</v>
      </c>
      <c r="AF38" s="57">
        <f t="shared" si="20"/>
        <v>6.9</v>
      </c>
    </row>
    <row r="39" spans="1:32" s="51" customFormat="1" ht="21" customHeight="1">
      <c r="A39" s="140"/>
      <c r="B39" s="140"/>
      <c r="C39" s="142">
        <f>$C$10+D39/1440</f>
        <v>45389.895833333328</v>
      </c>
      <c r="D39" s="143">
        <f t="shared" si="23"/>
        <v>600</v>
      </c>
      <c r="E39" s="133">
        <f t="shared" si="12"/>
        <v>0.41666666666666669</v>
      </c>
      <c r="F39" s="144">
        <f t="shared" si="13"/>
        <v>10.271285343303969</v>
      </c>
      <c r="G39" s="144">
        <f t="shared" si="14"/>
        <v>6.6712853433039694</v>
      </c>
      <c r="H39" s="146"/>
      <c r="I39" s="146"/>
      <c r="J39" s="146"/>
      <c r="K39" s="80">
        <f t="shared" si="15"/>
        <v>9.1847470984307122E-2</v>
      </c>
      <c r="L39" s="75" t="s">
        <v>21</v>
      </c>
      <c r="V39" s="55">
        <f t="shared" si="8"/>
        <v>300</v>
      </c>
      <c r="W39" s="51">
        <f t="shared" si="9"/>
        <v>19.029455844130766</v>
      </c>
      <c r="X39" s="51">
        <f t="shared" si="10"/>
        <v>0.85</v>
      </c>
      <c r="Y39" s="51">
        <f t="shared" si="11"/>
        <v>5.0000000000000001E-4</v>
      </c>
      <c r="Z39" s="51">
        <f t="shared" si="3"/>
        <v>0.75</v>
      </c>
      <c r="AA39" s="56">
        <f t="shared" si="4"/>
        <v>1080</v>
      </c>
      <c r="AB39" s="76">
        <f t="shared" si="0"/>
        <v>9.6499994953144874</v>
      </c>
      <c r="AC39" s="57">
        <f t="shared" ref="AC39:AC40" si="25">AC38</f>
        <v>9.6499994953144874</v>
      </c>
      <c r="AD39" s="85">
        <v>39</v>
      </c>
      <c r="AE39" s="56">
        <f t="shared" si="6"/>
        <v>1080</v>
      </c>
      <c r="AF39" s="57">
        <f t="shared" si="20"/>
        <v>6.9</v>
      </c>
    </row>
    <row r="40" spans="1:32" s="51" customFormat="1" ht="21" customHeight="1">
      <c r="A40" s="140" t="s">
        <v>4</v>
      </c>
      <c r="B40" s="140" t="s">
        <v>4</v>
      </c>
      <c r="C40" s="142" t="s">
        <v>4</v>
      </c>
      <c r="D40" s="143">
        <f t="shared" si="23"/>
        <v>660</v>
      </c>
      <c r="E40" s="133">
        <f t="shared" si="12"/>
        <v>0.45833333333333331</v>
      </c>
      <c r="F40" s="144">
        <f t="shared" si="13"/>
        <v>10.354371487287132</v>
      </c>
      <c r="G40" s="144">
        <f t="shared" si="14"/>
        <v>6.7543714872871323</v>
      </c>
      <c r="H40" s="146"/>
      <c r="I40" s="146"/>
      <c r="J40" s="146"/>
      <c r="K40" s="80">
        <f t="shared" si="15"/>
        <v>8.3086143983162941E-2</v>
      </c>
      <c r="L40" s="75" t="s">
        <v>21</v>
      </c>
      <c r="V40" s="55">
        <f t="shared" si="8"/>
        <v>300</v>
      </c>
      <c r="W40" s="51">
        <f t="shared" si="9"/>
        <v>19.029455844130766</v>
      </c>
      <c r="X40" s="51">
        <f t="shared" si="10"/>
        <v>0.85</v>
      </c>
      <c r="Y40" s="51">
        <f t="shared" si="11"/>
        <v>5.0000000000000001E-4</v>
      </c>
      <c r="Z40" s="51">
        <f t="shared" si="3"/>
        <v>0.79166666666666663</v>
      </c>
      <c r="AA40" s="56">
        <f t="shared" si="4"/>
        <v>1140</v>
      </c>
      <c r="AB40" s="76">
        <f t="shared" si="0"/>
        <v>9.6499994953144874</v>
      </c>
      <c r="AC40" s="57">
        <f t="shared" si="25"/>
        <v>9.6499994953144874</v>
      </c>
      <c r="AD40" s="85">
        <v>40</v>
      </c>
      <c r="AE40" s="56">
        <f t="shared" si="6"/>
        <v>1140</v>
      </c>
      <c r="AF40" s="57">
        <f t="shared" si="20"/>
        <v>6.9</v>
      </c>
    </row>
    <row r="41" spans="1:32" s="51" customFormat="1" ht="21" customHeight="1">
      <c r="A41" s="140"/>
      <c r="B41" s="140"/>
      <c r="C41" s="142"/>
      <c r="D41" s="143">
        <f t="shared" si="23"/>
        <v>720</v>
      </c>
      <c r="E41" s="133">
        <f t="shared" si="12"/>
        <v>0.5</v>
      </c>
      <c r="F41" s="144">
        <f t="shared" si="13"/>
        <v>10.430223193910455</v>
      </c>
      <c r="G41" s="144">
        <f t="shared" si="14"/>
        <v>6.8302231939104558</v>
      </c>
      <c r="H41" s="146"/>
      <c r="I41" s="146"/>
      <c r="J41" s="146"/>
      <c r="K41" s="80">
        <f t="shared" si="15"/>
        <v>7.5851706623323523E-2</v>
      </c>
      <c r="L41" s="75" t="s">
        <v>21</v>
      </c>
      <c r="V41" s="86">
        <f t="shared" si="8"/>
        <v>300</v>
      </c>
      <c r="W41" s="87">
        <f t="shared" si="9"/>
        <v>19.029455844130766</v>
      </c>
      <c r="X41" s="87">
        <f t="shared" si="10"/>
        <v>0.85</v>
      </c>
      <c r="Y41" s="87">
        <f t="shared" si="11"/>
        <v>5.0000000000000001E-4</v>
      </c>
      <c r="Z41" s="87">
        <f t="shared" si="3"/>
        <v>0.83333333333333337</v>
      </c>
      <c r="AA41" s="88">
        <f t="shared" si="4"/>
        <v>1200</v>
      </c>
      <c r="AB41" s="89">
        <f t="shared" si="0"/>
        <v>9.6499994953144874</v>
      </c>
      <c r="AC41" s="57">
        <f t="shared" ref="AC41:AC46" si="26">AC40</f>
        <v>9.6499994953144874</v>
      </c>
      <c r="AD41" s="90">
        <v>41</v>
      </c>
      <c r="AE41" s="56">
        <f t="shared" si="6"/>
        <v>1200</v>
      </c>
      <c r="AF41" s="57">
        <f t="shared" si="20"/>
        <v>6.9</v>
      </c>
    </row>
    <row r="42" spans="1:32" s="51" customFormat="1" ht="21" customHeight="1">
      <c r="A42" s="140"/>
      <c r="B42" s="140"/>
      <c r="C42" s="142"/>
      <c r="D42" s="143">
        <f t="shared" si="23"/>
        <v>780</v>
      </c>
      <c r="E42" s="133">
        <f t="shared" si="12"/>
        <v>0.54166666666666663</v>
      </c>
      <c r="F42" s="144">
        <f t="shared" si="13"/>
        <v>10.5</v>
      </c>
      <c r="G42" s="144">
        <f t="shared" si="14"/>
        <v>6.9</v>
      </c>
      <c r="H42" s="146"/>
      <c r="I42" s="146"/>
      <c r="J42" s="146"/>
      <c r="K42" s="80">
        <f t="shared" si="15"/>
        <v>6.9776806089544507E-2</v>
      </c>
      <c r="L42" s="75" t="s">
        <v>21</v>
      </c>
      <c r="V42" s="55">
        <f t="shared" si="8"/>
        <v>300</v>
      </c>
      <c r="W42" s="51">
        <f t="shared" si="9"/>
        <v>19.029455844130766</v>
      </c>
      <c r="X42" s="51">
        <f t="shared" si="10"/>
        <v>0.85</v>
      </c>
      <c r="Y42" s="51">
        <f t="shared" si="11"/>
        <v>5.0000000000000001E-4</v>
      </c>
      <c r="Z42" s="51">
        <f t="shared" si="3"/>
        <v>0.875</v>
      </c>
      <c r="AA42" s="56">
        <f t="shared" si="4"/>
        <v>1260</v>
      </c>
      <c r="AB42" s="76">
        <f t="shared" si="0"/>
        <v>9.6499994953144874</v>
      </c>
      <c r="AC42" s="57">
        <f t="shared" si="26"/>
        <v>9.6499994953144874</v>
      </c>
      <c r="AD42" s="85">
        <v>42</v>
      </c>
      <c r="AE42" s="56">
        <f t="shared" si="6"/>
        <v>1260</v>
      </c>
      <c r="AF42" s="57">
        <f t="shared" si="20"/>
        <v>6.9</v>
      </c>
    </row>
    <row r="43" spans="1:32" s="51" customFormat="1" ht="21" customHeight="1">
      <c r="A43" s="140"/>
      <c r="B43" s="140"/>
      <c r="C43" s="142"/>
      <c r="D43" s="143">
        <f t="shared" si="23"/>
        <v>840</v>
      </c>
      <c r="E43" s="133">
        <f t="shared" si="12"/>
        <v>0.58333333333333337</v>
      </c>
      <c r="F43" s="144">
        <f t="shared" si="13"/>
        <v>10.5</v>
      </c>
      <c r="G43" s="144">
        <f t="shared" si="14"/>
        <v>6.9</v>
      </c>
      <c r="H43" s="146"/>
      <c r="I43" s="146"/>
      <c r="J43" s="146"/>
      <c r="K43" s="80">
        <f t="shared" si="15"/>
        <v>0</v>
      </c>
      <c r="L43" s="75" t="s">
        <v>21</v>
      </c>
      <c r="V43" s="86">
        <f t="shared" si="8"/>
        <v>300</v>
      </c>
      <c r="W43" s="87">
        <f t="shared" si="9"/>
        <v>19.029455844130766</v>
      </c>
      <c r="X43" s="87">
        <f t="shared" si="10"/>
        <v>0.85</v>
      </c>
      <c r="Y43" s="87">
        <f t="shared" si="11"/>
        <v>5.0000000000000001E-4</v>
      </c>
      <c r="Z43" s="87">
        <f t="shared" si="3"/>
        <v>0.91666666666666663</v>
      </c>
      <c r="AA43" s="88">
        <f t="shared" si="4"/>
        <v>1320</v>
      </c>
      <c r="AB43" s="89">
        <f t="shared" si="0"/>
        <v>9.6499994953144874</v>
      </c>
      <c r="AC43" s="57">
        <f t="shared" si="26"/>
        <v>9.6499994953144874</v>
      </c>
      <c r="AD43" s="90">
        <v>43</v>
      </c>
      <c r="AE43" s="56">
        <f t="shared" si="6"/>
        <v>1320</v>
      </c>
      <c r="AF43" s="57">
        <f t="shared" si="20"/>
        <v>6.9</v>
      </c>
    </row>
    <row r="44" spans="1:32" s="51" customFormat="1" ht="21" customHeight="1">
      <c r="A44" s="140"/>
      <c r="B44" s="140"/>
      <c r="C44" s="142"/>
      <c r="D44" s="143">
        <f t="shared" si="23"/>
        <v>900</v>
      </c>
      <c r="E44" s="133">
        <f t="shared" si="12"/>
        <v>0.625</v>
      </c>
      <c r="F44" s="144">
        <f t="shared" si="13"/>
        <v>10.5</v>
      </c>
      <c r="G44" s="144">
        <f t="shared" si="14"/>
        <v>6.9</v>
      </c>
      <c r="H44" s="146"/>
      <c r="I44" s="146"/>
      <c r="J44" s="146"/>
      <c r="K44" s="80">
        <f t="shared" si="15"/>
        <v>0</v>
      </c>
      <c r="L44" s="75" t="s">
        <v>21</v>
      </c>
      <c r="V44" s="55">
        <f t="shared" si="8"/>
        <v>300</v>
      </c>
      <c r="W44" s="51">
        <f t="shared" si="9"/>
        <v>19.029455844130766</v>
      </c>
      <c r="X44" s="51">
        <f t="shared" si="10"/>
        <v>0.85</v>
      </c>
      <c r="Y44" s="51">
        <f t="shared" si="11"/>
        <v>5.0000000000000001E-4</v>
      </c>
      <c r="Z44" s="51">
        <f t="shared" si="3"/>
        <v>0.95833333333333337</v>
      </c>
      <c r="AA44" s="56">
        <f t="shared" si="4"/>
        <v>1380</v>
      </c>
      <c r="AB44" s="76">
        <f t="shared" si="0"/>
        <v>9.6499994953144874</v>
      </c>
      <c r="AC44" s="57">
        <f t="shared" si="26"/>
        <v>9.6499994953144874</v>
      </c>
      <c r="AD44" s="85">
        <v>44</v>
      </c>
      <c r="AE44" s="56">
        <f t="shared" si="6"/>
        <v>1380</v>
      </c>
      <c r="AF44" s="57">
        <f t="shared" si="20"/>
        <v>6.9</v>
      </c>
    </row>
    <row r="45" spans="1:32" s="51" customFormat="1" ht="21" customHeight="1">
      <c r="A45" s="140" t="s">
        <v>4</v>
      </c>
      <c r="B45" s="140" t="s">
        <v>4</v>
      </c>
      <c r="C45" s="142">
        <f>$C$10+D45/1440</f>
        <v>45390.145833333328</v>
      </c>
      <c r="D45" s="143">
        <f t="shared" si="23"/>
        <v>960</v>
      </c>
      <c r="E45" s="133">
        <f t="shared" si="12"/>
        <v>0.66666666666666663</v>
      </c>
      <c r="F45" s="144">
        <f t="shared" si="13"/>
        <v>10.5</v>
      </c>
      <c r="G45" s="144">
        <f t="shared" si="14"/>
        <v>6.9</v>
      </c>
      <c r="H45" s="146"/>
      <c r="I45" s="146"/>
      <c r="J45" s="146"/>
      <c r="K45" s="80">
        <f t="shared" si="15"/>
        <v>0</v>
      </c>
      <c r="L45" s="75" t="s">
        <v>21</v>
      </c>
      <c r="V45" s="86">
        <f t="shared" si="8"/>
        <v>300</v>
      </c>
      <c r="W45" s="87">
        <f t="shared" si="9"/>
        <v>19.029455844130766</v>
      </c>
      <c r="X45" s="87">
        <f t="shared" si="10"/>
        <v>0.85</v>
      </c>
      <c r="Y45" s="87">
        <f t="shared" si="11"/>
        <v>5.0000000000000001E-4</v>
      </c>
      <c r="Z45" s="87">
        <f t="shared" si="3"/>
        <v>1</v>
      </c>
      <c r="AA45" s="88">
        <f t="shared" si="4"/>
        <v>1440</v>
      </c>
      <c r="AB45" s="89">
        <f t="shared" si="0"/>
        <v>9.6499994953144874</v>
      </c>
      <c r="AC45" s="57">
        <f t="shared" si="26"/>
        <v>9.6499994953144874</v>
      </c>
      <c r="AD45" s="90">
        <v>45</v>
      </c>
      <c r="AE45" s="56">
        <f t="shared" si="6"/>
        <v>1440</v>
      </c>
      <c r="AF45" s="57">
        <f t="shared" si="20"/>
        <v>6.9</v>
      </c>
    </row>
    <row r="46" spans="1:32" s="51" customFormat="1" ht="21" customHeight="1">
      <c r="A46" s="140"/>
      <c r="B46" s="140"/>
      <c r="C46" s="140"/>
      <c r="D46" s="147">
        <f t="shared" si="23"/>
        <v>1020</v>
      </c>
      <c r="E46" s="133">
        <f t="shared" si="12"/>
        <v>0.70833333333333337</v>
      </c>
      <c r="F46" s="144">
        <f t="shared" si="13"/>
        <v>10.5</v>
      </c>
      <c r="G46" s="144">
        <f t="shared" si="14"/>
        <v>6.9</v>
      </c>
      <c r="H46" s="146"/>
      <c r="I46" s="146"/>
      <c r="J46" s="146"/>
      <c r="K46" s="80">
        <f t="shared" si="15"/>
        <v>0</v>
      </c>
      <c r="L46" s="75" t="s">
        <v>21</v>
      </c>
      <c r="V46" s="55">
        <f t="shared" si="8"/>
        <v>300</v>
      </c>
      <c r="W46" s="51">
        <f t="shared" si="9"/>
        <v>19.029455844130766</v>
      </c>
      <c r="X46" s="51">
        <f t="shared" si="10"/>
        <v>0.85</v>
      </c>
      <c r="Y46" s="51">
        <f t="shared" si="11"/>
        <v>5.0000000000000001E-4</v>
      </c>
      <c r="Z46" s="51">
        <f t="shared" si="3"/>
        <v>1.0416666666666667</v>
      </c>
      <c r="AA46" s="91">
        <f t="shared" si="4"/>
        <v>1500</v>
      </c>
      <c r="AB46" s="92">
        <f t="shared" si="0"/>
        <v>9.6499994953144874</v>
      </c>
      <c r="AC46" s="57">
        <f t="shared" si="26"/>
        <v>9.6499994953144874</v>
      </c>
      <c r="AD46" s="85">
        <v>46</v>
      </c>
      <c r="AE46" s="91">
        <f t="shared" si="6"/>
        <v>1500</v>
      </c>
      <c r="AF46" s="93">
        <f t="shared" si="20"/>
        <v>6.9</v>
      </c>
    </row>
    <row r="47" spans="1:32" s="51" customFormat="1" ht="21" customHeight="1">
      <c r="A47" s="140"/>
      <c r="B47" s="140"/>
      <c r="C47" s="142"/>
      <c r="D47" s="143">
        <f t="shared" si="23"/>
        <v>1080</v>
      </c>
      <c r="E47" s="133">
        <f t="shared" si="12"/>
        <v>0.75</v>
      </c>
      <c r="F47" s="144">
        <f t="shared" si="13"/>
        <v>10.5</v>
      </c>
      <c r="G47" s="144">
        <f t="shared" si="14"/>
        <v>6.9</v>
      </c>
      <c r="H47" s="146"/>
      <c r="I47" s="146"/>
      <c r="J47" s="146"/>
      <c r="K47" s="80">
        <f t="shared" si="15"/>
        <v>0</v>
      </c>
      <c r="L47" s="75" t="s">
        <v>21</v>
      </c>
      <c r="V47" s="55">
        <f t="shared" si="8"/>
        <v>300</v>
      </c>
      <c r="W47" s="51">
        <f t="shared" si="9"/>
        <v>19.029455844130766</v>
      </c>
      <c r="X47" s="51">
        <f t="shared" si="10"/>
        <v>0.85</v>
      </c>
      <c r="Y47" s="51">
        <f t="shared" si="11"/>
        <v>5.0000000000000001E-4</v>
      </c>
      <c r="Z47" s="51">
        <f t="shared" si="3"/>
        <v>1.0833333333333333</v>
      </c>
      <c r="AA47" s="56">
        <f t="shared" si="4"/>
        <v>1560</v>
      </c>
      <c r="AB47" s="76">
        <f t="shared" si="0"/>
        <v>9.6499994953144874</v>
      </c>
      <c r="AC47" s="57">
        <f t="shared" ref="AC47:AC69" si="27">AC46</f>
        <v>9.6499994953144874</v>
      </c>
      <c r="AE47" s="56">
        <f t="shared" si="6"/>
        <v>1560</v>
      </c>
      <c r="AF47" s="57">
        <f t="shared" si="20"/>
        <v>6.9</v>
      </c>
    </row>
    <row r="48" spans="1:32" s="51" customFormat="1" ht="21" customHeight="1">
      <c r="A48" s="140"/>
      <c r="B48" s="140"/>
      <c r="C48" s="142"/>
      <c r="D48" s="143">
        <f t="shared" si="23"/>
        <v>1140</v>
      </c>
      <c r="E48" s="133">
        <f t="shared" si="12"/>
        <v>0.79166666666666663</v>
      </c>
      <c r="F48" s="144">
        <f t="shared" si="13"/>
        <v>10.5</v>
      </c>
      <c r="G48" s="144">
        <f t="shared" si="14"/>
        <v>6.9</v>
      </c>
      <c r="H48" s="146"/>
      <c r="I48" s="146"/>
      <c r="J48" s="146"/>
      <c r="K48" s="51" t="s">
        <v>21</v>
      </c>
      <c r="L48" s="75" t="s">
        <v>21</v>
      </c>
      <c r="V48" s="55">
        <f t="shared" si="8"/>
        <v>300</v>
      </c>
      <c r="W48" s="51">
        <f t="shared" si="9"/>
        <v>19.029455844130766</v>
      </c>
      <c r="X48" s="51">
        <f t="shared" si="10"/>
        <v>0.85</v>
      </c>
      <c r="Y48" s="51">
        <f t="shared" si="11"/>
        <v>5.0000000000000001E-4</v>
      </c>
      <c r="Z48" s="51">
        <f t="shared" si="3"/>
        <v>1.125</v>
      </c>
      <c r="AA48" s="56">
        <f t="shared" si="4"/>
        <v>1620</v>
      </c>
      <c r="AB48" s="76">
        <f t="shared" si="0"/>
        <v>9.6499994953144874</v>
      </c>
      <c r="AC48" s="57">
        <f t="shared" si="27"/>
        <v>9.6499994953144874</v>
      </c>
      <c r="AE48" s="56">
        <f t="shared" si="6"/>
        <v>1620</v>
      </c>
      <c r="AF48" s="57">
        <f t="shared" si="20"/>
        <v>6.9</v>
      </c>
    </row>
    <row r="49" spans="1:32" s="51" customFormat="1" ht="21" customHeight="1">
      <c r="A49" s="140"/>
      <c r="B49" s="140"/>
      <c r="C49" s="142"/>
      <c r="D49" s="143">
        <f t="shared" si="23"/>
        <v>1200</v>
      </c>
      <c r="E49" s="133">
        <f t="shared" si="12"/>
        <v>0.83333333333333337</v>
      </c>
      <c r="F49" s="144">
        <f t="shared" si="13"/>
        <v>10.5</v>
      </c>
      <c r="G49" s="144">
        <f t="shared" si="14"/>
        <v>6.9</v>
      </c>
      <c r="H49" s="146"/>
      <c r="I49" s="146"/>
      <c r="J49" s="146"/>
      <c r="K49" s="51" t="s">
        <v>21</v>
      </c>
      <c r="L49" s="75" t="s">
        <v>21</v>
      </c>
      <c r="V49" s="55">
        <f t="shared" si="8"/>
        <v>300</v>
      </c>
      <c r="W49" s="51">
        <f t="shared" si="9"/>
        <v>19.029455844130766</v>
      </c>
      <c r="X49" s="51">
        <f t="shared" si="10"/>
        <v>0.85</v>
      </c>
      <c r="Y49" s="51">
        <f t="shared" si="11"/>
        <v>5.0000000000000001E-4</v>
      </c>
      <c r="Z49" s="51">
        <f t="shared" si="3"/>
        <v>1.1666666666666667</v>
      </c>
      <c r="AA49" s="56">
        <f t="shared" si="4"/>
        <v>1680</v>
      </c>
      <c r="AB49" s="76">
        <f t="shared" si="0"/>
        <v>9.6499994953144874</v>
      </c>
      <c r="AC49" s="57">
        <f t="shared" si="27"/>
        <v>9.6499994953144874</v>
      </c>
      <c r="AE49" s="56">
        <f t="shared" si="6"/>
        <v>1680</v>
      </c>
      <c r="AF49" s="57">
        <f t="shared" si="20"/>
        <v>6.9</v>
      </c>
    </row>
    <row r="50" spans="1:32" s="51" customFormat="1" ht="21" customHeight="1">
      <c r="A50" s="140"/>
      <c r="B50" s="140"/>
      <c r="C50" s="142"/>
      <c r="D50" s="143">
        <f t="shared" si="23"/>
        <v>1260</v>
      </c>
      <c r="E50" s="133">
        <f t="shared" si="12"/>
        <v>0.875</v>
      </c>
      <c r="F50" s="144">
        <f t="shared" si="13"/>
        <v>10.5</v>
      </c>
      <c r="G50" s="144">
        <f t="shared" si="14"/>
        <v>6.9</v>
      </c>
      <c r="H50" s="146"/>
      <c r="I50" s="146"/>
      <c r="J50" s="146"/>
      <c r="K50" s="51" t="s">
        <v>21</v>
      </c>
      <c r="L50" s="75" t="s">
        <v>21</v>
      </c>
      <c r="V50" s="55">
        <f t="shared" si="8"/>
        <v>300</v>
      </c>
      <c r="W50" s="51">
        <f t="shared" si="9"/>
        <v>19.029455844130766</v>
      </c>
      <c r="X50" s="51">
        <f t="shared" si="10"/>
        <v>0.85</v>
      </c>
      <c r="Y50" s="51">
        <f t="shared" si="11"/>
        <v>5.0000000000000001E-4</v>
      </c>
      <c r="Z50" s="51">
        <f t="shared" si="3"/>
        <v>1.2083333333333333</v>
      </c>
      <c r="AA50" s="56">
        <f t="shared" si="4"/>
        <v>1740</v>
      </c>
      <c r="AB50" s="76">
        <f t="shared" si="0"/>
        <v>9.6499994953144874</v>
      </c>
      <c r="AC50" s="57">
        <f t="shared" si="27"/>
        <v>9.6499994953144874</v>
      </c>
      <c r="AE50" s="56">
        <f t="shared" si="6"/>
        <v>1740</v>
      </c>
      <c r="AF50" s="57">
        <f t="shared" si="20"/>
        <v>6.9</v>
      </c>
    </row>
    <row r="51" spans="1:32" s="51" customFormat="1" ht="21" customHeight="1">
      <c r="A51" s="140"/>
      <c r="B51" s="140"/>
      <c r="C51" s="142">
        <f>$C$10+D51/1440</f>
        <v>45390.395833333328</v>
      </c>
      <c r="D51" s="143">
        <f t="shared" si="23"/>
        <v>1320</v>
      </c>
      <c r="E51" s="133">
        <f t="shared" si="12"/>
        <v>0.91666666666666663</v>
      </c>
      <c r="F51" s="144">
        <f t="shared" si="13"/>
        <v>10.5</v>
      </c>
      <c r="G51" s="144">
        <f t="shared" si="14"/>
        <v>6.9</v>
      </c>
      <c r="H51" s="146"/>
      <c r="I51" s="146"/>
      <c r="J51" s="146"/>
      <c r="K51" s="51" t="s">
        <v>21</v>
      </c>
      <c r="L51" s="75" t="s">
        <v>21</v>
      </c>
      <c r="V51" s="55">
        <f t="shared" si="8"/>
        <v>300</v>
      </c>
      <c r="W51" s="51">
        <f t="shared" si="9"/>
        <v>19.029455844130766</v>
      </c>
      <c r="X51" s="51">
        <f t="shared" si="10"/>
        <v>0.85</v>
      </c>
      <c r="Y51" s="51">
        <f t="shared" si="11"/>
        <v>5.0000000000000001E-4</v>
      </c>
      <c r="Z51" s="51">
        <f t="shared" si="3"/>
        <v>1.25</v>
      </c>
      <c r="AA51" s="56">
        <f t="shared" si="4"/>
        <v>1800</v>
      </c>
      <c r="AB51" s="76">
        <f t="shared" si="0"/>
        <v>9.6499994953144874</v>
      </c>
      <c r="AC51" s="57">
        <f t="shared" si="27"/>
        <v>9.6499994953144874</v>
      </c>
      <c r="AE51" s="56">
        <f t="shared" si="6"/>
        <v>1800</v>
      </c>
      <c r="AF51" s="57">
        <f t="shared" si="20"/>
        <v>6.9</v>
      </c>
    </row>
    <row r="52" spans="1:32" s="51" customFormat="1" ht="21" customHeight="1">
      <c r="A52" s="140"/>
      <c r="B52" s="140"/>
      <c r="C52" s="142"/>
      <c r="D52" s="143">
        <f t="shared" si="23"/>
        <v>1380</v>
      </c>
      <c r="E52" s="133">
        <f t="shared" si="12"/>
        <v>0.95833333333333337</v>
      </c>
      <c r="F52" s="144">
        <f t="shared" si="13"/>
        <v>10.5</v>
      </c>
      <c r="G52" s="144">
        <f t="shared" si="14"/>
        <v>6.9</v>
      </c>
      <c r="H52" s="146"/>
      <c r="I52" s="146"/>
      <c r="J52" s="146"/>
      <c r="K52" s="51" t="s">
        <v>21</v>
      </c>
      <c r="L52" s="75" t="s">
        <v>21</v>
      </c>
      <c r="V52" s="55">
        <f t="shared" si="8"/>
        <v>300</v>
      </c>
      <c r="W52" s="51">
        <f t="shared" si="9"/>
        <v>19.029455844130766</v>
      </c>
      <c r="X52" s="51">
        <f t="shared" si="10"/>
        <v>0.85</v>
      </c>
      <c r="Y52" s="51">
        <f t="shared" si="11"/>
        <v>5.0000000000000001E-4</v>
      </c>
      <c r="Z52" s="51">
        <f t="shared" si="3"/>
        <v>1.2916666666666667</v>
      </c>
      <c r="AA52" s="56">
        <f t="shared" si="4"/>
        <v>1860</v>
      </c>
      <c r="AB52" s="76">
        <f t="shared" si="0"/>
        <v>9.6499994953144874</v>
      </c>
      <c r="AC52" s="57">
        <f t="shared" si="27"/>
        <v>9.6499994953144874</v>
      </c>
      <c r="AE52" s="56">
        <f t="shared" si="6"/>
        <v>1860</v>
      </c>
      <c r="AF52" s="57">
        <f t="shared" si="20"/>
        <v>6.9</v>
      </c>
    </row>
    <row r="53" spans="1:32" s="51" customFormat="1" ht="21" customHeight="1">
      <c r="A53" s="140"/>
      <c r="B53" s="140"/>
      <c r="C53" s="142"/>
      <c r="D53" s="143">
        <f t="shared" si="23"/>
        <v>1440</v>
      </c>
      <c r="E53" s="133">
        <f t="shared" si="12"/>
        <v>1</v>
      </c>
      <c r="F53" s="144">
        <f t="shared" si="13"/>
        <v>10.5</v>
      </c>
      <c r="G53" s="144">
        <f t="shared" si="14"/>
        <v>6.9</v>
      </c>
      <c r="H53" s="146"/>
      <c r="I53" s="146"/>
      <c r="J53" s="146"/>
      <c r="K53" s="51" t="s">
        <v>21</v>
      </c>
      <c r="L53" s="75" t="s">
        <v>21</v>
      </c>
      <c r="V53" s="55">
        <f t="shared" si="8"/>
        <v>300</v>
      </c>
      <c r="W53" s="51">
        <f t="shared" si="9"/>
        <v>19.029455844130766</v>
      </c>
      <c r="X53" s="51">
        <f t="shared" si="10"/>
        <v>0.85</v>
      </c>
      <c r="Y53" s="51">
        <f t="shared" si="11"/>
        <v>5.0000000000000001E-4</v>
      </c>
      <c r="Z53" s="51">
        <f t="shared" si="3"/>
        <v>1.3333333333333333</v>
      </c>
      <c r="AA53" s="56">
        <f t="shared" si="4"/>
        <v>1920</v>
      </c>
      <c r="AB53" s="76">
        <f t="shared" si="0"/>
        <v>9.6499994953144874</v>
      </c>
      <c r="AC53" s="57">
        <f t="shared" si="27"/>
        <v>9.6499994953144874</v>
      </c>
      <c r="AE53" s="56">
        <f t="shared" si="6"/>
        <v>1920</v>
      </c>
      <c r="AF53" s="57">
        <f t="shared" si="20"/>
        <v>6.9</v>
      </c>
    </row>
    <row r="54" spans="1:32" s="51" customFormat="1" ht="21" customHeight="1">
      <c r="A54" s="140"/>
      <c r="B54" s="140"/>
      <c r="C54" s="142"/>
      <c r="D54" s="143">
        <f t="shared" si="23"/>
        <v>1500</v>
      </c>
      <c r="E54" s="133">
        <f t="shared" si="12"/>
        <v>1.0416666666666667</v>
      </c>
      <c r="F54" s="144">
        <f t="shared" si="13"/>
        <v>10.5</v>
      </c>
      <c r="G54" s="144">
        <f t="shared" si="14"/>
        <v>6.9</v>
      </c>
      <c r="H54" s="146"/>
      <c r="I54" s="146"/>
      <c r="J54" s="146"/>
      <c r="K54" s="51" t="s">
        <v>21</v>
      </c>
      <c r="L54" s="75" t="s">
        <v>21</v>
      </c>
      <c r="V54" s="55">
        <f t="shared" si="8"/>
        <v>300</v>
      </c>
      <c r="W54" s="51">
        <f t="shared" si="9"/>
        <v>19.029455844130766</v>
      </c>
      <c r="X54" s="51">
        <f t="shared" si="10"/>
        <v>0.85</v>
      </c>
      <c r="Y54" s="51">
        <f t="shared" si="11"/>
        <v>5.0000000000000001E-4</v>
      </c>
      <c r="Z54" s="51">
        <f t="shared" si="3"/>
        <v>1.375</v>
      </c>
      <c r="AA54" s="56">
        <f t="shared" si="4"/>
        <v>1980</v>
      </c>
      <c r="AB54" s="76">
        <f t="shared" si="0"/>
        <v>9.6499994953144874</v>
      </c>
      <c r="AC54" s="57">
        <f t="shared" si="27"/>
        <v>9.6499994953144874</v>
      </c>
      <c r="AE54" s="56">
        <f t="shared" si="6"/>
        <v>1980</v>
      </c>
      <c r="AF54" s="57">
        <f t="shared" si="20"/>
        <v>6.9</v>
      </c>
    </row>
    <row r="55" spans="1:32" s="51" customFormat="1" ht="21" customHeight="1">
      <c r="A55" s="140"/>
      <c r="B55" s="140"/>
      <c r="C55" s="142" t="s">
        <v>4</v>
      </c>
      <c r="D55" s="143">
        <f t="shared" si="23"/>
        <v>1560</v>
      </c>
      <c r="E55" s="133">
        <f t="shared" si="12"/>
        <v>1.0833333333333333</v>
      </c>
      <c r="F55" s="144">
        <f t="shared" si="13"/>
        <v>10.5</v>
      </c>
      <c r="G55" s="144">
        <f t="shared" si="14"/>
        <v>6.9</v>
      </c>
      <c r="H55" s="146"/>
      <c r="I55" s="146"/>
      <c r="J55" s="146"/>
      <c r="K55" s="51" t="s">
        <v>21</v>
      </c>
      <c r="L55" s="75" t="s">
        <v>21</v>
      </c>
      <c r="V55" s="55">
        <f t="shared" si="8"/>
        <v>300</v>
      </c>
      <c r="W55" s="51">
        <f t="shared" si="9"/>
        <v>19.029455844130766</v>
      </c>
      <c r="X55" s="51">
        <f t="shared" si="10"/>
        <v>0.85</v>
      </c>
      <c r="Y55" s="51">
        <f t="shared" si="11"/>
        <v>5.0000000000000001E-4</v>
      </c>
      <c r="Z55" s="51">
        <f t="shared" si="3"/>
        <v>1.4166666666666667</v>
      </c>
      <c r="AA55" s="56">
        <f t="shared" si="4"/>
        <v>2040</v>
      </c>
      <c r="AB55" s="76">
        <f t="shared" si="0"/>
        <v>9.6499994953144874</v>
      </c>
      <c r="AC55" s="57">
        <f t="shared" si="27"/>
        <v>9.6499994953144874</v>
      </c>
      <c r="AE55" s="56">
        <f t="shared" si="6"/>
        <v>2040</v>
      </c>
      <c r="AF55" s="57">
        <f t="shared" si="20"/>
        <v>6.9</v>
      </c>
    </row>
    <row r="56" spans="1:32" s="51" customFormat="1" ht="21.6" customHeight="1">
      <c r="A56" s="140"/>
      <c r="B56" s="140"/>
      <c r="C56" s="142">
        <f>$C$10+D56/1440</f>
        <v>45390.604166666664</v>
      </c>
      <c r="D56" s="143">
        <f t="shared" si="23"/>
        <v>1620</v>
      </c>
      <c r="E56" s="133">
        <f t="shared" si="12"/>
        <v>1.125</v>
      </c>
      <c r="F56" s="144">
        <f t="shared" si="13"/>
        <v>10.5</v>
      </c>
      <c r="G56" s="144">
        <f t="shared" si="14"/>
        <v>6.9</v>
      </c>
      <c r="H56" s="146"/>
      <c r="I56" s="146"/>
      <c r="J56" s="146"/>
      <c r="K56" s="51" t="s">
        <v>21</v>
      </c>
      <c r="L56" s="75" t="s">
        <v>21</v>
      </c>
      <c r="V56" s="55">
        <f t="shared" si="8"/>
        <v>300</v>
      </c>
      <c r="W56" s="51">
        <f t="shared" si="9"/>
        <v>19.029455844130766</v>
      </c>
      <c r="X56" s="51">
        <f t="shared" si="10"/>
        <v>0.85</v>
      </c>
      <c r="Y56" s="51">
        <f t="shared" si="11"/>
        <v>5.0000000000000001E-4</v>
      </c>
      <c r="Z56" s="51">
        <f t="shared" si="3"/>
        <v>1.4583333333333333</v>
      </c>
      <c r="AA56" s="56">
        <f t="shared" si="4"/>
        <v>2100</v>
      </c>
      <c r="AB56" s="76">
        <f t="shared" si="0"/>
        <v>9.6499994953144874</v>
      </c>
      <c r="AC56" s="57">
        <f t="shared" si="27"/>
        <v>9.6499994953144874</v>
      </c>
      <c r="AE56" s="56">
        <f t="shared" si="6"/>
        <v>2100</v>
      </c>
      <c r="AF56" s="57">
        <f t="shared" si="20"/>
        <v>6.9</v>
      </c>
    </row>
    <row r="57" spans="1:32" s="51" customFormat="1" ht="21.6" customHeight="1">
      <c r="A57" s="140"/>
      <c r="B57" s="140"/>
      <c r="C57" s="142"/>
      <c r="D57" s="143">
        <f t="shared" si="23"/>
        <v>1680</v>
      </c>
      <c r="E57" s="133">
        <f t="shared" si="12"/>
        <v>1.1666666666666667</v>
      </c>
      <c r="F57" s="144">
        <f t="shared" si="13"/>
        <v>10.5</v>
      </c>
      <c r="G57" s="144">
        <f t="shared" si="14"/>
        <v>6.9</v>
      </c>
      <c r="H57" s="146"/>
      <c r="I57" s="146"/>
      <c r="J57" s="146"/>
      <c r="K57" s="51" t="s">
        <v>21</v>
      </c>
      <c r="L57" s="75" t="s">
        <v>21</v>
      </c>
      <c r="V57" s="55">
        <f t="shared" si="8"/>
        <v>300</v>
      </c>
      <c r="W57" s="51">
        <f t="shared" si="9"/>
        <v>19.029455844130766</v>
      </c>
      <c r="X57" s="51">
        <f t="shared" si="10"/>
        <v>0.85</v>
      </c>
      <c r="Y57" s="51">
        <f t="shared" si="11"/>
        <v>5.0000000000000001E-4</v>
      </c>
      <c r="Z57" s="51">
        <f t="shared" si="3"/>
        <v>1.5</v>
      </c>
      <c r="AA57" s="56">
        <f t="shared" si="4"/>
        <v>2160</v>
      </c>
      <c r="AB57" s="76">
        <f t="shared" si="0"/>
        <v>9.6499994953144874</v>
      </c>
      <c r="AC57" s="57">
        <f t="shared" si="27"/>
        <v>9.6499994953144874</v>
      </c>
      <c r="AE57" s="56">
        <f t="shared" si="6"/>
        <v>2160</v>
      </c>
      <c r="AF57" s="57">
        <f t="shared" si="20"/>
        <v>6.9</v>
      </c>
    </row>
    <row r="58" spans="1:32" s="51" customFormat="1" ht="21.6" customHeight="1">
      <c r="A58" s="140"/>
      <c r="B58" s="140"/>
      <c r="C58" s="142"/>
      <c r="D58" s="143">
        <f t="shared" si="23"/>
        <v>1740</v>
      </c>
      <c r="E58" s="133">
        <f t="shared" si="12"/>
        <v>1.2083333333333333</v>
      </c>
      <c r="F58" s="144">
        <f t="shared" si="13"/>
        <v>10.5</v>
      </c>
      <c r="G58" s="144">
        <f t="shared" si="14"/>
        <v>6.9</v>
      </c>
      <c r="H58" s="146"/>
      <c r="I58" s="146"/>
      <c r="J58" s="146"/>
      <c r="K58" s="51" t="s">
        <v>21</v>
      </c>
      <c r="L58" s="75" t="s">
        <v>21</v>
      </c>
      <c r="V58" s="55">
        <f t="shared" si="8"/>
        <v>300</v>
      </c>
      <c r="W58" s="51">
        <f t="shared" si="9"/>
        <v>19.029455844130766</v>
      </c>
      <c r="X58" s="51">
        <f t="shared" si="10"/>
        <v>0.85</v>
      </c>
      <c r="Y58" s="51">
        <f t="shared" si="11"/>
        <v>5.0000000000000001E-4</v>
      </c>
      <c r="Z58" s="51">
        <f t="shared" si="3"/>
        <v>1.5416666666666667</v>
      </c>
      <c r="AA58" s="56">
        <f t="shared" si="4"/>
        <v>2220</v>
      </c>
      <c r="AB58" s="76">
        <f t="shared" si="0"/>
        <v>9.6499994953144874</v>
      </c>
      <c r="AC58" s="57">
        <f t="shared" si="27"/>
        <v>9.6499994953144874</v>
      </c>
      <c r="AE58" s="56">
        <f t="shared" si="6"/>
        <v>2220</v>
      </c>
      <c r="AF58" s="57">
        <f t="shared" si="20"/>
        <v>6.9</v>
      </c>
    </row>
    <row r="59" spans="1:32" s="51" customFormat="1" ht="21.6" customHeight="1">
      <c r="A59" s="140"/>
      <c r="B59" s="140"/>
      <c r="C59" s="142"/>
      <c r="D59" s="143">
        <f t="shared" si="23"/>
        <v>1800</v>
      </c>
      <c r="E59" s="133">
        <f t="shared" si="12"/>
        <v>1.25</v>
      </c>
      <c r="F59" s="144">
        <f t="shared" si="13"/>
        <v>10.5</v>
      </c>
      <c r="G59" s="144">
        <f t="shared" si="14"/>
        <v>6.9</v>
      </c>
      <c r="H59" s="146"/>
      <c r="I59" s="146"/>
      <c r="J59" s="146"/>
      <c r="K59" s="51" t="s">
        <v>21</v>
      </c>
      <c r="L59" s="75" t="s">
        <v>21</v>
      </c>
      <c r="V59" s="55">
        <f t="shared" si="8"/>
        <v>300</v>
      </c>
      <c r="W59" s="51">
        <f t="shared" si="9"/>
        <v>19.029455844130766</v>
      </c>
      <c r="X59" s="51">
        <f t="shared" si="10"/>
        <v>0.85</v>
      </c>
      <c r="Y59" s="51">
        <f t="shared" si="11"/>
        <v>5.0000000000000001E-4</v>
      </c>
      <c r="Z59" s="51">
        <f t="shared" si="3"/>
        <v>1.5833333333333333</v>
      </c>
      <c r="AA59" s="56">
        <f t="shared" si="4"/>
        <v>2280</v>
      </c>
      <c r="AB59" s="76">
        <f t="shared" si="0"/>
        <v>9.6499994953144874</v>
      </c>
      <c r="AC59" s="57">
        <f t="shared" si="27"/>
        <v>9.6499994953144874</v>
      </c>
      <c r="AE59" s="56">
        <f t="shared" si="6"/>
        <v>2280</v>
      </c>
      <c r="AF59" s="57">
        <f t="shared" si="20"/>
        <v>6.9</v>
      </c>
    </row>
    <row r="60" spans="1:32" s="51" customFormat="1" ht="21.6" customHeight="1">
      <c r="A60" s="140"/>
      <c r="B60" s="140"/>
      <c r="C60" s="142"/>
      <c r="D60" s="143">
        <f t="shared" si="23"/>
        <v>1860</v>
      </c>
      <c r="E60" s="133">
        <f t="shared" si="12"/>
        <v>1.2916666666666667</v>
      </c>
      <c r="F60" s="144">
        <f t="shared" si="13"/>
        <v>10.5</v>
      </c>
      <c r="G60" s="144">
        <f t="shared" si="14"/>
        <v>6.9</v>
      </c>
      <c r="H60" s="146"/>
      <c r="I60" s="146"/>
      <c r="J60" s="146"/>
      <c r="K60" s="51" t="s">
        <v>21</v>
      </c>
      <c r="L60" s="75" t="s">
        <v>21</v>
      </c>
      <c r="V60" s="55">
        <f t="shared" si="8"/>
        <v>300</v>
      </c>
      <c r="W60" s="51">
        <f t="shared" si="9"/>
        <v>19.029455844130766</v>
      </c>
      <c r="X60" s="51">
        <f t="shared" si="10"/>
        <v>0.85</v>
      </c>
      <c r="Y60" s="51">
        <f t="shared" si="11"/>
        <v>5.0000000000000001E-4</v>
      </c>
      <c r="Z60" s="51">
        <f t="shared" si="3"/>
        <v>1.625</v>
      </c>
      <c r="AA60" s="56">
        <f t="shared" si="4"/>
        <v>2340</v>
      </c>
      <c r="AB60" s="76">
        <f t="shared" si="0"/>
        <v>9.6499994953144874</v>
      </c>
      <c r="AC60" s="57">
        <f t="shared" si="27"/>
        <v>9.6499994953144874</v>
      </c>
      <c r="AE60" s="56">
        <f t="shared" si="6"/>
        <v>2340</v>
      </c>
      <c r="AF60" s="57">
        <f t="shared" si="20"/>
        <v>6.9</v>
      </c>
    </row>
    <row r="61" spans="1:32" s="51" customFormat="1" ht="21.6" customHeight="1">
      <c r="A61" s="140"/>
      <c r="B61" s="140"/>
      <c r="C61" s="142">
        <f>$C$10+D61/1440</f>
        <v>45390.8125</v>
      </c>
      <c r="D61" s="143">
        <f t="shared" si="23"/>
        <v>1920</v>
      </c>
      <c r="E61" s="133">
        <f t="shared" si="12"/>
        <v>1.3333333333333333</v>
      </c>
      <c r="F61" s="144">
        <f t="shared" si="13"/>
        <v>10.5</v>
      </c>
      <c r="G61" s="144">
        <f t="shared" si="14"/>
        <v>6.9</v>
      </c>
      <c r="H61" s="146"/>
      <c r="I61" s="146"/>
      <c r="J61" s="146"/>
      <c r="K61" s="51" t="s">
        <v>21</v>
      </c>
      <c r="L61" s="75" t="s">
        <v>21</v>
      </c>
      <c r="V61" s="55">
        <f t="shared" si="8"/>
        <v>300</v>
      </c>
      <c r="W61" s="51">
        <f t="shared" si="9"/>
        <v>19.029455844130766</v>
      </c>
      <c r="X61" s="51">
        <f t="shared" si="10"/>
        <v>0.85</v>
      </c>
      <c r="Y61" s="51">
        <f t="shared" si="11"/>
        <v>5.0000000000000001E-4</v>
      </c>
      <c r="Z61" s="51">
        <f t="shared" si="3"/>
        <v>1.6666666666666667</v>
      </c>
      <c r="AA61" s="56">
        <f t="shared" si="4"/>
        <v>2400</v>
      </c>
      <c r="AB61" s="76">
        <f t="shared" si="0"/>
        <v>9.6499994953144874</v>
      </c>
      <c r="AC61" s="57">
        <f t="shared" si="27"/>
        <v>9.6499994953144874</v>
      </c>
      <c r="AE61" s="56">
        <f t="shared" si="6"/>
        <v>2400</v>
      </c>
      <c r="AF61" s="57">
        <f t="shared" si="20"/>
        <v>6.9</v>
      </c>
    </row>
    <row r="62" spans="1:32" s="51" customFormat="1" ht="21.6" customHeight="1">
      <c r="A62" s="140"/>
      <c r="B62" s="140"/>
      <c r="C62" s="142"/>
      <c r="D62" s="143">
        <f t="shared" si="23"/>
        <v>1980</v>
      </c>
      <c r="E62" s="133">
        <f t="shared" si="12"/>
        <v>1.375</v>
      </c>
      <c r="F62" s="144">
        <f t="shared" si="13"/>
        <v>10.5</v>
      </c>
      <c r="G62" s="144">
        <f t="shared" si="14"/>
        <v>6.9</v>
      </c>
      <c r="H62" s="146"/>
      <c r="I62" s="146"/>
      <c r="J62" s="146"/>
      <c r="K62" s="51" t="s">
        <v>21</v>
      </c>
      <c r="L62" s="75" t="s">
        <v>21</v>
      </c>
      <c r="V62" s="55">
        <f t="shared" si="8"/>
        <v>300</v>
      </c>
      <c r="W62" s="51">
        <f t="shared" si="9"/>
        <v>19.029455844130766</v>
      </c>
      <c r="X62" s="51">
        <f t="shared" si="10"/>
        <v>0.85</v>
      </c>
      <c r="Y62" s="51">
        <f t="shared" si="11"/>
        <v>5.0000000000000001E-4</v>
      </c>
      <c r="Z62" s="51">
        <f t="shared" si="3"/>
        <v>1.7083333333333333</v>
      </c>
      <c r="AA62" s="56">
        <f t="shared" si="4"/>
        <v>2460</v>
      </c>
      <c r="AB62" s="76">
        <f t="shared" si="0"/>
        <v>9.6499994953144874</v>
      </c>
      <c r="AC62" s="57">
        <f t="shared" si="27"/>
        <v>9.6499994953144874</v>
      </c>
      <c r="AE62" s="56">
        <f t="shared" si="6"/>
        <v>2460</v>
      </c>
      <c r="AF62" s="57">
        <f t="shared" si="20"/>
        <v>6.9</v>
      </c>
    </row>
    <row r="63" spans="1:32" s="51" customFormat="1" ht="21.6" customHeight="1">
      <c r="A63" s="140"/>
      <c r="B63" s="140"/>
      <c r="C63" s="142"/>
      <c r="D63" s="143">
        <f t="shared" si="23"/>
        <v>2040</v>
      </c>
      <c r="E63" s="133">
        <f t="shared" si="12"/>
        <v>1.4166666666666667</v>
      </c>
      <c r="F63" s="144">
        <f>F62</f>
        <v>10.5</v>
      </c>
      <c r="G63" s="144">
        <f t="shared" si="14"/>
        <v>6.9</v>
      </c>
      <c r="H63" s="146"/>
      <c r="I63" s="146"/>
      <c r="J63" s="146"/>
      <c r="K63" s="51" t="s">
        <v>21</v>
      </c>
      <c r="L63" s="75" t="s">
        <v>21</v>
      </c>
      <c r="V63" s="55">
        <f t="shared" si="8"/>
        <v>300</v>
      </c>
      <c r="W63" s="51">
        <f t="shared" si="9"/>
        <v>19.029455844130766</v>
      </c>
      <c r="X63" s="51">
        <f t="shared" si="10"/>
        <v>0.85</v>
      </c>
      <c r="Y63" s="51">
        <f t="shared" si="11"/>
        <v>5.0000000000000001E-4</v>
      </c>
      <c r="Z63" s="51">
        <f t="shared" si="3"/>
        <v>1.75</v>
      </c>
      <c r="AA63" s="56">
        <f t="shared" si="4"/>
        <v>2520</v>
      </c>
      <c r="AB63" s="76">
        <f t="shared" si="0"/>
        <v>9.6499994953144874</v>
      </c>
      <c r="AC63" s="57">
        <f t="shared" si="27"/>
        <v>9.6499994953144874</v>
      </c>
      <c r="AE63" s="56">
        <f t="shared" si="6"/>
        <v>2520</v>
      </c>
      <c r="AF63" s="57">
        <f t="shared" si="20"/>
        <v>6.9</v>
      </c>
    </row>
    <row r="64" spans="1:32" s="51" customFormat="1" ht="21.6" customHeight="1">
      <c r="A64" s="140"/>
      <c r="B64" s="140"/>
      <c r="C64" s="142"/>
      <c r="D64" s="143">
        <f t="shared" si="23"/>
        <v>2100</v>
      </c>
      <c r="E64" s="133">
        <f t="shared" si="12"/>
        <v>1.4583333333333333</v>
      </c>
      <c r="F64" s="144">
        <f t="shared" ref="F64:F77" si="28">F63</f>
        <v>10.5</v>
      </c>
      <c r="G64" s="144">
        <f t="shared" si="14"/>
        <v>6.9</v>
      </c>
      <c r="H64" s="146"/>
      <c r="I64" s="146"/>
      <c r="J64" s="146"/>
      <c r="K64" s="51" t="s">
        <v>21</v>
      </c>
      <c r="L64" s="75" t="s">
        <v>21</v>
      </c>
      <c r="V64" s="55">
        <f t="shared" si="8"/>
        <v>300</v>
      </c>
      <c r="W64" s="51">
        <f t="shared" si="9"/>
        <v>19.029455844130766</v>
      </c>
      <c r="X64" s="51">
        <f t="shared" si="10"/>
        <v>0.85</v>
      </c>
      <c r="Y64" s="51">
        <f t="shared" si="11"/>
        <v>5.0000000000000001E-4</v>
      </c>
      <c r="Z64" s="51">
        <f t="shared" si="3"/>
        <v>1.7916666666666667</v>
      </c>
      <c r="AA64" s="56">
        <f t="shared" si="4"/>
        <v>2580</v>
      </c>
      <c r="AB64" s="76">
        <f t="shared" si="0"/>
        <v>9.6499994953144874</v>
      </c>
      <c r="AC64" s="57">
        <f t="shared" si="27"/>
        <v>9.6499994953144874</v>
      </c>
      <c r="AE64" s="56">
        <f t="shared" si="6"/>
        <v>2580</v>
      </c>
      <c r="AF64" s="57">
        <f t="shared" si="20"/>
        <v>6.9</v>
      </c>
    </row>
    <row r="65" spans="1:32" s="51" customFormat="1" ht="21.6" customHeight="1">
      <c r="A65" s="140"/>
      <c r="B65" s="140"/>
      <c r="C65" s="142"/>
      <c r="D65" s="143">
        <f t="shared" si="23"/>
        <v>2160</v>
      </c>
      <c r="E65" s="133">
        <f t="shared" si="12"/>
        <v>1.5</v>
      </c>
      <c r="F65" s="144">
        <f t="shared" si="28"/>
        <v>10.5</v>
      </c>
      <c r="G65" s="144">
        <f t="shared" si="14"/>
        <v>6.9</v>
      </c>
      <c r="H65" s="146"/>
      <c r="I65" s="146"/>
      <c r="J65" s="146"/>
      <c r="K65" s="51" t="s">
        <v>21</v>
      </c>
      <c r="L65" s="75" t="s">
        <v>21</v>
      </c>
      <c r="V65" s="55">
        <f t="shared" si="8"/>
        <v>300</v>
      </c>
      <c r="W65" s="51">
        <f t="shared" si="9"/>
        <v>19.029455844130766</v>
      </c>
      <c r="X65" s="51">
        <f t="shared" si="10"/>
        <v>0.85</v>
      </c>
      <c r="Y65" s="51">
        <f t="shared" si="11"/>
        <v>5.0000000000000001E-4</v>
      </c>
      <c r="Z65" s="51">
        <f t="shared" si="3"/>
        <v>1.8333333333333333</v>
      </c>
      <c r="AA65" s="56">
        <f t="shared" si="4"/>
        <v>2640</v>
      </c>
      <c r="AB65" s="76">
        <f t="shared" si="0"/>
        <v>9.6499994953144874</v>
      </c>
      <c r="AC65" s="57">
        <f t="shared" si="27"/>
        <v>9.6499994953144874</v>
      </c>
      <c r="AE65" s="56">
        <f t="shared" si="6"/>
        <v>2640</v>
      </c>
      <c r="AF65" s="57">
        <f t="shared" si="20"/>
        <v>6.9</v>
      </c>
    </row>
    <row r="66" spans="1:32" s="51" customFormat="1" ht="21.6" customHeight="1">
      <c r="A66" s="140"/>
      <c r="B66" s="140"/>
      <c r="C66" s="142">
        <f>$C$10+D66/1440</f>
        <v>45391.020833333328</v>
      </c>
      <c r="D66" s="143">
        <f t="shared" si="23"/>
        <v>2220</v>
      </c>
      <c r="E66" s="133">
        <f t="shared" si="12"/>
        <v>1.5416666666666667</v>
      </c>
      <c r="F66" s="144">
        <f t="shared" si="28"/>
        <v>10.5</v>
      </c>
      <c r="G66" s="144">
        <f t="shared" si="14"/>
        <v>6.9</v>
      </c>
      <c r="H66" s="146"/>
      <c r="I66" s="146"/>
      <c r="J66" s="146"/>
      <c r="K66" s="51" t="s">
        <v>21</v>
      </c>
      <c r="L66" s="75" t="s">
        <v>21</v>
      </c>
      <c r="V66" s="55">
        <f t="shared" si="8"/>
        <v>300</v>
      </c>
      <c r="W66" s="51">
        <f t="shared" si="9"/>
        <v>19.029455844130766</v>
      </c>
      <c r="X66" s="51">
        <f t="shared" si="10"/>
        <v>0.85</v>
      </c>
      <c r="Y66" s="51">
        <f t="shared" si="11"/>
        <v>5.0000000000000001E-4</v>
      </c>
      <c r="Z66" s="51">
        <f t="shared" si="3"/>
        <v>1.875</v>
      </c>
      <c r="AA66" s="56">
        <f t="shared" si="4"/>
        <v>2700</v>
      </c>
      <c r="AB66" s="76">
        <f>AC66+AD$2</f>
        <v>9.6499994953144874</v>
      </c>
      <c r="AC66" s="57">
        <f t="shared" si="27"/>
        <v>9.6499994953144874</v>
      </c>
      <c r="AE66" s="56">
        <f t="shared" si="6"/>
        <v>2700</v>
      </c>
      <c r="AF66" s="57">
        <f t="shared" si="20"/>
        <v>6.9</v>
      </c>
    </row>
    <row r="67" spans="1:32" s="51" customFormat="1" ht="21.6" customHeight="1">
      <c r="A67" s="140"/>
      <c r="B67" s="140"/>
      <c r="C67" s="142"/>
      <c r="D67" s="143">
        <f t="shared" si="23"/>
        <v>2280</v>
      </c>
      <c r="E67" s="133">
        <f t="shared" si="12"/>
        <v>1.5833333333333333</v>
      </c>
      <c r="F67" s="144">
        <f t="shared" si="28"/>
        <v>10.5</v>
      </c>
      <c r="G67" s="144">
        <f t="shared" si="14"/>
        <v>6.9</v>
      </c>
      <c r="H67" s="146"/>
      <c r="I67" s="146"/>
      <c r="J67" s="146"/>
      <c r="K67" s="51" t="s">
        <v>21</v>
      </c>
      <c r="L67" s="75" t="s">
        <v>21</v>
      </c>
      <c r="V67" s="55">
        <f t="shared" si="8"/>
        <v>300</v>
      </c>
      <c r="W67" s="51">
        <f t="shared" si="9"/>
        <v>19.029455844130766</v>
      </c>
      <c r="X67" s="51">
        <f t="shared" si="10"/>
        <v>0.85</v>
      </c>
      <c r="Y67" s="51">
        <f t="shared" si="11"/>
        <v>5.0000000000000001E-4</v>
      </c>
      <c r="Z67" s="51">
        <f t="shared" ref="Z67:Z79" si="29">E75</f>
        <v>1.9166666666666667</v>
      </c>
      <c r="AA67" s="56">
        <f t="shared" ref="AA67:AA79" si="30">D75</f>
        <v>2760</v>
      </c>
      <c r="AB67" s="76">
        <f>AC67+AD$2</f>
        <v>9.6499994953144874</v>
      </c>
      <c r="AC67" s="57">
        <f t="shared" si="27"/>
        <v>9.6499994953144874</v>
      </c>
      <c r="AE67" s="56">
        <f>AA67</f>
        <v>2760</v>
      </c>
      <c r="AF67" s="57">
        <f t="shared" si="20"/>
        <v>6.9</v>
      </c>
    </row>
    <row r="68" spans="1:32" s="51" customFormat="1" ht="21.6" customHeight="1">
      <c r="A68" s="140"/>
      <c r="B68" s="140"/>
      <c r="C68" s="142" t="s">
        <v>4</v>
      </c>
      <c r="D68" s="143">
        <f t="shared" si="23"/>
        <v>2340</v>
      </c>
      <c r="E68" s="133">
        <f t="shared" si="12"/>
        <v>1.625</v>
      </c>
      <c r="F68" s="144">
        <f t="shared" si="28"/>
        <v>10.5</v>
      </c>
      <c r="G68" s="144">
        <f t="shared" si="14"/>
        <v>6.9</v>
      </c>
      <c r="H68" s="146"/>
      <c r="I68" s="146"/>
      <c r="J68" s="146"/>
      <c r="K68" s="51" t="s">
        <v>21</v>
      </c>
      <c r="L68" s="75" t="s">
        <v>21</v>
      </c>
      <c r="V68" s="55">
        <f>V67</f>
        <v>300</v>
      </c>
      <c r="W68" s="51">
        <f t="shared" ref="W68:W83" si="31">W$2</f>
        <v>19.029455844130766</v>
      </c>
      <c r="X68" s="51">
        <f t="shared" ref="X68:X83" si="32">X67</f>
        <v>0.85</v>
      </c>
      <c r="Y68" s="51">
        <f t="shared" ref="Y68:Y83" si="33">Y$2</f>
        <v>5.0000000000000001E-4</v>
      </c>
      <c r="Z68" s="51">
        <f t="shared" si="29"/>
        <v>1.9583333333333333</v>
      </c>
      <c r="AA68" s="56">
        <f t="shared" si="30"/>
        <v>2820</v>
      </c>
      <c r="AB68" s="76">
        <f>AC68+AD$2</f>
        <v>9.6499994953144874</v>
      </c>
      <c r="AC68" s="57">
        <f t="shared" si="27"/>
        <v>9.6499994953144874</v>
      </c>
      <c r="AE68" s="56">
        <f>AA68</f>
        <v>2820</v>
      </c>
      <c r="AF68" s="57">
        <f t="shared" si="20"/>
        <v>6.9</v>
      </c>
    </row>
    <row r="69" spans="1:32" s="51" customFormat="1" ht="21.6" customHeight="1">
      <c r="A69" s="140"/>
      <c r="B69" s="140"/>
      <c r="C69" s="142"/>
      <c r="D69" s="143">
        <f t="shared" si="23"/>
        <v>2400</v>
      </c>
      <c r="E69" s="133">
        <f t="shared" si="12"/>
        <v>1.6666666666666667</v>
      </c>
      <c r="F69" s="144">
        <f t="shared" si="28"/>
        <v>10.5</v>
      </c>
      <c r="G69" s="144">
        <f t="shared" si="14"/>
        <v>6.9</v>
      </c>
      <c r="H69" s="146"/>
      <c r="I69" s="146"/>
      <c r="J69" s="146"/>
      <c r="K69" s="51" t="s">
        <v>21</v>
      </c>
      <c r="L69" s="75" t="s">
        <v>21</v>
      </c>
      <c r="V69" s="55">
        <f>V68</f>
        <v>300</v>
      </c>
      <c r="W69" s="51">
        <f t="shared" si="31"/>
        <v>19.029455844130766</v>
      </c>
      <c r="X69" s="51">
        <f t="shared" si="32"/>
        <v>0.85</v>
      </c>
      <c r="Y69" s="51">
        <f t="shared" si="33"/>
        <v>5.0000000000000001E-4</v>
      </c>
      <c r="Z69" s="51">
        <f t="shared" si="29"/>
        <v>2</v>
      </c>
      <c r="AA69" s="56">
        <f t="shared" si="30"/>
        <v>2880</v>
      </c>
      <c r="AB69" s="76">
        <f>AC69+AD$2</f>
        <v>9.6499994953144874</v>
      </c>
      <c r="AC69" s="57">
        <f t="shared" si="27"/>
        <v>9.6499994953144874</v>
      </c>
      <c r="AE69" s="56">
        <f>AA69</f>
        <v>2880</v>
      </c>
      <c r="AF69" s="57">
        <f t="shared" si="20"/>
        <v>6.9</v>
      </c>
    </row>
    <row r="70" spans="1:32" s="51" customFormat="1" ht="21.6" customHeight="1">
      <c r="A70" s="140"/>
      <c r="B70" s="140"/>
      <c r="C70" s="142"/>
      <c r="D70" s="143">
        <f t="shared" si="23"/>
        <v>2460</v>
      </c>
      <c r="E70" s="133">
        <f t="shared" si="12"/>
        <v>1.7083333333333333</v>
      </c>
      <c r="F70" s="144">
        <f t="shared" si="28"/>
        <v>10.5</v>
      </c>
      <c r="G70" s="144">
        <f t="shared" si="14"/>
        <v>6.9</v>
      </c>
      <c r="H70" s="146"/>
      <c r="I70" s="146"/>
      <c r="J70" s="146"/>
      <c r="K70" s="51" t="s">
        <v>21</v>
      </c>
      <c r="L70" s="75" t="s">
        <v>21</v>
      </c>
      <c r="V70" s="55"/>
      <c r="W70" s="51">
        <f t="shared" si="31"/>
        <v>19.029455844130766</v>
      </c>
      <c r="X70" s="51">
        <f t="shared" si="32"/>
        <v>0.85</v>
      </c>
      <c r="Y70" s="51">
        <f t="shared" si="33"/>
        <v>5.0000000000000001E-4</v>
      </c>
      <c r="Z70" s="51">
        <f t="shared" si="29"/>
        <v>6.9444444444444447E-4</v>
      </c>
      <c r="AA70" s="56">
        <f t="shared" si="30"/>
        <v>1</v>
      </c>
      <c r="AB70" s="76"/>
      <c r="AC70" s="57"/>
      <c r="AF70" s="57"/>
    </row>
    <row r="71" spans="1:32" s="51" customFormat="1" ht="21.6" customHeight="1">
      <c r="A71" s="140"/>
      <c r="B71" s="140"/>
      <c r="C71" s="142">
        <f>$C$10+D71/1440</f>
        <v>45391.229166666664</v>
      </c>
      <c r="D71" s="143">
        <f t="shared" si="23"/>
        <v>2520</v>
      </c>
      <c r="E71" s="133">
        <f t="shared" si="12"/>
        <v>1.75</v>
      </c>
      <c r="F71" s="144">
        <f t="shared" si="28"/>
        <v>10.5</v>
      </c>
      <c r="G71" s="144">
        <f t="shared" si="14"/>
        <v>6.9</v>
      </c>
      <c r="H71" s="146"/>
      <c r="I71" s="146"/>
      <c r="J71" s="146"/>
      <c r="K71" s="51" t="s">
        <v>21</v>
      </c>
      <c r="L71" s="75" t="s">
        <v>21</v>
      </c>
      <c r="V71" s="55"/>
      <c r="W71" s="51">
        <f t="shared" si="31"/>
        <v>19.029455844130766</v>
      </c>
      <c r="X71" s="51">
        <f t="shared" si="32"/>
        <v>0.85</v>
      </c>
      <c r="Y71" s="51">
        <f t="shared" si="33"/>
        <v>5.0000000000000001E-4</v>
      </c>
      <c r="Z71" s="51">
        <f t="shared" si="29"/>
        <v>1.3888888888888889E-3</v>
      </c>
      <c r="AA71" s="56">
        <f t="shared" si="30"/>
        <v>2</v>
      </c>
      <c r="AB71" s="76"/>
      <c r="AC71" s="57"/>
      <c r="AF71" s="57"/>
    </row>
    <row r="72" spans="1:32" s="51" customFormat="1" ht="21.6" customHeight="1">
      <c r="A72" s="140"/>
      <c r="B72" s="140"/>
      <c r="C72" s="142"/>
      <c r="D72" s="143">
        <f t="shared" si="23"/>
        <v>2580</v>
      </c>
      <c r="E72" s="133">
        <f t="shared" si="12"/>
        <v>1.7916666666666667</v>
      </c>
      <c r="F72" s="144">
        <f t="shared" si="28"/>
        <v>10.5</v>
      </c>
      <c r="G72" s="144">
        <f t="shared" si="14"/>
        <v>6.9</v>
      </c>
      <c r="H72" s="146"/>
      <c r="I72" s="146"/>
      <c r="J72" s="146"/>
      <c r="K72" s="51" t="s">
        <v>21</v>
      </c>
      <c r="L72" s="75" t="s">
        <v>21</v>
      </c>
      <c r="V72" s="55"/>
      <c r="W72" s="51">
        <f t="shared" si="31"/>
        <v>19.029455844130766</v>
      </c>
      <c r="X72" s="51">
        <f t="shared" si="32"/>
        <v>0.85</v>
      </c>
      <c r="Y72" s="51">
        <f t="shared" si="33"/>
        <v>5.0000000000000001E-4</v>
      </c>
      <c r="Z72" s="51">
        <f t="shared" si="29"/>
        <v>2.0833333333333333E-3</v>
      </c>
      <c r="AA72" s="56">
        <f t="shared" si="30"/>
        <v>3</v>
      </c>
      <c r="AB72" s="76"/>
      <c r="AC72" s="57"/>
      <c r="AF72" s="57"/>
    </row>
    <row r="73" spans="1:32" s="51" customFormat="1" ht="21.6" customHeight="1">
      <c r="A73" s="140"/>
      <c r="B73" s="140"/>
      <c r="C73" s="142"/>
      <c r="D73" s="143">
        <f t="shared" si="23"/>
        <v>2640</v>
      </c>
      <c r="E73" s="133">
        <f t="shared" si="12"/>
        <v>1.8333333333333333</v>
      </c>
      <c r="F73" s="144">
        <f t="shared" si="28"/>
        <v>10.5</v>
      </c>
      <c r="G73" s="144">
        <f t="shared" si="14"/>
        <v>6.9</v>
      </c>
      <c r="H73" s="146"/>
      <c r="I73" s="146"/>
      <c r="J73" s="146"/>
      <c r="K73" s="51" t="s">
        <v>21</v>
      </c>
      <c r="L73" s="75" t="s">
        <v>21</v>
      </c>
      <c r="V73" s="55"/>
      <c r="W73" s="51">
        <f t="shared" si="31"/>
        <v>19.029455844130766</v>
      </c>
      <c r="X73" s="51">
        <f t="shared" si="32"/>
        <v>0.85</v>
      </c>
      <c r="Y73" s="51">
        <f t="shared" si="33"/>
        <v>5.0000000000000001E-4</v>
      </c>
      <c r="Z73" s="51">
        <f t="shared" si="29"/>
        <v>2.7777777777777779E-3</v>
      </c>
      <c r="AA73" s="56">
        <f t="shared" si="30"/>
        <v>4</v>
      </c>
      <c r="AB73" s="76"/>
      <c r="AC73" s="57"/>
      <c r="AF73" s="57"/>
    </row>
    <row r="74" spans="1:32" s="51" customFormat="1" ht="21.6" customHeight="1">
      <c r="A74" s="140"/>
      <c r="B74" s="140"/>
      <c r="C74" s="142"/>
      <c r="D74" s="143">
        <f t="shared" si="23"/>
        <v>2700</v>
      </c>
      <c r="E74" s="133">
        <f t="shared" si="12"/>
        <v>1.875</v>
      </c>
      <c r="F74" s="144">
        <f t="shared" si="28"/>
        <v>10.5</v>
      </c>
      <c r="G74" s="144">
        <f t="shared" si="14"/>
        <v>6.9</v>
      </c>
      <c r="H74" s="146"/>
      <c r="I74" s="146"/>
      <c r="J74" s="146"/>
      <c r="K74" s="51" t="s">
        <v>21</v>
      </c>
      <c r="L74" s="75" t="s">
        <v>21</v>
      </c>
      <c r="V74" s="55"/>
      <c r="W74" s="51">
        <f t="shared" si="31"/>
        <v>19.029455844130766</v>
      </c>
      <c r="X74" s="51">
        <f t="shared" si="32"/>
        <v>0.85</v>
      </c>
      <c r="Y74" s="51">
        <f t="shared" si="33"/>
        <v>5.0000000000000001E-4</v>
      </c>
      <c r="Z74" s="51">
        <f t="shared" si="29"/>
        <v>3.472222222222222E-3</v>
      </c>
      <c r="AA74" s="56">
        <f t="shared" si="30"/>
        <v>5</v>
      </c>
      <c r="AB74" s="76"/>
      <c r="AC74" s="57"/>
      <c r="AF74" s="57"/>
    </row>
    <row r="75" spans="1:32" s="51" customFormat="1" ht="21.6" customHeight="1">
      <c r="A75" s="140"/>
      <c r="B75" s="140"/>
      <c r="C75" s="142"/>
      <c r="D75" s="143">
        <f t="shared" si="23"/>
        <v>2760</v>
      </c>
      <c r="E75" s="133">
        <f>D75/1440</f>
        <v>1.9166666666666667</v>
      </c>
      <c r="F75" s="144">
        <f t="shared" si="28"/>
        <v>10.5</v>
      </c>
      <c r="G75" s="144">
        <f>AF67</f>
        <v>6.9</v>
      </c>
      <c r="H75" s="146"/>
      <c r="I75" s="146"/>
      <c r="J75" s="146"/>
      <c r="K75" s="51" t="s">
        <v>21</v>
      </c>
      <c r="L75" s="75" t="s">
        <v>21</v>
      </c>
      <c r="V75" s="55"/>
      <c r="W75" s="51">
        <f t="shared" si="31"/>
        <v>19.029455844130766</v>
      </c>
      <c r="X75" s="51">
        <f t="shared" si="32"/>
        <v>0.85</v>
      </c>
      <c r="Y75" s="51">
        <f t="shared" si="33"/>
        <v>5.0000000000000001E-4</v>
      </c>
      <c r="Z75" s="51">
        <f t="shared" si="29"/>
        <v>6.9444444444444441E-3</v>
      </c>
      <c r="AA75" s="56">
        <f t="shared" si="30"/>
        <v>10</v>
      </c>
      <c r="AB75" s="76"/>
      <c r="AC75" s="57"/>
      <c r="AF75" s="57"/>
    </row>
    <row r="76" spans="1:32" s="51" customFormat="1" ht="21.6" customHeight="1">
      <c r="A76" s="140"/>
      <c r="B76" s="140"/>
      <c r="C76" s="142"/>
      <c r="D76" s="143">
        <f t="shared" si="23"/>
        <v>2820</v>
      </c>
      <c r="E76" s="133">
        <f>D76/1440</f>
        <v>1.9583333333333333</v>
      </c>
      <c r="F76" s="144">
        <f t="shared" si="28"/>
        <v>10.5</v>
      </c>
      <c r="G76" s="144">
        <f>AF68</f>
        <v>6.9</v>
      </c>
      <c r="H76" s="146"/>
      <c r="I76" s="146"/>
      <c r="J76" s="146"/>
      <c r="K76" s="51" t="s">
        <v>21</v>
      </c>
      <c r="L76" s="75" t="s">
        <v>21</v>
      </c>
      <c r="V76" s="55"/>
      <c r="W76" s="51">
        <f t="shared" si="31"/>
        <v>19.029455844130766</v>
      </c>
      <c r="X76" s="51">
        <f t="shared" si="32"/>
        <v>0.85</v>
      </c>
      <c r="Y76" s="51">
        <f t="shared" si="33"/>
        <v>5.0000000000000001E-4</v>
      </c>
      <c r="Z76" s="51">
        <f t="shared" si="29"/>
        <v>1.0416666666666666E-2</v>
      </c>
      <c r="AA76" s="56">
        <f t="shared" si="30"/>
        <v>15</v>
      </c>
      <c r="AB76" s="76"/>
      <c r="AC76" s="57"/>
      <c r="AF76" s="57"/>
    </row>
    <row r="77" spans="1:32" s="51" customFormat="1" ht="21.6" customHeight="1">
      <c r="A77" s="140"/>
      <c r="B77" s="140"/>
      <c r="C77" s="142">
        <f>$C$10+D77/1440</f>
        <v>45391.479166666664</v>
      </c>
      <c r="D77" s="143">
        <f>D76+60</f>
        <v>2880</v>
      </c>
      <c r="E77" s="133">
        <f>D77/1440</f>
        <v>2</v>
      </c>
      <c r="F77" s="145">
        <f t="shared" si="28"/>
        <v>10.5</v>
      </c>
      <c r="G77" s="144">
        <f>AF69</f>
        <v>6.9</v>
      </c>
      <c r="H77" s="146" t="s">
        <v>180</v>
      </c>
      <c r="I77" s="146"/>
      <c r="J77" s="146"/>
      <c r="K77" s="51" t="s">
        <v>21</v>
      </c>
      <c r="L77" s="75" t="s">
        <v>21</v>
      </c>
      <c r="V77" s="55"/>
      <c r="W77" s="51">
        <f t="shared" si="31"/>
        <v>19.029455844130766</v>
      </c>
      <c r="X77" s="51">
        <f t="shared" si="32"/>
        <v>0.85</v>
      </c>
      <c r="Y77" s="51">
        <f t="shared" si="33"/>
        <v>5.0000000000000001E-4</v>
      </c>
      <c r="Z77" s="51">
        <f t="shared" si="29"/>
        <v>1.3888888888888888E-2</v>
      </c>
      <c r="AA77" s="56">
        <f t="shared" si="30"/>
        <v>20</v>
      </c>
      <c r="AB77" s="76"/>
      <c r="AC77" s="57"/>
      <c r="AF77" s="57"/>
    </row>
    <row r="78" spans="1:32" s="51" customFormat="1" ht="20.45" customHeight="1">
      <c r="A78" s="140">
        <v>2</v>
      </c>
      <c r="B78" s="140">
        <v>0</v>
      </c>
      <c r="C78" s="142">
        <f>$C$10+(D78+2880)/1440</f>
        <v>45391.479861111111</v>
      </c>
      <c r="D78" s="143">
        <v>1</v>
      </c>
      <c r="E78" s="133">
        <f t="shared" ref="E78:E101" si="34">D78/1440</f>
        <v>6.9444444444444447E-4</v>
      </c>
      <c r="F78" s="144">
        <f>G78+D$8</f>
        <v>8.8651435700456762</v>
      </c>
      <c r="G78" s="144">
        <f>H114</f>
        <v>5.2651435700456766</v>
      </c>
      <c r="H78" s="469" t="s">
        <v>191</v>
      </c>
      <c r="I78" s="469"/>
      <c r="J78" s="469"/>
      <c r="K78" s="51" t="s">
        <v>21</v>
      </c>
      <c r="L78" s="75"/>
      <c r="V78" s="55"/>
      <c r="W78" s="51">
        <f t="shared" si="31"/>
        <v>19.029455844130766</v>
      </c>
      <c r="X78" s="51">
        <f t="shared" si="32"/>
        <v>0.85</v>
      </c>
      <c r="Y78" s="51">
        <f t="shared" si="33"/>
        <v>5.0000000000000001E-4</v>
      </c>
      <c r="Z78" s="51">
        <f t="shared" si="29"/>
        <v>1.7361111111111112E-2</v>
      </c>
      <c r="AA78" s="56">
        <f t="shared" si="30"/>
        <v>25</v>
      </c>
      <c r="AB78" s="76"/>
      <c r="AC78" s="57"/>
      <c r="AF78" s="57"/>
    </row>
    <row r="79" spans="1:32" s="51" customFormat="1" ht="20.45" customHeight="1">
      <c r="A79" s="140"/>
      <c r="B79" s="140"/>
      <c r="C79" s="140" t="s">
        <v>21</v>
      </c>
      <c r="D79" s="143">
        <v>2</v>
      </c>
      <c r="E79" s="133">
        <f t="shared" si="34"/>
        <v>1.3888888888888889E-3</v>
      </c>
      <c r="F79" s="144">
        <f t="shared" ref="F79:F101" si="35">G79+D$8</f>
        <v>8.568722533870158</v>
      </c>
      <c r="G79" s="144">
        <f>H115</f>
        <v>4.9687225338701575</v>
      </c>
      <c r="H79" s="469"/>
      <c r="I79" s="469"/>
      <c r="J79" s="469"/>
      <c r="K79" s="51" t="s">
        <v>21</v>
      </c>
      <c r="L79" s="75" t="s">
        <v>21</v>
      </c>
      <c r="V79" s="55"/>
      <c r="W79" s="51">
        <f t="shared" si="31"/>
        <v>19.029455844130766</v>
      </c>
      <c r="X79" s="51">
        <f t="shared" si="32"/>
        <v>0.85</v>
      </c>
      <c r="Y79" s="51">
        <f t="shared" si="33"/>
        <v>5.0000000000000001E-4</v>
      </c>
      <c r="Z79" s="51">
        <f t="shared" si="29"/>
        <v>2.0833333333333332E-2</v>
      </c>
      <c r="AA79" s="56">
        <f t="shared" si="30"/>
        <v>30</v>
      </c>
      <c r="AB79" s="76"/>
      <c r="AC79" s="57"/>
      <c r="AF79" s="57"/>
    </row>
    <row r="80" spans="1:32" s="51" customFormat="1" ht="20.45" customHeight="1">
      <c r="A80" s="140"/>
      <c r="B80" s="140"/>
      <c r="C80" s="142" t="s">
        <v>21</v>
      </c>
      <c r="D80" s="143">
        <v>3</v>
      </c>
      <c r="E80" s="133">
        <f t="shared" si="34"/>
        <v>2.0833333333333333E-3</v>
      </c>
      <c r="F80" s="144">
        <f t="shared" si="35"/>
        <v>8.2889896334536068</v>
      </c>
      <c r="G80" s="144">
        <f>H116</f>
        <v>4.6889896334536063</v>
      </c>
      <c r="H80" s="469"/>
      <c r="I80" s="469"/>
      <c r="J80" s="469"/>
      <c r="K80" s="51" t="s">
        <v>21</v>
      </c>
      <c r="L80" s="75" t="s">
        <v>21</v>
      </c>
      <c r="V80" s="55"/>
      <c r="W80" s="51">
        <f t="shared" si="31"/>
        <v>19.029455844130766</v>
      </c>
      <c r="X80" s="51">
        <f t="shared" si="32"/>
        <v>0.85</v>
      </c>
      <c r="Y80" s="51">
        <f t="shared" si="33"/>
        <v>5.0000000000000001E-4</v>
      </c>
      <c r="Z80" s="51">
        <f>E90</f>
        <v>3.125E-2</v>
      </c>
      <c r="AA80" s="56">
        <f>D90</f>
        <v>45</v>
      </c>
      <c r="AB80" s="76"/>
      <c r="AC80" s="57"/>
      <c r="AF80" s="57"/>
    </row>
    <row r="81" spans="1:32" s="51" customFormat="1" ht="20.45" customHeight="1">
      <c r="A81" s="140"/>
      <c r="B81" s="140"/>
      <c r="C81" s="142" t="s">
        <v>21</v>
      </c>
      <c r="D81" s="143">
        <v>4</v>
      </c>
      <c r="E81" s="133">
        <f t="shared" si="34"/>
        <v>2.7777777777777779E-3</v>
      </c>
      <c r="F81" s="144">
        <f t="shared" si="35"/>
        <v>8.0250053475032566</v>
      </c>
      <c r="G81" s="144">
        <f>H117</f>
        <v>4.425005347503256</v>
      </c>
      <c r="H81" s="469"/>
      <c r="I81" s="469"/>
      <c r="J81" s="469"/>
      <c r="K81" s="51" t="s">
        <v>21</v>
      </c>
      <c r="L81" s="75" t="s">
        <v>21</v>
      </c>
      <c r="V81" s="55"/>
      <c r="W81" s="51">
        <f t="shared" si="31"/>
        <v>19.029455844130766</v>
      </c>
      <c r="X81" s="51">
        <f t="shared" si="32"/>
        <v>0.85</v>
      </c>
      <c r="Y81" s="51">
        <f t="shared" si="33"/>
        <v>5.0000000000000001E-4</v>
      </c>
      <c r="Z81" s="51">
        <f>E93</f>
        <v>4.1666666666666664E-2</v>
      </c>
      <c r="AA81" s="56">
        <f>D93</f>
        <v>60</v>
      </c>
      <c r="AB81" s="76"/>
      <c r="AC81" s="57"/>
      <c r="AF81" s="57"/>
    </row>
    <row r="82" spans="1:32" s="51" customFormat="1" ht="20.45" customHeight="1">
      <c r="A82" s="140"/>
      <c r="B82" s="140"/>
      <c r="C82" s="142" t="s">
        <v>21</v>
      </c>
      <c r="D82" s="143">
        <v>5</v>
      </c>
      <c r="E82" s="133">
        <f t="shared" si="34"/>
        <v>3.472222222222222E-3</v>
      </c>
      <c r="F82" s="144">
        <f t="shared" si="35"/>
        <v>7.7758830486069037</v>
      </c>
      <c r="G82" s="144">
        <f>H118</f>
        <v>4.1758830486069032</v>
      </c>
      <c r="H82" s="469"/>
      <c r="I82" s="469"/>
      <c r="J82" s="469"/>
      <c r="K82" s="51" t="s">
        <v>21</v>
      </c>
      <c r="L82" s="75" t="s">
        <v>21</v>
      </c>
      <c r="V82" s="55"/>
      <c r="W82" s="51">
        <f t="shared" si="31"/>
        <v>19.029455844130766</v>
      </c>
      <c r="X82" s="51">
        <f t="shared" si="32"/>
        <v>0.85</v>
      </c>
      <c r="Y82" s="51">
        <f t="shared" si="33"/>
        <v>5.0000000000000001E-4</v>
      </c>
      <c r="Z82" s="51">
        <f>E97</f>
        <v>8.3333333333333329E-2</v>
      </c>
      <c r="AA82" s="56">
        <f>D97</f>
        <v>120</v>
      </c>
      <c r="AB82" s="76"/>
      <c r="AC82" s="57"/>
      <c r="AF82" s="57"/>
    </row>
    <row r="83" spans="1:32" s="51" customFormat="1" ht="20.45" customHeight="1">
      <c r="A83" s="140"/>
      <c r="B83" s="140"/>
      <c r="C83" s="142" t="s">
        <v>21</v>
      </c>
      <c r="D83" s="143">
        <v>10</v>
      </c>
      <c r="E83" s="133">
        <f t="shared" si="34"/>
        <v>6.9444444444444441E-3</v>
      </c>
      <c r="F83" s="144">
        <f t="shared" si="35"/>
        <v>7.1095538373844267</v>
      </c>
      <c r="G83" s="144">
        <f>H121</f>
        <v>3.5095538373844262</v>
      </c>
      <c r="H83" s="469"/>
      <c r="I83" s="469"/>
      <c r="J83" s="469"/>
      <c r="K83" s="51" t="s">
        <v>21</v>
      </c>
      <c r="L83" s="75" t="s">
        <v>21</v>
      </c>
      <c r="V83" s="55"/>
      <c r="W83" s="51">
        <f t="shared" si="31"/>
        <v>19.029455844130766</v>
      </c>
      <c r="X83" s="51">
        <f t="shared" si="32"/>
        <v>0.85</v>
      </c>
      <c r="Y83" s="51">
        <f t="shared" si="33"/>
        <v>5.0000000000000001E-4</v>
      </c>
      <c r="Z83" s="51">
        <f>E98</f>
        <v>0.125</v>
      </c>
      <c r="AA83" s="56">
        <f>D98</f>
        <v>180</v>
      </c>
      <c r="AB83" s="76"/>
      <c r="AC83" s="57"/>
      <c r="AF83" s="57"/>
    </row>
    <row r="84" spans="1:32" s="51" customFormat="1" ht="20.45" customHeight="1">
      <c r="A84" s="140"/>
      <c r="B84" s="140"/>
      <c r="C84" s="142" t="s">
        <v>21</v>
      </c>
      <c r="D84" s="143">
        <v>15</v>
      </c>
      <c r="E84" s="133">
        <f t="shared" si="34"/>
        <v>1.0416666666666666E-2</v>
      </c>
      <c r="F84" s="144">
        <f t="shared" si="35"/>
        <v>6.9765635438876092</v>
      </c>
      <c r="G84" s="144">
        <f>H124</f>
        <v>3.3765635438876087</v>
      </c>
      <c r="H84" s="469"/>
      <c r="I84" s="469"/>
      <c r="J84" s="469"/>
      <c r="K84" s="51" t="s">
        <v>21</v>
      </c>
      <c r="L84" s="75" t="s">
        <v>21</v>
      </c>
      <c r="V84" s="55"/>
      <c r="AA84" s="56">
        <f>D99</f>
        <v>240</v>
      </c>
      <c r="AB84" s="76"/>
      <c r="AC84" s="57"/>
      <c r="AF84" s="57"/>
    </row>
    <row r="85" spans="1:32" s="51" customFormat="1" ht="20.45" customHeight="1">
      <c r="A85" s="140"/>
      <c r="B85" s="140"/>
      <c r="C85" s="142" t="s">
        <v>21</v>
      </c>
      <c r="D85" s="143">
        <v>20</v>
      </c>
      <c r="E85" s="133">
        <f t="shared" si="34"/>
        <v>1.3888888888888888E-2</v>
      </c>
      <c r="F85" s="144">
        <f t="shared" si="35"/>
        <v>6.6070730728144245</v>
      </c>
      <c r="G85" s="144">
        <f>H126</f>
        <v>3.0070730728144244</v>
      </c>
      <c r="H85" s="469"/>
      <c r="I85" s="469"/>
      <c r="J85" s="469"/>
      <c r="K85" s="51" t="s">
        <v>21</v>
      </c>
      <c r="L85" s="75" t="s">
        <v>21</v>
      </c>
      <c r="V85" s="55"/>
      <c r="AA85" s="56">
        <f>D100</f>
        <v>300</v>
      </c>
      <c r="AB85" s="94"/>
      <c r="AF85" s="57"/>
    </row>
    <row r="86" spans="1:32" s="51" customFormat="1" ht="20.45" customHeight="1">
      <c r="A86" s="140"/>
      <c r="B86" s="140"/>
      <c r="C86" s="142" t="s">
        <v>21</v>
      </c>
      <c r="D86" s="143">
        <v>25</v>
      </c>
      <c r="E86" s="133">
        <f t="shared" si="34"/>
        <v>1.7361111111111112E-2</v>
      </c>
      <c r="F86" s="144">
        <f t="shared" si="35"/>
        <v>6.4377785978887552</v>
      </c>
      <c r="G86" s="144">
        <f t="shared" ref="G86:G92" si="36">H127</f>
        <v>2.8377785978887546</v>
      </c>
      <c r="H86" s="469"/>
      <c r="I86" s="469"/>
      <c r="J86" s="469"/>
      <c r="K86" s="51" t="s">
        <v>21</v>
      </c>
      <c r="L86" s="75" t="s">
        <v>21</v>
      </c>
      <c r="V86" s="55"/>
      <c r="AA86" s="56">
        <f>D101</f>
        <v>360</v>
      </c>
      <c r="AB86" s="94"/>
      <c r="AF86" s="57"/>
    </row>
    <row r="87" spans="1:32" s="51" customFormat="1" ht="20.45" customHeight="1">
      <c r="A87" s="140"/>
      <c r="B87" s="140"/>
      <c r="C87" s="142" t="s">
        <v>21</v>
      </c>
      <c r="D87" s="143">
        <v>30</v>
      </c>
      <c r="E87" s="133">
        <f t="shared" si="34"/>
        <v>2.0833333333333332E-2</v>
      </c>
      <c r="F87" s="144">
        <f t="shared" si="35"/>
        <v>6.2780151913961948</v>
      </c>
      <c r="G87" s="144">
        <f t="shared" si="36"/>
        <v>2.6780151913961947</v>
      </c>
      <c r="H87" s="469"/>
      <c r="I87" s="469"/>
      <c r="J87" s="469"/>
      <c r="K87" s="51" t="s">
        <v>21</v>
      </c>
      <c r="L87" s="75" t="s">
        <v>21</v>
      </c>
      <c r="V87" s="55" t="s">
        <v>21</v>
      </c>
      <c r="AA87" s="56" t="s">
        <v>21</v>
      </c>
      <c r="AB87" s="94"/>
    </row>
    <row r="88" spans="1:32" s="51" customFormat="1" ht="20.45" customHeight="1">
      <c r="A88" s="140"/>
      <c r="B88" s="140"/>
      <c r="C88" s="142"/>
      <c r="D88" s="143">
        <v>35</v>
      </c>
      <c r="E88" s="133">
        <f t="shared" si="34"/>
        <v>2.4305555555555556E-2</v>
      </c>
      <c r="F88" s="144">
        <f t="shared" si="35"/>
        <v>6.2267851073127396</v>
      </c>
      <c r="G88" s="144">
        <f t="shared" si="36"/>
        <v>2.6267851073127395</v>
      </c>
      <c r="H88" s="469"/>
      <c r="I88" s="469"/>
      <c r="J88" s="469"/>
      <c r="L88" s="75"/>
      <c r="V88" s="55"/>
      <c r="AA88" s="56"/>
      <c r="AB88" s="94"/>
    </row>
    <row r="89" spans="1:32" s="51" customFormat="1" ht="20.45" customHeight="1">
      <c r="A89" s="140"/>
      <c r="B89" s="140"/>
      <c r="C89" s="142"/>
      <c r="D89" s="143">
        <v>40</v>
      </c>
      <c r="E89" s="133">
        <f t="shared" si="34"/>
        <v>2.7777777777777776E-2</v>
      </c>
      <c r="F89" s="144">
        <f t="shared" si="35"/>
        <v>6.1765350481087662</v>
      </c>
      <c r="G89" s="144">
        <f t="shared" si="36"/>
        <v>2.5765350481087661</v>
      </c>
      <c r="H89" s="469"/>
      <c r="I89" s="469"/>
      <c r="J89" s="469"/>
      <c r="L89" s="75"/>
      <c r="V89" s="55"/>
      <c r="AA89" s="56"/>
      <c r="AB89" s="94"/>
    </row>
    <row r="90" spans="1:32" s="51" customFormat="1" ht="20.45" customHeight="1">
      <c r="A90" s="140"/>
      <c r="B90" s="140"/>
      <c r="C90" s="142" t="s">
        <v>21</v>
      </c>
      <c r="D90" s="143">
        <v>45</v>
      </c>
      <c r="E90" s="133">
        <f t="shared" si="34"/>
        <v>3.125E-2</v>
      </c>
      <c r="F90" s="144">
        <f t="shared" si="35"/>
        <v>6.1272462660351419</v>
      </c>
      <c r="G90" s="144">
        <f t="shared" si="36"/>
        <v>2.5272462660351422</v>
      </c>
      <c r="H90" s="469"/>
      <c r="I90" s="469"/>
      <c r="J90" s="469"/>
      <c r="K90" s="51" t="s">
        <v>21</v>
      </c>
      <c r="L90" s="75" t="s">
        <v>21</v>
      </c>
      <c r="V90" s="55" t="s">
        <v>21</v>
      </c>
      <c r="AA90" s="56" t="s">
        <v>21</v>
      </c>
      <c r="AB90" s="94"/>
    </row>
    <row r="91" spans="1:32" s="51" customFormat="1" ht="20.45" customHeight="1">
      <c r="A91" s="140"/>
      <c r="B91" s="140"/>
      <c r="C91" s="142"/>
      <c r="D91" s="143">
        <v>50</v>
      </c>
      <c r="E91" s="133">
        <f t="shared" si="34"/>
        <v>3.4722222222222224E-2</v>
      </c>
      <c r="F91" s="144">
        <f t="shared" si="35"/>
        <v>6.0789003719847514</v>
      </c>
      <c r="G91" s="144">
        <f t="shared" si="36"/>
        <v>2.4789003719847513</v>
      </c>
      <c r="H91" s="469"/>
      <c r="I91" s="469"/>
      <c r="J91" s="469"/>
      <c r="L91" s="75"/>
      <c r="V91" s="55"/>
      <c r="AA91" s="56"/>
      <c r="AB91" s="94"/>
    </row>
    <row r="92" spans="1:32" s="51" customFormat="1" ht="20.45" customHeight="1">
      <c r="A92" s="140"/>
      <c r="B92" s="140"/>
      <c r="C92" s="142"/>
      <c r="D92" s="143">
        <v>55</v>
      </c>
      <c r="E92" s="133">
        <f t="shared" si="34"/>
        <v>3.8194444444444448E-2</v>
      </c>
      <c r="F92" s="144">
        <f t="shared" si="35"/>
        <v>6.0314793286317165</v>
      </c>
      <c r="G92" s="144">
        <f t="shared" si="36"/>
        <v>2.431479328631716</v>
      </c>
      <c r="H92" s="469"/>
      <c r="I92" s="469"/>
      <c r="J92" s="469"/>
      <c r="L92" s="75"/>
      <c r="V92" s="55"/>
      <c r="AA92" s="56"/>
      <c r="AB92" s="94"/>
    </row>
    <row r="93" spans="1:32" s="51" customFormat="1" ht="20.45" customHeight="1">
      <c r="A93" s="140"/>
      <c r="B93" s="140"/>
      <c r="C93" s="142">
        <f>$C$10+(D93+2880)/1440</f>
        <v>45391.520833333328</v>
      </c>
      <c r="D93" s="143">
        <v>60</v>
      </c>
      <c r="E93" s="133">
        <f t="shared" si="34"/>
        <v>4.1666666666666664E-2</v>
      </c>
      <c r="F93" s="144">
        <f t="shared" si="35"/>
        <v>5.9849654437018689</v>
      </c>
      <c r="G93" s="144">
        <f>H134</f>
        <v>2.3849654437018684</v>
      </c>
      <c r="H93" s="469"/>
      <c r="I93" s="469"/>
      <c r="J93" s="469"/>
      <c r="K93" s="51" t="s">
        <v>21</v>
      </c>
      <c r="L93" s="75" t="s">
        <v>21</v>
      </c>
      <c r="V93" s="55" t="s">
        <v>21</v>
      </c>
      <c r="AA93" s="56" t="s">
        <v>21</v>
      </c>
      <c r="AB93" s="94"/>
    </row>
    <row r="94" spans="1:32" s="51" customFormat="1" ht="20.45" customHeight="1">
      <c r="A94" s="140"/>
      <c r="B94" s="140"/>
      <c r="C94" s="142"/>
      <c r="D94" s="143">
        <v>75</v>
      </c>
      <c r="E94" s="133">
        <f t="shared" si="34"/>
        <v>5.2083333333333336E-2</v>
      </c>
      <c r="F94" s="144">
        <f t="shared" si="35"/>
        <v>5.9393413633719581</v>
      </c>
      <c r="G94" s="144">
        <f>H135</f>
        <v>2.339341363371958</v>
      </c>
      <c r="H94" s="469"/>
      <c r="I94" s="469"/>
      <c r="J94" s="469"/>
      <c r="L94" s="75"/>
      <c r="V94" s="55"/>
      <c r="AA94" s="56"/>
      <c r="AB94" s="94"/>
    </row>
    <row r="95" spans="1:32" s="51" customFormat="1" ht="20.45" customHeight="1">
      <c r="A95" s="140"/>
      <c r="B95" s="140"/>
      <c r="C95" s="142"/>
      <c r="D95" s="143">
        <v>90</v>
      </c>
      <c r="E95" s="133">
        <f t="shared" si="34"/>
        <v>6.25E-2</v>
      </c>
      <c r="F95" s="144">
        <f t="shared" si="35"/>
        <v>5.8945900657951249</v>
      </c>
      <c r="G95" s="144">
        <f>H136</f>
        <v>2.2945900657951253</v>
      </c>
      <c r="H95" s="469"/>
      <c r="I95" s="469"/>
      <c r="J95" s="469"/>
      <c r="L95" s="75"/>
      <c r="V95" s="55"/>
      <c r="AA95" s="56"/>
      <c r="AB95" s="94"/>
    </row>
    <row r="96" spans="1:32" s="51" customFormat="1" ht="20.45" customHeight="1">
      <c r="A96" s="140"/>
      <c r="B96" s="140"/>
      <c r="C96" s="142"/>
      <c r="D96" s="143">
        <v>105</v>
      </c>
      <c r="E96" s="133">
        <f t="shared" si="34"/>
        <v>7.2916666666666671E-2</v>
      </c>
      <c r="F96" s="144">
        <f t="shared" si="35"/>
        <v>5.8506948547502402</v>
      </c>
      <c r="G96" s="144">
        <f>H137</f>
        <v>2.2506948547502401</v>
      </c>
      <c r="H96" s="469"/>
      <c r="I96" s="469"/>
      <c r="J96" s="469"/>
      <c r="L96" s="75"/>
      <c r="V96" s="55"/>
      <c r="AA96" s="56"/>
      <c r="AB96" s="94"/>
    </row>
    <row r="97" spans="1:28" s="51" customFormat="1" ht="20.45" customHeight="1">
      <c r="A97" s="140"/>
      <c r="B97" s="140"/>
      <c r="C97" s="142">
        <f>$C$10+(D97+2880)/1440</f>
        <v>45391.5625</v>
      </c>
      <c r="D97" s="143">
        <v>120</v>
      </c>
      <c r="E97" s="133">
        <f t="shared" si="34"/>
        <v>8.3333333333333329E-2</v>
      </c>
      <c r="F97" s="144">
        <f t="shared" si="35"/>
        <v>5.7239835330010047</v>
      </c>
      <c r="G97" s="144">
        <f>H138</f>
        <v>2.1239835330010046</v>
      </c>
      <c r="H97" s="469"/>
      <c r="I97" s="469"/>
      <c r="J97" s="469"/>
      <c r="K97" s="51" t="s">
        <v>21</v>
      </c>
      <c r="L97" s="75" t="s">
        <v>21</v>
      </c>
      <c r="V97" s="55" t="s">
        <v>21</v>
      </c>
      <c r="AA97" s="56" t="s">
        <v>21</v>
      </c>
      <c r="AB97" s="94"/>
    </row>
    <row r="98" spans="1:28" s="51" customFormat="1" ht="20.45" customHeight="1">
      <c r="A98" s="140"/>
      <c r="B98" s="140"/>
      <c r="C98" s="142" t="s">
        <v>21</v>
      </c>
      <c r="D98" s="143">
        <v>180</v>
      </c>
      <c r="E98" s="133">
        <f t="shared" si="34"/>
        <v>0.125</v>
      </c>
      <c r="F98" s="144">
        <f t="shared" si="35"/>
        <v>5.6833520028524447</v>
      </c>
      <c r="G98" s="144">
        <f>H140</f>
        <v>2.083352002852445</v>
      </c>
      <c r="H98" s="469"/>
      <c r="I98" s="469"/>
      <c r="J98" s="469"/>
      <c r="K98" s="80"/>
      <c r="L98" s="75" t="s">
        <v>21</v>
      </c>
      <c r="V98" s="55" t="str">
        <f t="shared" ref="V98:V103" si="37">V97</f>
        <v xml:space="preserve"> </v>
      </c>
      <c r="AA98" s="56" t="s">
        <v>21</v>
      </c>
      <c r="AB98" s="94"/>
    </row>
    <row r="99" spans="1:28" s="51" customFormat="1" ht="20.45" customHeight="1">
      <c r="A99" s="140"/>
      <c r="B99" s="140"/>
      <c r="C99" s="142">
        <f>$C$10+(D99+2880)/1440</f>
        <v>45391.645833333328</v>
      </c>
      <c r="D99" s="143">
        <v>240</v>
      </c>
      <c r="E99" s="133">
        <f t="shared" si="34"/>
        <v>0.16666666666666666</v>
      </c>
      <c r="F99" s="144">
        <f t="shared" si="35"/>
        <v>5.4553750366440958</v>
      </c>
      <c r="G99" s="144">
        <f>H142</f>
        <v>1.8553750366440953</v>
      </c>
      <c r="H99" s="469"/>
      <c r="I99" s="469"/>
      <c r="J99" s="469"/>
      <c r="V99" s="55" t="str">
        <f t="shared" si="37"/>
        <v xml:space="preserve"> </v>
      </c>
      <c r="AA99" s="56" t="s">
        <v>21</v>
      </c>
      <c r="AB99" s="94"/>
    </row>
    <row r="100" spans="1:28" s="51" customFormat="1" ht="20.45" customHeight="1">
      <c r="A100" s="140"/>
      <c r="B100" s="140"/>
      <c r="C100" s="142" t="s">
        <v>21</v>
      </c>
      <c r="D100" s="143">
        <v>300</v>
      </c>
      <c r="E100" s="133">
        <f t="shared" si="34"/>
        <v>0.20833333333333334</v>
      </c>
      <c r="F100" s="144">
        <f t="shared" si="35"/>
        <v>5.2523451254943261</v>
      </c>
      <c r="G100" s="144">
        <f>H144</f>
        <v>1.6523451254943258</v>
      </c>
      <c r="H100" s="469"/>
      <c r="I100" s="469"/>
      <c r="J100" s="469"/>
      <c r="V100" s="55" t="str">
        <f t="shared" si="37"/>
        <v xml:space="preserve"> </v>
      </c>
      <c r="AA100" s="56" t="s">
        <v>21</v>
      </c>
      <c r="AB100" s="94"/>
    </row>
    <row r="101" spans="1:28" s="51" customFormat="1" ht="20.45" customHeight="1">
      <c r="A101" s="140"/>
      <c r="B101" s="140"/>
      <c r="C101" s="142">
        <f>$C$10+(D101+2880)/1440</f>
        <v>45391.729166666664</v>
      </c>
      <c r="D101" s="143">
        <v>360</v>
      </c>
      <c r="E101" s="133">
        <f t="shared" si="34"/>
        <v>0.25</v>
      </c>
      <c r="F101" s="145">
        <f t="shared" si="35"/>
        <v>5.0715323639813441</v>
      </c>
      <c r="G101" s="148">
        <f>H146</f>
        <v>1.4715323639813442</v>
      </c>
      <c r="H101" s="469"/>
      <c r="I101" s="469"/>
      <c r="J101" s="469"/>
      <c r="V101" s="55" t="str">
        <f t="shared" si="37"/>
        <v xml:space="preserve"> </v>
      </c>
      <c r="AA101" s="56" t="s">
        <v>21</v>
      </c>
      <c r="AB101" s="94"/>
    </row>
    <row r="102" spans="1:28" s="51" customFormat="1" ht="17.25" customHeight="1">
      <c r="D102" s="95"/>
      <c r="V102" s="55" t="str">
        <f t="shared" si="37"/>
        <v xml:space="preserve"> </v>
      </c>
      <c r="AA102" s="56" t="s">
        <v>21</v>
      </c>
      <c r="AB102" s="94"/>
    </row>
    <row r="103" spans="1:28" s="51" customFormat="1" ht="17.25" customHeight="1">
      <c r="D103" s="95"/>
      <c r="V103" s="55" t="str">
        <f t="shared" si="37"/>
        <v xml:space="preserve"> </v>
      </c>
      <c r="AA103" s="56"/>
      <c r="AB103" s="94"/>
    </row>
    <row r="104" spans="1:28" s="51" customFormat="1" ht="17.25" customHeight="1">
      <c r="D104" s="95"/>
      <c r="AA104" s="56"/>
      <c r="AB104" s="94"/>
    </row>
    <row r="105" spans="1:28" s="51" customFormat="1" ht="17.25" customHeight="1">
      <c r="D105" s="95"/>
      <c r="AA105" s="56"/>
      <c r="AB105" s="94"/>
    </row>
    <row r="106" spans="1:28" s="51" customFormat="1" ht="17.25" customHeight="1">
      <c r="AA106" s="56"/>
      <c r="AB106" s="94"/>
    </row>
    <row r="107" spans="1:28" s="51" customFormat="1" ht="17.25" customHeight="1">
      <c r="AA107" s="56"/>
      <c r="AB107" s="94"/>
    </row>
    <row r="108" spans="1:28" s="51" customFormat="1" ht="17.25" customHeight="1">
      <c r="AA108" s="56"/>
      <c r="AB108" s="94"/>
    </row>
    <row r="109" spans="1:28" s="51" customFormat="1" ht="17.25" customHeight="1">
      <c r="A109" s="331"/>
      <c r="B109" s="331"/>
      <c r="C109" s="331"/>
      <c r="D109" s="331"/>
      <c r="E109" s="331"/>
      <c r="F109" s="331"/>
      <c r="G109" s="331"/>
      <c r="H109" s="331"/>
      <c r="I109" s="331"/>
      <c r="J109" s="331"/>
      <c r="AA109" s="56"/>
      <c r="AB109" s="94"/>
    </row>
    <row r="110" spans="1:28" s="51" customFormat="1" ht="17.25" customHeight="1">
      <c r="A110" s="331"/>
      <c r="B110" s="331"/>
      <c r="C110" s="332">
        <v>3</v>
      </c>
      <c r="D110" s="333">
        <f>G77</f>
        <v>6.9</v>
      </c>
      <c r="E110" s="331"/>
      <c r="F110" s="334" t="s">
        <v>192</v>
      </c>
      <c r="G110" s="331"/>
      <c r="H110" s="335" t="s">
        <v>193</v>
      </c>
      <c r="I110" s="336"/>
      <c r="J110" s="331"/>
      <c r="AA110" s="56"/>
      <c r="AB110" s="94"/>
    </row>
    <row r="111" spans="1:28" s="51" customFormat="1" ht="17.25" hidden="1" customHeight="1">
      <c r="A111" s="331"/>
      <c r="B111" s="331">
        <v>1</v>
      </c>
      <c r="C111" s="331">
        <v>95</v>
      </c>
      <c r="D111" s="337">
        <f>D110</f>
        <v>6.9</v>
      </c>
      <c r="E111" s="338">
        <f>C111/100</f>
        <v>0.95</v>
      </c>
      <c r="F111" s="339" t="s">
        <v>21</v>
      </c>
      <c r="G111" s="331">
        <v>1</v>
      </c>
      <c r="H111" s="340">
        <f t="shared" ref="H111:H146" si="38">D111^E111</f>
        <v>6.2647917089715879</v>
      </c>
      <c r="I111" s="341"/>
      <c r="J111" s="331"/>
      <c r="AA111" s="56"/>
      <c r="AB111" s="94"/>
    </row>
    <row r="112" spans="1:28" s="51" customFormat="1" ht="17.25" hidden="1" customHeight="1">
      <c r="A112" s="331"/>
      <c r="B112" s="331">
        <v>2</v>
      </c>
      <c r="C112" s="331">
        <f t="shared" ref="C112:C119" si="39">C111-C$110</f>
        <v>92</v>
      </c>
      <c r="D112" s="336">
        <f>D111</f>
        <v>6.9</v>
      </c>
      <c r="E112" s="338">
        <f t="shared" ref="E112:E141" si="40">C112/100</f>
        <v>0.92</v>
      </c>
      <c r="F112" s="342"/>
      <c r="G112" s="331">
        <v>2</v>
      </c>
      <c r="H112" s="340">
        <f t="shared" si="38"/>
        <v>5.9120917255633403</v>
      </c>
      <c r="I112" s="341"/>
      <c r="J112" s="343">
        <f>H111-H112</f>
        <v>0.3526999834082476</v>
      </c>
      <c r="AA112" s="56"/>
      <c r="AB112" s="94"/>
    </row>
    <row r="113" spans="1:28" s="51" customFormat="1" ht="17.25" hidden="1" customHeight="1">
      <c r="A113" s="331"/>
      <c r="B113" s="331">
        <v>3</v>
      </c>
      <c r="C113" s="331">
        <f t="shared" si="39"/>
        <v>89</v>
      </c>
      <c r="D113" s="336">
        <f t="shared" ref="D113:D146" si="41">D112</f>
        <v>6.9</v>
      </c>
      <c r="E113" s="338">
        <f t="shared" si="40"/>
        <v>0.89</v>
      </c>
      <c r="F113" s="339" t="s">
        <v>21</v>
      </c>
      <c r="G113" s="331">
        <v>3</v>
      </c>
      <c r="H113" s="340">
        <f t="shared" si="38"/>
        <v>5.5792483126645367</v>
      </c>
      <c r="I113" s="341"/>
      <c r="J113" s="343">
        <f t="shared" ref="J113:J146" si="42">H112-H113</f>
        <v>0.33284341289880359</v>
      </c>
      <c r="AA113" s="56"/>
      <c r="AB113" s="94"/>
    </row>
    <row r="114" spans="1:28" s="51" customFormat="1" ht="17.25" customHeight="1">
      <c r="A114" s="331"/>
      <c r="B114" s="331">
        <v>4</v>
      </c>
      <c r="C114" s="331">
        <f t="shared" si="39"/>
        <v>86</v>
      </c>
      <c r="D114" s="336">
        <f t="shared" si="41"/>
        <v>6.9</v>
      </c>
      <c r="E114" s="338">
        <f t="shared" si="40"/>
        <v>0.86</v>
      </c>
      <c r="F114" s="342">
        <v>1</v>
      </c>
      <c r="G114" s="344">
        <v>4</v>
      </c>
      <c r="H114" s="345">
        <f t="shared" si="38"/>
        <v>5.2651435700456766</v>
      </c>
      <c r="I114" s="346"/>
      <c r="J114" s="343">
        <f t="shared" si="42"/>
        <v>0.31410474261886012</v>
      </c>
      <c r="AA114" s="56"/>
      <c r="AB114" s="94"/>
    </row>
    <row r="115" spans="1:28" s="51" customFormat="1" ht="17.25" customHeight="1">
      <c r="A115" s="331"/>
      <c r="B115" s="331">
        <v>5</v>
      </c>
      <c r="C115" s="331">
        <f t="shared" si="39"/>
        <v>83</v>
      </c>
      <c r="D115" s="336">
        <f t="shared" si="41"/>
        <v>6.9</v>
      </c>
      <c r="E115" s="338">
        <f t="shared" si="40"/>
        <v>0.83</v>
      </c>
      <c r="F115" s="342">
        <v>2</v>
      </c>
      <c r="G115" s="344">
        <v>5</v>
      </c>
      <c r="H115" s="345">
        <f t="shared" si="38"/>
        <v>4.9687225338701575</v>
      </c>
      <c r="I115" s="346"/>
      <c r="J115" s="343">
        <f t="shared" si="42"/>
        <v>0.29642103617551907</v>
      </c>
      <c r="AA115" s="56"/>
      <c r="AB115" s="94"/>
    </row>
    <row r="116" spans="1:28" s="51" customFormat="1" ht="17.25" customHeight="1">
      <c r="A116" s="331"/>
      <c r="B116" s="331">
        <v>6</v>
      </c>
      <c r="C116" s="331">
        <f t="shared" si="39"/>
        <v>80</v>
      </c>
      <c r="D116" s="336">
        <f t="shared" si="41"/>
        <v>6.9</v>
      </c>
      <c r="E116" s="338">
        <f t="shared" si="40"/>
        <v>0.8</v>
      </c>
      <c r="F116" s="342">
        <v>3</v>
      </c>
      <c r="G116" s="344">
        <v>6</v>
      </c>
      <c r="H116" s="345">
        <f t="shared" si="38"/>
        <v>4.6889896334536063</v>
      </c>
      <c r="I116" s="346"/>
      <c r="J116" s="343">
        <f t="shared" si="42"/>
        <v>0.27973290041655119</v>
      </c>
      <c r="AA116" s="56"/>
      <c r="AB116" s="94"/>
    </row>
    <row r="117" spans="1:28" s="51" customFormat="1" ht="17.25" customHeight="1">
      <c r="A117" s="331"/>
      <c r="B117" s="331">
        <v>7</v>
      </c>
      <c r="C117" s="331">
        <f t="shared" si="39"/>
        <v>77</v>
      </c>
      <c r="D117" s="336">
        <f t="shared" si="41"/>
        <v>6.9</v>
      </c>
      <c r="E117" s="338">
        <f t="shared" si="40"/>
        <v>0.77</v>
      </c>
      <c r="F117" s="342">
        <v>4</v>
      </c>
      <c r="G117" s="344">
        <v>7</v>
      </c>
      <c r="H117" s="345">
        <f t="shared" si="38"/>
        <v>4.425005347503256</v>
      </c>
      <c r="I117" s="346"/>
      <c r="J117" s="343">
        <f t="shared" si="42"/>
        <v>0.26398428595035028</v>
      </c>
      <c r="AA117" s="56"/>
      <c r="AB117" s="94"/>
    </row>
    <row r="118" spans="1:28" s="51" customFormat="1" ht="17.25" customHeight="1">
      <c r="A118" s="331"/>
      <c r="B118" s="331">
        <v>8</v>
      </c>
      <c r="C118" s="331">
        <f t="shared" si="39"/>
        <v>74</v>
      </c>
      <c r="D118" s="336">
        <f t="shared" si="41"/>
        <v>6.9</v>
      </c>
      <c r="E118" s="338">
        <f t="shared" si="40"/>
        <v>0.74</v>
      </c>
      <c r="F118" s="342">
        <v>5</v>
      </c>
      <c r="G118" s="344">
        <v>8</v>
      </c>
      <c r="H118" s="345">
        <f t="shared" si="38"/>
        <v>4.1758830486069032</v>
      </c>
      <c r="I118" s="346"/>
      <c r="J118" s="343">
        <f t="shared" si="42"/>
        <v>0.24912229889635285</v>
      </c>
      <c r="AA118" s="56"/>
      <c r="AB118" s="94"/>
    </row>
    <row r="119" spans="1:28" s="51" customFormat="1" ht="17.25" hidden="1" customHeight="1">
      <c r="A119" s="331"/>
      <c r="B119" s="331">
        <v>9</v>
      </c>
      <c r="C119" s="331">
        <f t="shared" si="39"/>
        <v>71</v>
      </c>
      <c r="D119" s="336">
        <f t="shared" si="41"/>
        <v>6.9</v>
      </c>
      <c r="E119" s="338">
        <f t="shared" si="40"/>
        <v>0.71</v>
      </c>
      <c r="F119" s="339"/>
      <c r="G119" s="331">
        <v>9</v>
      </c>
      <c r="H119" s="347">
        <f t="shared" si="38"/>
        <v>3.9407860253731939</v>
      </c>
      <c r="I119" s="348"/>
      <c r="J119" s="343">
        <f t="shared" si="42"/>
        <v>0.23509702323370929</v>
      </c>
      <c r="AA119" s="56"/>
      <c r="AB119" s="94"/>
    </row>
    <row r="120" spans="1:28" s="51" customFormat="1" ht="17.25" hidden="1" customHeight="1">
      <c r="A120" s="331">
        <f>C110</f>
        <v>3</v>
      </c>
      <c r="B120" s="331">
        <v>10</v>
      </c>
      <c r="C120" s="331">
        <f>C119-A$120</f>
        <v>68</v>
      </c>
      <c r="D120" s="336">
        <f t="shared" si="41"/>
        <v>6.9</v>
      </c>
      <c r="E120" s="338">
        <f t="shared" si="40"/>
        <v>0.68</v>
      </c>
      <c r="F120" s="339" t="s">
        <v>21</v>
      </c>
      <c r="G120" s="331">
        <v>10</v>
      </c>
      <c r="H120" s="340">
        <f t="shared" si="38"/>
        <v>3.7189246722217191</v>
      </c>
      <c r="I120" s="341"/>
      <c r="J120" s="343">
        <f t="shared" si="42"/>
        <v>0.22186135315147482</v>
      </c>
      <c r="AA120" s="56"/>
      <c r="AB120" s="94"/>
    </row>
    <row r="121" spans="1:28" s="51" customFormat="1" ht="17.25" customHeight="1">
      <c r="A121" s="331"/>
      <c r="B121" s="331">
        <v>11</v>
      </c>
      <c r="C121" s="331">
        <f t="shared" ref="C121:C128" si="43">C120-A$120</f>
        <v>65</v>
      </c>
      <c r="D121" s="336">
        <f t="shared" si="41"/>
        <v>6.9</v>
      </c>
      <c r="E121" s="338">
        <f t="shared" si="40"/>
        <v>0.65</v>
      </c>
      <c r="F121" s="342">
        <v>10</v>
      </c>
      <c r="G121" s="344">
        <v>12</v>
      </c>
      <c r="H121" s="345">
        <f t="shared" si="38"/>
        <v>3.5095538373844262</v>
      </c>
      <c r="I121" s="346"/>
      <c r="J121" s="343">
        <f t="shared" si="42"/>
        <v>0.20937083483729291</v>
      </c>
      <c r="AA121" s="56"/>
      <c r="AB121" s="94"/>
    </row>
    <row r="122" spans="1:28" s="51" customFormat="1" ht="17.25" hidden="1" customHeight="1">
      <c r="A122" s="331"/>
      <c r="B122" s="331">
        <v>12</v>
      </c>
      <c r="C122" s="331">
        <f t="shared" si="43"/>
        <v>62</v>
      </c>
      <c r="D122" s="336">
        <f t="shared" si="41"/>
        <v>6.9</v>
      </c>
      <c r="E122" s="338">
        <f t="shared" si="40"/>
        <v>0.62</v>
      </c>
      <c r="F122" s="339"/>
      <c r="G122" s="331">
        <v>14</v>
      </c>
      <c r="H122" s="340">
        <f t="shared" si="38"/>
        <v>3.3119703202112687</v>
      </c>
      <c r="I122" s="341"/>
      <c r="J122" s="343">
        <f t="shared" si="42"/>
        <v>0.19758351717315747</v>
      </c>
      <c r="AA122" s="56"/>
      <c r="AB122" s="94"/>
    </row>
    <row r="123" spans="1:28" s="51" customFormat="1" ht="17.25" hidden="1" customHeight="1">
      <c r="A123" s="331"/>
      <c r="B123" s="331"/>
      <c r="C123" s="331">
        <v>37</v>
      </c>
      <c r="D123" s="336">
        <f t="shared" si="41"/>
        <v>6.9</v>
      </c>
      <c r="E123" s="338">
        <f t="shared" si="40"/>
        <v>0.37</v>
      </c>
      <c r="F123" s="339"/>
      <c r="G123" s="331">
        <v>15</v>
      </c>
      <c r="H123" s="340">
        <f t="shared" si="38"/>
        <v>2.0434977486180168</v>
      </c>
      <c r="I123" s="341"/>
      <c r="J123" s="343">
        <f t="shared" si="42"/>
        <v>1.2684725715932519</v>
      </c>
      <c r="AA123" s="56"/>
      <c r="AB123" s="94"/>
    </row>
    <row r="124" spans="1:28" s="51" customFormat="1" ht="17.25" customHeight="1">
      <c r="A124" s="331"/>
      <c r="B124" s="331">
        <v>13</v>
      </c>
      <c r="C124" s="331">
        <v>63</v>
      </c>
      <c r="D124" s="336">
        <f t="shared" si="41"/>
        <v>6.9</v>
      </c>
      <c r="E124" s="338">
        <f t="shared" si="40"/>
        <v>0.63</v>
      </c>
      <c r="F124" s="342">
        <v>15</v>
      </c>
      <c r="G124" s="344">
        <v>16</v>
      </c>
      <c r="H124" s="345">
        <f t="shared" si="38"/>
        <v>3.3765635438876087</v>
      </c>
      <c r="I124" s="346"/>
      <c r="J124" s="343">
        <f t="shared" si="42"/>
        <v>-1.3330657952695919</v>
      </c>
      <c r="AA124" s="56"/>
      <c r="AB124" s="94"/>
    </row>
    <row r="125" spans="1:28" s="51" customFormat="1" ht="17.25" hidden="1" customHeight="1">
      <c r="A125" s="331"/>
      <c r="B125" s="331">
        <v>14</v>
      </c>
      <c r="C125" s="331">
        <f t="shared" si="43"/>
        <v>60</v>
      </c>
      <c r="D125" s="336">
        <f t="shared" si="41"/>
        <v>6.9</v>
      </c>
      <c r="E125" s="338">
        <f t="shared" si="40"/>
        <v>0.6</v>
      </c>
      <c r="F125" s="339"/>
      <c r="G125" s="331">
        <v>18</v>
      </c>
      <c r="H125" s="340">
        <f t="shared" si="38"/>
        <v>3.1864672148746922</v>
      </c>
      <c r="I125" s="341"/>
      <c r="J125" s="343">
        <f t="shared" si="42"/>
        <v>0.19009632901291651</v>
      </c>
      <c r="AA125" s="56"/>
      <c r="AB125" s="94"/>
    </row>
    <row r="126" spans="1:28" s="51" customFormat="1" ht="17.25" customHeight="1">
      <c r="A126" s="331"/>
      <c r="B126" s="331">
        <v>15</v>
      </c>
      <c r="C126" s="331">
        <f t="shared" si="43"/>
        <v>57</v>
      </c>
      <c r="D126" s="336">
        <f t="shared" si="41"/>
        <v>6.9</v>
      </c>
      <c r="E126" s="338">
        <f t="shared" si="40"/>
        <v>0.56999999999999995</v>
      </c>
      <c r="F126" s="342">
        <v>20</v>
      </c>
      <c r="G126" s="344">
        <v>20</v>
      </c>
      <c r="H126" s="345">
        <f t="shared" si="38"/>
        <v>3.0070730728144244</v>
      </c>
      <c r="I126" s="346"/>
      <c r="J126" s="343">
        <f t="shared" si="42"/>
        <v>0.17939414206026782</v>
      </c>
      <c r="AA126" s="56"/>
      <c r="AB126" s="94"/>
    </row>
    <row r="127" spans="1:28" s="51" customFormat="1" ht="17.25" customHeight="1">
      <c r="A127" s="331"/>
      <c r="B127" s="331">
        <v>16</v>
      </c>
      <c r="C127" s="331">
        <f t="shared" si="43"/>
        <v>54</v>
      </c>
      <c r="D127" s="336">
        <f t="shared" si="41"/>
        <v>6.9</v>
      </c>
      <c r="E127" s="338">
        <f t="shared" si="40"/>
        <v>0.54</v>
      </c>
      <c r="F127" s="342">
        <v>25</v>
      </c>
      <c r="G127" s="344">
        <v>25</v>
      </c>
      <c r="H127" s="345">
        <f t="shared" si="38"/>
        <v>2.8377785978887546</v>
      </c>
      <c r="I127" s="346"/>
      <c r="J127" s="343">
        <f t="shared" si="42"/>
        <v>0.16929447492566974</v>
      </c>
      <c r="AA127" s="56"/>
      <c r="AB127" s="94"/>
    </row>
    <row r="128" spans="1:28" s="51" customFormat="1" ht="17.25" customHeight="1">
      <c r="A128" s="331"/>
      <c r="B128" s="331">
        <v>17</v>
      </c>
      <c r="C128" s="331">
        <f t="shared" si="43"/>
        <v>51</v>
      </c>
      <c r="D128" s="336">
        <f t="shared" si="41"/>
        <v>6.9</v>
      </c>
      <c r="E128" s="338">
        <f t="shared" si="40"/>
        <v>0.51</v>
      </c>
      <c r="F128" s="342">
        <v>30</v>
      </c>
      <c r="G128" s="344">
        <v>30</v>
      </c>
      <c r="H128" s="345">
        <f>D128^E128</f>
        <v>2.6780151913961947</v>
      </c>
      <c r="I128" s="346"/>
      <c r="J128" s="343">
        <f t="shared" si="42"/>
        <v>0.15976340649255993</v>
      </c>
      <c r="AA128" s="56"/>
      <c r="AB128" s="94"/>
    </row>
    <row r="129" spans="1:28" s="51" customFormat="1" ht="17.25" customHeight="1">
      <c r="A129" s="331"/>
      <c r="B129" s="331"/>
      <c r="C129" s="331">
        <v>50</v>
      </c>
      <c r="D129" s="336">
        <f t="shared" si="41"/>
        <v>6.9</v>
      </c>
      <c r="E129" s="338">
        <f t="shared" si="40"/>
        <v>0.5</v>
      </c>
      <c r="F129" s="342">
        <v>35</v>
      </c>
      <c r="G129" s="344">
        <v>35</v>
      </c>
      <c r="H129" s="345">
        <f t="shared" si="38"/>
        <v>2.6267851073127395</v>
      </c>
      <c r="I129" s="346"/>
      <c r="J129" s="343">
        <f t="shared" si="42"/>
        <v>5.1230084083455196E-2</v>
      </c>
      <c r="AA129" s="56"/>
      <c r="AB129" s="94"/>
    </row>
    <row r="130" spans="1:28" s="51" customFormat="1" ht="17.25" customHeight="1">
      <c r="A130" s="331"/>
      <c r="B130" s="331"/>
      <c r="C130" s="331">
        <v>49</v>
      </c>
      <c r="D130" s="336">
        <f t="shared" si="41"/>
        <v>6.9</v>
      </c>
      <c r="E130" s="338">
        <f t="shared" si="40"/>
        <v>0.49</v>
      </c>
      <c r="F130" s="342">
        <v>40</v>
      </c>
      <c r="G130" s="344">
        <v>40</v>
      </c>
      <c r="H130" s="345">
        <f t="shared" si="38"/>
        <v>2.5765350481087661</v>
      </c>
      <c r="I130" s="346"/>
      <c r="J130" s="343">
        <f t="shared" si="42"/>
        <v>5.0250059203973407E-2</v>
      </c>
      <c r="AA130" s="56"/>
      <c r="AB130" s="94"/>
    </row>
    <row r="131" spans="1:28" s="51" customFormat="1" ht="17.25" customHeight="1">
      <c r="A131" s="331">
        <f>A120</f>
        <v>3</v>
      </c>
      <c r="B131" s="331">
        <v>18</v>
      </c>
      <c r="C131" s="331">
        <f>C128-A$131</f>
        <v>48</v>
      </c>
      <c r="D131" s="336">
        <f t="shared" si="41"/>
        <v>6.9</v>
      </c>
      <c r="E131" s="338">
        <f t="shared" si="40"/>
        <v>0.48</v>
      </c>
      <c r="F131" s="342">
        <v>45</v>
      </c>
      <c r="G131" s="344">
        <v>45</v>
      </c>
      <c r="H131" s="345">
        <f t="shared" si="38"/>
        <v>2.5272462660351422</v>
      </c>
      <c r="I131" s="346"/>
      <c r="J131" s="343">
        <f t="shared" si="42"/>
        <v>4.928878207362386E-2</v>
      </c>
      <c r="AA131" s="56"/>
      <c r="AB131" s="94"/>
    </row>
    <row r="132" spans="1:28" s="51" customFormat="1" ht="17.25" customHeight="1">
      <c r="A132" s="331"/>
      <c r="B132" s="331"/>
      <c r="C132" s="331">
        <v>47</v>
      </c>
      <c r="D132" s="336">
        <f t="shared" si="41"/>
        <v>6.9</v>
      </c>
      <c r="E132" s="338">
        <f t="shared" si="40"/>
        <v>0.47</v>
      </c>
      <c r="F132" s="342">
        <v>50</v>
      </c>
      <c r="G132" s="344">
        <v>50</v>
      </c>
      <c r="H132" s="345">
        <f t="shared" si="38"/>
        <v>2.4789003719847513</v>
      </c>
      <c r="I132" s="346"/>
      <c r="J132" s="343">
        <f t="shared" si="42"/>
        <v>4.8345894050390914E-2</v>
      </c>
      <c r="AA132" s="56"/>
      <c r="AB132" s="94"/>
    </row>
    <row r="133" spans="1:28" s="51" customFormat="1" ht="17.25" customHeight="1">
      <c r="A133" s="331"/>
      <c r="B133" s="331"/>
      <c r="C133" s="331">
        <v>46</v>
      </c>
      <c r="D133" s="336">
        <f t="shared" si="41"/>
        <v>6.9</v>
      </c>
      <c r="E133" s="338">
        <f t="shared" si="40"/>
        <v>0.46</v>
      </c>
      <c r="F133" s="342">
        <v>55</v>
      </c>
      <c r="G133" s="344">
        <v>55</v>
      </c>
      <c r="H133" s="345">
        <f t="shared" si="38"/>
        <v>2.431479328631716</v>
      </c>
      <c r="I133" s="346"/>
      <c r="J133" s="343">
        <f t="shared" si="42"/>
        <v>4.7421043353035319E-2</v>
      </c>
      <c r="AA133" s="56"/>
      <c r="AB133" s="94"/>
    </row>
    <row r="134" spans="1:28" s="51" customFormat="1" ht="17.25" customHeight="1">
      <c r="A134" s="331"/>
      <c r="B134" s="331">
        <v>19</v>
      </c>
      <c r="C134" s="331">
        <f>C131-A$131</f>
        <v>45</v>
      </c>
      <c r="D134" s="336">
        <f t="shared" si="41"/>
        <v>6.9</v>
      </c>
      <c r="E134" s="338">
        <f t="shared" si="40"/>
        <v>0.45</v>
      </c>
      <c r="F134" s="342">
        <v>60</v>
      </c>
      <c r="G134" s="344">
        <v>60</v>
      </c>
      <c r="H134" s="345">
        <f t="shared" si="38"/>
        <v>2.3849654437018684</v>
      </c>
      <c r="I134" s="346"/>
      <c r="J134" s="343">
        <f t="shared" si="42"/>
        <v>4.6513884929847649E-2</v>
      </c>
      <c r="AA134" s="56"/>
      <c r="AB134" s="94"/>
    </row>
    <row r="135" spans="1:28" s="51" customFormat="1" ht="17.25" customHeight="1">
      <c r="A135" s="331"/>
      <c r="B135" s="331"/>
      <c r="C135" s="331">
        <v>44</v>
      </c>
      <c r="D135" s="336">
        <f t="shared" si="41"/>
        <v>6.9</v>
      </c>
      <c r="E135" s="338">
        <f t="shared" si="40"/>
        <v>0.44</v>
      </c>
      <c r="F135" s="342">
        <v>75</v>
      </c>
      <c r="G135" s="344">
        <v>75</v>
      </c>
      <c r="H135" s="345">
        <f t="shared" si="38"/>
        <v>2.339341363371958</v>
      </c>
      <c r="I135" s="346"/>
      <c r="J135" s="343">
        <f t="shared" si="42"/>
        <v>4.5624080329910388E-2</v>
      </c>
      <c r="AA135" s="56"/>
      <c r="AB135" s="94"/>
    </row>
    <row r="136" spans="1:28" s="51" customFormat="1" ht="17.25" customHeight="1">
      <c r="A136" s="331"/>
      <c r="B136" s="331"/>
      <c r="C136" s="331">
        <v>43</v>
      </c>
      <c r="D136" s="336">
        <f t="shared" si="41"/>
        <v>6.9</v>
      </c>
      <c r="E136" s="338">
        <f t="shared" si="40"/>
        <v>0.43</v>
      </c>
      <c r="F136" s="342">
        <v>90</v>
      </c>
      <c r="G136" s="344">
        <v>90</v>
      </c>
      <c r="H136" s="345">
        <f t="shared" si="38"/>
        <v>2.2945900657951253</v>
      </c>
      <c r="I136" s="346"/>
      <c r="J136" s="343">
        <f t="shared" si="42"/>
        <v>4.4751297576832716E-2</v>
      </c>
      <c r="AA136" s="56"/>
      <c r="AB136" s="94"/>
    </row>
    <row r="137" spans="1:28" s="51" customFormat="1" ht="17.25" customHeight="1">
      <c r="A137" s="331"/>
      <c r="B137" s="331">
        <v>20</v>
      </c>
      <c r="C137" s="331">
        <f>C134-A$131</f>
        <v>42</v>
      </c>
      <c r="D137" s="336">
        <f t="shared" si="41"/>
        <v>6.9</v>
      </c>
      <c r="E137" s="338">
        <f t="shared" si="40"/>
        <v>0.42</v>
      </c>
      <c r="F137" s="342">
        <v>105</v>
      </c>
      <c r="G137" s="344">
        <v>105</v>
      </c>
      <c r="H137" s="345">
        <f t="shared" si="38"/>
        <v>2.2506948547502401</v>
      </c>
      <c r="I137" s="346"/>
      <c r="J137" s="343">
        <f t="shared" si="42"/>
        <v>4.3895211044885141E-2</v>
      </c>
      <c r="AA137" s="56"/>
      <c r="AB137" s="94"/>
    </row>
    <row r="138" spans="1:28" s="51" customFormat="1" ht="17.25" customHeight="1">
      <c r="A138" s="331">
        <f>A131</f>
        <v>3</v>
      </c>
      <c r="B138" s="331"/>
      <c r="C138" s="331">
        <f>C137-A$138</f>
        <v>39</v>
      </c>
      <c r="D138" s="336">
        <f t="shared" si="41"/>
        <v>6.9</v>
      </c>
      <c r="E138" s="338">
        <f t="shared" si="40"/>
        <v>0.39</v>
      </c>
      <c r="F138" s="342">
        <v>120</v>
      </c>
      <c r="G138" s="344">
        <v>120</v>
      </c>
      <c r="H138" s="345">
        <f t="shared" si="38"/>
        <v>2.1239835330010046</v>
      </c>
      <c r="I138" s="346"/>
      <c r="J138" s="343">
        <f t="shared" si="42"/>
        <v>0.12671132174923549</v>
      </c>
      <c r="AA138" s="56"/>
      <c r="AB138" s="94"/>
    </row>
    <row r="139" spans="1:28" s="51" customFormat="1" ht="17.25" hidden="1" customHeight="1">
      <c r="A139" s="331"/>
      <c r="B139" s="331"/>
      <c r="C139" s="331">
        <f t="shared" ref="C139:C146" si="44">C138-A$138</f>
        <v>36</v>
      </c>
      <c r="D139" s="336">
        <f t="shared" si="41"/>
        <v>6.9</v>
      </c>
      <c r="E139" s="338">
        <f t="shared" si="40"/>
        <v>0.36</v>
      </c>
      <c r="F139" s="339"/>
      <c r="G139" s="331">
        <v>150</v>
      </c>
      <c r="H139" s="340">
        <f t="shared" si="38"/>
        <v>2.0044059011100601</v>
      </c>
      <c r="I139" s="341"/>
      <c r="J139" s="343">
        <f t="shared" si="42"/>
        <v>0.1195776318909445</v>
      </c>
      <c r="AA139" s="56"/>
      <c r="AB139" s="94"/>
    </row>
    <row r="140" spans="1:28" s="51" customFormat="1" ht="17.25" customHeight="1">
      <c r="A140" s="331"/>
      <c r="B140" s="331"/>
      <c r="C140" s="331">
        <v>38</v>
      </c>
      <c r="D140" s="336">
        <f t="shared" si="41"/>
        <v>6.9</v>
      </c>
      <c r="E140" s="338">
        <f t="shared" si="40"/>
        <v>0.38</v>
      </c>
      <c r="F140" s="342">
        <v>180</v>
      </c>
      <c r="G140" s="344">
        <v>180</v>
      </c>
      <c r="H140" s="345">
        <f t="shared" si="38"/>
        <v>2.083352002852445</v>
      </c>
      <c r="I140" s="346"/>
      <c r="J140" s="343">
        <f t="shared" si="42"/>
        <v>-7.8946101742384922E-2</v>
      </c>
      <c r="AA140" s="56"/>
      <c r="AB140" s="94"/>
    </row>
    <row r="141" spans="1:28" s="51" customFormat="1" ht="17.25" hidden="1" customHeight="1">
      <c r="A141" s="331"/>
      <c r="B141" s="331"/>
      <c r="C141" s="331">
        <f t="shared" si="44"/>
        <v>35</v>
      </c>
      <c r="D141" s="336">
        <f t="shared" si="41"/>
        <v>6.9</v>
      </c>
      <c r="E141" s="338">
        <f t="shared" si="40"/>
        <v>0.35</v>
      </c>
      <c r="F141" s="339"/>
      <c r="G141" s="331">
        <v>210</v>
      </c>
      <c r="H141" s="340">
        <f t="shared" si="38"/>
        <v>1.9660618755865502</v>
      </c>
      <c r="I141" s="341"/>
      <c r="J141" s="343">
        <f t="shared" si="42"/>
        <v>0.11729012726589483</v>
      </c>
      <c r="AA141" s="56"/>
      <c r="AB141" s="94"/>
    </row>
    <row r="142" spans="1:28" s="51" customFormat="1" ht="17.25" customHeight="1">
      <c r="A142" s="331"/>
      <c r="B142" s="331"/>
      <c r="C142" s="331">
        <f t="shared" si="44"/>
        <v>32</v>
      </c>
      <c r="D142" s="336">
        <f t="shared" si="41"/>
        <v>6.9</v>
      </c>
      <c r="E142" s="338">
        <f>C142/100</f>
        <v>0.32</v>
      </c>
      <c r="F142" s="342">
        <v>240</v>
      </c>
      <c r="G142" s="344">
        <v>240</v>
      </c>
      <c r="H142" s="345">
        <f t="shared" si="38"/>
        <v>1.8553750366440953</v>
      </c>
      <c r="I142" s="346"/>
      <c r="J142" s="343">
        <f t="shared" si="42"/>
        <v>0.1106868389424549</v>
      </c>
      <c r="AA142" s="56"/>
      <c r="AB142" s="94"/>
    </row>
    <row r="143" spans="1:28" s="51" customFormat="1" ht="17.25" hidden="1" customHeight="1">
      <c r="A143" s="331"/>
      <c r="B143" s="331"/>
      <c r="C143" s="331">
        <f t="shared" si="44"/>
        <v>29</v>
      </c>
      <c r="D143" s="336">
        <f t="shared" si="41"/>
        <v>6.9</v>
      </c>
      <c r="E143" s="338">
        <f>C143/100</f>
        <v>0.28999999999999998</v>
      </c>
      <c r="F143" s="339"/>
      <c r="G143" s="331">
        <v>270</v>
      </c>
      <c r="H143" s="340">
        <f t="shared" si="38"/>
        <v>1.7509197291031724</v>
      </c>
      <c r="I143" s="341"/>
      <c r="J143" s="343">
        <f t="shared" si="42"/>
        <v>0.10445530754092291</v>
      </c>
      <c r="AA143" s="56"/>
      <c r="AB143" s="94"/>
    </row>
    <row r="144" spans="1:28" s="51" customFormat="1" ht="17.25" customHeight="1">
      <c r="A144" s="331"/>
      <c r="B144" s="331"/>
      <c r="C144" s="331">
        <f t="shared" si="44"/>
        <v>26</v>
      </c>
      <c r="D144" s="336">
        <f t="shared" si="41"/>
        <v>6.9</v>
      </c>
      <c r="E144" s="338">
        <f>C144/100</f>
        <v>0.26</v>
      </c>
      <c r="F144" s="342">
        <v>300</v>
      </c>
      <c r="G144" s="344">
        <v>300</v>
      </c>
      <c r="H144" s="345">
        <f t="shared" si="38"/>
        <v>1.6523451254943258</v>
      </c>
      <c r="I144" s="346"/>
      <c r="J144" s="343">
        <f t="shared" si="42"/>
        <v>9.8574603608846623E-2</v>
      </c>
      <c r="AA144" s="56"/>
      <c r="AB144" s="94"/>
    </row>
    <row r="145" spans="1:28" s="51" customFormat="1" ht="17.25" hidden="1" customHeight="1">
      <c r="A145" s="331"/>
      <c r="B145" s="331"/>
      <c r="C145" s="331">
        <f t="shared" si="44"/>
        <v>23</v>
      </c>
      <c r="D145" s="336">
        <f t="shared" si="41"/>
        <v>6.9</v>
      </c>
      <c r="E145" s="338">
        <f>C145/100</f>
        <v>0.23</v>
      </c>
      <c r="F145" s="339"/>
      <c r="G145" s="331">
        <v>330</v>
      </c>
      <c r="H145" s="340">
        <f t="shared" si="38"/>
        <v>1.559320149498401</v>
      </c>
      <c r="I145" s="341"/>
      <c r="J145" s="343">
        <f t="shared" si="42"/>
        <v>9.3024975995924741E-2</v>
      </c>
      <c r="AA145" s="56"/>
      <c r="AB145" s="94"/>
    </row>
    <row r="146" spans="1:28" s="51" customFormat="1" ht="17.25" customHeight="1">
      <c r="A146" s="331"/>
      <c r="B146" s="331"/>
      <c r="C146" s="331">
        <f t="shared" si="44"/>
        <v>20</v>
      </c>
      <c r="D146" s="336">
        <f t="shared" si="41"/>
        <v>6.9</v>
      </c>
      <c r="E146" s="338">
        <f>C146/100</f>
        <v>0.2</v>
      </c>
      <c r="F146" s="342">
        <v>360</v>
      </c>
      <c r="G146" s="344">
        <v>360</v>
      </c>
      <c r="H146" s="345">
        <f t="shared" si="38"/>
        <v>1.4715323639813442</v>
      </c>
      <c r="I146" s="346"/>
      <c r="J146" s="343">
        <f t="shared" si="42"/>
        <v>8.7787785517056793E-2</v>
      </c>
      <c r="AA146" s="56"/>
      <c r="AB146" s="94"/>
    </row>
    <row r="147" spans="1:28" s="51" customFormat="1" ht="17.25" customHeight="1">
      <c r="C147" s="51" t="s">
        <v>21</v>
      </c>
      <c r="D147" s="53" t="s">
        <v>21</v>
      </c>
      <c r="E147" s="74" t="s">
        <v>21</v>
      </c>
      <c r="F147" s="51" t="s">
        <v>21</v>
      </c>
      <c r="G147" s="57" t="s">
        <v>21</v>
      </c>
      <c r="AA147" s="56"/>
      <c r="AB147" s="94"/>
    </row>
    <row r="148" spans="1:28" s="51" customFormat="1" ht="17.25" customHeight="1">
      <c r="C148" s="51" t="s">
        <v>21</v>
      </c>
      <c r="D148" s="53" t="s">
        <v>21</v>
      </c>
      <c r="E148" s="74" t="s">
        <v>21</v>
      </c>
      <c r="F148" s="51" t="s">
        <v>21</v>
      </c>
      <c r="G148" s="57" t="s">
        <v>21</v>
      </c>
      <c r="AB148" s="94"/>
    </row>
    <row r="149" spans="1:28" s="51" customFormat="1" ht="17.25" customHeight="1">
      <c r="C149" s="51" t="s">
        <v>21</v>
      </c>
      <c r="D149" s="53" t="s">
        <v>21</v>
      </c>
      <c r="E149" s="74" t="s">
        <v>21</v>
      </c>
      <c r="F149" s="51" t="s">
        <v>21</v>
      </c>
      <c r="G149" s="57" t="s">
        <v>21</v>
      </c>
      <c r="AB149" s="94"/>
    </row>
    <row r="150" spans="1:28" s="51" customFormat="1" ht="17.25" customHeight="1">
      <c r="C150" s="51" t="s">
        <v>21</v>
      </c>
      <c r="D150" s="53" t="s">
        <v>21</v>
      </c>
      <c r="E150" s="74" t="s">
        <v>21</v>
      </c>
      <c r="F150" s="51" t="s">
        <v>21</v>
      </c>
      <c r="G150" s="57" t="s">
        <v>21</v>
      </c>
      <c r="AB150" s="94"/>
    </row>
    <row r="151" spans="1:28" s="51" customFormat="1" ht="17.25" customHeight="1">
      <c r="C151" s="51" t="s">
        <v>21</v>
      </c>
      <c r="D151" s="53" t="s">
        <v>21</v>
      </c>
      <c r="E151" s="74" t="s">
        <v>21</v>
      </c>
      <c r="F151" s="51" t="s">
        <v>21</v>
      </c>
      <c r="G151" s="57" t="s">
        <v>21</v>
      </c>
      <c r="AB151" s="94"/>
    </row>
    <row r="152" spans="1:28" s="51" customFormat="1" ht="17.25" customHeight="1">
      <c r="C152" s="51" t="s">
        <v>21</v>
      </c>
      <c r="D152" s="53" t="s">
        <v>21</v>
      </c>
      <c r="E152" s="74" t="s">
        <v>21</v>
      </c>
      <c r="F152" s="51" t="s">
        <v>21</v>
      </c>
      <c r="G152" s="57" t="s">
        <v>21</v>
      </c>
      <c r="AB152" s="94"/>
    </row>
    <row r="153" spans="1:28" s="51" customFormat="1" ht="17.25" customHeight="1">
      <c r="C153" s="51" t="s">
        <v>21</v>
      </c>
      <c r="D153" s="53" t="s">
        <v>21</v>
      </c>
      <c r="E153" s="74" t="s">
        <v>21</v>
      </c>
      <c r="F153" s="51" t="s">
        <v>21</v>
      </c>
      <c r="G153" s="57" t="s">
        <v>21</v>
      </c>
      <c r="AB153" s="94"/>
    </row>
    <row r="154" spans="1:28" s="51" customFormat="1" ht="17.25" customHeight="1">
      <c r="C154" s="51" t="s">
        <v>21</v>
      </c>
      <c r="D154" s="53" t="s">
        <v>21</v>
      </c>
      <c r="E154" s="74" t="s">
        <v>21</v>
      </c>
      <c r="F154" s="51" t="s">
        <v>21</v>
      </c>
      <c r="G154" s="57" t="s">
        <v>21</v>
      </c>
      <c r="AB154" s="94"/>
    </row>
    <row r="155" spans="1:28" s="51" customFormat="1" ht="17.25" customHeight="1">
      <c r="C155" s="51" t="s">
        <v>21</v>
      </c>
      <c r="D155" s="53" t="s">
        <v>21</v>
      </c>
      <c r="E155" s="74" t="s">
        <v>21</v>
      </c>
      <c r="F155" s="51" t="s">
        <v>21</v>
      </c>
      <c r="G155" s="57" t="s">
        <v>21</v>
      </c>
      <c r="AB155" s="94"/>
    </row>
    <row r="156" spans="1:28" s="51" customFormat="1" ht="17.25" customHeight="1">
      <c r="C156" s="51" t="s">
        <v>21</v>
      </c>
      <c r="D156" s="53" t="s">
        <v>21</v>
      </c>
      <c r="E156" s="74" t="s">
        <v>21</v>
      </c>
      <c r="F156" s="51" t="s">
        <v>21</v>
      </c>
      <c r="G156" s="57" t="s">
        <v>21</v>
      </c>
      <c r="AB156" s="94"/>
    </row>
    <row r="157" spans="1:28" s="51" customFormat="1" ht="17.25" customHeight="1">
      <c r="C157" s="51" t="s">
        <v>21</v>
      </c>
      <c r="D157" s="53" t="s">
        <v>21</v>
      </c>
      <c r="E157" s="74" t="s">
        <v>21</v>
      </c>
      <c r="F157" s="51" t="s">
        <v>21</v>
      </c>
      <c r="G157" s="57" t="s">
        <v>21</v>
      </c>
      <c r="AB157" s="94"/>
    </row>
    <row r="158" spans="1:28" s="51" customFormat="1" ht="17.25" customHeight="1">
      <c r="C158" s="51" t="s">
        <v>21</v>
      </c>
      <c r="D158" s="53" t="s">
        <v>21</v>
      </c>
      <c r="E158" s="74" t="s">
        <v>21</v>
      </c>
      <c r="F158" s="51" t="s">
        <v>21</v>
      </c>
      <c r="G158" s="57" t="s">
        <v>21</v>
      </c>
      <c r="AB158" s="94"/>
    </row>
    <row r="159" spans="1:28" s="51" customFormat="1" ht="17.25" customHeight="1">
      <c r="C159" s="51" t="s">
        <v>21</v>
      </c>
      <c r="D159" s="53" t="s">
        <v>21</v>
      </c>
      <c r="E159" s="74" t="s">
        <v>21</v>
      </c>
      <c r="F159" s="51" t="s">
        <v>21</v>
      </c>
      <c r="G159" s="57" t="s">
        <v>21</v>
      </c>
      <c r="AB159" s="94"/>
    </row>
    <row r="160" spans="1:28" s="51" customFormat="1" ht="17.25" customHeight="1">
      <c r="C160" s="51" t="s">
        <v>21</v>
      </c>
      <c r="D160" s="53" t="s">
        <v>21</v>
      </c>
      <c r="E160" s="74" t="s">
        <v>21</v>
      </c>
      <c r="F160" s="51" t="s">
        <v>21</v>
      </c>
      <c r="G160" s="57" t="s">
        <v>21</v>
      </c>
      <c r="AB160" s="94"/>
    </row>
    <row r="161" spans="3:28" s="51" customFormat="1" ht="17.25" customHeight="1">
      <c r="C161" s="51" t="s">
        <v>21</v>
      </c>
      <c r="D161" s="53" t="s">
        <v>21</v>
      </c>
      <c r="E161" s="74" t="s">
        <v>21</v>
      </c>
      <c r="F161" s="51" t="s">
        <v>21</v>
      </c>
      <c r="G161" s="57" t="s">
        <v>21</v>
      </c>
      <c r="AB161" s="94"/>
    </row>
    <row r="162" spans="3:28" s="51" customFormat="1" ht="17.25" customHeight="1">
      <c r="C162" s="51" t="s">
        <v>21</v>
      </c>
      <c r="D162" s="53" t="s">
        <v>21</v>
      </c>
      <c r="E162" s="74" t="s">
        <v>21</v>
      </c>
      <c r="F162" s="51" t="s">
        <v>21</v>
      </c>
      <c r="G162" s="57" t="s">
        <v>21</v>
      </c>
      <c r="AB162" s="94"/>
    </row>
    <row r="163" spans="3:28" s="51" customFormat="1" ht="17.25" customHeight="1">
      <c r="C163" s="51" t="s">
        <v>21</v>
      </c>
      <c r="D163" s="53" t="s">
        <v>21</v>
      </c>
      <c r="E163" s="74" t="s">
        <v>21</v>
      </c>
      <c r="F163" s="51" t="s">
        <v>21</v>
      </c>
      <c r="G163" s="57" t="s">
        <v>21</v>
      </c>
      <c r="AB163" s="94"/>
    </row>
    <row r="164" spans="3:28" s="51" customFormat="1" ht="17.25" customHeight="1">
      <c r="C164" s="51" t="s">
        <v>21</v>
      </c>
      <c r="D164" s="53" t="s">
        <v>21</v>
      </c>
      <c r="E164" s="74" t="s">
        <v>21</v>
      </c>
      <c r="F164" s="51" t="s">
        <v>21</v>
      </c>
      <c r="G164" s="57" t="s">
        <v>21</v>
      </c>
      <c r="AB164" s="94"/>
    </row>
    <row r="165" spans="3:28" s="51" customFormat="1" ht="17.25" customHeight="1">
      <c r="C165" s="51" t="s">
        <v>21</v>
      </c>
      <c r="D165" s="53" t="s">
        <v>21</v>
      </c>
      <c r="E165" s="74" t="s">
        <v>21</v>
      </c>
      <c r="F165" s="51" t="s">
        <v>21</v>
      </c>
      <c r="G165" s="57" t="s">
        <v>21</v>
      </c>
      <c r="AB165" s="94"/>
    </row>
    <row r="166" spans="3:28" s="51" customFormat="1" ht="17.25" customHeight="1">
      <c r="C166" s="51" t="s">
        <v>21</v>
      </c>
      <c r="D166" s="53" t="s">
        <v>21</v>
      </c>
      <c r="E166" s="74" t="s">
        <v>21</v>
      </c>
      <c r="F166" s="51" t="s">
        <v>21</v>
      </c>
      <c r="G166" s="57" t="s">
        <v>21</v>
      </c>
      <c r="AB166" s="94"/>
    </row>
    <row r="167" spans="3:28" s="51" customFormat="1" ht="17.25" customHeight="1">
      <c r="C167" s="51" t="s">
        <v>21</v>
      </c>
      <c r="D167" s="53" t="s">
        <v>21</v>
      </c>
      <c r="E167" s="74" t="s">
        <v>21</v>
      </c>
      <c r="F167" s="51" t="s">
        <v>21</v>
      </c>
      <c r="G167" s="57" t="s">
        <v>21</v>
      </c>
      <c r="AB167" s="94"/>
    </row>
    <row r="168" spans="3:28" s="51" customFormat="1" ht="17.25" customHeight="1">
      <c r="C168" s="51" t="s">
        <v>21</v>
      </c>
      <c r="D168" s="53" t="s">
        <v>21</v>
      </c>
      <c r="E168" s="74" t="s">
        <v>21</v>
      </c>
      <c r="F168" s="51" t="s">
        <v>21</v>
      </c>
      <c r="G168" s="57" t="s">
        <v>21</v>
      </c>
      <c r="AB168" s="94"/>
    </row>
    <row r="169" spans="3:28" s="51" customFormat="1" ht="17.25" customHeight="1">
      <c r="C169" s="51" t="s">
        <v>21</v>
      </c>
      <c r="D169" s="53" t="s">
        <v>21</v>
      </c>
      <c r="E169" s="74" t="s">
        <v>21</v>
      </c>
      <c r="F169" s="51" t="s">
        <v>21</v>
      </c>
      <c r="G169" s="57" t="s">
        <v>21</v>
      </c>
      <c r="AB169" s="94"/>
    </row>
    <row r="170" spans="3:28" s="51" customFormat="1" ht="17.25" customHeight="1">
      <c r="C170" s="51" t="s">
        <v>21</v>
      </c>
      <c r="D170" s="53" t="s">
        <v>21</v>
      </c>
      <c r="E170" s="74" t="s">
        <v>21</v>
      </c>
      <c r="F170" s="51" t="s">
        <v>21</v>
      </c>
      <c r="G170" s="57" t="s">
        <v>21</v>
      </c>
      <c r="AB170" s="94"/>
    </row>
    <row r="171" spans="3:28" s="51" customFormat="1" ht="17.25" customHeight="1">
      <c r="C171" s="51" t="s">
        <v>21</v>
      </c>
      <c r="D171" s="53" t="s">
        <v>21</v>
      </c>
      <c r="E171" s="74" t="s">
        <v>21</v>
      </c>
      <c r="F171" s="51" t="s">
        <v>21</v>
      </c>
      <c r="G171" s="57" t="s">
        <v>21</v>
      </c>
      <c r="AB171" s="94"/>
    </row>
    <row r="172" spans="3:28" s="51" customFormat="1" ht="17.25" customHeight="1">
      <c r="C172" s="51" t="s">
        <v>21</v>
      </c>
      <c r="D172" s="53" t="s">
        <v>21</v>
      </c>
      <c r="E172" s="74" t="s">
        <v>21</v>
      </c>
      <c r="F172" s="51" t="s">
        <v>21</v>
      </c>
      <c r="G172" s="57" t="s">
        <v>21</v>
      </c>
      <c r="AB172" s="94"/>
    </row>
    <row r="173" spans="3:28" s="51" customFormat="1" ht="17.25" customHeight="1">
      <c r="C173" s="51" t="s">
        <v>21</v>
      </c>
      <c r="D173" s="53" t="s">
        <v>21</v>
      </c>
      <c r="E173" s="74" t="s">
        <v>21</v>
      </c>
      <c r="F173" s="51" t="s">
        <v>21</v>
      </c>
      <c r="G173" s="57" t="s">
        <v>21</v>
      </c>
      <c r="AB173" s="94"/>
    </row>
    <row r="174" spans="3:28" s="51" customFormat="1" ht="17.25" customHeight="1">
      <c r="C174" s="51" t="s">
        <v>21</v>
      </c>
      <c r="D174" s="53" t="s">
        <v>21</v>
      </c>
      <c r="E174" s="74" t="s">
        <v>21</v>
      </c>
      <c r="F174" s="51" t="s">
        <v>21</v>
      </c>
      <c r="G174" s="57" t="s">
        <v>21</v>
      </c>
      <c r="AB174" s="94"/>
    </row>
    <row r="175" spans="3:28" s="51" customFormat="1" ht="17.25" customHeight="1">
      <c r="C175" s="51" t="s">
        <v>21</v>
      </c>
      <c r="D175" s="53" t="s">
        <v>21</v>
      </c>
      <c r="E175" s="74" t="s">
        <v>21</v>
      </c>
      <c r="F175" s="51" t="s">
        <v>21</v>
      </c>
      <c r="G175" s="57" t="s">
        <v>21</v>
      </c>
      <c r="AB175" s="94"/>
    </row>
    <row r="176" spans="3:28" s="51" customFormat="1" ht="17.25" customHeight="1">
      <c r="C176" s="51" t="s">
        <v>21</v>
      </c>
      <c r="D176" s="53" t="s">
        <v>21</v>
      </c>
      <c r="E176" s="74" t="s">
        <v>21</v>
      </c>
      <c r="F176" s="51" t="s">
        <v>21</v>
      </c>
      <c r="G176" s="57" t="s">
        <v>21</v>
      </c>
      <c r="AB176" s="94"/>
    </row>
    <row r="177" spans="3:28" s="51" customFormat="1" ht="17.25" customHeight="1">
      <c r="C177" s="51" t="s">
        <v>21</v>
      </c>
      <c r="D177" s="53" t="s">
        <v>21</v>
      </c>
      <c r="E177" s="74" t="s">
        <v>21</v>
      </c>
      <c r="F177" s="51" t="s">
        <v>21</v>
      </c>
      <c r="G177" s="57" t="s">
        <v>21</v>
      </c>
      <c r="AB177" s="94"/>
    </row>
    <row r="178" spans="3:28" s="51" customFormat="1" ht="17.25" customHeight="1">
      <c r="C178" s="51" t="s">
        <v>21</v>
      </c>
      <c r="D178" s="53" t="s">
        <v>21</v>
      </c>
      <c r="E178" s="74" t="s">
        <v>21</v>
      </c>
      <c r="F178" s="51" t="s">
        <v>21</v>
      </c>
      <c r="G178" s="57" t="s">
        <v>21</v>
      </c>
      <c r="AB178" s="94"/>
    </row>
    <row r="179" spans="3:28" s="51" customFormat="1" ht="17.25" customHeight="1">
      <c r="C179" s="51" t="s">
        <v>21</v>
      </c>
      <c r="D179" s="53" t="s">
        <v>21</v>
      </c>
      <c r="E179" s="74" t="s">
        <v>21</v>
      </c>
      <c r="F179" s="51" t="s">
        <v>21</v>
      </c>
      <c r="G179" s="57" t="s">
        <v>21</v>
      </c>
      <c r="AB179" s="94"/>
    </row>
    <row r="180" spans="3:28" s="51" customFormat="1" ht="17.25" customHeight="1">
      <c r="C180" s="51" t="s">
        <v>21</v>
      </c>
      <c r="D180" s="53" t="s">
        <v>21</v>
      </c>
      <c r="E180" s="74" t="s">
        <v>21</v>
      </c>
      <c r="F180" s="51" t="s">
        <v>21</v>
      </c>
      <c r="G180" s="57" t="s">
        <v>21</v>
      </c>
      <c r="AB180" s="94"/>
    </row>
    <row r="181" spans="3:28" s="51" customFormat="1" ht="17.25" customHeight="1">
      <c r="C181" s="51" t="s">
        <v>21</v>
      </c>
      <c r="D181" s="53" t="s">
        <v>21</v>
      </c>
      <c r="E181" s="74" t="s">
        <v>21</v>
      </c>
      <c r="F181" s="51" t="s">
        <v>21</v>
      </c>
      <c r="G181" s="57" t="s">
        <v>21</v>
      </c>
      <c r="AB181" s="94"/>
    </row>
    <row r="182" spans="3:28" s="51" customFormat="1" ht="17.25" customHeight="1">
      <c r="C182" s="51" t="s">
        <v>21</v>
      </c>
      <c r="D182" s="53" t="s">
        <v>21</v>
      </c>
      <c r="E182" s="74" t="s">
        <v>21</v>
      </c>
      <c r="F182" s="51" t="s">
        <v>21</v>
      </c>
      <c r="G182" s="57" t="s">
        <v>21</v>
      </c>
      <c r="AB182" s="94"/>
    </row>
    <row r="183" spans="3:28" s="51" customFormat="1" ht="17.25" customHeight="1">
      <c r="C183" s="51" t="s">
        <v>21</v>
      </c>
      <c r="D183" s="53" t="s">
        <v>21</v>
      </c>
      <c r="E183" s="74" t="s">
        <v>21</v>
      </c>
      <c r="F183" s="51" t="s">
        <v>21</v>
      </c>
      <c r="G183" s="57" t="s">
        <v>21</v>
      </c>
      <c r="AB183" s="94"/>
    </row>
    <row r="184" spans="3:28" s="51" customFormat="1" ht="17.25" customHeight="1">
      <c r="C184" s="51" t="s">
        <v>21</v>
      </c>
      <c r="D184" s="53" t="s">
        <v>21</v>
      </c>
      <c r="E184" s="74" t="s">
        <v>21</v>
      </c>
      <c r="F184" s="51" t="s">
        <v>21</v>
      </c>
      <c r="G184" s="57" t="s">
        <v>21</v>
      </c>
      <c r="AB184" s="94"/>
    </row>
    <row r="185" spans="3:28" s="51" customFormat="1" ht="17.25" customHeight="1">
      <c r="C185" s="51" t="s">
        <v>21</v>
      </c>
      <c r="D185" s="53" t="s">
        <v>21</v>
      </c>
      <c r="E185" s="74" t="s">
        <v>21</v>
      </c>
      <c r="F185" s="51" t="s">
        <v>21</v>
      </c>
      <c r="G185" s="57" t="s">
        <v>21</v>
      </c>
      <c r="AB185" s="94"/>
    </row>
    <row r="186" spans="3:28" s="51" customFormat="1" ht="17.25" customHeight="1">
      <c r="C186" s="51" t="s">
        <v>21</v>
      </c>
      <c r="D186" s="53" t="s">
        <v>21</v>
      </c>
      <c r="E186" s="74" t="s">
        <v>21</v>
      </c>
      <c r="F186" s="51" t="s">
        <v>21</v>
      </c>
      <c r="G186" s="57" t="s">
        <v>21</v>
      </c>
      <c r="AB186" s="94"/>
    </row>
    <row r="187" spans="3:28" s="51" customFormat="1" ht="17.25" customHeight="1">
      <c r="C187" s="51" t="s">
        <v>21</v>
      </c>
      <c r="D187" s="53" t="s">
        <v>21</v>
      </c>
      <c r="E187" s="74" t="s">
        <v>21</v>
      </c>
      <c r="F187" s="51" t="s">
        <v>21</v>
      </c>
      <c r="G187" s="57" t="s">
        <v>21</v>
      </c>
      <c r="AB187" s="94"/>
    </row>
    <row r="188" spans="3:28" s="51" customFormat="1" ht="17.25" customHeight="1">
      <c r="C188" s="51" t="s">
        <v>21</v>
      </c>
      <c r="D188" s="53" t="s">
        <v>21</v>
      </c>
      <c r="E188" s="74" t="s">
        <v>21</v>
      </c>
      <c r="F188" s="51" t="s">
        <v>21</v>
      </c>
      <c r="G188" s="57" t="s">
        <v>21</v>
      </c>
      <c r="AB188" s="94"/>
    </row>
    <row r="189" spans="3:28" s="51" customFormat="1" ht="17.25" customHeight="1">
      <c r="C189" s="51" t="s">
        <v>21</v>
      </c>
      <c r="D189" s="53" t="s">
        <v>21</v>
      </c>
      <c r="E189" s="74" t="s">
        <v>21</v>
      </c>
      <c r="F189" s="51" t="s">
        <v>21</v>
      </c>
      <c r="G189" s="57" t="s">
        <v>21</v>
      </c>
      <c r="AB189" s="94"/>
    </row>
    <row r="190" spans="3:28" s="51" customFormat="1" ht="17.25" customHeight="1">
      <c r="C190" s="51" t="s">
        <v>21</v>
      </c>
      <c r="D190" s="53" t="s">
        <v>21</v>
      </c>
      <c r="E190" s="74" t="s">
        <v>21</v>
      </c>
      <c r="F190" s="51" t="s">
        <v>21</v>
      </c>
      <c r="G190" s="57" t="s">
        <v>21</v>
      </c>
      <c r="AB190" s="94"/>
    </row>
    <row r="191" spans="3:28" s="51" customFormat="1" ht="17.25" customHeight="1">
      <c r="C191" s="51" t="s">
        <v>21</v>
      </c>
      <c r="D191" s="53" t="s">
        <v>21</v>
      </c>
      <c r="E191" s="74" t="s">
        <v>21</v>
      </c>
      <c r="F191" s="51" t="s">
        <v>21</v>
      </c>
      <c r="G191" s="57" t="s">
        <v>21</v>
      </c>
      <c r="AB191" s="94"/>
    </row>
    <row r="192" spans="3:28" s="51" customFormat="1" ht="17.25" customHeight="1">
      <c r="C192" s="51" t="s">
        <v>21</v>
      </c>
      <c r="D192" s="53" t="s">
        <v>21</v>
      </c>
      <c r="E192" s="74" t="s">
        <v>21</v>
      </c>
      <c r="F192" s="51" t="s">
        <v>21</v>
      </c>
      <c r="G192" s="57" t="s">
        <v>21</v>
      </c>
      <c r="AB192" s="94"/>
    </row>
    <row r="193" spans="3:28" s="51" customFormat="1" ht="17.25" customHeight="1">
      <c r="C193" s="51" t="s">
        <v>21</v>
      </c>
      <c r="D193" s="53" t="s">
        <v>21</v>
      </c>
      <c r="E193" s="74" t="s">
        <v>21</v>
      </c>
      <c r="F193" s="51" t="s">
        <v>21</v>
      </c>
      <c r="G193" s="57" t="s">
        <v>21</v>
      </c>
      <c r="AB193" s="94"/>
    </row>
    <row r="194" spans="3:28" s="51" customFormat="1" ht="17.25" customHeight="1">
      <c r="C194" s="51" t="s">
        <v>21</v>
      </c>
      <c r="D194" s="53" t="s">
        <v>21</v>
      </c>
      <c r="E194" s="74" t="s">
        <v>21</v>
      </c>
      <c r="F194" s="51" t="s">
        <v>21</v>
      </c>
      <c r="G194" s="57" t="s">
        <v>21</v>
      </c>
      <c r="AB194" s="94"/>
    </row>
    <row r="195" spans="3:28" s="51" customFormat="1" ht="17.25" customHeight="1">
      <c r="C195" s="51" t="s">
        <v>21</v>
      </c>
      <c r="D195" s="53" t="s">
        <v>21</v>
      </c>
      <c r="E195" s="74" t="s">
        <v>21</v>
      </c>
      <c r="F195" s="51" t="s">
        <v>21</v>
      </c>
      <c r="G195" s="57" t="s">
        <v>21</v>
      </c>
      <c r="AB195" s="94"/>
    </row>
    <row r="196" spans="3:28" s="51" customFormat="1" ht="17.25" customHeight="1">
      <c r="C196" s="51" t="s">
        <v>21</v>
      </c>
      <c r="D196" s="53" t="s">
        <v>21</v>
      </c>
      <c r="E196" s="74" t="s">
        <v>21</v>
      </c>
      <c r="F196" s="51" t="s">
        <v>21</v>
      </c>
      <c r="G196" s="57" t="s">
        <v>21</v>
      </c>
      <c r="AB196" s="94"/>
    </row>
    <row r="197" spans="3:28" s="51" customFormat="1" ht="17.25" customHeight="1">
      <c r="C197" s="51" t="s">
        <v>21</v>
      </c>
      <c r="D197" s="53" t="s">
        <v>21</v>
      </c>
      <c r="E197" s="74" t="s">
        <v>21</v>
      </c>
      <c r="F197" s="51" t="s">
        <v>21</v>
      </c>
      <c r="G197" s="57" t="s">
        <v>21</v>
      </c>
      <c r="AB197" s="94"/>
    </row>
    <row r="198" spans="3:28" s="51" customFormat="1" ht="17.25" customHeight="1">
      <c r="C198" s="51" t="s">
        <v>21</v>
      </c>
      <c r="D198" s="53" t="s">
        <v>21</v>
      </c>
      <c r="E198" s="74" t="s">
        <v>21</v>
      </c>
      <c r="F198" s="51" t="s">
        <v>21</v>
      </c>
      <c r="G198" s="57" t="s">
        <v>21</v>
      </c>
      <c r="AB198" s="94"/>
    </row>
    <row r="199" spans="3:28" s="51" customFormat="1" ht="17.25" customHeight="1">
      <c r="C199" s="51" t="s">
        <v>21</v>
      </c>
      <c r="D199" s="53" t="s">
        <v>21</v>
      </c>
      <c r="E199" s="74" t="s">
        <v>21</v>
      </c>
      <c r="F199" s="51" t="s">
        <v>21</v>
      </c>
      <c r="G199" s="57" t="s">
        <v>21</v>
      </c>
      <c r="AB199" s="94"/>
    </row>
    <row r="200" spans="3:28" s="51" customFormat="1" ht="17.25" customHeight="1">
      <c r="C200" s="51" t="s">
        <v>21</v>
      </c>
      <c r="D200" s="53" t="s">
        <v>21</v>
      </c>
      <c r="E200" s="74" t="s">
        <v>21</v>
      </c>
      <c r="F200" s="51" t="s">
        <v>21</v>
      </c>
      <c r="G200" s="57" t="s">
        <v>21</v>
      </c>
      <c r="AB200" s="94"/>
    </row>
    <row r="201" spans="3:28" s="51" customFormat="1" ht="17.25" customHeight="1">
      <c r="C201" s="51" t="s">
        <v>21</v>
      </c>
      <c r="D201" s="53" t="s">
        <v>21</v>
      </c>
      <c r="E201" s="74" t="s">
        <v>21</v>
      </c>
      <c r="F201" s="51" t="s">
        <v>21</v>
      </c>
      <c r="G201" s="57" t="s">
        <v>21</v>
      </c>
      <c r="AB201" s="94"/>
    </row>
    <row r="202" spans="3:28" s="51" customFormat="1" ht="17.25" customHeight="1">
      <c r="C202" s="51" t="s">
        <v>21</v>
      </c>
      <c r="D202" s="53" t="s">
        <v>21</v>
      </c>
      <c r="E202" s="74" t="s">
        <v>21</v>
      </c>
      <c r="F202" s="51" t="s">
        <v>21</v>
      </c>
      <c r="G202" s="57" t="s">
        <v>21</v>
      </c>
      <c r="AB202" s="94"/>
    </row>
    <row r="203" spans="3:28" s="51" customFormat="1" ht="17.25" customHeight="1">
      <c r="C203" s="51" t="s">
        <v>21</v>
      </c>
      <c r="D203" s="53" t="s">
        <v>21</v>
      </c>
      <c r="E203" s="74" t="s">
        <v>21</v>
      </c>
      <c r="F203" s="51" t="s">
        <v>21</v>
      </c>
      <c r="G203" s="57" t="s">
        <v>21</v>
      </c>
      <c r="AB203" s="94"/>
    </row>
    <row r="204" spans="3:28" s="51" customFormat="1" ht="17.25" customHeight="1">
      <c r="C204" s="51" t="s">
        <v>21</v>
      </c>
      <c r="D204" s="53" t="s">
        <v>21</v>
      </c>
      <c r="E204" s="74" t="s">
        <v>21</v>
      </c>
      <c r="F204" s="51" t="s">
        <v>21</v>
      </c>
      <c r="G204" s="57" t="s">
        <v>21</v>
      </c>
      <c r="AB204" s="94"/>
    </row>
    <row r="205" spans="3:28" s="51" customFormat="1" ht="17.25" customHeight="1">
      <c r="C205" s="51" t="s">
        <v>21</v>
      </c>
      <c r="D205" s="53" t="s">
        <v>21</v>
      </c>
      <c r="E205" s="74" t="s">
        <v>21</v>
      </c>
      <c r="F205" s="51" t="s">
        <v>21</v>
      </c>
      <c r="G205" s="57" t="s">
        <v>21</v>
      </c>
      <c r="AB205" s="94"/>
    </row>
    <row r="206" spans="3:28" s="51" customFormat="1" ht="17.25" customHeight="1">
      <c r="C206" s="51" t="s">
        <v>21</v>
      </c>
      <c r="D206" s="53" t="s">
        <v>21</v>
      </c>
      <c r="E206" s="74" t="s">
        <v>21</v>
      </c>
      <c r="F206" s="51" t="s">
        <v>21</v>
      </c>
      <c r="G206" s="57" t="s">
        <v>21</v>
      </c>
      <c r="AB206" s="94"/>
    </row>
    <row r="207" spans="3:28" s="51" customFormat="1" ht="17.25" customHeight="1">
      <c r="C207" s="51" t="s">
        <v>21</v>
      </c>
      <c r="D207" s="53" t="s">
        <v>21</v>
      </c>
      <c r="E207" s="74" t="s">
        <v>21</v>
      </c>
      <c r="F207" s="51" t="s">
        <v>21</v>
      </c>
      <c r="G207" s="57" t="s">
        <v>21</v>
      </c>
      <c r="AB207" s="94"/>
    </row>
    <row r="208" spans="3:28" s="51" customFormat="1" ht="17.25" customHeight="1">
      <c r="C208" s="51" t="s">
        <v>21</v>
      </c>
      <c r="D208" s="53" t="s">
        <v>21</v>
      </c>
      <c r="E208" s="74" t="s">
        <v>21</v>
      </c>
      <c r="F208" s="51" t="s">
        <v>21</v>
      </c>
      <c r="G208" s="57" t="s">
        <v>21</v>
      </c>
      <c r="AB208" s="94"/>
    </row>
    <row r="209" spans="3:28" s="51" customFormat="1" ht="17.25" customHeight="1">
      <c r="C209" s="51" t="s">
        <v>21</v>
      </c>
      <c r="D209" s="53" t="s">
        <v>21</v>
      </c>
      <c r="E209" s="74" t="s">
        <v>21</v>
      </c>
      <c r="F209" s="51" t="s">
        <v>21</v>
      </c>
      <c r="G209" s="57" t="s">
        <v>21</v>
      </c>
      <c r="AB209" s="94"/>
    </row>
    <row r="210" spans="3:28" s="51" customFormat="1" ht="17.25" customHeight="1">
      <c r="C210" s="51" t="s">
        <v>21</v>
      </c>
      <c r="D210" s="53" t="s">
        <v>21</v>
      </c>
      <c r="E210" s="74" t="s">
        <v>21</v>
      </c>
      <c r="F210" s="51" t="s">
        <v>21</v>
      </c>
      <c r="G210" s="57" t="s">
        <v>21</v>
      </c>
      <c r="AB210" s="94"/>
    </row>
    <row r="211" spans="3:28" s="51" customFormat="1" ht="17.25" customHeight="1">
      <c r="C211" s="51" t="s">
        <v>21</v>
      </c>
      <c r="D211" s="53" t="s">
        <v>21</v>
      </c>
      <c r="E211" s="74" t="s">
        <v>21</v>
      </c>
      <c r="F211" s="51" t="s">
        <v>21</v>
      </c>
      <c r="G211" s="57" t="s">
        <v>21</v>
      </c>
      <c r="AB211" s="94"/>
    </row>
    <row r="212" spans="3:28" s="51" customFormat="1" ht="17.25" customHeight="1">
      <c r="C212" s="51" t="s">
        <v>21</v>
      </c>
      <c r="D212" s="53" t="s">
        <v>21</v>
      </c>
      <c r="E212" s="74" t="s">
        <v>21</v>
      </c>
      <c r="F212" s="51" t="s">
        <v>21</v>
      </c>
      <c r="G212" s="57" t="s">
        <v>21</v>
      </c>
      <c r="AB212" s="94"/>
    </row>
    <row r="213" spans="3:28" s="51" customFormat="1" ht="17.25" customHeight="1">
      <c r="C213" s="51" t="s">
        <v>21</v>
      </c>
      <c r="D213" s="53" t="s">
        <v>21</v>
      </c>
      <c r="E213" s="74" t="s">
        <v>21</v>
      </c>
      <c r="F213" s="51" t="s">
        <v>21</v>
      </c>
      <c r="G213" s="57" t="s">
        <v>21</v>
      </c>
      <c r="AB213" s="94"/>
    </row>
    <row r="214" spans="3:28" s="51" customFormat="1" ht="17.25" customHeight="1">
      <c r="C214" s="51" t="s">
        <v>21</v>
      </c>
      <c r="D214" s="53" t="s">
        <v>21</v>
      </c>
      <c r="E214" s="74" t="s">
        <v>21</v>
      </c>
      <c r="F214" s="51" t="s">
        <v>21</v>
      </c>
      <c r="G214" s="57" t="s">
        <v>21</v>
      </c>
      <c r="AB214" s="94"/>
    </row>
    <row r="215" spans="3:28" s="51" customFormat="1" ht="17.25" customHeight="1">
      <c r="C215" s="51" t="s">
        <v>21</v>
      </c>
      <c r="D215" s="53" t="s">
        <v>21</v>
      </c>
      <c r="E215" s="74" t="s">
        <v>21</v>
      </c>
      <c r="F215" s="51" t="s">
        <v>21</v>
      </c>
      <c r="G215" s="57" t="s">
        <v>21</v>
      </c>
      <c r="AB215" s="94"/>
    </row>
    <row r="216" spans="3:28" s="51" customFormat="1" ht="17.25" customHeight="1">
      <c r="C216" s="51" t="s">
        <v>21</v>
      </c>
      <c r="D216" s="53" t="s">
        <v>21</v>
      </c>
      <c r="E216" s="74" t="s">
        <v>21</v>
      </c>
      <c r="F216" s="51" t="s">
        <v>21</v>
      </c>
      <c r="G216" s="57" t="s">
        <v>21</v>
      </c>
      <c r="AB216" s="94"/>
    </row>
    <row r="217" spans="3:28" s="51" customFormat="1" ht="17.25" customHeight="1">
      <c r="C217" s="51" t="s">
        <v>21</v>
      </c>
      <c r="D217" s="53" t="s">
        <v>21</v>
      </c>
      <c r="E217" s="74" t="s">
        <v>21</v>
      </c>
      <c r="F217" s="51" t="s">
        <v>21</v>
      </c>
      <c r="G217" s="57" t="s">
        <v>21</v>
      </c>
      <c r="AB217" s="94"/>
    </row>
    <row r="218" spans="3:28" s="51" customFormat="1" ht="17.25" customHeight="1">
      <c r="C218" s="51" t="s">
        <v>21</v>
      </c>
      <c r="D218" s="53" t="s">
        <v>21</v>
      </c>
      <c r="E218" s="74" t="s">
        <v>21</v>
      </c>
      <c r="F218" s="51" t="s">
        <v>21</v>
      </c>
      <c r="G218" s="57" t="s">
        <v>21</v>
      </c>
      <c r="AB218" s="94"/>
    </row>
    <row r="219" spans="3:28" s="51" customFormat="1" ht="17.25" customHeight="1">
      <c r="C219" s="51" t="s">
        <v>21</v>
      </c>
      <c r="D219" s="53" t="s">
        <v>21</v>
      </c>
      <c r="E219" s="74" t="s">
        <v>21</v>
      </c>
      <c r="F219" s="51" t="s">
        <v>21</v>
      </c>
      <c r="G219" s="57" t="s">
        <v>21</v>
      </c>
      <c r="AB219" s="94"/>
    </row>
    <row r="220" spans="3:28" s="51" customFormat="1" ht="17.25" customHeight="1">
      <c r="C220" s="51" t="s">
        <v>21</v>
      </c>
      <c r="D220" s="53" t="s">
        <v>21</v>
      </c>
      <c r="E220" s="74" t="s">
        <v>21</v>
      </c>
      <c r="F220" s="51" t="s">
        <v>21</v>
      </c>
      <c r="G220" s="57" t="s">
        <v>21</v>
      </c>
      <c r="AB220" s="94"/>
    </row>
    <row r="221" spans="3:28" s="51" customFormat="1" ht="17.25" customHeight="1">
      <c r="C221" s="51" t="s">
        <v>21</v>
      </c>
      <c r="D221" s="53" t="s">
        <v>21</v>
      </c>
      <c r="E221" s="74" t="s">
        <v>21</v>
      </c>
      <c r="F221" s="51" t="s">
        <v>21</v>
      </c>
      <c r="G221" s="57" t="s">
        <v>21</v>
      </c>
      <c r="AB221" s="94"/>
    </row>
    <row r="222" spans="3:28" s="51" customFormat="1" ht="17.25" customHeight="1">
      <c r="C222" s="51" t="s">
        <v>21</v>
      </c>
      <c r="D222" s="53" t="s">
        <v>21</v>
      </c>
      <c r="E222" s="74" t="s">
        <v>21</v>
      </c>
      <c r="F222" s="51" t="s">
        <v>21</v>
      </c>
      <c r="G222" s="57" t="s">
        <v>21</v>
      </c>
      <c r="AB222" s="94"/>
    </row>
    <row r="223" spans="3:28" s="51" customFormat="1" ht="17.25" customHeight="1">
      <c r="C223" s="51" t="s">
        <v>21</v>
      </c>
      <c r="D223" s="53" t="s">
        <v>21</v>
      </c>
      <c r="E223" s="74" t="s">
        <v>21</v>
      </c>
      <c r="F223" s="51" t="s">
        <v>21</v>
      </c>
      <c r="G223" s="57" t="s">
        <v>21</v>
      </c>
      <c r="AB223" s="94"/>
    </row>
    <row r="224" spans="3:28" s="51" customFormat="1" ht="17.25" customHeight="1">
      <c r="C224" s="51" t="s">
        <v>21</v>
      </c>
      <c r="D224" s="53" t="s">
        <v>21</v>
      </c>
      <c r="E224" s="74" t="s">
        <v>21</v>
      </c>
      <c r="F224" s="51" t="s">
        <v>21</v>
      </c>
      <c r="G224" s="57" t="s">
        <v>21</v>
      </c>
      <c r="AB224" s="94"/>
    </row>
    <row r="225" spans="3:28" s="51" customFormat="1" ht="17.25" customHeight="1">
      <c r="C225" s="51" t="s">
        <v>21</v>
      </c>
      <c r="D225" s="53" t="s">
        <v>21</v>
      </c>
      <c r="E225" s="74" t="s">
        <v>21</v>
      </c>
      <c r="F225" s="51" t="s">
        <v>21</v>
      </c>
      <c r="G225" s="57" t="s">
        <v>21</v>
      </c>
      <c r="AB225" s="94"/>
    </row>
    <row r="226" spans="3:28" s="51" customFormat="1" ht="17.25" customHeight="1">
      <c r="C226" s="51" t="s">
        <v>21</v>
      </c>
      <c r="D226" s="53" t="s">
        <v>21</v>
      </c>
      <c r="E226" s="74" t="s">
        <v>21</v>
      </c>
      <c r="F226" s="51" t="s">
        <v>21</v>
      </c>
      <c r="G226" s="57" t="s">
        <v>21</v>
      </c>
      <c r="AB226" s="94"/>
    </row>
    <row r="227" spans="3:28" s="51" customFormat="1" ht="17.25" customHeight="1">
      <c r="C227" s="51" t="s">
        <v>21</v>
      </c>
      <c r="D227" s="53" t="s">
        <v>21</v>
      </c>
      <c r="E227" s="74" t="s">
        <v>21</v>
      </c>
      <c r="F227" s="51" t="s">
        <v>21</v>
      </c>
      <c r="G227" s="57" t="s">
        <v>21</v>
      </c>
      <c r="AB227" s="94"/>
    </row>
    <row r="228" spans="3:28" s="51" customFormat="1" ht="17.25" customHeight="1">
      <c r="AB228" s="94"/>
    </row>
    <row r="229" spans="3:28" s="51" customFormat="1" ht="17.25" customHeight="1">
      <c r="AB229" s="94"/>
    </row>
    <row r="230" spans="3:28" s="51" customFormat="1" ht="17.25" customHeight="1">
      <c r="AB230" s="94"/>
    </row>
    <row r="231" spans="3:28" s="51" customFormat="1" ht="17.25" customHeight="1">
      <c r="AB231" s="94"/>
    </row>
    <row r="232" spans="3:28" s="51" customFormat="1" ht="17.25" customHeight="1">
      <c r="AB232" s="94"/>
    </row>
    <row r="233" spans="3:28" s="51" customFormat="1" ht="17.25" customHeight="1">
      <c r="AB233" s="94"/>
    </row>
    <row r="234" spans="3:28" s="51" customFormat="1" ht="17.25" customHeight="1">
      <c r="AB234" s="94"/>
    </row>
    <row r="235" spans="3:28" s="51" customFormat="1" ht="17.25" customHeight="1">
      <c r="AB235" s="94"/>
    </row>
    <row r="236" spans="3:28" s="51" customFormat="1" ht="17.25" customHeight="1">
      <c r="AB236" s="94"/>
    </row>
    <row r="237" spans="3:28" s="51" customFormat="1" ht="17.25" customHeight="1">
      <c r="AB237" s="94"/>
    </row>
    <row r="238" spans="3:28" s="51" customFormat="1" ht="17.25" customHeight="1">
      <c r="AB238" s="94"/>
    </row>
    <row r="239" spans="3:28" s="51" customFormat="1" ht="17.25" customHeight="1">
      <c r="AB239" s="94"/>
    </row>
    <row r="240" spans="3:28" s="51" customFormat="1" ht="17.25" customHeight="1">
      <c r="AB240" s="94"/>
    </row>
    <row r="241" spans="28:28" s="51" customFormat="1" ht="17.25" customHeight="1">
      <c r="AB241" s="94"/>
    </row>
    <row r="242" spans="28:28" s="51" customFormat="1" ht="17.25" customHeight="1">
      <c r="AB242" s="94"/>
    </row>
    <row r="243" spans="28:28" s="51" customFormat="1" ht="17.25" customHeight="1">
      <c r="AB243" s="94"/>
    </row>
    <row r="244" spans="28:28" s="51" customFormat="1" ht="17.25" customHeight="1">
      <c r="AB244" s="94"/>
    </row>
    <row r="245" spans="28:28" s="51" customFormat="1" ht="17.25" customHeight="1">
      <c r="AB245" s="94"/>
    </row>
    <row r="246" spans="28:28" s="51" customFormat="1" ht="17.25" customHeight="1">
      <c r="AB246" s="94"/>
    </row>
    <row r="247" spans="28:28" s="51" customFormat="1" ht="17.25" customHeight="1">
      <c r="AB247" s="94"/>
    </row>
    <row r="248" spans="28:28" s="51" customFormat="1" ht="17.25" customHeight="1">
      <c r="AB248" s="94"/>
    </row>
    <row r="249" spans="28:28" s="51" customFormat="1" ht="17.25" customHeight="1">
      <c r="AB249" s="94"/>
    </row>
    <row r="250" spans="28:28" s="51" customFormat="1" ht="17.25" customHeight="1">
      <c r="AB250" s="94"/>
    </row>
    <row r="251" spans="28:28" s="51" customFormat="1" ht="17.25" customHeight="1">
      <c r="AB251" s="94"/>
    </row>
    <row r="252" spans="28:28" s="51" customFormat="1" ht="17.25" customHeight="1">
      <c r="AB252" s="94"/>
    </row>
    <row r="253" spans="28:28" s="51" customFormat="1" ht="17.25" customHeight="1">
      <c r="AB253" s="94"/>
    </row>
    <row r="254" spans="28:28" s="51" customFormat="1" ht="17.25" customHeight="1">
      <c r="AB254" s="94"/>
    </row>
    <row r="255" spans="28:28" s="51" customFormat="1" ht="17.25" customHeight="1">
      <c r="AB255" s="94"/>
    </row>
    <row r="256" spans="28:28" s="51" customFormat="1" ht="17.25" customHeight="1">
      <c r="AB256" s="94"/>
    </row>
    <row r="257" spans="28:28" s="51" customFormat="1" ht="17.25" customHeight="1">
      <c r="AB257" s="94"/>
    </row>
    <row r="258" spans="28:28" s="51" customFormat="1" ht="17.25" customHeight="1">
      <c r="AB258" s="94"/>
    </row>
    <row r="259" spans="28:28" s="51" customFormat="1" ht="17.25" customHeight="1">
      <c r="AB259" s="94"/>
    </row>
    <row r="260" spans="28:28" s="51" customFormat="1" ht="17.25" customHeight="1">
      <c r="AB260" s="94"/>
    </row>
    <row r="261" spans="28:28" s="51" customFormat="1" ht="17.25" customHeight="1">
      <c r="AB261" s="94"/>
    </row>
    <row r="262" spans="28:28" s="51" customFormat="1" ht="17.25" customHeight="1">
      <c r="AB262" s="94"/>
    </row>
    <row r="263" spans="28:28" s="51" customFormat="1" ht="17.25" customHeight="1">
      <c r="AB263" s="94"/>
    </row>
    <row r="264" spans="28:28" s="51" customFormat="1" ht="17.25" customHeight="1">
      <c r="AB264" s="94"/>
    </row>
    <row r="265" spans="28:28" s="51" customFormat="1" ht="17.25" customHeight="1">
      <c r="AB265" s="94"/>
    </row>
    <row r="266" spans="28:28" s="51" customFormat="1" ht="17.25" customHeight="1">
      <c r="AB266" s="94"/>
    </row>
    <row r="267" spans="28:28" s="51" customFormat="1" ht="17.25" customHeight="1">
      <c r="AB267" s="94"/>
    </row>
    <row r="268" spans="28:28" s="51" customFormat="1" ht="17.25" customHeight="1">
      <c r="AB268" s="94"/>
    </row>
    <row r="269" spans="28:28" s="51" customFormat="1" ht="17.25" customHeight="1">
      <c r="AB269" s="94"/>
    </row>
    <row r="270" spans="28:28" s="51" customFormat="1" ht="17.25" customHeight="1">
      <c r="AB270" s="94"/>
    </row>
    <row r="271" spans="28:28" s="51" customFormat="1" ht="17.25" customHeight="1">
      <c r="AB271" s="94"/>
    </row>
    <row r="272" spans="28:28" s="51" customFormat="1" ht="17.25" customHeight="1">
      <c r="AB272" s="94"/>
    </row>
    <row r="273" spans="28:28" s="51" customFormat="1" ht="17.25" customHeight="1">
      <c r="AB273" s="94"/>
    </row>
    <row r="274" spans="28:28" s="51" customFormat="1" ht="17.25" customHeight="1">
      <c r="AB274" s="94"/>
    </row>
    <row r="275" spans="28:28" s="51" customFormat="1" ht="17.25" customHeight="1">
      <c r="AB275" s="94"/>
    </row>
    <row r="276" spans="28:28" s="51" customFormat="1" ht="17.25" customHeight="1">
      <c r="AB276" s="94"/>
    </row>
    <row r="277" spans="28:28" s="51" customFormat="1" ht="17.25" customHeight="1">
      <c r="AB277" s="94"/>
    </row>
    <row r="278" spans="28:28" s="51" customFormat="1" ht="17.25" customHeight="1">
      <c r="AB278" s="94"/>
    </row>
    <row r="279" spans="28:28" s="51" customFormat="1" ht="17.25" customHeight="1">
      <c r="AB279" s="94"/>
    </row>
    <row r="280" spans="28:28" s="51" customFormat="1" ht="17.25" customHeight="1">
      <c r="AB280" s="94"/>
    </row>
    <row r="281" spans="28:28" s="51" customFormat="1" ht="17.25" customHeight="1">
      <c r="AB281" s="94"/>
    </row>
    <row r="282" spans="28:28" s="51" customFormat="1" ht="17.25" customHeight="1">
      <c r="AB282" s="94"/>
    </row>
    <row r="283" spans="28:28" s="51" customFormat="1" ht="17.25" customHeight="1">
      <c r="AB283" s="94"/>
    </row>
    <row r="284" spans="28:28" s="51" customFormat="1" ht="17.25" customHeight="1">
      <c r="AB284" s="94"/>
    </row>
    <row r="285" spans="28:28" s="51" customFormat="1" ht="17.25" customHeight="1">
      <c r="AB285" s="94"/>
    </row>
    <row r="286" spans="28:28" s="51" customFormat="1" ht="17.25" customHeight="1">
      <c r="AB286" s="94"/>
    </row>
    <row r="287" spans="28:28" s="51" customFormat="1" ht="17.25" customHeight="1">
      <c r="AB287" s="94"/>
    </row>
    <row r="288" spans="28:28" s="51" customFormat="1" ht="17.25" customHeight="1">
      <c r="AB288" s="94"/>
    </row>
    <row r="289" spans="28:28" s="51" customFormat="1" ht="17.25" customHeight="1">
      <c r="AB289" s="94"/>
    </row>
    <row r="290" spans="28:28" s="51" customFormat="1" ht="17.25" customHeight="1">
      <c r="AB290" s="94"/>
    </row>
    <row r="291" spans="28:28" s="51" customFormat="1" ht="17.25" customHeight="1">
      <c r="AB291" s="94"/>
    </row>
    <row r="292" spans="28:28" s="51" customFormat="1" ht="17.25" customHeight="1">
      <c r="AB292" s="94"/>
    </row>
    <row r="293" spans="28:28" s="51" customFormat="1" ht="17.25" customHeight="1">
      <c r="AB293" s="94"/>
    </row>
    <row r="294" spans="28:28" s="51" customFormat="1" ht="17.25" customHeight="1">
      <c r="AB294" s="94"/>
    </row>
    <row r="295" spans="28:28" s="51" customFormat="1" ht="17.25" customHeight="1">
      <c r="AB295" s="94"/>
    </row>
    <row r="296" spans="28:28" s="51" customFormat="1" ht="17.25" customHeight="1">
      <c r="AB296" s="94"/>
    </row>
    <row r="297" spans="28:28" s="51" customFormat="1" ht="17.25" customHeight="1">
      <c r="AB297" s="94"/>
    </row>
    <row r="298" spans="28:28" s="51" customFormat="1" ht="17.25" customHeight="1">
      <c r="AB298" s="94"/>
    </row>
    <row r="299" spans="28:28" s="51" customFormat="1" ht="17.25" customHeight="1">
      <c r="AB299" s="94"/>
    </row>
    <row r="300" spans="28:28" s="51" customFormat="1" ht="17.25" customHeight="1">
      <c r="AB300" s="94"/>
    </row>
    <row r="301" spans="28:28" s="51" customFormat="1" ht="17.25" customHeight="1">
      <c r="AB301" s="94"/>
    </row>
    <row r="302" spans="28:28" s="51" customFormat="1" ht="17.25" customHeight="1">
      <c r="AB302" s="94"/>
    </row>
    <row r="303" spans="28:28" s="51" customFormat="1" ht="17.25" customHeight="1">
      <c r="AB303" s="94"/>
    </row>
    <row r="304" spans="28:28" s="51" customFormat="1" ht="17.25" customHeight="1">
      <c r="AB304" s="94"/>
    </row>
    <row r="305" spans="28:28" s="51" customFormat="1" ht="17.25" customHeight="1">
      <c r="AB305" s="94"/>
    </row>
    <row r="306" spans="28:28" s="51" customFormat="1" ht="17.25" customHeight="1">
      <c r="AB306" s="94"/>
    </row>
    <row r="307" spans="28:28" s="51" customFormat="1" ht="17.25" customHeight="1">
      <c r="AB307" s="94"/>
    </row>
    <row r="308" spans="28:28" s="51" customFormat="1" ht="17.25" customHeight="1">
      <c r="AB308" s="94"/>
    </row>
    <row r="309" spans="28:28" s="51" customFormat="1" ht="17.25" customHeight="1">
      <c r="AB309" s="94"/>
    </row>
    <row r="310" spans="28:28" s="51" customFormat="1" ht="17.25" customHeight="1">
      <c r="AB310" s="94"/>
    </row>
    <row r="311" spans="28:28" s="51" customFormat="1" ht="17.25" customHeight="1">
      <c r="AB311" s="94"/>
    </row>
    <row r="312" spans="28:28" s="51" customFormat="1" ht="17.25" customHeight="1">
      <c r="AB312" s="94"/>
    </row>
    <row r="313" spans="28:28" s="51" customFormat="1" ht="17.25" customHeight="1">
      <c r="AB313" s="94"/>
    </row>
    <row r="314" spans="28:28" s="51" customFormat="1" ht="17.25" customHeight="1">
      <c r="AB314" s="94"/>
    </row>
    <row r="315" spans="28:28" s="51" customFormat="1" ht="17.25" customHeight="1">
      <c r="AB315" s="94"/>
    </row>
    <row r="316" spans="28:28" s="51" customFormat="1" ht="17.25" customHeight="1">
      <c r="AB316" s="94"/>
    </row>
    <row r="317" spans="28:28" s="51" customFormat="1" ht="17.25" customHeight="1">
      <c r="AB317" s="94"/>
    </row>
    <row r="318" spans="28:28" s="51" customFormat="1" ht="17.25" customHeight="1">
      <c r="AB318" s="94"/>
    </row>
    <row r="319" spans="28:28" s="51" customFormat="1" ht="17.25" customHeight="1">
      <c r="AB319" s="94"/>
    </row>
    <row r="320" spans="28:28" s="51" customFormat="1" ht="17.25" customHeight="1">
      <c r="AB320" s="94"/>
    </row>
    <row r="321" spans="28:28" s="51" customFormat="1" ht="17.25" customHeight="1">
      <c r="AB321" s="94"/>
    </row>
    <row r="322" spans="28:28" s="51" customFormat="1" ht="17.25" customHeight="1">
      <c r="AB322" s="94"/>
    </row>
    <row r="323" spans="28:28" s="51" customFormat="1" ht="17.25" customHeight="1">
      <c r="AB323" s="94"/>
    </row>
    <row r="324" spans="28:28" s="51" customFormat="1" ht="17.25" customHeight="1">
      <c r="AB324" s="94"/>
    </row>
    <row r="325" spans="28:28" s="51" customFormat="1" ht="17.25" customHeight="1">
      <c r="AB325" s="94"/>
    </row>
    <row r="326" spans="28:28" s="51" customFormat="1" ht="17.25" customHeight="1">
      <c r="AB326" s="94"/>
    </row>
    <row r="327" spans="28:28" s="51" customFormat="1" ht="17.25" customHeight="1">
      <c r="AB327" s="94"/>
    </row>
    <row r="328" spans="28:28" s="51" customFormat="1" ht="17.25" customHeight="1">
      <c r="AB328" s="94"/>
    </row>
    <row r="329" spans="28:28" s="51" customFormat="1" ht="17.25" customHeight="1">
      <c r="AB329" s="94"/>
    </row>
    <row r="330" spans="28:28" s="51" customFormat="1" ht="17.25" customHeight="1">
      <c r="AB330" s="94"/>
    </row>
    <row r="331" spans="28:28" s="51" customFormat="1" ht="17.25" customHeight="1">
      <c r="AB331" s="94"/>
    </row>
    <row r="332" spans="28:28" s="51" customFormat="1" ht="17.25" customHeight="1">
      <c r="AB332" s="94"/>
    </row>
    <row r="333" spans="28:28" s="51" customFormat="1" ht="17.25" customHeight="1">
      <c r="AB333" s="94"/>
    </row>
    <row r="334" spans="28:28" s="51" customFormat="1" ht="17.25" customHeight="1">
      <c r="AB334" s="94"/>
    </row>
    <row r="335" spans="28:28" s="51" customFormat="1" ht="17.25" customHeight="1">
      <c r="AB335" s="94"/>
    </row>
    <row r="336" spans="28:28" s="51" customFormat="1" ht="17.25" customHeight="1">
      <c r="AB336" s="94"/>
    </row>
    <row r="337" spans="28:28" s="51" customFormat="1" ht="17.25" customHeight="1">
      <c r="AB337" s="94"/>
    </row>
    <row r="338" spans="28:28" s="51" customFormat="1" ht="17.25" customHeight="1">
      <c r="AB338" s="94"/>
    </row>
    <row r="339" spans="28:28" s="51" customFormat="1" ht="17.25" customHeight="1">
      <c r="AB339" s="94"/>
    </row>
    <row r="340" spans="28:28" s="51" customFormat="1" ht="17.25" customHeight="1">
      <c r="AB340" s="94"/>
    </row>
    <row r="341" spans="28:28" s="51" customFormat="1" ht="17.25" customHeight="1">
      <c r="AB341" s="94"/>
    </row>
    <row r="342" spans="28:28" s="51" customFormat="1" ht="17.25" customHeight="1">
      <c r="AB342" s="94"/>
    </row>
    <row r="343" spans="28:28" s="51" customFormat="1" ht="17.25" customHeight="1">
      <c r="AB343" s="94"/>
    </row>
    <row r="344" spans="28:28" s="51" customFormat="1" ht="17.25" customHeight="1">
      <c r="AB344" s="94"/>
    </row>
    <row r="345" spans="28:28" s="51" customFormat="1" ht="17.25" customHeight="1">
      <c r="AB345" s="94"/>
    </row>
    <row r="346" spans="28:28" s="51" customFormat="1" ht="17.25" customHeight="1">
      <c r="AB346" s="94"/>
    </row>
    <row r="347" spans="28:28" s="51" customFormat="1" ht="17.25" customHeight="1">
      <c r="AB347" s="94"/>
    </row>
    <row r="348" spans="28:28" s="51" customFormat="1" ht="17.25" customHeight="1">
      <c r="AB348" s="94"/>
    </row>
    <row r="349" spans="28:28" s="51" customFormat="1" ht="17.25" customHeight="1">
      <c r="AB349" s="94"/>
    </row>
    <row r="350" spans="28:28" s="51" customFormat="1" ht="17.25" customHeight="1">
      <c r="AB350" s="94"/>
    </row>
    <row r="351" spans="28:28" s="51" customFormat="1" ht="17.25" customHeight="1">
      <c r="AB351" s="94"/>
    </row>
    <row r="352" spans="28:28" s="51" customFormat="1" ht="17.25" customHeight="1">
      <c r="AB352" s="94"/>
    </row>
    <row r="353" spans="28:28" s="51" customFormat="1" ht="17.25" customHeight="1">
      <c r="AB353" s="94"/>
    </row>
    <row r="354" spans="28:28" s="51" customFormat="1" ht="17.25" customHeight="1">
      <c r="AB354" s="94"/>
    </row>
    <row r="355" spans="28:28" s="51" customFormat="1" ht="17.25" customHeight="1">
      <c r="AB355" s="94"/>
    </row>
    <row r="356" spans="28:28" s="51" customFormat="1" ht="17.25" customHeight="1">
      <c r="AB356" s="94"/>
    </row>
    <row r="357" spans="28:28" s="51" customFormat="1" ht="17.25" customHeight="1">
      <c r="AB357" s="94"/>
    </row>
    <row r="358" spans="28:28" s="51" customFormat="1" ht="17.25" customHeight="1">
      <c r="AB358" s="94"/>
    </row>
    <row r="359" spans="28:28" s="51" customFormat="1" ht="17.25" customHeight="1">
      <c r="AB359" s="94"/>
    </row>
    <row r="360" spans="28:28" s="51" customFormat="1" ht="17.25" customHeight="1">
      <c r="AB360" s="94"/>
    </row>
    <row r="361" spans="28:28" s="51" customFormat="1" ht="17.25" customHeight="1">
      <c r="AB361" s="94"/>
    </row>
    <row r="362" spans="28:28" s="51" customFormat="1" ht="17.25" customHeight="1">
      <c r="AB362" s="94"/>
    </row>
    <row r="363" spans="28:28" s="51" customFormat="1" ht="17.25" customHeight="1">
      <c r="AB363" s="94"/>
    </row>
    <row r="364" spans="28:28" s="51" customFormat="1" ht="17.25" customHeight="1">
      <c r="AB364" s="94"/>
    </row>
    <row r="365" spans="28:28" s="51" customFormat="1" ht="17.25" customHeight="1">
      <c r="AB365" s="94"/>
    </row>
    <row r="366" spans="28:28" s="51" customFormat="1" ht="17.25" customHeight="1">
      <c r="AB366" s="94"/>
    </row>
    <row r="367" spans="28:28" s="51" customFormat="1" ht="17.25" customHeight="1">
      <c r="AB367" s="94"/>
    </row>
    <row r="368" spans="28:28" s="51" customFormat="1" ht="17.25" customHeight="1">
      <c r="AB368" s="94"/>
    </row>
    <row r="369" spans="28:28" s="51" customFormat="1" ht="17.25" customHeight="1">
      <c r="AB369" s="94"/>
    </row>
    <row r="370" spans="28:28" s="51" customFormat="1" ht="17.25" customHeight="1">
      <c r="AB370" s="94"/>
    </row>
    <row r="371" spans="28:28" s="51" customFormat="1" ht="17.25" customHeight="1">
      <c r="AB371" s="94"/>
    </row>
    <row r="372" spans="28:28" s="51" customFormat="1" ht="17.25" customHeight="1">
      <c r="AB372" s="94"/>
    </row>
    <row r="373" spans="28:28" s="51" customFormat="1" ht="17.25" customHeight="1">
      <c r="AB373" s="94"/>
    </row>
    <row r="374" spans="28:28" s="51" customFormat="1" ht="17.25" customHeight="1">
      <c r="AB374" s="94"/>
    </row>
    <row r="375" spans="28:28" s="51" customFormat="1" ht="17.25" customHeight="1">
      <c r="AB375" s="94"/>
    </row>
    <row r="376" spans="28:28" s="51" customFormat="1" ht="17.25" customHeight="1">
      <c r="AB376" s="94"/>
    </row>
    <row r="377" spans="28:28" s="51" customFormat="1" ht="17.25" customHeight="1">
      <c r="AB377" s="94"/>
    </row>
    <row r="378" spans="28:28" s="51" customFormat="1" ht="17.25" customHeight="1">
      <c r="AB378" s="94"/>
    </row>
    <row r="379" spans="28:28" s="51" customFormat="1" ht="17.25" customHeight="1">
      <c r="AB379" s="94"/>
    </row>
    <row r="380" spans="28:28" s="51" customFormat="1" ht="17.25" customHeight="1">
      <c r="AB380" s="94"/>
    </row>
    <row r="381" spans="28:28" s="51" customFormat="1" ht="17.25" customHeight="1">
      <c r="AB381" s="94"/>
    </row>
    <row r="382" spans="28:28" s="51" customFormat="1" ht="17.25" customHeight="1">
      <c r="AB382" s="94"/>
    </row>
    <row r="383" spans="28:28" s="51" customFormat="1" ht="17.25" customHeight="1">
      <c r="AB383" s="94"/>
    </row>
    <row r="384" spans="28:28" s="51" customFormat="1" ht="17.25" customHeight="1">
      <c r="AB384" s="94"/>
    </row>
    <row r="385" spans="28:28" s="51" customFormat="1" ht="17.25" customHeight="1">
      <c r="AB385" s="94"/>
    </row>
    <row r="386" spans="28:28" s="51" customFormat="1" ht="17.25" customHeight="1">
      <c r="AB386" s="94"/>
    </row>
    <row r="387" spans="28:28" s="51" customFormat="1" ht="17.25" customHeight="1">
      <c r="AB387" s="94"/>
    </row>
    <row r="388" spans="28:28" s="51" customFormat="1" ht="17.25" customHeight="1">
      <c r="AB388" s="94"/>
    </row>
    <row r="389" spans="28:28" s="51" customFormat="1" ht="17.25" customHeight="1">
      <c r="AB389" s="94"/>
    </row>
    <row r="390" spans="28:28" s="51" customFormat="1" ht="17.25" customHeight="1">
      <c r="AB390" s="94"/>
    </row>
    <row r="391" spans="28:28" s="51" customFormat="1" ht="17.25" customHeight="1">
      <c r="AB391" s="94"/>
    </row>
    <row r="392" spans="28:28" s="51" customFormat="1" ht="17.25" customHeight="1">
      <c r="AB392" s="94"/>
    </row>
    <row r="393" spans="28:28" s="51" customFormat="1" ht="17.25" customHeight="1">
      <c r="AB393" s="94"/>
    </row>
    <row r="394" spans="28:28" s="51" customFormat="1" ht="17.25" customHeight="1">
      <c r="AB394" s="94"/>
    </row>
    <row r="395" spans="28:28" s="51" customFormat="1" ht="17.25" customHeight="1">
      <c r="AB395" s="94"/>
    </row>
    <row r="396" spans="28:28" s="51" customFormat="1" ht="17.25" customHeight="1">
      <c r="AB396" s="94"/>
    </row>
    <row r="397" spans="28:28" s="51" customFormat="1" ht="17.25" customHeight="1">
      <c r="AB397" s="94"/>
    </row>
    <row r="398" spans="28:28" s="51" customFormat="1" ht="17.25" customHeight="1">
      <c r="AB398" s="94"/>
    </row>
    <row r="399" spans="28:28" s="51" customFormat="1" ht="17.25" customHeight="1">
      <c r="AB399" s="94"/>
    </row>
    <row r="400" spans="28:28" s="51" customFormat="1" ht="17.25" customHeight="1">
      <c r="AB400" s="94"/>
    </row>
    <row r="401" spans="28:28" s="51" customFormat="1" ht="17.25" customHeight="1">
      <c r="AB401" s="94"/>
    </row>
    <row r="402" spans="28:28" s="51" customFormat="1" ht="17.25" customHeight="1">
      <c r="AB402" s="94"/>
    </row>
    <row r="403" spans="28:28" s="51" customFormat="1" ht="17.25" customHeight="1">
      <c r="AB403" s="94"/>
    </row>
    <row r="404" spans="28:28" s="51" customFormat="1" ht="17.25" customHeight="1">
      <c r="AB404" s="94"/>
    </row>
    <row r="405" spans="28:28" s="51" customFormat="1" ht="17.25" customHeight="1">
      <c r="AB405" s="94"/>
    </row>
    <row r="406" spans="28:28" s="51" customFormat="1" ht="17.25" customHeight="1">
      <c r="AB406" s="94"/>
    </row>
    <row r="407" spans="28:28" s="51" customFormat="1" ht="17.25" customHeight="1">
      <c r="AB407" s="94"/>
    </row>
    <row r="408" spans="28:28" s="51" customFormat="1" ht="17.25" customHeight="1">
      <c r="AB408" s="94"/>
    </row>
    <row r="409" spans="28:28" s="51" customFormat="1" ht="17.25" customHeight="1">
      <c r="AB409" s="94"/>
    </row>
    <row r="410" spans="28:28" s="51" customFormat="1" ht="17.25" customHeight="1">
      <c r="AB410" s="94"/>
    </row>
    <row r="411" spans="28:28" s="51" customFormat="1" ht="17.25" customHeight="1">
      <c r="AB411" s="94"/>
    </row>
    <row r="412" spans="28:28" s="51" customFormat="1" ht="17.25" customHeight="1">
      <c r="AB412" s="94"/>
    </row>
    <row r="413" spans="28:28" s="51" customFormat="1" ht="17.25" customHeight="1">
      <c r="AB413" s="94"/>
    </row>
    <row r="414" spans="28:28" s="51" customFormat="1" ht="17.25" customHeight="1">
      <c r="AB414" s="94"/>
    </row>
    <row r="415" spans="28:28" s="51" customFormat="1" ht="17.25" customHeight="1">
      <c r="AB415" s="94"/>
    </row>
    <row r="416" spans="28:28" s="51" customFormat="1" ht="17.25" customHeight="1">
      <c r="AB416" s="94"/>
    </row>
    <row r="417" spans="28:28" s="51" customFormat="1" ht="17.25" customHeight="1">
      <c r="AB417" s="94"/>
    </row>
    <row r="418" spans="28:28" s="51" customFormat="1" ht="17.25" customHeight="1">
      <c r="AB418" s="94"/>
    </row>
    <row r="419" spans="28:28" s="51" customFormat="1" ht="17.25" customHeight="1">
      <c r="AB419" s="94"/>
    </row>
    <row r="420" spans="28:28" s="51" customFormat="1" ht="17.25" customHeight="1">
      <c r="AB420" s="94"/>
    </row>
    <row r="421" spans="28:28" s="51" customFormat="1" ht="17.25" customHeight="1">
      <c r="AB421" s="94"/>
    </row>
    <row r="422" spans="28:28" s="51" customFormat="1" ht="17.25" customHeight="1">
      <c r="AB422" s="94"/>
    </row>
    <row r="423" spans="28:28" s="51" customFormat="1" ht="17.25" customHeight="1">
      <c r="AB423" s="94"/>
    </row>
    <row r="424" spans="28:28" s="51" customFormat="1" ht="17.25" customHeight="1">
      <c r="AB424" s="94"/>
    </row>
    <row r="425" spans="28:28" s="51" customFormat="1" ht="17.25" customHeight="1">
      <c r="AB425" s="94"/>
    </row>
    <row r="426" spans="28:28" s="51" customFormat="1" ht="17.25" customHeight="1">
      <c r="AB426" s="94"/>
    </row>
    <row r="427" spans="28:28" s="51" customFormat="1" ht="17.25" customHeight="1">
      <c r="AB427" s="94"/>
    </row>
    <row r="428" spans="28:28" s="51" customFormat="1" ht="17.25" customHeight="1">
      <c r="AB428" s="94"/>
    </row>
    <row r="429" spans="28:28" s="51" customFormat="1" ht="17.25" customHeight="1">
      <c r="AB429" s="94"/>
    </row>
    <row r="430" spans="28:28" s="51" customFormat="1" ht="17.25" customHeight="1">
      <c r="AB430" s="94"/>
    </row>
    <row r="431" spans="28:28" s="51" customFormat="1" ht="17.25" customHeight="1">
      <c r="AB431" s="94"/>
    </row>
    <row r="432" spans="28:28" s="51" customFormat="1" ht="17.25" customHeight="1">
      <c r="AB432" s="94"/>
    </row>
    <row r="433" spans="28:28" s="51" customFormat="1" ht="17.25" customHeight="1">
      <c r="AB433" s="94"/>
    </row>
    <row r="434" spans="28:28" s="51" customFormat="1" ht="17.25" customHeight="1">
      <c r="AB434" s="94"/>
    </row>
    <row r="435" spans="28:28" s="51" customFormat="1" ht="17.25" customHeight="1">
      <c r="AB435" s="94"/>
    </row>
    <row r="436" spans="28:28" s="51" customFormat="1" ht="17.25" customHeight="1">
      <c r="AB436" s="94"/>
    </row>
    <row r="437" spans="28:28" s="51" customFormat="1" ht="17.25" customHeight="1">
      <c r="AB437" s="94"/>
    </row>
    <row r="438" spans="28:28" s="51" customFormat="1" ht="17.25" customHeight="1">
      <c r="AB438" s="94"/>
    </row>
    <row r="439" spans="28:28" s="51" customFormat="1" ht="17.25" customHeight="1">
      <c r="AB439" s="94"/>
    </row>
    <row r="440" spans="28:28" s="51" customFormat="1" ht="17.25" customHeight="1">
      <c r="AB440" s="94"/>
    </row>
    <row r="441" spans="28:28" s="51" customFormat="1" ht="17.25" customHeight="1">
      <c r="AB441" s="94"/>
    </row>
    <row r="442" spans="28:28" s="51" customFormat="1" ht="17.25" customHeight="1">
      <c r="AB442" s="94"/>
    </row>
    <row r="443" spans="28:28" s="51" customFormat="1" ht="17.25" customHeight="1">
      <c r="AB443" s="94"/>
    </row>
    <row r="444" spans="28:28" s="51" customFormat="1" ht="17.25" customHeight="1">
      <c r="AB444" s="94"/>
    </row>
    <row r="445" spans="28:28" s="51" customFormat="1" ht="17.25" customHeight="1">
      <c r="AB445" s="94"/>
    </row>
    <row r="446" spans="28:28" s="51" customFormat="1" ht="17.25" customHeight="1">
      <c r="AB446" s="94"/>
    </row>
    <row r="447" spans="28:28" s="51" customFormat="1" ht="17.25" customHeight="1">
      <c r="AB447" s="94"/>
    </row>
    <row r="448" spans="28:28" s="51" customFormat="1" ht="17.25" customHeight="1">
      <c r="AB448" s="94"/>
    </row>
    <row r="449" spans="28:28" s="51" customFormat="1" ht="17.25" customHeight="1">
      <c r="AB449" s="94"/>
    </row>
    <row r="450" spans="28:28" s="51" customFormat="1" ht="17.25" customHeight="1">
      <c r="AB450" s="94"/>
    </row>
    <row r="451" spans="28:28" s="51" customFormat="1" ht="17.25" customHeight="1">
      <c r="AB451" s="94"/>
    </row>
    <row r="452" spans="28:28" s="51" customFormat="1" ht="17.25" customHeight="1">
      <c r="AB452" s="94"/>
    </row>
    <row r="453" spans="28:28" s="51" customFormat="1" ht="17.25" customHeight="1">
      <c r="AB453" s="94"/>
    </row>
    <row r="454" spans="28:28" s="51" customFormat="1" ht="17.25" customHeight="1">
      <c r="AB454" s="94"/>
    </row>
    <row r="455" spans="28:28" s="51" customFormat="1" ht="17.25" customHeight="1">
      <c r="AB455" s="94"/>
    </row>
    <row r="456" spans="28:28" s="51" customFormat="1" ht="17.25" customHeight="1">
      <c r="AB456" s="94"/>
    </row>
    <row r="457" spans="28:28" s="51" customFormat="1">
      <c r="AB457" s="94"/>
    </row>
    <row r="458" spans="28:28" s="51" customFormat="1">
      <c r="AB458" s="94"/>
    </row>
    <row r="459" spans="28:28" s="51" customFormat="1">
      <c r="AB459" s="94"/>
    </row>
    <row r="460" spans="28:28" s="51" customFormat="1">
      <c r="AB460" s="94"/>
    </row>
    <row r="461" spans="28:28" s="51" customFormat="1">
      <c r="AB461" s="94"/>
    </row>
    <row r="462" spans="28:28" s="51" customFormat="1">
      <c r="AB462" s="94"/>
    </row>
    <row r="463" spans="28:28" s="51" customFormat="1">
      <c r="AB463" s="94"/>
    </row>
    <row r="464" spans="28:28" s="51" customFormat="1">
      <c r="AB464" s="94"/>
    </row>
    <row r="465" spans="28:28" s="51" customFormat="1">
      <c r="AB465" s="94"/>
    </row>
    <row r="466" spans="28:28" s="51" customFormat="1">
      <c r="AB466" s="94"/>
    </row>
    <row r="467" spans="28:28" s="51" customFormat="1">
      <c r="AB467" s="94"/>
    </row>
    <row r="468" spans="28:28" s="51" customFormat="1">
      <c r="AB468" s="94"/>
    </row>
    <row r="469" spans="28:28" s="51" customFormat="1">
      <c r="AB469" s="94"/>
    </row>
    <row r="470" spans="28:28" s="51" customFormat="1">
      <c r="AB470" s="94"/>
    </row>
    <row r="471" spans="28:28" s="51" customFormat="1">
      <c r="AB471" s="94"/>
    </row>
    <row r="472" spans="28:28" s="51" customFormat="1">
      <c r="AB472" s="94"/>
    </row>
    <row r="473" spans="28:28" s="51" customFormat="1">
      <c r="AB473" s="94"/>
    </row>
    <row r="474" spans="28:28" s="51" customFormat="1">
      <c r="AB474" s="94"/>
    </row>
    <row r="475" spans="28:28" s="51" customFormat="1">
      <c r="AB475" s="94"/>
    </row>
    <row r="476" spans="28:28" s="51" customFormat="1">
      <c r="AB476" s="94"/>
    </row>
    <row r="477" spans="28:28" s="51" customFormat="1">
      <c r="AB477" s="94"/>
    </row>
    <row r="478" spans="28:28" s="51" customFormat="1">
      <c r="AB478" s="94"/>
    </row>
    <row r="479" spans="28:28" s="51" customFormat="1">
      <c r="AB479" s="94"/>
    </row>
    <row r="480" spans="28:28" s="51" customFormat="1">
      <c r="AB480" s="94"/>
    </row>
    <row r="481" spans="28:28" s="51" customFormat="1">
      <c r="AB481" s="94"/>
    </row>
    <row r="482" spans="28:28" s="51" customFormat="1">
      <c r="AB482" s="94"/>
    </row>
    <row r="483" spans="28:28" s="51" customFormat="1">
      <c r="AB483" s="94"/>
    </row>
    <row r="484" spans="28:28" s="51" customFormat="1">
      <c r="AB484" s="94"/>
    </row>
    <row r="485" spans="28:28" s="51" customFormat="1">
      <c r="AB485" s="94"/>
    </row>
    <row r="486" spans="28:28" s="51" customFormat="1">
      <c r="AB486" s="94"/>
    </row>
    <row r="487" spans="28:28" s="51" customFormat="1">
      <c r="AB487" s="94"/>
    </row>
    <row r="488" spans="28:28" s="51" customFormat="1">
      <c r="AB488" s="94"/>
    </row>
    <row r="489" spans="28:28" s="51" customFormat="1">
      <c r="AB489" s="94"/>
    </row>
    <row r="490" spans="28:28" s="51" customFormat="1">
      <c r="AB490" s="94"/>
    </row>
    <row r="491" spans="28:28" s="51" customFormat="1">
      <c r="AB491" s="94"/>
    </row>
    <row r="492" spans="28:28" s="51" customFormat="1">
      <c r="AB492" s="94"/>
    </row>
    <row r="493" spans="28:28" s="51" customFormat="1">
      <c r="AB493" s="94"/>
    </row>
    <row r="494" spans="28:28" s="51" customFormat="1">
      <c r="AB494" s="94"/>
    </row>
    <row r="495" spans="28:28" s="51" customFormat="1">
      <c r="AB495" s="94"/>
    </row>
    <row r="496" spans="28:28" s="51" customFormat="1">
      <c r="AB496" s="94"/>
    </row>
    <row r="497" spans="28:28" s="51" customFormat="1">
      <c r="AB497" s="94"/>
    </row>
    <row r="498" spans="28:28" s="51" customFormat="1">
      <c r="AB498" s="94"/>
    </row>
    <row r="499" spans="28:28" s="51" customFormat="1">
      <c r="AB499" s="94"/>
    </row>
    <row r="500" spans="28:28" s="51" customFormat="1">
      <c r="AB500" s="94"/>
    </row>
    <row r="501" spans="28:28" s="51" customFormat="1">
      <c r="AB501" s="94"/>
    </row>
    <row r="502" spans="28:28" s="51" customFormat="1">
      <c r="AB502" s="94"/>
    </row>
    <row r="503" spans="28:28" s="51" customFormat="1">
      <c r="AB503" s="94"/>
    </row>
    <row r="504" spans="28:28" s="51" customFormat="1">
      <c r="AB504" s="94"/>
    </row>
    <row r="505" spans="28:28" s="51" customFormat="1">
      <c r="AB505" s="94"/>
    </row>
    <row r="506" spans="28:28" s="51" customFormat="1">
      <c r="AB506" s="94"/>
    </row>
    <row r="507" spans="28:28" s="51" customFormat="1">
      <c r="AB507" s="94"/>
    </row>
    <row r="508" spans="28:28" s="51" customFormat="1">
      <c r="AB508" s="94"/>
    </row>
    <row r="509" spans="28:28" s="51" customFormat="1">
      <c r="AB509" s="94"/>
    </row>
    <row r="510" spans="28:28" s="51" customFormat="1">
      <c r="AB510" s="94"/>
    </row>
    <row r="511" spans="28:28" s="51" customFormat="1">
      <c r="AB511" s="94"/>
    </row>
    <row r="512" spans="28:28" s="51" customFormat="1">
      <c r="AB512" s="94"/>
    </row>
    <row r="513" spans="28:28" s="51" customFormat="1">
      <c r="AB513" s="94"/>
    </row>
    <row r="514" spans="28:28" s="51" customFormat="1">
      <c r="AB514" s="94"/>
    </row>
    <row r="515" spans="28:28" s="51" customFormat="1">
      <c r="AB515" s="94"/>
    </row>
    <row r="516" spans="28:28" s="51" customFormat="1">
      <c r="AB516" s="94"/>
    </row>
    <row r="517" spans="28:28" s="51" customFormat="1">
      <c r="AB517" s="94"/>
    </row>
    <row r="518" spans="28:28" s="51" customFormat="1">
      <c r="AB518" s="94"/>
    </row>
    <row r="519" spans="28:28" s="51" customFormat="1">
      <c r="AB519" s="94"/>
    </row>
    <row r="520" spans="28:28" s="51" customFormat="1">
      <c r="AB520" s="94"/>
    </row>
    <row r="521" spans="28:28" s="51" customFormat="1">
      <c r="AB521" s="94"/>
    </row>
    <row r="522" spans="28:28" s="51" customFormat="1">
      <c r="AB522" s="94"/>
    </row>
    <row r="523" spans="28:28" s="51" customFormat="1">
      <c r="AB523" s="94"/>
    </row>
    <row r="524" spans="28:28" s="51" customFormat="1">
      <c r="AB524" s="94"/>
    </row>
    <row r="525" spans="28:28" s="51" customFormat="1">
      <c r="AB525" s="94"/>
    </row>
    <row r="526" spans="28:28" s="51" customFormat="1">
      <c r="AB526" s="94"/>
    </row>
    <row r="527" spans="28:28" s="51" customFormat="1">
      <c r="AB527" s="94"/>
    </row>
    <row r="528" spans="28:28" s="51" customFormat="1">
      <c r="AB528" s="94"/>
    </row>
    <row r="529" spans="28:28" s="51" customFormat="1">
      <c r="AB529" s="94"/>
    </row>
    <row r="530" spans="28:28" s="51" customFormat="1">
      <c r="AB530" s="94"/>
    </row>
    <row r="531" spans="28:28" s="51" customFormat="1">
      <c r="AB531" s="94"/>
    </row>
    <row r="532" spans="28:28" s="51" customFormat="1">
      <c r="AB532" s="94"/>
    </row>
    <row r="533" spans="28:28" s="51" customFormat="1">
      <c r="AB533" s="94"/>
    </row>
    <row r="534" spans="28:28" s="51" customFormat="1">
      <c r="AB534" s="94"/>
    </row>
    <row r="535" spans="28:28" s="51" customFormat="1">
      <c r="AB535" s="94"/>
    </row>
    <row r="536" spans="28:28" s="51" customFormat="1">
      <c r="AB536" s="94"/>
    </row>
    <row r="537" spans="28:28" s="51" customFormat="1">
      <c r="AB537" s="94"/>
    </row>
    <row r="538" spans="28:28" s="51" customFormat="1">
      <c r="AB538" s="94"/>
    </row>
    <row r="539" spans="28:28" s="51" customFormat="1">
      <c r="AB539" s="94"/>
    </row>
    <row r="540" spans="28:28" s="51" customFormat="1">
      <c r="AB540" s="94"/>
    </row>
    <row r="541" spans="28:28" s="51" customFormat="1">
      <c r="AB541" s="94"/>
    </row>
    <row r="542" spans="28:28" s="51" customFormat="1">
      <c r="AB542" s="94"/>
    </row>
    <row r="543" spans="28:28" s="51" customFormat="1">
      <c r="AB543" s="94"/>
    </row>
    <row r="544" spans="28:28" s="51" customFormat="1">
      <c r="AB544" s="94"/>
    </row>
    <row r="545" spans="28:28" s="51" customFormat="1">
      <c r="AB545" s="94"/>
    </row>
    <row r="546" spans="28:28" s="51" customFormat="1">
      <c r="AB546" s="94"/>
    </row>
    <row r="547" spans="28:28" s="51" customFormat="1">
      <c r="AB547" s="94"/>
    </row>
    <row r="548" spans="28:28" s="51" customFormat="1">
      <c r="AB548" s="94"/>
    </row>
    <row r="549" spans="28:28" s="51" customFormat="1">
      <c r="AB549" s="94"/>
    </row>
    <row r="550" spans="28:28" s="51" customFormat="1">
      <c r="AB550" s="94"/>
    </row>
    <row r="551" spans="28:28" s="51" customFormat="1">
      <c r="AB551" s="94"/>
    </row>
    <row r="552" spans="28:28" s="51" customFormat="1">
      <c r="AB552" s="94"/>
    </row>
    <row r="553" spans="28:28" s="51" customFormat="1">
      <c r="AB553" s="94"/>
    </row>
    <row r="554" spans="28:28" s="51" customFormat="1">
      <c r="AB554" s="94"/>
    </row>
    <row r="555" spans="28:28" s="51" customFormat="1">
      <c r="AB555" s="94"/>
    </row>
    <row r="556" spans="28:28" s="51" customFormat="1">
      <c r="AB556" s="94"/>
    </row>
    <row r="557" spans="28:28" s="51" customFormat="1">
      <c r="AB557" s="94"/>
    </row>
    <row r="558" spans="28:28" s="51" customFormat="1">
      <c r="AB558" s="94"/>
    </row>
    <row r="559" spans="28:28" s="51" customFormat="1">
      <c r="AB559" s="94"/>
    </row>
    <row r="560" spans="28:28" s="51" customFormat="1">
      <c r="AB560" s="94"/>
    </row>
    <row r="561" spans="28:28" s="51" customFormat="1">
      <c r="AB561" s="94"/>
    </row>
    <row r="562" spans="28:28" s="51" customFormat="1">
      <c r="AB562" s="94"/>
    </row>
    <row r="563" spans="28:28" s="51" customFormat="1">
      <c r="AB563" s="94"/>
    </row>
    <row r="564" spans="28:28" s="51" customFormat="1">
      <c r="AB564" s="94"/>
    </row>
    <row r="565" spans="28:28" s="51" customFormat="1">
      <c r="AB565" s="94"/>
    </row>
    <row r="566" spans="28:28" s="51" customFormat="1">
      <c r="AB566" s="94"/>
    </row>
    <row r="567" spans="28:28" s="51" customFormat="1">
      <c r="AB567" s="94"/>
    </row>
    <row r="568" spans="28:28" s="51" customFormat="1">
      <c r="AB568" s="94"/>
    </row>
    <row r="569" spans="28:28" s="51" customFormat="1">
      <c r="AB569" s="94"/>
    </row>
    <row r="570" spans="28:28" s="51" customFormat="1">
      <c r="AB570" s="94"/>
    </row>
    <row r="571" spans="28:28" s="51" customFormat="1">
      <c r="AB571" s="94"/>
    </row>
    <row r="572" spans="28:28" s="51" customFormat="1">
      <c r="AB572" s="94"/>
    </row>
    <row r="573" spans="28:28" s="51" customFormat="1">
      <c r="AB573" s="94"/>
    </row>
    <row r="574" spans="28:28" s="51" customFormat="1">
      <c r="AB574" s="94"/>
    </row>
    <row r="575" spans="28:28" s="51" customFormat="1">
      <c r="AB575" s="94"/>
    </row>
    <row r="576" spans="28:28" s="51" customFormat="1">
      <c r="AB576" s="94"/>
    </row>
    <row r="577" spans="28:28" s="51" customFormat="1">
      <c r="AB577" s="94"/>
    </row>
    <row r="578" spans="28:28" s="51" customFormat="1">
      <c r="AB578" s="94"/>
    </row>
    <row r="579" spans="28:28" s="51" customFormat="1">
      <c r="AB579" s="94"/>
    </row>
    <row r="580" spans="28:28" s="51" customFormat="1">
      <c r="AB580" s="94"/>
    </row>
    <row r="581" spans="28:28" s="51" customFormat="1">
      <c r="AB581" s="94"/>
    </row>
    <row r="582" spans="28:28" s="51" customFormat="1">
      <c r="AB582" s="94"/>
    </row>
    <row r="583" spans="28:28" s="51" customFormat="1">
      <c r="AB583" s="94"/>
    </row>
    <row r="584" spans="28:28" s="51" customFormat="1">
      <c r="AB584" s="94"/>
    </row>
    <row r="585" spans="28:28" s="51" customFormat="1">
      <c r="AB585" s="94"/>
    </row>
    <row r="586" spans="28:28" s="51" customFormat="1">
      <c r="AB586" s="94"/>
    </row>
    <row r="587" spans="28:28" s="51" customFormat="1">
      <c r="AB587" s="94"/>
    </row>
    <row r="588" spans="28:28" s="51" customFormat="1">
      <c r="AB588" s="94"/>
    </row>
    <row r="589" spans="28:28" s="51" customFormat="1">
      <c r="AB589" s="94"/>
    </row>
    <row r="590" spans="28:28" s="51" customFormat="1">
      <c r="AB590" s="94"/>
    </row>
    <row r="591" spans="28:28" s="51" customFormat="1">
      <c r="AB591" s="94"/>
    </row>
    <row r="592" spans="28:28" s="51" customFormat="1">
      <c r="AB592" s="94"/>
    </row>
    <row r="593" spans="28:28" s="51" customFormat="1">
      <c r="AB593" s="94"/>
    </row>
    <row r="594" spans="28:28" s="51" customFormat="1">
      <c r="AB594" s="94"/>
    </row>
    <row r="595" spans="28:28" s="51" customFormat="1">
      <c r="AB595" s="94"/>
    </row>
    <row r="596" spans="28:28" s="51" customFormat="1">
      <c r="AB596" s="94"/>
    </row>
    <row r="597" spans="28:28" s="51" customFormat="1">
      <c r="AB597" s="94"/>
    </row>
    <row r="598" spans="28:28" s="51" customFormat="1">
      <c r="AB598" s="94"/>
    </row>
    <row r="599" spans="28:28" s="51" customFormat="1">
      <c r="AB599" s="94"/>
    </row>
    <row r="600" spans="28:28" s="51" customFormat="1">
      <c r="AB600" s="94"/>
    </row>
    <row r="601" spans="28:28" s="51" customFormat="1">
      <c r="AB601" s="94"/>
    </row>
    <row r="602" spans="28:28" s="51" customFormat="1">
      <c r="AB602" s="94"/>
    </row>
    <row r="603" spans="28:28" s="51" customFormat="1">
      <c r="AB603" s="94"/>
    </row>
    <row r="604" spans="28:28" s="51" customFormat="1">
      <c r="AB604" s="94"/>
    </row>
    <row r="605" spans="28:28" s="51" customFormat="1">
      <c r="AB605" s="94"/>
    </row>
    <row r="606" spans="28:28" s="51" customFormat="1">
      <c r="AB606" s="94"/>
    </row>
    <row r="607" spans="28:28" s="51" customFormat="1">
      <c r="AB607" s="94"/>
    </row>
    <row r="608" spans="28:28" s="51" customFormat="1">
      <c r="AB608" s="94"/>
    </row>
    <row r="609" spans="28:28" s="51" customFormat="1">
      <c r="AB609" s="94"/>
    </row>
    <row r="610" spans="28:28" s="51" customFormat="1">
      <c r="AB610" s="94"/>
    </row>
    <row r="611" spans="28:28" s="51" customFormat="1">
      <c r="AB611" s="94"/>
    </row>
    <row r="612" spans="28:28" s="51" customFormat="1">
      <c r="AB612" s="94"/>
    </row>
    <row r="613" spans="28:28" s="51" customFormat="1">
      <c r="AB613" s="94"/>
    </row>
    <row r="614" spans="28:28" s="51" customFormat="1">
      <c r="AB614" s="94"/>
    </row>
    <row r="615" spans="28:28" s="51" customFormat="1">
      <c r="AB615" s="94"/>
    </row>
    <row r="616" spans="28:28" s="51" customFormat="1">
      <c r="AB616" s="94"/>
    </row>
    <row r="617" spans="28:28" s="51" customFormat="1">
      <c r="AB617" s="94"/>
    </row>
    <row r="618" spans="28:28" s="51" customFormat="1">
      <c r="AB618" s="94"/>
    </row>
    <row r="619" spans="28:28" s="51" customFormat="1">
      <c r="AB619" s="94"/>
    </row>
    <row r="620" spans="28:28" s="51" customFormat="1">
      <c r="AB620" s="94"/>
    </row>
    <row r="621" spans="28:28" s="51" customFormat="1">
      <c r="AB621" s="94"/>
    </row>
    <row r="622" spans="28:28" s="51" customFormat="1">
      <c r="AB622" s="94"/>
    </row>
    <row r="623" spans="28:28" s="51" customFormat="1">
      <c r="AB623" s="94"/>
    </row>
    <row r="624" spans="28:28" s="51" customFormat="1">
      <c r="AB624" s="94"/>
    </row>
    <row r="625" spans="28:28" s="51" customFormat="1">
      <c r="AB625" s="94"/>
    </row>
    <row r="626" spans="28:28" s="51" customFormat="1">
      <c r="AB626" s="94"/>
    </row>
    <row r="627" spans="28:28" s="51" customFormat="1">
      <c r="AB627" s="94"/>
    </row>
    <row r="628" spans="28:28" s="51" customFormat="1">
      <c r="AB628" s="94"/>
    </row>
    <row r="629" spans="28:28" s="51" customFormat="1">
      <c r="AB629" s="94"/>
    </row>
    <row r="630" spans="28:28" s="51" customFormat="1">
      <c r="AB630" s="94"/>
    </row>
    <row r="631" spans="28:28" s="51" customFormat="1">
      <c r="AB631" s="94"/>
    </row>
    <row r="632" spans="28:28" s="51" customFormat="1">
      <c r="AB632" s="94"/>
    </row>
    <row r="633" spans="28:28" s="51" customFormat="1">
      <c r="AB633" s="94"/>
    </row>
    <row r="634" spans="28:28" s="51" customFormat="1">
      <c r="AB634" s="94"/>
    </row>
    <row r="635" spans="28:28" s="51" customFormat="1">
      <c r="AB635" s="94"/>
    </row>
    <row r="636" spans="28:28" s="51" customFormat="1">
      <c r="AB636" s="94"/>
    </row>
    <row r="637" spans="28:28" s="51" customFormat="1">
      <c r="AB637" s="94"/>
    </row>
    <row r="638" spans="28:28" s="51" customFormat="1">
      <c r="AB638" s="94"/>
    </row>
    <row r="639" spans="28:28" s="51" customFormat="1">
      <c r="AB639" s="94"/>
    </row>
    <row r="640" spans="28:28" s="51" customFormat="1">
      <c r="AB640" s="94"/>
    </row>
    <row r="641" spans="28:28" s="51" customFormat="1">
      <c r="AB641" s="94"/>
    </row>
    <row r="642" spans="28:28" s="51" customFormat="1">
      <c r="AB642" s="94"/>
    </row>
    <row r="643" spans="28:28" s="51" customFormat="1">
      <c r="AB643" s="94"/>
    </row>
    <row r="644" spans="28:28" s="51" customFormat="1">
      <c r="AB644" s="94"/>
    </row>
    <row r="645" spans="28:28" s="51" customFormat="1">
      <c r="AB645" s="94"/>
    </row>
    <row r="646" spans="28:28" s="51" customFormat="1">
      <c r="AB646" s="94"/>
    </row>
    <row r="647" spans="28:28" s="51" customFormat="1">
      <c r="AB647" s="94"/>
    </row>
    <row r="648" spans="28:28" s="51" customFormat="1">
      <c r="AB648" s="94"/>
    </row>
    <row r="649" spans="28:28" s="51" customFormat="1">
      <c r="AB649" s="94"/>
    </row>
    <row r="650" spans="28:28" s="51" customFormat="1">
      <c r="AB650" s="94"/>
    </row>
    <row r="651" spans="28:28" s="51" customFormat="1">
      <c r="AB651" s="94"/>
    </row>
    <row r="652" spans="28:28" s="51" customFormat="1">
      <c r="AB652" s="94"/>
    </row>
    <row r="653" spans="28:28" s="51" customFormat="1">
      <c r="AB653" s="94"/>
    </row>
    <row r="654" spans="28:28" s="51" customFormat="1">
      <c r="AB654" s="94"/>
    </row>
    <row r="655" spans="28:28" s="51" customFormat="1">
      <c r="AB655" s="94"/>
    </row>
    <row r="656" spans="28:28" s="51" customFormat="1">
      <c r="AB656" s="94"/>
    </row>
    <row r="657" spans="28:28" s="51" customFormat="1">
      <c r="AB657" s="94"/>
    </row>
    <row r="658" spans="28:28" s="51" customFormat="1">
      <c r="AB658" s="94"/>
    </row>
    <row r="659" spans="28:28" s="51" customFormat="1">
      <c r="AB659" s="94"/>
    </row>
    <row r="660" spans="28:28" s="51" customFormat="1">
      <c r="AB660" s="94"/>
    </row>
    <row r="661" spans="28:28" s="51" customFormat="1">
      <c r="AB661" s="94"/>
    </row>
    <row r="662" spans="28:28" s="51" customFormat="1">
      <c r="AB662" s="94"/>
    </row>
    <row r="663" spans="28:28" s="51" customFormat="1">
      <c r="AB663" s="94"/>
    </row>
    <row r="664" spans="28:28" s="51" customFormat="1">
      <c r="AB664" s="94"/>
    </row>
    <row r="665" spans="28:28" s="51" customFormat="1">
      <c r="AB665" s="94"/>
    </row>
    <row r="666" spans="28:28" s="51" customFormat="1">
      <c r="AB666" s="94"/>
    </row>
    <row r="667" spans="28:28" s="51" customFormat="1">
      <c r="AB667" s="94"/>
    </row>
    <row r="668" spans="28:28" s="51" customFormat="1">
      <c r="AB668" s="94"/>
    </row>
    <row r="669" spans="28:28" s="51" customFormat="1">
      <c r="AB669" s="94"/>
    </row>
    <row r="670" spans="28:28" s="51" customFormat="1">
      <c r="AB670" s="94"/>
    </row>
    <row r="671" spans="28:28" s="51" customFormat="1">
      <c r="AB671" s="94"/>
    </row>
    <row r="672" spans="28:28" s="51" customFormat="1">
      <c r="AB672" s="94"/>
    </row>
    <row r="673" spans="28:28" s="51" customFormat="1">
      <c r="AB673" s="94"/>
    </row>
    <row r="674" spans="28:28" s="51" customFormat="1">
      <c r="AB674" s="94"/>
    </row>
    <row r="675" spans="28:28" s="51" customFormat="1">
      <c r="AB675" s="94"/>
    </row>
    <row r="676" spans="28:28" s="51" customFormat="1">
      <c r="AB676" s="94"/>
    </row>
    <row r="677" spans="28:28" s="51" customFormat="1">
      <c r="AB677" s="94"/>
    </row>
    <row r="678" spans="28:28" s="51" customFormat="1">
      <c r="AB678" s="94"/>
    </row>
    <row r="679" spans="28:28" s="51" customFormat="1">
      <c r="AB679" s="94"/>
    </row>
    <row r="680" spans="28:28" s="51" customFormat="1">
      <c r="AB680" s="94"/>
    </row>
    <row r="681" spans="28:28" s="51" customFormat="1">
      <c r="AB681" s="94"/>
    </row>
    <row r="682" spans="28:28" s="51" customFormat="1">
      <c r="AB682" s="94"/>
    </row>
    <row r="683" spans="28:28" s="51" customFormat="1">
      <c r="AB683" s="94"/>
    </row>
    <row r="684" spans="28:28" s="51" customFormat="1">
      <c r="AB684" s="94"/>
    </row>
    <row r="685" spans="28:28" s="51" customFormat="1">
      <c r="AB685" s="94"/>
    </row>
    <row r="686" spans="28:28" s="51" customFormat="1">
      <c r="AB686" s="94"/>
    </row>
    <row r="687" spans="28:28" s="51" customFormat="1">
      <c r="AB687" s="94"/>
    </row>
    <row r="688" spans="28:28" s="51" customFormat="1">
      <c r="AB688" s="94"/>
    </row>
    <row r="689" spans="1:28" s="51" customFormat="1">
      <c r="AB689" s="94"/>
    </row>
    <row r="690" spans="1:28" s="51" customFormat="1">
      <c r="AB690" s="94"/>
    </row>
    <row r="691" spans="1:28" s="51" customFormat="1">
      <c r="AB691" s="94"/>
    </row>
    <row r="692" spans="1:28">
      <c r="A692" s="51"/>
      <c r="B692" s="51"/>
      <c r="C692" s="51"/>
      <c r="D692" s="51"/>
      <c r="E692" s="51"/>
      <c r="F692" s="51"/>
      <c r="G692" s="51"/>
      <c r="H692" s="51"/>
      <c r="I692" s="51"/>
      <c r="J692" s="51"/>
    </row>
    <row r="693" spans="1:28">
      <c r="A693" s="51"/>
      <c r="B693" s="51"/>
      <c r="C693" s="51"/>
      <c r="D693" s="51"/>
      <c r="E693" s="51"/>
      <c r="F693" s="51"/>
      <c r="G693" s="51"/>
      <c r="H693" s="51"/>
      <c r="I693" s="51"/>
      <c r="J693" s="51"/>
    </row>
    <row r="694" spans="1:28">
      <c r="A694" s="51"/>
      <c r="B694" s="51"/>
      <c r="C694" s="51"/>
      <c r="D694" s="51"/>
      <c r="E694" s="51"/>
      <c r="F694" s="51"/>
      <c r="G694" s="51"/>
      <c r="H694" s="51"/>
      <c r="I694" s="51"/>
      <c r="J694" s="51"/>
    </row>
    <row r="695" spans="1:28">
      <c r="J695" s="47"/>
    </row>
    <row r="696" spans="1:28">
      <c r="J696" s="47"/>
    </row>
    <row r="697" spans="1:28">
      <c r="J697" s="47"/>
    </row>
    <row r="698" spans="1:28">
      <c r="J698" s="47"/>
    </row>
    <row r="699" spans="1:28">
      <c r="J699" s="47"/>
    </row>
    <row r="700" spans="1:28">
      <c r="J700" s="47"/>
    </row>
    <row r="701" spans="1:28">
      <c r="J701" s="47"/>
    </row>
    <row r="702" spans="1:28">
      <c r="J702" s="47"/>
    </row>
    <row r="703" spans="1:28">
      <c r="J703" s="47"/>
    </row>
    <row r="704" spans="1:28">
      <c r="J704" s="47"/>
    </row>
    <row r="705" spans="10:10">
      <c r="J705" s="47"/>
    </row>
    <row r="706" spans="10:10">
      <c r="J706" s="47"/>
    </row>
    <row r="707" spans="10:10">
      <c r="J707" s="47"/>
    </row>
    <row r="708" spans="10:10">
      <c r="J708" s="47"/>
    </row>
    <row r="709" spans="10:10">
      <c r="J709" s="47"/>
    </row>
    <row r="710" spans="10:10">
      <c r="J710" s="47"/>
    </row>
    <row r="711" spans="10:10">
      <c r="J711" s="47"/>
    </row>
    <row r="712" spans="10:10">
      <c r="J712" s="47"/>
    </row>
    <row r="713" spans="10:10">
      <c r="J713" s="47"/>
    </row>
    <row r="714" spans="10:10">
      <c r="J714" s="47"/>
    </row>
    <row r="715" spans="10:10">
      <c r="J715" s="47"/>
    </row>
    <row r="716" spans="10:10">
      <c r="J716" s="47"/>
    </row>
    <row r="717" spans="10:10">
      <c r="J717" s="47"/>
    </row>
    <row r="718" spans="10:10">
      <c r="J718" s="47"/>
    </row>
    <row r="719" spans="10:10">
      <c r="J719" s="47"/>
    </row>
    <row r="720" spans="10:10">
      <c r="J720" s="47"/>
    </row>
    <row r="721" spans="10:10">
      <c r="J721" s="47"/>
    </row>
    <row r="722" spans="10:10">
      <c r="J722" s="47"/>
    </row>
    <row r="723" spans="10:10">
      <c r="J723" s="47"/>
    </row>
    <row r="724" spans="10:10">
      <c r="J724" s="47"/>
    </row>
    <row r="725" spans="10:10">
      <c r="J725" s="47"/>
    </row>
    <row r="726" spans="10:10">
      <c r="J726" s="47"/>
    </row>
    <row r="727" spans="10:10">
      <c r="J727" s="47"/>
    </row>
    <row r="728" spans="10:10">
      <c r="J728" s="47"/>
    </row>
    <row r="729" spans="10:10">
      <c r="J729" s="47"/>
    </row>
    <row r="730" spans="10:10">
      <c r="J730" s="47"/>
    </row>
    <row r="731" spans="10:10">
      <c r="J731" s="47"/>
    </row>
    <row r="732" spans="10:10">
      <c r="J732" s="47"/>
    </row>
    <row r="733" spans="10:10">
      <c r="J733" s="47"/>
    </row>
    <row r="734" spans="10:10">
      <c r="J734" s="47"/>
    </row>
    <row r="735" spans="10:10">
      <c r="J735" s="47"/>
    </row>
    <row r="736" spans="10:10">
      <c r="J736" s="47"/>
    </row>
    <row r="737" spans="10:10">
      <c r="J737" s="47"/>
    </row>
    <row r="738" spans="10:10">
      <c r="J738" s="47"/>
    </row>
    <row r="739" spans="10:10">
      <c r="J739" s="47"/>
    </row>
    <row r="740" spans="10:10">
      <c r="J740" s="47"/>
    </row>
    <row r="741" spans="10:10">
      <c r="J741" s="47"/>
    </row>
    <row r="742" spans="10:10">
      <c r="J742" s="47"/>
    </row>
    <row r="743" spans="10:10">
      <c r="J743" s="47"/>
    </row>
    <row r="744" spans="10:10">
      <c r="J744" s="47"/>
    </row>
    <row r="745" spans="10:10">
      <c r="J745" s="47"/>
    </row>
    <row r="746" spans="10:10">
      <c r="J746" s="47"/>
    </row>
    <row r="747" spans="10:10">
      <c r="J747" s="47"/>
    </row>
    <row r="748" spans="10:10">
      <c r="J748" s="47"/>
    </row>
    <row r="749" spans="10:10">
      <c r="J749" s="47"/>
    </row>
    <row r="750" spans="10:10">
      <c r="J750" s="47"/>
    </row>
    <row r="751" spans="10:10">
      <c r="J751" s="47"/>
    </row>
    <row r="752" spans="10:10">
      <c r="J752" s="47"/>
    </row>
    <row r="753" spans="10:10">
      <c r="J753" s="47"/>
    </row>
    <row r="754" spans="10:10">
      <c r="J754" s="47"/>
    </row>
    <row r="755" spans="10:10">
      <c r="J755" s="47"/>
    </row>
    <row r="756" spans="10:10">
      <c r="J756" s="47"/>
    </row>
    <row r="757" spans="10:10">
      <c r="J757" s="47"/>
    </row>
    <row r="758" spans="10:10">
      <c r="J758" s="47"/>
    </row>
    <row r="759" spans="10:10">
      <c r="J759" s="47"/>
    </row>
    <row r="760" spans="10:10">
      <c r="J760" s="47"/>
    </row>
    <row r="761" spans="10:10">
      <c r="J761" s="47"/>
    </row>
    <row r="762" spans="10:10">
      <c r="J762" s="47"/>
    </row>
    <row r="763" spans="10:10">
      <c r="J763" s="47"/>
    </row>
    <row r="764" spans="10:10">
      <c r="J764" s="47"/>
    </row>
    <row r="765" spans="10:10">
      <c r="J765" s="47"/>
    </row>
    <row r="766" spans="10:10">
      <c r="J766" s="47"/>
    </row>
    <row r="767" spans="10:10">
      <c r="J767" s="47"/>
    </row>
    <row r="768" spans="10:10">
      <c r="J768" s="47"/>
    </row>
    <row r="769" spans="10:10">
      <c r="J769" s="47"/>
    </row>
    <row r="770" spans="10:10">
      <c r="J770" s="47"/>
    </row>
    <row r="771" spans="10:10">
      <c r="J771" s="47"/>
    </row>
    <row r="772" spans="10:10">
      <c r="J772" s="47"/>
    </row>
    <row r="773" spans="10:10">
      <c r="J773" s="47"/>
    </row>
    <row r="774" spans="10:10">
      <c r="J774" s="47"/>
    </row>
    <row r="775" spans="10:10">
      <c r="J775" s="47"/>
    </row>
    <row r="776" spans="10:10">
      <c r="J776" s="47"/>
    </row>
    <row r="777" spans="10:10">
      <c r="J777" s="47"/>
    </row>
    <row r="778" spans="10:10">
      <c r="J778" s="47"/>
    </row>
    <row r="779" spans="10:10">
      <c r="J779" s="47"/>
    </row>
    <row r="780" spans="10:10">
      <c r="J780" s="47"/>
    </row>
    <row r="781" spans="10:10">
      <c r="J781" s="47"/>
    </row>
    <row r="782" spans="10:10">
      <c r="J782" s="47"/>
    </row>
    <row r="783" spans="10:10">
      <c r="J783" s="47"/>
    </row>
    <row r="784" spans="10:10">
      <c r="J784" s="47"/>
    </row>
    <row r="785" spans="10:10">
      <c r="J785" s="47"/>
    </row>
    <row r="786" spans="10:10">
      <c r="J786" s="47"/>
    </row>
    <row r="787" spans="10:10">
      <c r="J787" s="47"/>
    </row>
    <row r="788" spans="10:10">
      <c r="J788" s="47"/>
    </row>
    <row r="789" spans="10:10">
      <c r="J789" s="47"/>
    </row>
    <row r="790" spans="10:10">
      <c r="J790" s="47"/>
    </row>
    <row r="791" spans="10:10">
      <c r="J791" s="47"/>
    </row>
    <row r="792" spans="10:10">
      <c r="J792" s="47"/>
    </row>
    <row r="793" spans="10:10">
      <c r="J793" s="47"/>
    </row>
    <row r="794" spans="10:10">
      <c r="J794" s="47"/>
    </row>
    <row r="795" spans="10:10">
      <c r="J795" s="47"/>
    </row>
    <row r="796" spans="10:10">
      <c r="J796" s="47"/>
    </row>
    <row r="797" spans="10:10">
      <c r="J797" s="47"/>
    </row>
    <row r="798" spans="10:10">
      <c r="J798" s="47"/>
    </row>
    <row r="799" spans="10:10">
      <c r="J799" s="47"/>
    </row>
    <row r="800" spans="10:10">
      <c r="J800" s="47"/>
    </row>
    <row r="801" spans="10:10">
      <c r="J801" s="47"/>
    </row>
    <row r="802" spans="10:10">
      <c r="J802" s="47"/>
    </row>
    <row r="803" spans="10:10">
      <c r="J803" s="47"/>
    </row>
    <row r="804" spans="10:10">
      <c r="J804" s="47"/>
    </row>
    <row r="805" spans="10:10">
      <c r="J805" s="47"/>
    </row>
    <row r="806" spans="10:10">
      <c r="J806" s="47"/>
    </row>
    <row r="807" spans="10:10">
      <c r="J807" s="47"/>
    </row>
    <row r="808" spans="10:10">
      <c r="J808" s="47"/>
    </row>
    <row r="809" spans="10:10">
      <c r="J809" s="47"/>
    </row>
    <row r="810" spans="10:10">
      <c r="J810" s="47"/>
    </row>
    <row r="811" spans="10:10">
      <c r="J811" s="47"/>
    </row>
    <row r="812" spans="10:10">
      <c r="J812" s="47"/>
    </row>
    <row r="813" spans="10:10">
      <c r="J813" s="47"/>
    </row>
    <row r="814" spans="10:10">
      <c r="J814" s="47"/>
    </row>
    <row r="815" spans="10:10">
      <c r="J815" s="47"/>
    </row>
    <row r="816" spans="10:10">
      <c r="J816" s="47"/>
    </row>
    <row r="817" spans="10:10">
      <c r="J817" s="47"/>
    </row>
    <row r="818" spans="10:10">
      <c r="J818" s="47"/>
    </row>
    <row r="819" spans="10:10">
      <c r="J819" s="47"/>
    </row>
    <row r="820" spans="10:10">
      <c r="J820" s="47"/>
    </row>
    <row r="821" spans="10:10">
      <c r="J821" s="47"/>
    </row>
    <row r="822" spans="10:10">
      <c r="J822" s="47"/>
    </row>
  </sheetData>
  <dataConsolidate/>
  <mergeCells count="27">
    <mergeCell ref="H80:J80"/>
    <mergeCell ref="N1:O1"/>
    <mergeCell ref="C6:E6"/>
    <mergeCell ref="D9:E9"/>
    <mergeCell ref="H78:J78"/>
    <mergeCell ref="H79:J79"/>
    <mergeCell ref="H92:J92"/>
    <mergeCell ref="H81:J81"/>
    <mergeCell ref="H82:J82"/>
    <mergeCell ref="H83:J83"/>
    <mergeCell ref="H84:J84"/>
    <mergeCell ref="H85:J85"/>
    <mergeCell ref="H86:J86"/>
    <mergeCell ref="H87:J87"/>
    <mergeCell ref="H88:J88"/>
    <mergeCell ref="H89:J89"/>
    <mergeCell ref="H90:J90"/>
    <mergeCell ref="H91:J91"/>
    <mergeCell ref="H99:J99"/>
    <mergeCell ref="H100:J100"/>
    <mergeCell ref="H101:J101"/>
    <mergeCell ref="H93:J93"/>
    <mergeCell ref="H94:J94"/>
    <mergeCell ref="H95:J95"/>
    <mergeCell ref="H96:J96"/>
    <mergeCell ref="H97:J97"/>
    <mergeCell ref="H98:J98"/>
  </mergeCells>
  <phoneticPr fontId="4" type="noConversion"/>
  <pageMargins left="0.70866141732283472" right="0.27559055118110237" top="1.1811023622047245" bottom="0.78740157480314965" header="0.51181102362204722" footer="0.59055118110236227"/>
  <pageSetup paperSize="9" scale="90" orientation="portrait" r:id="rId1"/>
  <headerFooter alignWithMargins="0"/>
  <rowBreaks count="3" manualBreakCount="3">
    <brk id="32" max="9" man="1"/>
    <brk id="55" max="9" man="1"/>
    <brk id="77" max="9" man="1"/>
  </rowBreaks>
  <ignoredErrors>
    <ignoredError sqref="W3:W69 X3:X83 N18:N26 N27:N31" formula="1"/>
  </ignoredErrors>
  <drawing r:id="rId2"/>
  <legacyDrawing r:id="rId3"/>
  <controls>
    <mc:AlternateContent xmlns:mc="http://schemas.openxmlformats.org/markup-compatibility/2006">
      <mc:Choice Requires="x14">
        <control shapeId="6145" r:id="rId4" name="CommandButton2">
          <controlPr defaultSize="0" autoLine="0" autoPict="0" r:id="rId5">
            <anchor moveWithCells="1">
              <from>
                <xdr:col>17</xdr:col>
                <xdr:colOff>323850</xdr:colOff>
                <xdr:row>23</xdr:row>
                <xdr:rowOff>0</xdr:rowOff>
              </from>
              <to>
                <xdr:col>20</xdr:col>
                <xdr:colOff>142875</xdr:colOff>
                <xdr:row>24</xdr:row>
                <xdr:rowOff>142875</xdr:rowOff>
              </to>
            </anchor>
          </controlPr>
        </control>
      </mc:Choice>
      <mc:Fallback>
        <control shapeId="6145" r:id="rId4" name="CommandButton2"/>
      </mc:Fallback>
    </mc:AlternateContent>
    <mc:AlternateContent xmlns:mc="http://schemas.openxmlformats.org/markup-compatibility/2006">
      <mc:Choice Requires="x14">
        <control shapeId="6146" r:id="rId6" name="CommandButton4">
          <controlPr defaultSize="0" autoLine="0" autoPict="0" r:id="rId7">
            <anchor moveWithCells="1">
              <from>
                <xdr:col>17</xdr:col>
                <xdr:colOff>323850</xdr:colOff>
                <xdr:row>17</xdr:row>
                <xdr:rowOff>200025</xdr:rowOff>
              </from>
              <to>
                <xdr:col>20</xdr:col>
                <xdr:colOff>142875</xdr:colOff>
                <xdr:row>19</xdr:row>
                <xdr:rowOff>85725</xdr:rowOff>
              </to>
            </anchor>
          </controlPr>
        </control>
      </mc:Choice>
      <mc:Fallback>
        <control shapeId="6146" r:id="rId6" name="CommandButton4"/>
      </mc:Fallback>
    </mc:AlternateContent>
    <mc:AlternateContent xmlns:mc="http://schemas.openxmlformats.org/markup-compatibility/2006">
      <mc:Choice Requires="x14">
        <control shapeId="6147" r:id="rId8" name="CommandButton5">
          <controlPr defaultSize="0" autoLine="0" autoPict="0" r:id="rId9">
            <anchor moveWithCells="1">
              <from>
                <xdr:col>17</xdr:col>
                <xdr:colOff>323850</xdr:colOff>
                <xdr:row>16</xdr:row>
                <xdr:rowOff>9525</xdr:rowOff>
              </from>
              <to>
                <xdr:col>20</xdr:col>
                <xdr:colOff>142875</xdr:colOff>
                <xdr:row>17</xdr:row>
                <xdr:rowOff>152400</xdr:rowOff>
              </to>
            </anchor>
          </controlPr>
        </control>
      </mc:Choice>
      <mc:Fallback>
        <control shapeId="6147" r:id="rId8" name="CommandButton5"/>
      </mc:Fallback>
    </mc:AlternateContent>
    <mc:AlternateContent xmlns:mc="http://schemas.openxmlformats.org/markup-compatibility/2006">
      <mc:Choice Requires="x14">
        <control shapeId="6149" r:id="rId10" name="CommandButton6">
          <controlPr defaultSize="0" autoLine="0" autoPict="0" r:id="rId11">
            <anchor moveWithCells="1">
              <from>
                <xdr:col>11</xdr:col>
                <xdr:colOff>114300</xdr:colOff>
                <xdr:row>10</xdr:row>
                <xdr:rowOff>57150</xdr:rowOff>
              </from>
              <to>
                <xdr:col>12</xdr:col>
                <xdr:colOff>219075</xdr:colOff>
                <xdr:row>11</xdr:row>
                <xdr:rowOff>190500</xdr:rowOff>
              </to>
            </anchor>
          </controlPr>
        </control>
      </mc:Choice>
      <mc:Fallback>
        <control shapeId="6149" r:id="rId10" name="CommandButton6"/>
      </mc:Fallback>
    </mc:AlternateContent>
    <mc:AlternateContent xmlns:mc="http://schemas.openxmlformats.org/markup-compatibility/2006">
      <mc:Choice Requires="x14">
        <control shapeId="6150" r:id="rId12" name="CommandButton7">
          <controlPr defaultSize="0" autoLine="0" autoPict="0" r:id="rId13">
            <anchor moveWithCells="1">
              <from>
                <xdr:col>17</xdr:col>
                <xdr:colOff>323850</xdr:colOff>
                <xdr:row>19</xdr:row>
                <xdr:rowOff>133350</xdr:rowOff>
              </from>
              <to>
                <xdr:col>20</xdr:col>
                <xdr:colOff>142875</xdr:colOff>
                <xdr:row>21</xdr:row>
                <xdr:rowOff>9525</xdr:rowOff>
              </to>
            </anchor>
          </controlPr>
        </control>
      </mc:Choice>
      <mc:Fallback>
        <control shapeId="6150" r:id="rId12" name="CommandButton7"/>
      </mc:Fallback>
    </mc:AlternateContent>
    <mc:AlternateContent xmlns:mc="http://schemas.openxmlformats.org/markup-compatibility/2006">
      <mc:Choice Requires="x14">
        <control shapeId="6151" r:id="rId14" name="ComboBox1">
          <controlPr defaultSize="0" autoLine="0" autoPict="0" r:id="rId15">
            <anchor moveWithCells="1">
              <from>
                <xdr:col>17</xdr:col>
                <xdr:colOff>323850</xdr:colOff>
                <xdr:row>21</xdr:row>
                <xdr:rowOff>219075</xdr:rowOff>
              </from>
              <to>
                <xdr:col>20</xdr:col>
                <xdr:colOff>142875</xdr:colOff>
                <xdr:row>22</xdr:row>
                <xdr:rowOff>219075</xdr:rowOff>
              </to>
            </anchor>
          </controlPr>
        </control>
      </mc:Choice>
      <mc:Fallback>
        <control shapeId="6151" r:id="rId14" name="ComboBox1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ED17F0-7737-44C9-8EB9-7192F3C369C2}">
  <sheetPr codeName="sh01_StepSelect">
    <tabColor theme="2" tint="-9.9978637043366805E-2"/>
  </sheetPr>
  <dimension ref="A1:C135"/>
  <sheetViews>
    <sheetView workbookViewId="0">
      <selection activeCell="I40" sqref="I40"/>
    </sheetView>
  </sheetViews>
  <sheetFormatPr defaultColWidth="9" defaultRowHeight="16.5"/>
  <cols>
    <col min="1" max="1" width="9" style="97"/>
    <col min="2" max="3" width="9" style="98"/>
    <col min="4" max="16384" width="9" style="97"/>
  </cols>
  <sheetData>
    <row r="1" spans="1:3">
      <c r="B1" s="97"/>
    </row>
    <row r="2" spans="1:3">
      <c r="A2" s="113" t="s">
        <v>194</v>
      </c>
      <c r="B2" s="113"/>
      <c r="C2" s="114"/>
    </row>
    <row r="3" spans="1:3">
      <c r="A3" s="113">
        <v>2</v>
      </c>
      <c r="B3" s="113"/>
      <c r="C3" s="114"/>
    </row>
    <row r="4" spans="1:3">
      <c r="A4" s="113">
        <v>1</v>
      </c>
      <c r="B4" s="113"/>
      <c r="C4" s="114"/>
    </row>
    <row r="5" spans="1:3">
      <c r="A5" s="113">
        <v>6</v>
      </c>
      <c r="B5" s="113"/>
      <c r="C5" s="114"/>
    </row>
    <row r="6" spans="1:3">
      <c r="A6" s="113" t="s">
        <v>195</v>
      </c>
      <c r="B6" s="113"/>
      <c r="C6" s="114"/>
    </row>
    <row r="7" spans="1:3">
      <c r="A7" s="113">
        <f>Input!M46</f>
        <v>8</v>
      </c>
      <c r="B7" s="113"/>
      <c r="C7" s="114"/>
    </row>
    <row r="8" spans="1:3">
      <c r="A8" s="113" t="s">
        <v>196</v>
      </c>
      <c r="B8" s="113"/>
      <c r="C8" s="114"/>
    </row>
    <row r="9" spans="1:3">
      <c r="A9" s="113">
        <v>1</v>
      </c>
      <c r="B9" s="113"/>
      <c r="C9" s="114"/>
    </row>
    <row r="10" spans="1:3">
      <c r="A10" s="113" t="s">
        <v>197</v>
      </c>
      <c r="B10" s="113"/>
      <c r="C10" s="114"/>
    </row>
    <row r="11" spans="1:3">
      <c r="A11" s="113">
        <v>1</v>
      </c>
      <c r="B11" s="113"/>
      <c r="C11" s="114"/>
    </row>
    <row r="12" spans="1:3">
      <c r="A12" s="113" t="s">
        <v>198</v>
      </c>
      <c r="B12" s="113"/>
      <c r="C12" s="114"/>
    </row>
    <row r="13" spans="1:3">
      <c r="A13" s="113">
        <v>1</v>
      </c>
      <c r="B13" s="113"/>
      <c r="C13" s="114"/>
    </row>
    <row r="14" spans="1:3">
      <c r="A14" s="113" t="s">
        <v>199</v>
      </c>
      <c r="B14" s="113"/>
      <c r="C14" s="114"/>
    </row>
    <row r="15" spans="1:3">
      <c r="A15" s="113" t="str">
        <f>Input!I54</f>
        <v>W-1</v>
      </c>
      <c r="B15" s="113"/>
      <c r="C15" s="114"/>
    </row>
    <row r="16" spans="1:3">
      <c r="A16" s="113">
        <v>0</v>
      </c>
      <c r="B16" s="113"/>
      <c r="C16" s="114"/>
    </row>
    <row r="17" spans="1:3">
      <c r="A17" s="113">
        <v>0</v>
      </c>
      <c r="B17" s="113"/>
      <c r="C17" s="114"/>
    </row>
    <row r="18" spans="1:3">
      <c r="A18" s="113">
        <f>Input!N45/2/1000</f>
        <v>0.85</v>
      </c>
      <c r="B18" s="113"/>
      <c r="C18" s="114"/>
    </row>
    <row r="19" spans="1:3">
      <c r="A19" s="113">
        <f>Input!M44/2/1000</f>
        <v>0.85</v>
      </c>
      <c r="B19" s="113"/>
      <c r="C19" s="114"/>
    </row>
    <row r="20" spans="1:3">
      <c r="A20" s="113">
        <v>0</v>
      </c>
      <c r="B20" s="113"/>
      <c r="C20" s="114"/>
    </row>
    <row r="21" spans="1:3">
      <c r="A21" s="113">
        <v>0</v>
      </c>
      <c r="B21" s="113"/>
      <c r="C21" s="114"/>
    </row>
    <row r="22" spans="1:3">
      <c r="A22" s="113">
        <v>1</v>
      </c>
      <c r="B22" s="113"/>
      <c r="C22" s="114"/>
    </row>
    <row r="23" spans="1:3">
      <c r="A23" s="113">
        <v>5</v>
      </c>
      <c r="B23" s="113"/>
      <c r="C23" s="114"/>
    </row>
    <row r="24" spans="1:3">
      <c r="A24" s="115">
        <v>0</v>
      </c>
      <c r="B24" s="115">
        <f>Input!D3</f>
        <v>189</v>
      </c>
      <c r="C24" s="114"/>
    </row>
    <row r="25" spans="1:3">
      <c r="A25" s="115">
        <f>StepTest!D31</f>
        <v>120</v>
      </c>
      <c r="B25" s="115">
        <f>Input!D4</f>
        <v>240</v>
      </c>
      <c r="C25" s="114"/>
    </row>
    <row r="26" spans="1:3">
      <c r="A26" s="115">
        <f>StepTest!D36</f>
        <v>240</v>
      </c>
      <c r="B26" s="115">
        <f>Input!D5</f>
        <v>292.39999999999998</v>
      </c>
      <c r="C26" s="114"/>
    </row>
    <row r="27" spans="1:3">
      <c r="A27" s="115">
        <f>StepTest!D41</f>
        <v>360</v>
      </c>
      <c r="B27" s="115">
        <f>Input!D6</f>
        <v>344</v>
      </c>
      <c r="C27" s="114"/>
    </row>
    <row r="28" spans="1:3">
      <c r="A28" s="115">
        <f>StepTest!D46</f>
        <v>480</v>
      </c>
      <c r="B28" s="115">
        <f>Input!D7</f>
        <v>395.59999999999997</v>
      </c>
      <c r="C28" s="114"/>
    </row>
    <row r="29" spans="1:3">
      <c r="A29" s="113" t="s">
        <v>200</v>
      </c>
      <c r="B29" s="113"/>
      <c r="C29" s="114"/>
    </row>
    <row r="30" spans="1:3">
      <c r="A30" s="113" t="str">
        <f>A15</f>
        <v>W-1</v>
      </c>
      <c r="B30" s="113"/>
      <c r="C30" s="114"/>
    </row>
    <row r="31" spans="1:3">
      <c r="A31" s="116">
        <v>0</v>
      </c>
      <c r="B31" s="113"/>
      <c r="C31" s="114"/>
    </row>
    <row r="32" spans="1:3">
      <c r="A32" s="113">
        <v>0</v>
      </c>
      <c r="B32" s="113"/>
      <c r="C32" s="114"/>
    </row>
    <row r="33" spans="1:3">
      <c r="A33" s="113">
        <v>0</v>
      </c>
      <c r="B33" s="113"/>
      <c r="C33" s="114"/>
    </row>
    <row r="34" spans="1:3">
      <c r="A34" s="115">
        <f>SUM(C35:C134)</f>
        <v>100</v>
      </c>
      <c r="B34" s="113"/>
      <c r="C34" s="114"/>
    </row>
    <row r="35" spans="1:3">
      <c r="A35" s="113">
        <f>Sheet1!A1</f>
        <v>1</v>
      </c>
      <c r="B35" s="114">
        <f>Sheet1!B1</f>
        <v>-0.9</v>
      </c>
      <c r="C35" s="115">
        <v>1</v>
      </c>
    </row>
    <row r="36" spans="1:3">
      <c r="A36" s="113">
        <f>Sheet1!A2</f>
        <v>2</v>
      </c>
      <c r="B36" s="114">
        <f>Sheet1!B2</f>
        <v>-0.36</v>
      </c>
      <c r="C36" s="115">
        <v>1</v>
      </c>
    </row>
    <row r="37" spans="1:3">
      <c r="A37" s="113">
        <f>Sheet1!A3</f>
        <v>3</v>
      </c>
      <c r="B37" s="114">
        <f>Sheet1!B3</f>
        <v>-0.04</v>
      </c>
      <c r="C37" s="115">
        <v>1</v>
      </c>
    </row>
    <row r="38" spans="1:3">
      <c r="A38" s="113">
        <f>Sheet1!A4</f>
        <v>4</v>
      </c>
      <c r="B38" s="114">
        <f>Sheet1!B4</f>
        <v>0.19</v>
      </c>
      <c r="C38" s="115">
        <v>1</v>
      </c>
    </row>
    <row r="39" spans="1:3">
      <c r="A39" s="113">
        <f>Sheet1!A5</f>
        <v>5</v>
      </c>
      <c r="B39" s="114">
        <f>Sheet1!B5</f>
        <v>0.37</v>
      </c>
      <c r="C39" s="115">
        <v>1</v>
      </c>
    </row>
    <row r="40" spans="1:3">
      <c r="A40" s="113">
        <f>Sheet1!A6</f>
        <v>10</v>
      </c>
      <c r="B40" s="114">
        <f>Sheet1!B6</f>
        <v>0.91</v>
      </c>
      <c r="C40" s="115">
        <v>1</v>
      </c>
    </row>
    <row r="41" spans="1:3">
      <c r="A41" s="113">
        <f>Sheet1!A7</f>
        <v>15</v>
      </c>
      <c r="B41" s="114">
        <f>Sheet1!B7</f>
        <v>1.23</v>
      </c>
      <c r="C41" s="115">
        <v>1</v>
      </c>
    </row>
    <row r="42" spans="1:3">
      <c r="A42" s="113">
        <f>Sheet1!A8</f>
        <v>20</v>
      </c>
      <c r="B42" s="114">
        <f>Sheet1!B8</f>
        <v>1.46</v>
      </c>
      <c r="C42" s="115">
        <v>1</v>
      </c>
    </row>
    <row r="43" spans="1:3">
      <c r="A43" s="113">
        <f>Sheet1!A9</f>
        <v>25</v>
      </c>
      <c r="B43" s="114">
        <f>Sheet1!B9</f>
        <v>1.64</v>
      </c>
      <c r="C43" s="115">
        <v>1</v>
      </c>
    </row>
    <row r="44" spans="1:3">
      <c r="A44" s="113">
        <f>Sheet1!A10</f>
        <v>30</v>
      </c>
      <c r="B44" s="114">
        <f>Sheet1!B10</f>
        <v>1.78</v>
      </c>
      <c r="C44" s="115">
        <v>1</v>
      </c>
    </row>
    <row r="45" spans="1:3">
      <c r="A45" s="113">
        <f>Sheet1!A11</f>
        <v>35</v>
      </c>
      <c r="B45" s="114">
        <f>Sheet1!B11</f>
        <v>1.9</v>
      </c>
      <c r="C45" s="115">
        <v>1</v>
      </c>
    </row>
    <row r="46" spans="1:3">
      <c r="A46" s="113">
        <f>Sheet1!A12</f>
        <v>40</v>
      </c>
      <c r="B46" s="114">
        <f>Sheet1!B12</f>
        <v>2.0099999999999998</v>
      </c>
      <c r="C46" s="115">
        <v>1</v>
      </c>
    </row>
    <row r="47" spans="1:3">
      <c r="A47" s="113">
        <f>Sheet1!A13</f>
        <v>45</v>
      </c>
      <c r="B47" s="114">
        <f>Sheet1!B13</f>
        <v>2.1</v>
      </c>
      <c r="C47" s="115">
        <v>1</v>
      </c>
    </row>
    <row r="48" spans="1:3">
      <c r="A48" s="113">
        <f>Sheet1!A14</f>
        <v>50</v>
      </c>
      <c r="B48" s="114">
        <f>Sheet1!B14</f>
        <v>2.1800000000000002</v>
      </c>
      <c r="C48" s="115">
        <v>1</v>
      </c>
    </row>
    <row r="49" spans="1:3">
      <c r="A49" s="113">
        <f>Sheet1!A15</f>
        <v>55</v>
      </c>
      <c r="B49" s="114">
        <f>Sheet1!B15</f>
        <v>2.2599999999999998</v>
      </c>
      <c r="C49" s="115">
        <v>1</v>
      </c>
    </row>
    <row r="50" spans="1:3">
      <c r="A50" s="113">
        <f>Sheet1!A16</f>
        <v>60</v>
      </c>
      <c r="B50" s="114">
        <f>Sheet1!B16</f>
        <v>2.33</v>
      </c>
      <c r="C50" s="115">
        <v>1</v>
      </c>
    </row>
    <row r="51" spans="1:3">
      <c r="A51" s="113">
        <f>Sheet1!A17</f>
        <v>75</v>
      </c>
      <c r="B51" s="114">
        <f>Sheet1!B17</f>
        <v>2.5</v>
      </c>
      <c r="C51" s="115">
        <v>1</v>
      </c>
    </row>
    <row r="52" spans="1:3">
      <c r="A52" s="113">
        <f>Sheet1!A18</f>
        <v>90</v>
      </c>
      <c r="B52" s="114">
        <f>Sheet1!B18</f>
        <v>2.65</v>
      </c>
      <c r="C52" s="115">
        <v>1</v>
      </c>
    </row>
    <row r="53" spans="1:3">
      <c r="A53" s="113">
        <f>Sheet1!A19</f>
        <v>105</v>
      </c>
      <c r="B53" s="114">
        <f>Sheet1!B19</f>
        <v>2.77</v>
      </c>
      <c r="C53" s="115">
        <v>1</v>
      </c>
    </row>
    <row r="54" spans="1:3">
      <c r="A54" s="113">
        <f>Sheet1!A20</f>
        <v>120</v>
      </c>
      <c r="B54" s="114">
        <f>Sheet1!B20</f>
        <v>2.88</v>
      </c>
      <c r="C54" s="115">
        <v>1</v>
      </c>
    </row>
    <row r="55" spans="1:3">
      <c r="A55" s="113">
        <f>Sheet1!A21</f>
        <v>121</v>
      </c>
      <c r="B55" s="114">
        <f>Sheet1!B21</f>
        <v>3.04</v>
      </c>
      <c r="C55" s="115">
        <v>1</v>
      </c>
    </row>
    <row r="56" spans="1:3">
      <c r="A56" s="113">
        <f>Sheet1!A22</f>
        <v>122</v>
      </c>
      <c r="B56" s="114">
        <f>Sheet1!B22</f>
        <v>3.19</v>
      </c>
      <c r="C56" s="115">
        <v>1</v>
      </c>
    </row>
    <row r="57" spans="1:3">
      <c r="A57" s="113">
        <f>Sheet1!A23</f>
        <v>123</v>
      </c>
      <c r="B57" s="114">
        <f>Sheet1!B23</f>
        <v>3.33</v>
      </c>
      <c r="C57" s="115">
        <v>1</v>
      </c>
    </row>
    <row r="58" spans="1:3">
      <c r="A58" s="113">
        <f>Sheet1!A24</f>
        <v>124</v>
      </c>
      <c r="B58" s="114">
        <f>Sheet1!B24</f>
        <v>3.46</v>
      </c>
      <c r="C58" s="115">
        <v>1</v>
      </c>
    </row>
    <row r="59" spans="1:3">
      <c r="A59" s="113">
        <f>Sheet1!A25</f>
        <v>125</v>
      </c>
      <c r="B59" s="114">
        <f>Sheet1!B25</f>
        <v>3.59</v>
      </c>
      <c r="C59" s="115">
        <v>1</v>
      </c>
    </row>
    <row r="60" spans="1:3">
      <c r="A60" s="113">
        <f>Sheet1!A26</f>
        <v>130</v>
      </c>
      <c r="B60" s="114">
        <f>Sheet1!B26</f>
        <v>3.46</v>
      </c>
      <c r="C60" s="115">
        <v>1</v>
      </c>
    </row>
    <row r="61" spans="1:3">
      <c r="A61" s="113">
        <f>Sheet1!A27</f>
        <v>135</v>
      </c>
      <c r="B61" s="114">
        <f>Sheet1!B27</f>
        <v>3.57</v>
      </c>
      <c r="C61" s="115">
        <v>1</v>
      </c>
    </row>
    <row r="62" spans="1:3">
      <c r="A62" s="113">
        <f>Sheet1!A28</f>
        <v>140</v>
      </c>
      <c r="B62" s="114">
        <f>Sheet1!B28</f>
        <v>3.55</v>
      </c>
      <c r="C62" s="115">
        <v>1</v>
      </c>
    </row>
    <row r="63" spans="1:3">
      <c r="A63" s="113">
        <f>Sheet1!A29</f>
        <v>145</v>
      </c>
      <c r="B63" s="114">
        <f>Sheet1!B29</f>
        <v>3.65</v>
      </c>
      <c r="C63" s="115">
        <v>1</v>
      </c>
    </row>
    <row r="64" spans="1:3">
      <c r="A64" s="113">
        <f>Sheet1!A30</f>
        <v>150</v>
      </c>
      <c r="B64" s="114">
        <f>Sheet1!B30</f>
        <v>3.65</v>
      </c>
      <c r="C64" s="115">
        <v>1</v>
      </c>
    </row>
    <row r="65" spans="1:3">
      <c r="A65" s="113">
        <f>Sheet1!A31</f>
        <v>155</v>
      </c>
      <c r="B65" s="114">
        <f>Sheet1!B31</f>
        <v>3.71</v>
      </c>
      <c r="C65" s="115">
        <v>1</v>
      </c>
    </row>
    <row r="66" spans="1:3">
      <c r="A66" s="113">
        <f>Sheet1!A32</f>
        <v>160</v>
      </c>
      <c r="B66" s="114">
        <f>Sheet1!B32</f>
        <v>3.76</v>
      </c>
      <c r="C66" s="115">
        <v>1</v>
      </c>
    </row>
    <row r="67" spans="1:3">
      <c r="A67" s="113">
        <f>Sheet1!A33</f>
        <v>165</v>
      </c>
      <c r="B67" s="114">
        <f>Sheet1!B33</f>
        <v>3.8</v>
      </c>
      <c r="C67" s="115">
        <v>1</v>
      </c>
    </row>
    <row r="68" spans="1:3">
      <c r="A68" s="113">
        <f>Sheet1!A34</f>
        <v>170</v>
      </c>
      <c r="B68" s="114">
        <f>Sheet1!B34</f>
        <v>3.8299999999999996</v>
      </c>
      <c r="C68" s="115">
        <v>1</v>
      </c>
    </row>
    <row r="69" spans="1:3">
      <c r="A69" s="113">
        <f>Sheet1!A35</f>
        <v>175</v>
      </c>
      <c r="B69" s="114">
        <f>Sheet1!B35</f>
        <v>3.8499999999999996</v>
      </c>
      <c r="C69" s="115">
        <v>1</v>
      </c>
    </row>
    <row r="70" spans="1:3">
      <c r="A70" s="113">
        <f>Sheet1!A36</f>
        <v>180</v>
      </c>
      <c r="B70" s="114">
        <f>Sheet1!B36</f>
        <v>3.75</v>
      </c>
      <c r="C70" s="115">
        <v>1</v>
      </c>
    </row>
    <row r="71" spans="1:3">
      <c r="A71" s="113">
        <f>Sheet1!A37</f>
        <v>195</v>
      </c>
      <c r="B71" s="114">
        <f>Sheet1!B37</f>
        <v>3.82</v>
      </c>
      <c r="C71" s="115">
        <v>1</v>
      </c>
    </row>
    <row r="72" spans="1:3">
      <c r="A72" s="113">
        <f>Sheet1!A38</f>
        <v>210</v>
      </c>
      <c r="B72" s="114">
        <f>Sheet1!B38</f>
        <v>3.88</v>
      </c>
      <c r="C72" s="115">
        <v>1</v>
      </c>
    </row>
    <row r="73" spans="1:3">
      <c r="A73" s="113">
        <f>Sheet1!A39</f>
        <v>225</v>
      </c>
      <c r="B73" s="114">
        <f>Sheet1!B39</f>
        <v>3.9299999999999997</v>
      </c>
      <c r="C73" s="115">
        <v>1</v>
      </c>
    </row>
    <row r="74" spans="1:3">
      <c r="A74" s="113">
        <f>Sheet1!A40</f>
        <v>240</v>
      </c>
      <c r="B74" s="114">
        <f>Sheet1!B40</f>
        <v>3.85</v>
      </c>
      <c r="C74" s="115">
        <v>1</v>
      </c>
    </row>
    <row r="75" spans="1:3">
      <c r="A75" s="113">
        <f>Sheet1!A41</f>
        <v>241</v>
      </c>
      <c r="B75" s="114">
        <f>Sheet1!B41</f>
        <v>4.03</v>
      </c>
      <c r="C75" s="115">
        <v>1</v>
      </c>
    </row>
    <row r="76" spans="1:3">
      <c r="A76" s="113">
        <f>Sheet1!A42</f>
        <v>242</v>
      </c>
      <c r="B76" s="114">
        <f>Sheet1!B42</f>
        <v>4.1900000000000004</v>
      </c>
      <c r="C76" s="115">
        <v>1</v>
      </c>
    </row>
    <row r="77" spans="1:3">
      <c r="A77" s="113">
        <f>Sheet1!A43</f>
        <v>243</v>
      </c>
      <c r="B77" s="114">
        <f>Sheet1!B43</f>
        <v>4.3400000000000007</v>
      </c>
      <c r="C77" s="115">
        <v>1</v>
      </c>
    </row>
    <row r="78" spans="1:3">
      <c r="A78" s="113">
        <f>Sheet1!A44</f>
        <v>244</v>
      </c>
      <c r="B78" s="114">
        <f>Sheet1!B44</f>
        <v>4.4800000000000004</v>
      </c>
      <c r="C78" s="115">
        <v>1</v>
      </c>
    </row>
    <row r="79" spans="1:3">
      <c r="A79" s="113">
        <f>Sheet1!A45</f>
        <v>245</v>
      </c>
      <c r="B79" s="114">
        <f>Sheet1!B45</f>
        <v>4.6100000000000003</v>
      </c>
      <c r="C79" s="115">
        <v>1</v>
      </c>
    </row>
    <row r="80" spans="1:3">
      <c r="A80" s="113">
        <f>Sheet1!A46</f>
        <v>250</v>
      </c>
      <c r="B80" s="114">
        <f>Sheet1!B46</f>
        <v>4.49</v>
      </c>
      <c r="C80" s="115">
        <v>1</v>
      </c>
    </row>
    <row r="81" spans="1:3">
      <c r="A81" s="113">
        <f>Sheet1!A47</f>
        <v>255</v>
      </c>
      <c r="B81" s="114">
        <f>Sheet1!B47</f>
        <v>4.6000000000000005</v>
      </c>
      <c r="C81" s="115">
        <v>1</v>
      </c>
    </row>
    <row r="82" spans="1:3">
      <c r="A82" s="113">
        <f>Sheet1!A48</f>
        <v>260</v>
      </c>
      <c r="B82" s="114">
        <f>Sheet1!B48</f>
        <v>4.5999999999999996</v>
      </c>
      <c r="C82" s="115">
        <v>1</v>
      </c>
    </row>
    <row r="83" spans="1:3">
      <c r="A83" s="113">
        <f>Sheet1!A49</f>
        <v>265</v>
      </c>
      <c r="B83" s="114">
        <f>Sheet1!B49</f>
        <v>4.71</v>
      </c>
      <c r="C83" s="115">
        <v>1</v>
      </c>
    </row>
    <row r="84" spans="1:3">
      <c r="A84" s="113">
        <f>Sheet1!A50</f>
        <v>270</v>
      </c>
      <c r="B84" s="114">
        <f>Sheet1!B50</f>
        <v>4.71</v>
      </c>
      <c r="C84" s="115">
        <v>1</v>
      </c>
    </row>
    <row r="85" spans="1:3">
      <c r="A85" s="113">
        <f>Sheet1!A51</f>
        <v>275</v>
      </c>
      <c r="B85" s="114">
        <f>Sheet1!B51</f>
        <v>4.78</v>
      </c>
      <c r="C85" s="115">
        <v>1</v>
      </c>
    </row>
    <row r="86" spans="1:3">
      <c r="A86" s="113">
        <f>Sheet1!A52</f>
        <v>280</v>
      </c>
      <c r="B86" s="114">
        <f>Sheet1!B52</f>
        <v>4.83</v>
      </c>
      <c r="C86" s="115">
        <v>1</v>
      </c>
    </row>
    <row r="87" spans="1:3">
      <c r="A87" s="113">
        <f>Sheet1!A53</f>
        <v>285</v>
      </c>
      <c r="B87" s="114">
        <f>Sheet1!B53</f>
        <v>4.87</v>
      </c>
      <c r="C87" s="115">
        <v>1</v>
      </c>
    </row>
    <row r="88" spans="1:3">
      <c r="A88" s="113">
        <f>Sheet1!A54</f>
        <v>290</v>
      </c>
      <c r="B88" s="114">
        <f>Sheet1!B54</f>
        <v>4.9000000000000004</v>
      </c>
      <c r="C88" s="115">
        <v>1</v>
      </c>
    </row>
    <row r="89" spans="1:3">
      <c r="A89" s="113">
        <f>Sheet1!A55</f>
        <v>295</v>
      </c>
      <c r="B89" s="114">
        <f>Sheet1!B55</f>
        <v>4.92</v>
      </c>
      <c r="C89" s="115">
        <v>1</v>
      </c>
    </row>
    <row r="90" spans="1:3">
      <c r="A90" s="113">
        <f>Sheet1!A56</f>
        <v>300</v>
      </c>
      <c r="B90" s="114">
        <f>Sheet1!B56</f>
        <v>4.82</v>
      </c>
      <c r="C90" s="115">
        <v>1</v>
      </c>
    </row>
    <row r="91" spans="1:3">
      <c r="A91" s="113">
        <f>Sheet1!A57</f>
        <v>315</v>
      </c>
      <c r="B91" s="114">
        <f>Sheet1!B57</f>
        <v>4.9000000000000004</v>
      </c>
      <c r="C91" s="115">
        <v>1</v>
      </c>
    </row>
    <row r="92" spans="1:3">
      <c r="A92" s="113">
        <f>Sheet1!A58</f>
        <v>330</v>
      </c>
      <c r="B92" s="114">
        <f>Sheet1!B58</f>
        <v>4.96</v>
      </c>
      <c r="C92" s="115">
        <v>1</v>
      </c>
    </row>
    <row r="93" spans="1:3">
      <c r="A93" s="113">
        <f>Sheet1!A59</f>
        <v>345</v>
      </c>
      <c r="B93" s="114">
        <f>Sheet1!B59</f>
        <v>5.01</v>
      </c>
      <c r="C93" s="115">
        <v>1</v>
      </c>
    </row>
    <row r="94" spans="1:3">
      <c r="A94" s="113">
        <f>Sheet1!A60</f>
        <v>360</v>
      </c>
      <c r="B94" s="114">
        <f>Sheet1!B60</f>
        <v>4.93</v>
      </c>
      <c r="C94" s="115">
        <v>1</v>
      </c>
    </row>
    <row r="95" spans="1:3">
      <c r="A95" s="113">
        <f>Sheet1!A61</f>
        <v>361</v>
      </c>
      <c r="B95" s="114">
        <f>Sheet1!B61</f>
        <v>5.12</v>
      </c>
      <c r="C95" s="115">
        <v>1</v>
      </c>
    </row>
    <row r="96" spans="1:3">
      <c r="A96" s="113">
        <f>Sheet1!A62</f>
        <v>362</v>
      </c>
      <c r="B96" s="114">
        <f>Sheet1!B62</f>
        <v>5.29</v>
      </c>
      <c r="C96" s="115">
        <v>1</v>
      </c>
    </row>
    <row r="97" spans="1:3">
      <c r="A97" s="113">
        <f>Sheet1!A63</f>
        <v>363</v>
      </c>
      <c r="B97" s="114">
        <f>Sheet1!B63</f>
        <v>5.45</v>
      </c>
      <c r="C97" s="115">
        <v>1</v>
      </c>
    </row>
    <row r="98" spans="1:3">
      <c r="A98" s="113">
        <f>Sheet1!A64</f>
        <v>364</v>
      </c>
      <c r="B98" s="114">
        <f>Sheet1!B64</f>
        <v>5.6000000000000005</v>
      </c>
      <c r="C98" s="115">
        <v>1</v>
      </c>
    </row>
    <row r="99" spans="1:3">
      <c r="A99" s="113">
        <f>Sheet1!A65</f>
        <v>365</v>
      </c>
      <c r="B99" s="114">
        <f>Sheet1!B65</f>
        <v>5.74</v>
      </c>
      <c r="C99" s="115">
        <v>1</v>
      </c>
    </row>
    <row r="100" spans="1:3">
      <c r="A100" s="113">
        <f>Sheet1!A66</f>
        <v>370</v>
      </c>
      <c r="B100" s="114">
        <f>Sheet1!B66</f>
        <v>5.65</v>
      </c>
      <c r="C100" s="115">
        <v>1</v>
      </c>
    </row>
    <row r="101" spans="1:3">
      <c r="A101" s="113">
        <f>Sheet1!A67</f>
        <v>375</v>
      </c>
      <c r="B101" s="114">
        <f>Sheet1!B67</f>
        <v>5.7700000000000005</v>
      </c>
      <c r="C101" s="115">
        <v>1</v>
      </c>
    </row>
    <row r="102" spans="1:3">
      <c r="A102" s="113">
        <f>Sheet1!A68</f>
        <v>380</v>
      </c>
      <c r="B102" s="114">
        <f>Sheet1!B68</f>
        <v>5.77</v>
      </c>
      <c r="C102" s="115">
        <v>1</v>
      </c>
    </row>
    <row r="103" spans="1:3">
      <c r="A103" s="113">
        <f>Sheet1!A69</f>
        <v>385</v>
      </c>
      <c r="B103" s="114">
        <f>Sheet1!B69</f>
        <v>5.89</v>
      </c>
      <c r="C103" s="115">
        <v>1</v>
      </c>
    </row>
    <row r="104" spans="1:3">
      <c r="A104" s="113">
        <f>Sheet1!A70</f>
        <v>390</v>
      </c>
      <c r="B104" s="114">
        <f>Sheet1!B70</f>
        <v>5.89</v>
      </c>
      <c r="C104" s="115">
        <v>1</v>
      </c>
    </row>
    <row r="105" spans="1:3">
      <c r="A105" s="113">
        <f>Sheet1!A71</f>
        <v>395</v>
      </c>
      <c r="B105" s="114">
        <f>Sheet1!B71</f>
        <v>5.96</v>
      </c>
      <c r="C105" s="115">
        <v>1</v>
      </c>
    </row>
    <row r="106" spans="1:3">
      <c r="A106" s="113">
        <f>Sheet1!A72</f>
        <v>400</v>
      </c>
      <c r="B106" s="114">
        <f>Sheet1!B72</f>
        <v>6.01</v>
      </c>
      <c r="C106" s="115">
        <v>1</v>
      </c>
    </row>
    <row r="107" spans="1:3">
      <c r="A107" s="113">
        <f>Sheet1!A73</f>
        <v>405</v>
      </c>
      <c r="B107" s="114">
        <f>Sheet1!B73</f>
        <v>6.05</v>
      </c>
      <c r="C107" s="115">
        <v>1</v>
      </c>
    </row>
    <row r="108" spans="1:3">
      <c r="A108" s="113">
        <f>Sheet1!A74</f>
        <v>410</v>
      </c>
      <c r="B108" s="114">
        <f>Sheet1!B74</f>
        <v>6.08</v>
      </c>
      <c r="C108" s="115">
        <v>1</v>
      </c>
    </row>
    <row r="109" spans="1:3">
      <c r="A109" s="113">
        <f>Sheet1!A75</f>
        <v>415</v>
      </c>
      <c r="B109" s="114">
        <f>Sheet1!B75</f>
        <v>6.11</v>
      </c>
      <c r="C109" s="115">
        <v>1</v>
      </c>
    </row>
    <row r="110" spans="1:3">
      <c r="A110" s="113">
        <f>Sheet1!A76</f>
        <v>420</v>
      </c>
      <c r="B110" s="114">
        <f>Sheet1!B76</f>
        <v>6.01</v>
      </c>
      <c r="C110" s="115">
        <v>1</v>
      </c>
    </row>
    <row r="111" spans="1:3">
      <c r="A111" s="113">
        <f>Sheet1!A77</f>
        <v>435</v>
      </c>
      <c r="B111" s="114">
        <f>Sheet1!B77</f>
        <v>6.1</v>
      </c>
      <c r="C111" s="115">
        <v>1</v>
      </c>
    </row>
    <row r="112" spans="1:3">
      <c r="A112" s="113">
        <f>Sheet1!A78</f>
        <v>450</v>
      </c>
      <c r="B112" s="114">
        <f>Sheet1!B78</f>
        <v>6.17</v>
      </c>
      <c r="C112" s="115">
        <v>1</v>
      </c>
    </row>
    <row r="113" spans="1:3">
      <c r="A113" s="113">
        <f>Sheet1!A79</f>
        <v>465</v>
      </c>
      <c r="B113" s="114">
        <f>Sheet1!B79</f>
        <v>6.22</v>
      </c>
      <c r="C113" s="115">
        <v>1</v>
      </c>
    </row>
    <row r="114" spans="1:3">
      <c r="A114" s="113">
        <f>Sheet1!A80</f>
        <v>480</v>
      </c>
      <c r="B114" s="114">
        <f>Sheet1!B80</f>
        <v>6.14</v>
      </c>
      <c r="C114" s="115">
        <v>1</v>
      </c>
    </row>
    <row r="115" spans="1:3">
      <c r="A115" s="113">
        <f>Sheet1!A81</f>
        <v>481</v>
      </c>
      <c r="B115" s="114">
        <f>Sheet1!B81</f>
        <v>6.35</v>
      </c>
      <c r="C115" s="115">
        <v>1</v>
      </c>
    </row>
    <row r="116" spans="1:3">
      <c r="A116" s="113">
        <f>Sheet1!A82</f>
        <v>482</v>
      </c>
      <c r="B116" s="114">
        <f>Sheet1!B82</f>
        <v>6.54</v>
      </c>
      <c r="C116" s="115">
        <v>1</v>
      </c>
    </row>
    <row r="117" spans="1:3">
      <c r="A117" s="113">
        <f>Sheet1!A83</f>
        <v>483</v>
      </c>
      <c r="B117" s="114">
        <f>Sheet1!B83</f>
        <v>6.71</v>
      </c>
      <c r="C117" s="115">
        <v>1</v>
      </c>
    </row>
    <row r="118" spans="1:3">
      <c r="A118" s="113">
        <f>Sheet1!A84</f>
        <v>484</v>
      </c>
      <c r="B118" s="114">
        <f>Sheet1!B84</f>
        <v>6.87</v>
      </c>
      <c r="C118" s="115">
        <v>1</v>
      </c>
    </row>
    <row r="119" spans="1:3">
      <c r="A119" s="113">
        <f>Sheet1!A85</f>
        <v>485</v>
      </c>
      <c r="B119" s="114">
        <f>Sheet1!B85</f>
        <v>7.01</v>
      </c>
      <c r="C119" s="115">
        <v>1</v>
      </c>
    </row>
    <row r="120" spans="1:3">
      <c r="A120" s="113">
        <f>Sheet1!A86</f>
        <v>490</v>
      </c>
      <c r="B120" s="114">
        <f>Sheet1!B86</f>
        <v>6.87</v>
      </c>
      <c r="C120" s="115">
        <v>1</v>
      </c>
    </row>
    <row r="121" spans="1:3">
      <c r="A121" s="113">
        <f>Sheet1!A87</f>
        <v>495</v>
      </c>
      <c r="B121" s="114">
        <f>Sheet1!B87</f>
        <v>7.18</v>
      </c>
      <c r="C121" s="115">
        <v>1</v>
      </c>
    </row>
    <row r="122" spans="1:3">
      <c r="A122" s="113">
        <f>Sheet1!A88</f>
        <v>500</v>
      </c>
      <c r="B122" s="114">
        <f>Sheet1!B88</f>
        <v>7.15</v>
      </c>
      <c r="C122" s="115">
        <v>1</v>
      </c>
    </row>
    <row r="123" spans="1:3">
      <c r="A123" s="113">
        <f>Sheet1!A89</f>
        <v>505</v>
      </c>
      <c r="B123" s="114">
        <f>Sheet1!B89</f>
        <v>7.45</v>
      </c>
      <c r="C123" s="115">
        <v>1</v>
      </c>
    </row>
    <row r="124" spans="1:3">
      <c r="A124" s="113">
        <f>Sheet1!A90</f>
        <v>510</v>
      </c>
      <c r="B124" s="114">
        <f>Sheet1!B90</f>
        <v>7.42</v>
      </c>
      <c r="C124" s="115">
        <v>1</v>
      </c>
    </row>
    <row r="125" spans="1:3">
      <c r="A125" s="113">
        <f>Sheet1!A91</f>
        <v>515</v>
      </c>
      <c r="B125" s="114">
        <f>Sheet1!B91</f>
        <v>7.57</v>
      </c>
      <c r="C125" s="115">
        <v>1</v>
      </c>
    </row>
    <row r="126" spans="1:3">
      <c r="A126" s="113">
        <f>Sheet1!A92</f>
        <v>520</v>
      </c>
      <c r="B126" s="114">
        <f>Sheet1!B92</f>
        <v>7.7</v>
      </c>
      <c r="C126" s="115">
        <v>1</v>
      </c>
    </row>
    <row r="127" spans="1:3">
      <c r="A127" s="113">
        <f>Sheet1!A93</f>
        <v>525</v>
      </c>
      <c r="B127" s="114">
        <f>Sheet1!B93</f>
        <v>7.8100000000000005</v>
      </c>
      <c r="C127" s="115">
        <v>1</v>
      </c>
    </row>
    <row r="128" spans="1:3">
      <c r="A128" s="113">
        <f>Sheet1!A94</f>
        <v>530</v>
      </c>
      <c r="B128" s="114">
        <f>Sheet1!B94</f>
        <v>7.8900000000000006</v>
      </c>
      <c r="C128" s="115">
        <v>1</v>
      </c>
    </row>
    <row r="129" spans="1:3">
      <c r="A129" s="113">
        <f>Sheet1!A95</f>
        <v>535</v>
      </c>
      <c r="B129" s="114">
        <f>Sheet1!B95</f>
        <v>7.9600000000000009</v>
      </c>
      <c r="C129" s="115">
        <v>1</v>
      </c>
    </row>
    <row r="130" spans="1:3">
      <c r="A130" s="113">
        <f>Sheet1!A96</f>
        <v>540</v>
      </c>
      <c r="B130" s="114">
        <f>Sheet1!B96</f>
        <v>7.7</v>
      </c>
      <c r="C130" s="115">
        <v>1</v>
      </c>
    </row>
    <row r="131" spans="1:3">
      <c r="A131" s="113">
        <f>Sheet1!A97</f>
        <v>555</v>
      </c>
      <c r="B131" s="114">
        <f>Sheet1!B97</f>
        <v>7.8900000000000006</v>
      </c>
      <c r="C131" s="115">
        <v>1</v>
      </c>
    </row>
    <row r="132" spans="1:3">
      <c r="A132" s="113">
        <f>Sheet1!A98</f>
        <v>570</v>
      </c>
      <c r="B132" s="114">
        <f>Sheet1!B98</f>
        <v>8.0500000000000007</v>
      </c>
      <c r="C132" s="115">
        <v>1</v>
      </c>
    </row>
    <row r="133" spans="1:3">
      <c r="A133" s="113">
        <f>Sheet1!A99</f>
        <v>585</v>
      </c>
      <c r="B133" s="114">
        <f>Sheet1!B99</f>
        <v>8.1900000000000013</v>
      </c>
      <c r="C133" s="115">
        <v>1</v>
      </c>
    </row>
    <row r="134" spans="1:3">
      <c r="A134" s="113">
        <f>Sheet1!A100</f>
        <v>600</v>
      </c>
      <c r="B134" s="114">
        <f>Sheet1!B100</f>
        <v>7.98</v>
      </c>
      <c r="C134" s="115">
        <v>1</v>
      </c>
    </row>
    <row r="135" spans="1:3">
      <c r="A135" s="113" t="s">
        <v>201</v>
      </c>
      <c r="B135" s="114"/>
      <c r="C135" s="114"/>
    </row>
  </sheetData>
  <phoneticPr fontId="4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7169" r:id="rId4" name="CommandButton1">
          <controlPr defaultSize="0" autoLine="0" autoPict="0" r:id="rId5">
            <anchor moveWithCells="1">
              <from>
                <xdr:col>6</xdr:col>
                <xdr:colOff>57150</xdr:colOff>
                <xdr:row>1</xdr:row>
                <xdr:rowOff>47625</xdr:rowOff>
              </from>
              <to>
                <xdr:col>8</xdr:col>
                <xdr:colOff>476250</xdr:colOff>
                <xdr:row>3</xdr:row>
                <xdr:rowOff>28575</xdr:rowOff>
              </to>
            </anchor>
          </controlPr>
        </control>
      </mc:Choice>
      <mc:Fallback>
        <control shapeId="7169" r:id="rId4" name="CommandButton1"/>
      </mc:Fallback>
    </mc:AlternateContent>
    <mc:AlternateContent xmlns:mc="http://schemas.openxmlformats.org/markup-compatibility/2006">
      <mc:Choice Requires="x14">
        <control shapeId="7170" r:id="rId6" name="CommandButton2">
          <controlPr defaultSize="0" autoLine="0" autoPict="0" r:id="rId7">
            <anchor moveWithCells="1">
              <from>
                <xdr:col>6</xdr:col>
                <xdr:colOff>57150</xdr:colOff>
                <xdr:row>3</xdr:row>
                <xdr:rowOff>123825</xdr:rowOff>
              </from>
              <to>
                <xdr:col>8</xdr:col>
                <xdr:colOff>476250</xdr:colOff>
                <xdr:row>5</xdr:row>
                <xdr:rowOff>104775</xdr:rowOff>
              </to>
            </anchor>
          </controlPr>
        </control>
      </mc:Choice>
      <mc:Fallback>
        <control shapeId="7170" r:id="rId6" name="CommandButton2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AD939-83FB-499C-8DFE-FA255A3787B2}">
  <sheetPr codeName="sh02_JanggiSelect">
    <tabColor theme="3" tint="0.79998168889431442"/>
  </sheetPr>
  <dimension ref="A1:C99"/>
  <sheetViews>
    <sheetView workbookViewId="0">
      <selection activeCell="Q14" sqref="Q14"/>
    </sheetView>
  </sheetViews>
  <sheetFormatPr defaultColWidth="9" defaultRowHeight="16.5"/>
  <cols>
    <col min="1" max="1" width="9" style="97"/>
    <col min="2" max="3" width="9" style="98"/>
    <col min="4" max="16384" width="9" style="97"/>
  </cols>
  <sheetData>
    <row r="1" spans="1:3">
      <c r="B1" s="97"/>
    </row>
    <row r="2" spans="1:3">
      <c r="A2" s="113" t="s">
        <v>194</v>
      </c>
      <c r="B2" s="113"/>
      <c r="C2" s="114"/>
    </row>
    <row r="3" spans="1:3">
      <c r="A3" s="113">
        <v>2</v>
      </c>
      <c r="B3" s="113"/>
      <c r="C3" s="114"/>
    </row>
    <row r="4" spans="1:3">
      <c r="A4" s="113">
        <v>1</v>
      </c>
      <c r="B4" s="113"/>
      <c r="C4" s="114"/>
    </row>
    <row r="5" spans="1:3">
      <c r="A5" s="113">
        <v>6</v>
      </c>
      <c r="B5" s="113"/>
      <c r="C5" s="114"/>
    </row>
    <row r="6" spans="1:3">
      <c r="A6" s="113" t="s">
        <v>195</v>
      </c>
      <c r="B6" s="113"/>
      <c r="C6" s="114"/>
    </row>
    <row r="7" spans="1:3">
      <c r="A7" s="113">
        <f>Step.Select!A7</f>
        <v>8</v>
      </c>
      <c r="B7" s="113"/>
      <c r="C7" s="114"/>
    </row>
    <row r="8" spans="1:3">
      <c r="A8" s="113" t="s">
        <v>196</v>
      </c>
      <c r="B8" s="113"/>
      <c r="C8" s="114"/>
    </row>
    <row r="9" spans="1:3">
      <c r="A9" s="113">
        <v>1</v>
      </c>
      <c r="B9" s="113"/>
      <c r="C9" s="114"/>
    </row>
    <row r="10" spans="1:3">
      <c r="A10" s="113" t="s">
        <v>197</v>
      </c>
      <c r="B10" s="113"/>
      <c r="C10" s="114"/>
    </row>
    <row r="11" spans="1:3">
      <c r="A11" s="113">
        <v>1</v>
      </c>
      <c r="B11" s="113"/>
      <c r="C11" s="114"/>
    </row>
    <row r="12" spans="1:3">
      <c r="A12" s="113" t="s">
        <v>198</v>
      </c>
      <c r="B12" s="113"/>
      <c r="C12" s="114"/>
    </row>
    <row r="13" spans="1:3">
      <c r="A13" s="113">
        <v>1</v>
      </c>
      <c r="B13" s="113"/>
      <c r="C13" s="114"/>
    </row>
    <row r="14" spans="1:3">
      <c r="A14" s="113" t="s">
        <v>199</v>
      </c>
      <c r="B14" s="113"/>
      <c r="C14" s="114"/>
    </row>
    <row r="15" spans="1:3">
      <c r="A15" s="113" t="str">
        <f>Input!I54</f>
        <v>W-1</v>
      </c>
      <c r="B15" s="113"/>
      <c r="C15" s="114"/>
    </row>
    <row r="16" spans="1:3">
      <c r="A16" s="113">
        <v>0</v>
      </c>
      <c r="B16" s="113"/>
      <c r="C16" s="114"/>
    </row>
    <row r="17" spans="1:3">
      <c r="A17" s="113">
        <v>0</v>
      </c>
      <c r="B17" s="113"/>
      <c r="C17" s="114"/>
    </row>
    <row r="18" spans="1:3">
      <c r="A18" s="113">
        <f>Step.Select!A18</f>
        <v>0.85</v>
      </c>
      <c r="B18" s="113"/>
      <c r="C18" s="114"/>
    </row>
    <row r="19" spans="1:3">
      <c r="A19" s="113">
        <f>Step.Select!A19</f>
        <v>0.85</v>
      </c>
      <c r="B19" s="113"/>
      <c r="C19" s="114"/>
    </row>
    <row r="20" spans="1:3">
      <c r="A20" s="113">
        <v>0</v>
      </c>
      <c r="B20" s="113"/>
      <c r="C20" s="114"/>
    </row>
    <row r="21" spans="1:3">
      <c r="A21" s="113">
        <v>0</v>
      </c>
      <c r="B21" s="113"/>
      <c r="C21" s="114"/>
    </row>
    <row r="22" spans="1:3">
      <c r="A22" s="113">
        <v>1</v>
      </c>
      <c r="B22" s="113"/>
      <c r="C22" s="114"/>
    </row>
    <row r="23" spans="1:3">
      <c r="A23" s="113">
        <v>1</v>
      </c>
      <c r="B23" s="113"/>
      <c r="C23" s="114"/>
    </row>
    <row r="24" spans="1:3">
      <c r="A24" s="115">
        <v>0</v>
      </c>
      <c r="B24" s="115">
        <f>Input!M51</f>
        <v>300</v>
      </c>
      <c r="C24" s="114"/>
    </row>
    <row r="25" spans="1:3">
      <c r="A25" s="113" t="s">
        <v>200</v>
      </c>
      <c r="B25" s="113"/>
      <c r="C25" s="114"/>
    </row>
    <row r="26" spans="1:3">
      <c r="A26" s="113" t="str">
        <f>A15</f>
        <v>W-1</v>
      </c>
      <c r="B26" s="113"/>
      <c r="C26" s="114"/>
    </row>
    <row r="27" spans="1:3">
      <c r="A27" s="116">
        <f>SkinFactor!C8</f>
        <v>4.9720000000000004</v>
      </c>
      <c r="B27" s="113"/>
      <c r="C27" s="114"/>
    </row>
    <row r="28" spans="1:3">
      <c r="A28" s="113">
        <v>0</v>
      </c>
      <c r="B28" s="113"/>
      <c r="C28" s="114"/>
    </row>
    <row r="29" spans="1:3">
      <c r="A29" s="113">
        <v>0</v>
      </c>
      <c r="B29" s="113"/>
      <c r="C29" s="114"/>
    </row>
    <row r="30" spans="1:3">
      <c r="A30" s="115">
        <f>SUM(C31:C98)</f>
        <v>68</v>
      </c>
      <c r="B30" s="113"/>
      <c r="C30" s="114"/>
    </row>
    <row r="31" spans="1:3">
      <c r="A31" s="113">
        <f>LongTest!D10</f>
        <v>1</v>
      </c>
      <c r="B31" s="117">
        <f>LongTest!G10</f>
        <v>1.0947958279694281</v>
      </c>
      <c r="C31" s="115">
        <v>1</v>
      </c>
    </row>
    <row r="32" spans="1:3">
      <c r="A32" s="113">
        <f>LongTest!D11</f>
        <v>2</v>
      </c>
      <c r="B32" s="117">
        <f>LongTest!G11</f>
        <v>1.6990432080894191</v>
      </c>
      <c r="C32" s="115">
        <v>1</v>
      </c>
    </row>
    <row r="33" spans="1:3">
      <c r="A33" s="113">
        <f>LongTest!D12</f>
        <v>3</v>
      </c>
      <c r="B33" s="117">
        <f>LongTest!G12</f>
        <v>2.0525052666186161</v>
      </c>
      <c r="C33" s="115">
        <v>1</v>
      </c>
    </row>
    <row r="34" spans="1:3">
      <c r="A34" s="113">
        <f>LongTest!D13</f>
        <v>4</v>
      </c>
      <c r="B34" s="117">
        <f>LongTest!G13</f>
        <v>2.3032905882094097</v>
      </c>
      <c r="C34" s="115">
        <v>1</v>
      </c>
    </row>
    <row r="35" spans="1:3">
      <c r="A35" s="113">
        <f>LongTest!D14</f>
        <v>5</v>
      </c>
      <c r="B35" s="117">
        <f>LongTest!G14</f>
        <v>2.4978147961321184</v>
      </c>
      <c r="C35" s="115">
        <v>1</v>
      </c>
    </row>
    <row r="36" spans="1:3">
      <c r="A36" s="113">
        <f>LongTest!D15</f>
        <v>10</v>
      </c>
      <c r="B36" s="117">
        <f>LongTest!G15</f>
        <v>3.102062176252109</v>
      </c>
      <c r="C36" s="115">
        <v>1</v>
      </c>
    </row>
    <row r="37" spans="1:3">
      <c r="A37" s="113">
        <f>LongTest!D16</f>
        <v>15</v>
      </c>
      <c r="B37" s="117">
        <f>LongTest!G16</f>
        <v>3.455524234781306</v>
      </c>
      <c r="C37" s="115">
        <v>1</v>
      </c>
    </row>
    <row r="38" spans="1:3">
      <c r="A38" s="113">
        <f>LongTest!D17</f>
        <v>20</v>
      </c>
      <c r="B38" s="117">
        <f>LongTest!G17</f>
        <v>3.7063095563721005</v>
      </c>
      <c r="C38" s="115">
        <v>1</v>
      </c>
    </row>
    <row r="39" spans="1:3">
      <c r="A39" s="113">
        <f>LongTest!D18</f>
        <v>25</v>
      </c>
      <c r="B39" s="117">
        <f>LongTest!G18</f>
        <v>3.9008337642948083</v>
      </c>
      <c r="C39" s="115">
        <v>1</v>
      </c>
    </row>
    <row r="40" spans="1:3">
      <c r="A40" s="113">
        <f>LongTest!D19</f>
        <v>30</v>
      </c>
      <c r="B40" s="117">
        <f>LongTest!G19</f>
        <v>4.0597716149012975</v>
      </c>
      <c r="C40" s="115">
        <v>1</v>
      </c>
    </row>
    <row r="41" spans="1:3">
      <c r="A41" s="113">
        <f>LongTest!D20</f>
        <v>35</v>
      </c>
      <c r="B41" s="117">
        <f>LongTest!G20</f>
        <v>4.194151652852387</v>
      </c>
      <c r="C41" s="115">
        <v>1</v>
      </c>
    </row>
    <row r="42" spans="1:3">
      <c r="A42" s="113">
        <f>LongTest!D21</f>
        <v>40</v>
      </c>
      <c r="B42" s="117">
        <f>LongTest!G21</f>
        <v>4.310556936492091</v>
      </c>
      <c r="C42" s="115">
        <v>1</v>
      </c>
    </row>
    <row r="43" spans="1:3">
      <c r="A43" s="113">
        <f>LongTest!D22</f>
        <v>45</v>
      </c>
      <c r="B43" s="117">
        <f>LongTest!G22</f>
        <v>4.4132336734304936</v>
      </c>
      <c r="C43" s="115">
        <v>1</v>
      </c>
    </row>
    <row r="44" spans="1:3">
      <c r="A44" s="113">
        <f>LongTest!D23</f>
        <v>50</v>
      </c>
      <c r="B44" s="117">
        <f>LongTest!G23</f>
        <v>4.5050811444147989</v>
      </c>
      <c r="C44" s="115">
        <v>1</v>
      </c>
    </row>
    <row r="45" spans="1:3">
      <c r="A45" s="113">
        <f>LongTest!D24</f>
        <v>55</v>
      </c>
      <c r="B45" s="117">
        <f>LongTest!G24</f>
        <v>4.5881672883979645</v>
      </c>
      <c r="C45" s="115">
        <v>1</v>
      </c>
    </row>
    <row r="46" spans="1:3">
      <c r="A46" s="113">
        <f>LongTest!D25</f>
        <v>60</v>
      </c>
      <c r="B46" s="117">
        <f>LongTest!G25</f>
        <v>4.6640189950212871</v>
      </c>
      <c r="C46" s="115">
        <v>1</v>
      </c>
    </row>
    <row r="47" spans="1:3">
      <c r="A47" s="113">
        <f>LongTest!D26</f>
        <v>75</v>
      </c>
      <c r="B47" s="117">
        <f>LongTest!G26</f>
        <v>4.8585432029439959</v>
      </c>
      <c r="C47" s="115">
        <v>1</v>
      </c>
    </row>
    <row r="48" spans="1:3">
      <c r="A48" s="113">
        <f>LongTest!D27</f>
        <v>90</v>
      </c>
      <c r="B48" s="117">
        <f>LongTest!G27</f>
        <v>5.0174810535504841</v>
      </c>
      <c r="C48" s="115">
        <v>1</v>
      </c>
    </row>
    <row r="49" spans="1:3">
      <c r="A49" s="113">
        <f>LongTest!D28</f>
        <v>105</v>
      </c>
      <c r="B49" s="117">
        <f>LongTest!G28</f>
        <v>5.1518610915015746</v>
      </c>
      <c r="C49" s="115">
        <v>1</v>
      </c>
    </row>
    <row r="50" spans="1:3">
      <c r="A50" s="113">
        <f>LongTest!D29</f>
        <v>120</v>
      </c>
      <c r="B50" s="117">
        <f>LongTest!G29</f>
        <v>5.2682663751412786</v>
      </c>
      <c r="C50" s="115">
        <v>1</v>
      </c>
    </row>
    <row r="51" spans="1:3">
      <c r="A51" s="113">
        <f>LongTest!D30</f>
        <v>140</v>
      </c>
      <c r="B51" s="117">
        <f>LongTest!G30</f>
        <v>5.4026464130923681</v>
      </c>
      <c r="C51" s="115">
        <v>1</v>
      </c>
    </row>
    <row r="52" spans="1:3">
      <c r="A52" s="113">
        <f>LongTest!D31</f>
        <v>160</v>
      </c>
      <c r="B52" s="117">
        <f>LongTest!G31</f>
        <v>5.5190516967320722</v>
      </c>
      <c r="C52" s="115">
        <v>1</v>
      </c>
    </row>
    <row r="53" spans="1:3">
      <c r="A53" s="113">
        <f>LongTest!D32</f>
        <v>180</v>
      </c>
      <c r="B53" s="117">
        <f>LongTest!G32</f>
        <v>5.6217284336704765</v>
      </c>
      <c r="C53" s="115">
        <v>1</v>
      </c>
    </row>
    <row r="54" spans="1:3">
      <c r="A54" s="113">
        <f>LongTest!D33</f>
        <v>240</v>
      </c>
      <c r="B54" s="117">
        <f>LongTest!G33</f>
        <v>5.8725137552612701</v>
      </c>
      <c r="C54" s="115">
        <v>1</v>
      </c>
    </row>
    <row r="55" spans="1:3">
      <c r="A55" s="113">
        <f>LongTest!D34</f>
        <v>300</v>
      </c>
      <c r="B55" s="117">
        <f>LongTest!G34</f>
        <v>6.0670379631839779</v>
      </c>
      <c r="C55" s="115">
        <v>1</v>
      </c>
    </row>
    <row r="56" spans="1:3">
      <c r="A56" s="113">
        <f>LongTest!D35</f>
        <v>360</v>
      </c>
      <c r="B56" s="117">
        <f>LongTest!G35</f>
        <v>6.2259758137904662</v>
      </c>
      <c r="C56" s="115">
        <v>1</v>
      </c>
    </row>
    <row r="57" spans="1:3">
      <c r="A57" s="113">
        <f>LongTest!D36</f>
        <v>420</v>
      </c>
      <c r="B57" s="117">
        <f>LongTest!G36</f>
        <v>6.3603558517415557</v>
      </c>
      <c r="C57" s="115">
        <v>1</v>
      </c>
    </row>
    <row r="58" spans="1:3">
      <c r="A58" s="113">
        <f>LongTest!D37</f>
        <v>480</v>
      </c>
      <c r="B58" s="117">
        <f>LongTest!G37</f>
        <v>6.4767611353812615</v>
      </c>
      <c r="C58" s="115">
        <v>1</v>
      </c>
    </row>
    <row r="59" spans="1:3">
      <c r="A59" s="113">
        <f>LongTest!D38</f>
        <v>540</v>
      </c>
      <c r="B59" s="117">
        <f>LongTest!G38</f>
        <v>6.5794378723196623</v>
      </c>
      <c r="C59" s="115">
        <v>1</v>
      </c>
    </row>
    <row r="60" spans="1:3">
      <c r="A60" s="113">
        <f>LongTest!D39</f>
        <v>600</v>
      </c>
      <c r="B60" s="117">
        <f>LongTest!G39</f>
        <v>6.6712853433039694</v>
      </c>
      <c r="C60" s="115">
        <v>1</v>
      </c>
    </row>
    <row r="61" spans="1:3">
      <c r="A61" s="113">
        <f>LongTest!D40</f>
        <v>660</v>
      </c>
      <c r="B61" s="117">
        <f>LongTest!G40</f>
        <v>6.7543714872871323</v>
      </c>
      <c r="C61" s="115">
        <v>1</v>
      </c>
    </row>
    <row r="62" spans="1:3">
      <c r="A62" s="113">
        <f>LongTest!D41</f>
        <v>720</v>
      </c>
      <c r="B62" s="117">
        <f>LongTest!G41</f>
        <v>6.8302231939104558</v>
      </c>
      <c r="C62" s="115">
        <v>1</v>
      </c>
    </row>
    <row r="63" spans="1:3">
      <c r="A63" s="113">
        <f>LongTest!D42</f>
        <v>780</v>
      </c>
      <c r="B63" s="117">
        <f>LongTest!G42</f>
        <v>6.9</v>
      </c>
      <c r="C63" s="115">
        <v>1</v>
      </c>
    </row>
    <row r="64" spans="1:3">
      <c r="A64" s="113">
        <f>LongTest!D43</f>
        <v>840</v>
      </c>
      <c r="B64" s="117">
        <f>LongTest!G43</f>
        <v>6.9</v>
      </c>
      <c r="C64" s="115">
        <v>1</v>
      </c>
    </row>
    <row r="65" spans="1:3">
      <c r="A65" s="113">
        <f>LongTest!D44</f>
        <v>900</v>
      </c>
      <c r="B65" s="117">
        <f>LongTest!G44</f>
        <v>6.9</v>
      </c>
      <c r="C65" s="115">
        <v>1</v>
      </c>
    </row>
    <row r="66" spans="1:3">
      <c r="A66" s="113">
        <f>LongTest!D45</f>
        <v>960</v>
      </c>
      <c r="B66" s="117">
        <f>LongTest!G45</f>
        <v>6.9</v>
      </c>
      <c r="C66" s="115">
        <v>1</v>
      </c>
    </row>
    <row r="67" spans="1:3">
      <c r="A67" s="113">
        <f>LongTest!D46</f>
        <v>1020</v>
      </c>
      <c r="B67" s="117">
        <f>LongTest!G46</f>
        <v>6.9</v>
      </c>
      <c r="C67" s="115">
        <v>1</v>
      </c>
    </row>
    <row r="68" spans="1:3">
      <c r="A68" s="113">
        <f>LongTest!D47</f>
        <v>1080</v>
      </c>
      <c r="B68" s="117">
        <f>LongTest!G47</f>
        <v>6.9</v>
      </c>
      <c r="C68" s="115">
        <v>1</v>
      </c>
    </row>
    <row r="69" spans="1:3">
      <c r="A69" s="113">
        <f>LongTest!D48</f>
        <v>1140</v>
      </c>
      <c r="B69" s="117">
        <f>LongTest!G48</f>
        <v>6.9</v>
      </c>
      <c r="C69" s="115">
        <v>1</v>
      </c>
    </row>
    <row r="70" spans="1:3">
      <c r="A70" s="113">
        <f>LongTest!D49</f>
        <v>1200</v>
      </c>
      <c r="B70" s="117">
        <f>LongTest!G49</f>
        <v>6.9</v>
      </c>
      <c r="C70" s="115">
        <v>1</v>
      </c>
    </row>
    <row r="71" spans="1:3">
      <c r="A71" s="113">
        <f>LongTest!D50</f>
        <v>1260</v>
      </c>
      <c r="B71" s="117">
        <f>LongTest!G50</f>
        <v>6.9</v>
      </c>
      <c r="C71" s="115">
        <v>1</v>
      </c>
    </row>
    <row r="72" spans="1:3">
      <c r="A72" s="113">
        <f>LongTest!D51</f>
        <v>1320</v>
      </c>
      <c r="B72" s="117">
        <f>LongTest!G51</f>
        <v>6.9</v>
      </c>
      <c r="C72" s="115">
        <v>1</v>
      </c>
    </row>
    <row r="73" spans="1:3">
      <c r="A73" s="113">
        <f>LongTest!D52</f>
        <v>1380</v>
      </c>
      <c r="B73" s="117">
        <f>LongTest!G52</f>
        <v>6.9</v>
      </c>
      <c r="C73" s="115">
        <v>1</v>
      </c>
    </row>
    <row r="74" spans="1:3">
      <c r="A74" s="113">
        <f>LongTest!D53</f>
        <v>1440</v>
      </c>
      <c r="B74" s="117">
        <f>LongTest!G53</f>
        <v>6.9</v>
      </c>
      <c r="C74" s="115">
        <v>1</v>
      </c>
    </row>
    <row r="75" spans="1:3">
      <c r="A75" s="113">
        <f>LongTest!D54</f>
        <v>1500</v>
      </c>
      <c r="B75" s="117">
        <f>LongTest!G54</f>
        <v>6.9</v>
      </c>
      <c r="C75" s="115">
        <v>1</v>
      </c>
    </row>
    <row r="76" spans="1:3">
      <c r="A76" s="113">
        <f>LongTest!D55</f>
        <v>1560</v>
      </c>
      <c r="B76" s="117">
        <f>LongTest!G55</f>
        <v>6.9</v>
      </c>
      <c r="C76" s="115">
        <v>1</v>
      </c>
    </row>
    <row r="77" spans="1:3">
      <c r="A77" s="113">
        <f>LongTest!D56</f>
        <v>1620</v>
      </c>
      <c r="B77" s="117">
        <f>LongTest!G56</f>
        <v>6.9</v>
      </c>
      <c r="C77" s="115">
        <v>1</v>
      </c>
    </row>
    <row r="78" spans="1:3">
      <c r="A78" s="113">
        <f>LongTest!D57</f>
        <v>1680</v>
      </c>
      <c r="B78" s="117">
        <f>LongTest!G57</f>
        <v>6.9</v>
      </c>
      <c r="C78" s="115">
        <v>1</v>
      </c>
    </row>
    <row r="79" spans="1:3">
      <c r="A79" s="113">
        <f>LongTest!D58</f>
        <v>1740</v>
      </c>
      <c r="B79" s="117">
        <f>LongTest!G58</f>
        <v>6.9</v>
      </c>
      <c r="C79" s="115">
        <v>1</v>
      </c>
    </row>
    <row r="80" spans="1:3">
      <c r="A80" s="113">
        <f>LongTest!D59</f>
        <v>1800</v>
      </c>
      <c r="B80" s="117">
        <f>LongTest!G59</f>
        <v>6.9</v>
      </c>
      <c r="C80" s="115">
        <v>1</v>
      </c>
    </row>
    <row r="81" spans="1:3">
      <c r="A81" s="113">
        <f>LongTest!D60</f>
        <v>1860</v>
      </c>
      <c r="B81" s="117">
        <f>LongTest!G60</f>
        <v>6.9</v>
      </c>
      <c r="C81" s="115">
        <v>1</v>
      </c>
    </row>
    <row r="82" spans="1:3">
      <c r="A82" s="113">
        <f>LongTest!D61</f>
        <v>1920</v>
      </c>
      <c r="B82" s="117">
        <f>LongTest!G61</f>
        <v>6.9</v>
      </c>
      <c r="C82" s="115">
        <v>1</v>
      </c>
    </row>
    <row r="83" spans="1:3">
      <c r="A83" s="113">
        <f>LongTest!D62</f>
        <v>1980</v>
      </c>
      <c r="B83" s="117">
        <f>LongTest!G62</f>
        <v>6.9</v>
      </c>
      <c r="C83" s="115">
        <v>1</v>
      </c>
    </row>
    <row r="84" spans="1:3">
      <c r="A84" s="113">
        <f>LongTest!D63</f>
        <v>2040</v>
      </c>
      <c r="B84" s="117">
        <f>LongTest!G63</f>
        <v>6.9</v>
      </c>
      <c r="C84" s="115">
        <v>1</v>
      </c>
    </row>
    <row r="85" spans="1:3">
      <c r="A85" s="113">
        <f>LongTest!D64</f>
        <v>2100</v>
      </c>
      <c r="B85" s="117">
        <f>LongTest!G64</f>
        <v>6.9</v>
      </c>
      <c r="C85" s="115">
        <v>1</v>
      </c>
    </row>
    <row r="86" spans="1:3">
      <c r="A86" s="113">
        <f>LongTest!D65</f>
        <v>2160</v>
      </c>
      <c r="B86" s="117">
        <f>LongTest!G65</f>
        <v>6.9</v>
      </c>
      <c r="C86" s="115">
        <v>1</v>
      </c>
    </row>
    <row r="87" spans="1:3">
      <c r="A87" s="113">
        <f>LongTest!D66</f>
        <v>2220</v>
      </c>
      <c r="B87" s="117">
        <f>LongTest!G66</f>
        <v>6.9</v>
      </c>
      <c r="C87" s="115">
        <v>1</v>
      </c>
    </row>
    <row r="88" spans="1:3">
      <c r="A88" s="113">
        <f>LongTest!D67</f>
        <v>2280</v>
      </c>
      <c r="B88" s="117">
        <f>LongTest!G67</f>
        <v>6.9</v>
      </c>
      <c r="C88" s="115">
        <v>1</v>
      </c>
    </row>
    <row r="89" spans="1:3">
      <c r="A89" s="113">
        <f>LongTest!D68</f>
        <v>2340</v>
      </c>
      <c r="B89" s="117">
        <f>LongTest!G68</f>
        <v>6.9</v>
      </c>
      <c r="C89" s="115">
        <v>1</v>
      </c>
    </row>
    <row r="90" spans="1:3">
      <c r="A90" s="113">
        <f>LongTest!D69</f>
        <v>2400</v>
      </c>
      <c r="B90" s="117">
        <f>LongTest!G69</f>
        <v>6.9</v>
      </c>
      <c r="C90" s="115">
        <v>1</v>
      </c>
    </row>
    <row r="91" spans="1:3">
      <c r="A91" s="113">
        <f>LongTest!D70</f>
        <v>2460</v>
      </c>
      <c r="B91" s="117">
        <f>LongTest!G70</f>
        <v>6.9</v>
      </c>
      <c r="C91" s="115">
        <v>1</v>
      </c>
    </row>
    <row r="92" spans="1:3">
      <c r="A92" s="113">
        <f>LongTest!D71</f>
        <v>2520</v>
      </c>
      <c r="B92" s="117">
        <f>LongTest!G71</f>
        <v>6.9</v>
      </c>
      <c r="C92" s="115">
        <v>1</v>
      </c>
    </row>
    <row r="93" spans="1:3">
      <c r="A93" s="113">
        <f>LongTest!D72</f>
        <v>2580</v>
      </c>
      <c r="B93" s="117">
        <f>LongTest!G72</f>
        <v>6.9</v>
      </c>
      <c r="C93" s="115">
        <v>1</v>
      </c>
    </row>
    <row r="94" spans="1:3">
      <c r="A94" s="113">
        <f>LongTest!D73</f>
        <v>2640</v>
      </c>
      <c r="B94" s="117">
        <f>LongTest!G73</f>
        <v>6.9</v>
      </c>
      <c r="C94" s="115">
        <v>1</v>
      </c>
    </row>
    <row r="95" spans="1:3">
      <c r="A95" s="113">
        <f>LongTest!D74</f>
        <v>2700</v>
      </c>
      <c r="B95" s="117">
        <f>LongTest!G74</f>
        <v>6.9</v>
      </c>
      <c r="C95" s="115">
        <v>1</v>
      </c>
    </row>
    <row r="96" spans="1:3">
      <c r="A96" s="113">
        <f>LongTest!D75</f>
        <v>2760</v>
      </c>
      <c r="B96" s="117">
        <f>LongTest!G75</f>
        <v>6.9</v>
      </c>
      <c r="C96" s="115">
        <v>1</v>
      </c>
    </row>
    <row r="97" spans="1:3">
      <c r="A97" s="113">
        <f>LongTest!D76</f>
        <v>2820</v>
      </c>
      <c r="B97" s="117">
        <f>LongTest!G76</f>
        <v>6.9</v>
      </c>
      <c r="C97" s="115">
        <v>1</v>
      </c>
    </row>
    <row r="98" spans="1:3">
      <c r="A98" s="113">
        <f>LongTest!D77</f>
        <v>2880</v>
      </c>
      <c r="B98" s="117">
        <f>LongTest!G77</f>
        <v>6.9</v>
      </c>
      <c r="C98" s="115">
        <v>1</v>
      </c>
    </row>
    <row r="99" spans="1:3">
      <c r="A99" s="113" t="s">
        <v>201</v>
      </c>
      <c r="B99" s="114"/>
      <c r="C99" s="114"/>
    </row>
  </sheetData>
  <phoneticPr fontId="4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8193" r:id="rId4" name="CommandButton1">
          <controlPr defaultSize="0" autoLine="0" autoPict="0" r:id="rId5">
            <anchor moveWithCells="1">
              <from>
                <xdr:col>6</xdr:col>
                <xdr:colOff>104775</xdr:colOff>
                <xdr:row>1</xdr:row>
                <xdr:rowOff>47625</xdr:rowOff>
              </from>
              <to>
                <xdr:col>8</xdr:col>
                <xdr:colOff>523875</xdr:colOff>
                <xdr:row>3</xdr:row>
                <xdr:rowOff>28575</xdr:rowOff>
              </to>
            </anchor>
          </controlPr>
        </control>
      </mc:Choice>
      <mc:Fallback>
        <control shapeId="8193" r:id="rId4" name="CommandButton1"/>
      </mc:Fallback>
    </mc:AlternateContent>
    <mc:AlternateContent xmlns:mc="http://schemas.openxmlformats.org/markup-compatibility/2006">
      <mc:Choice Requires="x14">
        <control shapeId="8194" r:id="rId6" name="CommandButton2">
          <controlPr defaultSize="0" autoLine="0" autoPict="0" r:id="rId7">
            <anchor moveWithCells="1">
              <from>
                <xdr:col>6</xdr:col>
                <xdr:colOff>104775</xdr:colOff>
                <xdr:row>3</xdr:row>
                <xdr:rowOff>104775</xdr:rowOff>
              </from>
              <to>
                <xdr:col>8</xdr:col>
                <xdr:colOff>523875</xdr:colOff>
                <xdr:row>5</xdr:row>
                <xdr:rowOff>76200</xdr:rowOff>
              </to>
            </anchor>
          </controlPr>
        </control>
      </mc:Choice>
      <mc:Fallback>
        <control shapeId="8194" r:id="rId6" name="CommandButton2"/>
      </mc:Fallback>
    </mc:AlternateContent>
    <mc:AlternateContent xmlns:mc="http://schemas.openxmlformats.org/markup-compatibility/2006">
      <mc:Choice Requires="x14">
        <control shapeId="8195" r:id="rId8" name="CommandButton3">
          <controlPr defaultSize="0" autoLine="0" autoPict="0" r:id="rId9">
            <anchor moveWithCells="1">
              <from>
                <xdr:col>6</xdr:col>
                <xdr:colOff>104775</xdr:colOff>
                <xdr:row>5</xdr:row>
                <xdr:rowOff>152400</xdr:rowOff>
              </from>
              <to>
                <xdr:col>8</xdr:col>
                <xdr:colOff>523875</xdr:colOff>
                <xdr:row>7</xdr:row>
                <xdr:rowOff>133350</xdr:rowOff>
              </to>
            </anchor>
          </controlPr>
        </control>
      </mc:Choice>
      <mc:Fallback>
        <control shapeId="8195" r:id="rId8" name="CommandButton3"/>
      </mc:Fallback>
    </mc:AlternateContent>
    <mc:AlternateContent xmlns:mc="http://schemas.openxmlformats.org/markup-compatibility/2006">
      <mc:Choice Requires="x14">
        <control shapeId="8196" r:id="rId10" name="CommandButton4">
          <controlPr defaultSize="0" autoLine="0" autoPict="0" r:id="rId11">
            <anchor moveWithCells="1">
              <from>
                <xdr:col>6</xdr:col>
                <xdr:colOff>114300</xdr:colOff>
                <xdr:row>8</xdr:row>
                <xdr:rowOff>0</xdr:rowOff>
              </from>
              <to>
                <xdr:col>8</xdr:col>
                <xdr:colOff>533400</xdr:colOff>
                <xdr:row>9</xdr:row>
                <xdr:rowOff>190500</xdr:rowOff>
              </to>
            </anchor>
          </controlPr>
        </control>
      </mc:Choice>
      <mc:Fallback>
        <control shapeId="8196" r:id="rId10" name="CommandButton4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DAB1B0-DF22-47CB-B80F-CA324ED664AA}">
  <sheetPr codeName="sh03_RecoverSelect">
    <tabColor theme="2" tint="-9.9978637043366805E-2"/>
  </sheetPr>
  <dimension ref="A1:C57"/>
  <sheetViews>
    <sheetView workbookViewId="0">
      <selection activeCell="P18" sqref="P18"/>
    </sheetView>
  </sheetViews>
  <sheetFormatPr defaultColWidth="9" defaultRowHeight="16.5"/>
  <cols>
    <col min="1" max="1" width="9" style="97"/>
    <col min="2" max="3" width="9" style="98"/>
    <col min="4" max="16384" width="9" style="97"/>
  </cols>
  <sheetData>
    <row r="1" spans="1:3">
      <c r="B1" s="97"/>
    </row>
    <row r="2" spans="1:3">
      <c r="A2" s="113" t="s">
        <v>194</v>
      </c>
      <c r="B2" s="113"/>
      <c r="C2" s="114"/>
    </row>
    <row r="3" spans="1:3">
      <c r="A3" s="113">
        <v>2</v>
      </c>
      <c r="B3" s="113"/>
      <c r="C3" s="114"/>
    </row>
    <row r="4" spans="1:3">
      <c r="A4" s="113">
        <v>1</v>
      </c>
      <c r="B4" s="113"/>
      <c r="C4" s="114"/>
    </row>
    <row r="5" spans="1:3">
      <c r="A5" s="113">
        <v>6</v>
      </c>
      <c r="B5" s="113"/>
      <c r="C5" s="114"/>
    </row>
    <row r="6" spans="1:3">
      <c r="A6" s="113" t="s">
        <v>195</v>
      </c>
      <c r="B6" s="113"/>
      <c r="C6" s="114"/>
    </row>
    <row r="7" spans="1:3">
      <c r="A7" s="113">
        <f>Step.Select!A7</f>
        <v>8</v>
      </c>
      <c r="B7" s="113"/>
      <c r="C7" s="114"/>
    </row>
    <row r="8" spans="1:3">
      <c r="A8" s="113" t="s">
        <v>196</v>
      </c>
      <c r="B8" s="113"/>
      <c r="C8" s="114"/>
    </row>
    <row r="9" spans="1:3">
      <c r="A9" s="113">
        <v>1</v>
      </c>
      <c r="B9" s="113"/>
      <c r="C9" s="114"/>
    </row>
    <row r="10" spans="1:3">
      <c r="A10" s="113" t="s">
        <v>197</v>
      </c>
      <c r="B10" s="113"/>
      <c r="C10" s="114"/>
    </row>
    <row r="11" spans="1:3">
      <c r="A11" s="113">
        <v>1</v>
      </c>
      <c r="B11" s="113"/>
      <c r="C11" s="114"/>
    </row>
    <row r="12" spans="1:3">
      <c r="A12" s="113" t="s">
        <v>198</v>
      </c>
      <c r="B12" s="113"/>
      <c r="C12" s="114"/>
    </row>
    <row r="13" spans="1:3">
      <c r="A13" s="113">
        <v>1</v>
      </c>
      <c r="B13" s="113"/>
      <c r="C13" s="114"/>
    </row>
    <row r="14" spans="1:3">
      <c r="A14" s="113" t="s">
        <v>199</v>
      </c>
      <c r="B14" s="113"/>
      <c r="C14" s="114"/>
    </row>
    <row r="15" spans="1:3">
      <c r="A15" s="113" t="str">
        <f>Input!I54</f>
        <v>W-1</v>
      </c>
      <c r="B15" s="113"/>
      <c r="C15" s="114"/>
    </row>
    <row r="16" spans="1:3">
      <c r="A16" s="113">
        <v>0</v>
      </c>
      <c r="B16" s="113"/>
      <c r="C16" s="114"/>
    </row>
    <row r="17" spans="1:3">
      <c r="A17" s="113">
        <v>0</v>
      </c>
      <c r="B17" s="113"/>
      <c r="C17" s="114"/>
    </row>
    <row r="18" spans="1:3">
      <c r="A18" s="113">
        <f>Step.Select!A18</f>
        <v>0.85</v>
      </c>
      <c r="B18" s="113"/>
      <c r="C18" s="114"/>
    </row>
    <row r="19" spans="1:3">
      <c r="A19" s="113">
        <f>Step.Select!A19</f>
        <v>0.85</v>
      </c>
      <c r="B19" s="113"/>
      <c r="C19" s="114"/>
    </row>
    <row r="20" spans="1:3">
      <c r="A20" s="113">
        <v>0</v>
      </c>
      <c r="B20" s="113"/>
      <c r="C20" s="114"/>
    </row>
    <row r="21" spans="1:3">
      <c r="A21" s="113">
        <v>0</v>
      </c>
      <c r="B21" s="113"/>
      <c r="C21" s="114"/>
    </row>
    <row r="22" spans="1:3">
      <c r="A22" s="113">
        <v>1</v>
      </c>
      <c r="B22" s="113"/>
      <c r="C22" s="114"/>
    </row>
    <row r="23" spans="1:3">
      <c r="A23" s="113">
        <v>2</v>
      </c>
      <c r="B23" s="113"/>
      <c r="C23" s="114"/>
    </row>
    <row r="24" spans="1:3">
      <c r="A24" s="115">
        <v>0</v>
      </c>
      <c r="B24" s="115">
        <f>Input!M51</f>
        <v>300</v>
      </c>
      <c r="C24" s="114"/>
    </row>
    <row r="25" spans="1:3">
      <c r="A25" s="115">
        <v>2880</v>
      </c>
      <c r="B25" s="115">
        <v>0</v>
      </c>
      <c r="C25" s="114"/>
    </row>
    <row r="26" spans="1:3">
      <c r="A26" s="113" t="s">
        <v>200</v>
      </c>
      <c r="B26" s="113"/>
      <c r="C26" s="114"/>
    </row>
    <row r="27" spans="1:3">
      <c r="A27" s="113" t="str">
        <f>A15</f>
        <v>W-1</v>
      </c>
      <c r="B27" s="113"/>
      <c r="C27" s="114"/>
    </row>
    <row r="28" spans="1:3">
      <c r="A28" s="116">
        <f>SkinFactor!C8</f>
        <v>4.9720000000000004</v>
      </c>
      <c r="B28" s="113"/>
      <c r="C28" s="114"/>
    </row>
    <row r="29" spans="1:3">
      <c r="A29" s="113">
        <v>0</v>
      </c>
      <c r="B29" s="113"/>
      <c r="C29" s="114"/>
    </row>
    <row r="30" spans="1:3">
      <c r="A30" s="113">
        <v>0</v>
      </c>
      <c r="B30" s="113"/>
      <c r="C30" s="114"/>
    </row>
    <row r="31" spans="1:3">
      <c r="A31" s="115">
        <f>SUM(C32:C56)</f>
        <v>25</v>
      </c>
      <c r="B31" s="113"/>
      <c r="C31" s="114"/>
    </row>
    <row r="32" spans="1:3">
      <c r="A32" s="113">
        <f>LongTest!D77</f>
        <v>2880</v>
      </c>
      <c r="B32" s="114">
        <f>LongTest!G77</f>
        <v>6.9</v>
      </c>
      <c r="C32" s="115">
        <v>1</v>
      </c>
    </row>
    <row r="33" spans="1:3">
      <c r="A33" s="113">
        <f>$A$32+LongTest!D78</f>
        <v>2881</v>
      </c>
      <c r="B33" s="114">
        <f>LongTest!G78</f>
        <v>5.2651435700456766</v>
      </c>
      <c r="C33" s="115">
        <v>1</v>
      </c>
    </row>
    <row r="34" spans="1:3">
      <c r="A34" s="113">
        <f>$A$32+LongTest!D79</f>
        <v>2882</v>
      </c>
      <c r="B34" s="114">
        <f>LongTest!G79</f>
        <v>4.9687225338701575</v>
      </c>
      <c r="C34" s="115">
        <v>1</v>
      </c>
    </row>
    <row r="35" spans="1:3">
      <c r="A35" s="113">
        <f>$A$32+LongTest!D80</f>
        <v>2883</v>
      </c>
      <c r="B35" s="114">
        <f>LongTest!G80</f>
        <v>4.6889896334536063</v>
      </c>
      <c r="C35" s="115">
        <v>1</v>
      </c>
    </row>
    <row r="36" spans="1:3">
      <c r="A36" s="113">
        <f>$A$32+LongTest!D81</f>
        <v>2884</v>
      </c>
      <c r="B36" s="114">
        <f>LongTest!G81</f>
        <v>4.425005347503256</v>
      </c>
      <c r="C36" s="115">
        <v>1</v>
      </c>
    </row>
    <row r="37" spans="1:3">
      <c r="A37" s="113">
        <f>$A$32+LongTest!D82</f>
        <v>2885</v>
      </c>
      <c r="B37" s="114">
        <f>LongTest!G82</f>
        <v>4.1758830486069032</v>
      </c>
      <c r="C37" s="115">
        <v>1</v>
      </c>
    </row>
    <row r="38" spans="1:3">
      <c r="A38" s="113">
        <f>$A$32+LongTest!D83</f>
        <v>2890</v>
      </c>
      <c r="B38" s="114">
        <f>LongTest!G83</f>
        <v>3.5095538373844262</v>
      </c>
      <c r="C38" s="115">
        <v>1</v>
      </c>
    </row>
    <row r="39" spans="1:3">
      <c r="A39" s="113">
        <f>$A$32+LongTest!D84</f>
        <v>2895</v>
      </c>
      <c r="B39" s="114">
        <f>LongTest!G84</f>
        <v>3.3765635438876087</v>
      </c>
      <c r="C39" s="115">
        <v>1</v>
      </c>
    </row>
    <row r="40" spans="1:3">
      <c r="A40" s="113">
        <f>$A$32+LongTest!D85</f>
        <v>2900</v>
      </c>
      <c r="B40" s="114">
        <f>LongTest!G85</f>
        <v>3.0070730728144244</v>
      </c>
      <c r="C40" s="115">
        <v>1</v>
      </c>
    </row>
    <row r="41" spans="1:3">
      <c r="A41" s="113">
        <f>$A$32+LongTest!D86</f>
        <v>2905</v>
      </c>
      <c r="B41" s="114">
        <f>LongTest!G86</f>
        <v>2.8377785978887546</v>
      </c>
      <c r="C41" s="115">
        <v>1</v>
      </c>
    </row>
    <row r="42" spans="1:3">
      <c r="A42" s="113">
        <f>$A$32+LongTest!D87</f>
        <v>2910</v>
      </c>
      <c r="B42" s="114">
        <f>LongTest!G87</f>
        <v>2.6780151913961947</v>
      </c>
      <c r="C42" s="115">
        <v>1</v>
      </c>
    </row>
    <row r="43" spans="1:3">
      <c r="A43" s="113">
        <f>$A$32+LongTest!D88</f>
        <v>2915</v>
      </c>
      <c r="B43" s="114">
        <f>LongTest!G88</f>
        <v>2.6267851073127395</v>
      </c>
      <c r="C43" s="115">
        <v>1</v>
      </c>
    </row>
    <row r="44" spans="1:3">
      <c r="A44" s="113">
        <f>$A$32+LongTest!D89</f>
        <v>2920</v>
      </c>
      <c r="B44" s="114">
        <f>LongTest!G89</f>
        <v>2.5765350481087661</v>
      </c>
      <c r="C44" s="115">
        <v>1</v>
      </c>
    </row>
    <row r="45" spans="1:3">
      <c r="A45" s="113">
        <f>$A$32+LongTest!D90</f>
        <v>2925</v>
      </c>
      <c r="B45" s="114">
        <f>LongTest!G90</f>
        <v>2.5272462660351422</v>
      </c>
      <c r="C45" s="115">
        <v>1</v>
      </c>
    </row>
    <row r="46" spans="1:3">
      <c r="A46" s="113">
        <f>$A$32+LongTest!D91</f>
        <v>2930</v>
      </c>
      <c r="B46" s="114">
        <f>LongTest!G91</f>
        <v>2.4789003719847513</v>
      </c>
      <c r="C46" s="115">
        <v>1</v>
      </c>
    </row>
    <row r="47" spans="1:3">
      <c r="A47" s="113">
        <f>$A$32+LongTest!D92</f>
        <v>2935</v>
      </c>
      <c r="B47" s="114">
        <f>LongTest!G92</f>
        <v>2.431479328631716</v>
      </c>
      <c r="C47" s="115">
        <v>1</v>
      </c>
    </row>
    <row r="48" spans="1:3">
      <c r="A48" s="113">
        <f>$A$32+LongTest!D93</f>
        <v>2940</v>
      </c>
      <c r="B48" s="114">
        <f>LongTest!G93</f>
        <v>2.3849654437018684</v>
      </c>
      <c r="C48" s="115">
        <v>1</v>
      </c>
    </row>
    <row r="49" spans="1:3">
      <c r="A49" s="113">
        <f>$A$32+LongTest!D94</f>
        <v>2955</v>
      </c>
      <c r="B49" s="114">
        <f>LongTest!G94</f>
        <v>2.339341363371958</v>
      </c>
      <c r="C49" s="115">
        <v>1</v>
      </c>
    </row>
    <row r="50" spans="1:3">
      <c r="A50" s="113">
        <f>$A$32+LongTest!D95</f>
        <v>2970</v>
      </c>
      <c r="B50" s="114">
        <f>LongTest!G95</f>
        <v>2.2945900657951253</v>
      </c>
      <c r="C50" s="115">
        <v>1</v>
      </c>
    </row>
    <row r="51" spans="1:3">
      <c r="A51" s="113">
        <f>$A$32+LongTest!D96</f>
        <v>2985</v>
      </c>
      <c r="B51" s="114">
        <f>LongTest!G96</f>
        <v>2.2506948547502401</v>
      </c>
      <c r="C51" s="115">
        <v>1</v>
      </c>
    </row>
    <row r="52" spans="1:3">
      <c r="A52" s="113">
        <f>$A$32+LongTest!D97</f>
        <v>3000</v>
      </c>
      <c r="B52" s="114">
        <f>LongTest!G97</f>
        <v>2.1239835330010046</v>
      </c>
      <c r="C52" s="115">
        <v>1</v>
      </c>
    </row>
    <row r="53" spans="1:3">
      <c r="A53" s="113">
        <f>$A$32+LongTest!D98</f>
        <v>3060</v>
      </c>
      <c r="B53" s="114">
        <f>LongTest!G98</f>
        <v>2.083352002852445</v>
      </c>
      <c r="C53" s="115">
        <v>1</v>
      </c>
    </row>
    <row r="54" spans="1:3">
      <c r="A54" s="113">
        <f>$A$32+LongTest!D99</f>
        <v>3120</v>
      </c>
      <c r="B54" s="114">
        <f>LongTest!G99</f>
        <v>1.8553750366440953</v>
      </c>
      <c r="C54" s="115">
        <v>1</v>
      </c>
    </row>
    <row r="55" spans="1:3">
      <c r="A55" s="113">
        <f>$A$32+LongTest!D100</f>
        <v>3180</v>
      </c>
      <c r="B55" s="114">
        <f>LongTest!G100</f>
        <v>1.6523451254943258</v>
      </c>
      <c r="C55" s="115">
        <v>1</v>
      </c>
    </row>
    <row r="56" spans="1:3">
      <c r="A56" s="113">
        <f>$A$32+LongTest!D101</f>
        <v>3240</v>
      </c>
      <c r="B56" s="114">
        <f>LongTest!G101</f>
        <v>1.4715323639813442</v>
      </c>
      <c r="C56" s="115">
        <v>1</v>
      </c>
    </row>
    <row r="57" spans="1:3">
      <c r="A57" s="113" t="s">
        <v>202</v>
      </c>
      <c r="B57" s="114"/>
      <c r="C57" s="114"/>
    </row>
  </sheetData>
  <phoneticPr fontId="4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9217" r:id="rId4" name="CommandButton1">
          <controlPr defaultSize="0" autoLine="0" autoPict="0" r:id="rId5">
            <anchor moveWithCells="1">
              <from>
                <xdr:col>6</xdr:col>
                <xdr:colOff>57150</xdr:colOff>
                <xdr:row>1</xdr:row>
                <xdr:rowOff>57150</xdr:rowOff>
              </from>
              <to>
                <xdr:col>8</xdr:col>
                <xdr:colOff>561975</xdr:colOff>
                <xdr:row>3</xdr:row>
                <xdr:rowOff>38100</xdr:rowOff>
              </to>
            </anchor>
          </controlPr>
        </control>
      </mc:Choice>
      <mc:Fallback>
        <control shapeId="9217" r:id="rId4" name="CommandButton1"/>
      </mc:Fallback>
    </mc:AlternateContent>
    <mc:AlternateContent xmlns:mc="http://schemas.openxmlformats.org/markup-compatibility/2006">
      <mc:Choice Requires="x14">
        <control shapeId="9218" r:id="rId6" name="CommandButton2">
          <controlPr defaultSize="0" autoLine="0" autoPict="0" r:id="rId7">
            <anchor moveWithCells="1">
              <from>
                <xdr:col>6</xdr:col>
                <xdr:colOff>66675</xdr:colOff>
                <xdr:row>3</xdr:row>
                <xdr:rowOff>104775</xdr:rowOff>
              </from>
              <to>
                <xdr:col>8</xdr:col>
                <xdr:colOff>571500</xdr:colOff>
                <xdr:row>5</xdr:row>
                <xdr:rowOff>85725</xdr:rowOff>
              </to>
            </anchor>
          </controlPr>
        </control>
      </mc:Choice>
      <mc:Fallback>
        <control shapeId="9218" r:id="rId6" name="CommandButton2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BEC21-0A72-4ACB-8AB0-5A13D2C9D346}">
  <sheetPr codeName="Sheet15">
    <tabColor rgb="FF993300"/>
  </sheetPr>
  <dimension ref="B1:Q44"/>
  <sheetViews>
    <sheetView workbookViewId="0">
      <selection activeCell="Q17" sqref="Q17"/>
    </sheetView>
  </sheetViews>
  <sheetFormatPr defaultColWidth="10" defaultRowHeight="16.5"/>
  <cols>
    <col min="1" max="1" width="10" style="419"/>
    <col min="2" max="2" width="18.75" style="419" customWidth="1"/>
    <col min="3" max="4" width="16.375" style="419" customWidth="1"/>
    <col min="5" max="5" width="13.375" style="418" customWidth="1"/>
    <col min="6" max="6" width="13.875" style="418" customWidth="1"/>
    <col min="7" max="7" width="10" style="419"/>
    <col min="8" max="8" width="11.625" style="419" customWidth="1"/>
    <col min="9" max="9" width="10.625" style="419" customWidth="1"/>
    <col min="10" max="10" width="11.375" style="419" customWidth="1"/>
    <col min="11" max="11" width="10" style="419"/>
    <col min="12" max="12" width="11.25" style="419" customWidth="1"/>
    <col min="13" max="15" width="10" style="419"/>
    <col min="16" max="16" width="11.25" style="419" customWidth="1"/>
    <col min="17" max="16384" width="10" style="419"/>
  </cols>
  <sheetData>
    <row r="1" spans="2:17" s="99" customFormat="1" ht="18" customHeight="1">
      <c r="E1" s="11"/>
      <c r="F1" s="11"/>
    </row>
    <row r="2" spans="2:17" s="99" customFormat="1" ht="18" customHeight="1">
      <c r="B2" s="389" t="s">
        <v>234</v>
      </c>
      <c r="E2" s="11"/>
      <c r="F2" s="11"/>
    </row>
    <row r="3" spans="2:17" s="99" customFormat="1" ht="18" customHeight="1">
      <c r="E3" s="11"/>
      <c r="F3" s="11"/>
    </row>
    <row r="4" spans="2:17" s="392" customFormat="1" ht="26.25" customHeight="1">
      <c r="B4" s="390" t="s">
        <v>233</v>
      </c>
      <c r="C4" s="391" t="str">
        <f>Input!$I$54</f>
        <v>W-1</v>
      </c>
      <c r="E4" s="391"/>
      <c r="F4" s="391"/>
    </row>
    <row r="5" spans="2:17" s="99" customFormat="1" ht="18" customHeight="1" thickBot="1">
      <c r="E5" s="11"/>
      <c r="F5" s="11"/>
    </row>
    <row r="6" spans="2:17" s="99" customFormat="1" ht="26.1" customHeight="1">
      <c r="B6" s="393" t="s">
        <v>203</v>
      </c>
      <c r="C6" s="394">
        <f>LongTest!C10</f>
        <v>45389.479166666664</v>
      </c>
      <c r="D6" s="395"/>
      <c r="E6" s="11"/>
      <c r="F6" s="11"/>
    </row>
    <row r="7" spans="2:17" s="99" customFormat="1" ht="26.1" customHeight="1">
      <c r="B7" s="396" t="s">
        <v>204</v>
      </c>
      <c r="C7" s="397">
        <v>15.1</v>
      </c>
      <c r="D7" s="395"/>
      <c r="E7" s="11"/>
      <c r="F7" s="11"/>
    </row>
    <row r="8" spans="2:17" s="99" customFormat="1" ht="26.1" customHeight="1">
      <c r="B8" s="396" t="s">
        <v>205</v>
      </c>
      <c r="C8" s="397">
        <v>193</v>
      </c>
      <c r="D8" s="395"/>
      <c r="E8" s="11"/>
      <c r="F8" s="11"/>
    </row>
    <row r="9" spans="2:17" s="99" customFormat="1" ht="26.1" customHeight="1" thickBot="1">
      <c r="B9" s="398" t="s">
        <v>206</v>
      </c>
      <c r="C9" s="399">
        <v>6.8</v>
      </c>
      <c r="D9" s="395"/>
      <c r="E9" s="11"/>
      <c r="F9" s="11"/>
    </row>
    <row r="10" spans="2:17" s="99" customFormat="1" ht="26.1" customHeight="1">
      <c r="B10" s="11"/>
      <c r="C10" s="400"/>
      <c r="D10" s="395"/>
      <c r="E10" s="11"/>
      <c r="F10" s="11"/>
      <c r="L10"/>
      <c r="M10"/>
      <c r="N10"/>
      <c r="O10"/>
      <c r="P10"/>
      <c r="Q10"/>
    </row>
    <row r="11" spans="2:17" s="99" customFormat="1" ht="18" customHeight="1" thickBot="1">
      <c r="E11" s="11"/>
      <c r="F11" s="11"/>
      <c r="L11"/>
      <c r="M11"/>
      <c r="N11"/>
      <c r="O11"/>
      <c r="P11"/>
      <c r="Q11"/>
    </row>
    <row r="12" spans="2:17" s="11" customFormat="1" ht="26.1" customHeight="1">
      <c r="B12" s="476" t="s">
        <v>207</v>
      </c>
      <c r="C12" s="477"/>
      <c r="D12" s="476" t="str">
        <f>C4</f>
        <v>W-1</v>
      </c>
      <c r="E12" s="478"/>
      <c r="F12" s="477"/>
      <c r="H12" s="476" t="str">
        <f>C4</f>
        <v>W-1</v>
      </c>
      <c r="I12" s="478"/>
      <c r="J12" s="477"/>
      <c r="L12"/>
      <c r="M12"/>
      <c r="N12"/>
      <c r="O12"/>
      <c r="P12"/>
      <c r="Q12"/>
    </row>
    <row r="13" spans="2:17" s="11" customFormat="1" ht="26.1" customHeight="1">
      <c r="B13" s="401" t="s">
        <v>203</v>
      </c>
      <c r="C13" s="402" t="s">
        <v>208</v>
      </c>
      <c r="D13" s="403" t="s">
        <v>209</v>
      </c>
      <c r="E13" s="404" t="s">
        <v>210</v>
      </c>
      <c r="F13" s="402" t="s">
        <v>211</v>
      </c>
      <c r="H13" s="401" t="s">
        <v>209</v>
      </c>
      <c r="I13" s="404" t="s">
        <v>210</v>
      </c>
      <c r="J13" s="402" t="s">
        <v>211</v>
      </c>
      <c r="L13"/>
      <c r="M13"/>
      <c r="N13"/>
      <c r="O13"/>
      <c r="P13"/>
      <c r="Q13"/>
    </row>
    <row r="14" spans="2:17" s="11" customFormat="1" ht="26.1" customHeight="1">
      <c r="B14" s="405">
        <f>$C$6+C14/1440</f>
        <v>45389.482638888883</v>
      </c>
      <c r="C14" s="406">
        <v>5</v>
      </c>
      <c r="D14" s="407">
        <f t="shared" ref="D14:D20" si="0">baseTemp+H14</f>
        <v>14.9</v>
      </c>
      <c r="E14" s="408">
        <f>$C$8+I14</f>
        <v>191</v>
      </c>
      <c r="F14" s="409">
        <f>$C$9+J14</f>
        <v>6.7</v>
      </c>
      <c r="H14" s="401">
        <v>-0.2</v>
      </c>
      <c r="I14" s="404">
        <v>-2</v>
      </c>
      <c r="J14" s="402">
        <v>-0.1</v>
      </c>
      <c r="L14"/>
      <c r="M14"/>
      <c r="N14"/>
      <c r="O14"/>
      <c r="P14"/>
      <c r="Q14"/>
    </row>
    <row r="15" spans="2:17" s="11" customFormat="1" ht="26.1" customHeight="1">
      <c r="B15" s="410">
        <f t="shared" ref="B15:B23" si="1">$C$6+C15/1440</f>
        <v>45389.5</v>
      </c>
      <c r="C15" s="402">
        <v>30</v>
      </c>
      <c r="D15" s="411">
        <f t="shared" si="0"/>
        <v>15.299999999999999</v>
      </c>
      <c r="E15" s="412">
        <f t="shared" ref="E15:E20" si="2">$C$8+I15</f>
        <v>196</v>
      </c>
      <c r="F15" s="413">
        <f t="shared" ref="F15:F20" si="3">$C$9+J15</f>
        <v>6.72</v>
      </c>
      <c r="H15" s="401">
        <v>0.2</v>
      </c>
      <c r="I15" s="404">
        <v>3</v>
      </c>
      <c r="J15" s="402">
        <v>-0.08</v>
      </c>
      <c r="L15"/>
      <c r="M15"/>
      <c r="N15"/>
      <c r="O15"/>
      <c r="P15"/>
      <c r="Q15"/>
    </row>
    <row r="16" spans="2:17" s="11" customFormat="1" ht="26.1" customHeight="1">
      <c r="B16" s="410">
        <f t="shared" si="1"/>
        <v>45389.520833333328</v>
      </c>
      <c r="C16" s="402">
        <v>60</v>
      </c>
      <c r="D16" s="411">
        <f t="shared" si="0"/>
        <v>15.4</v>
      </c>
      <c r="E16" s="412">
        <f t="shared" si="2"/>
        <v>191</v>
      </c>
      <c r="F16" s="413">
        <f t="shared" si="3"/>
        <v>6.71</v>
      </c>
      <c r="H16" s="401">
        <v>0.3</v>
      </c>
      <c r="I16" s="404">
        <v>-2</v>
      </c>
      <c r="J16" s="402">
        <v>-0.09</v>
      </c>
      <c r="L16"/>
      <c r="M16"/>
      <c r="N16"/>
      <c r="O16"/>
      <c r="P16"/>
      <c r="Q16"/>
    </row>
    <row r="17" spans="2:17" s="11" customFormat="1" ht="26.1" customHeight="1">
      <c r="B17" s="410">
        <f t="shared" si="1"/>
        <v>45389.5625</v>
      </c>
      <c r="C17" s="402">
        <v>120</v>
      </c>
      <c r="D17" s="411">
        <f t="shared" si="0"/>
        <v>14.9</v>
      </c>
      <c r="E17" s="412">
        <f t="shared" si="2"/>
        <v>194</v>
      </c>
      <c r="F17" s="413">
        <f t="shared" si="3"/>
        <v>6.93</v>
      </c>
      <c r="H17" s="401">
        <v>-0.2</v>
      </c>
      <c r="I17" s="404">
        <v>1</v>
      </c>
      <c r="J17" s="402">
        <v>0.13</v>
      </c>
      <c r="L17"/>
      <c r="M17"/>
      <c r="N17"/>
      <c r="O17"/>
      <c r="P17"/>
      <c r="Q17"/>
    </row>
    <row r="18" spans="2:17" s="11" customFormat="1" ht="26.1" customHeight="1">
      <c r="B18" s="410">
        <f t="shared" si="1"/>
        <v>45389.645833333328</v>
      </c>
      <c r="C18" s="402">
        <v>240</v>
      </c>
      <c r="D18" s="411">
        <f t="shared" si="0"/>
        <v>15</v>
      </c>
      <c r="E18" s="412">
        <f t="shared" si="2"/>
        <v>190</v>
      </c>
      <c r="F18" s="413">
        <f t="shared" si="3"/>
        <v>6.72</v>
      </c>
      <c r="H18" s="401">
        <v>-0.1</v>
      </c>
      <c r="I18" s="404">
        <v>-3</v>
      </c>
      <c r="J18" s="402">
        <v>-0.08</v>
      </c>
      <c r="L18"/>
      <c r="M18"/>
      <c r="N18"/>
      <c r="O18"/>
      <c r="P18"/>
      <c r="Q18"/>
    </row>
    <row r="19" spans="2:17" s="11" customFormat="1" ht="26.1" customHeight="1">
      <c r="B19" s="410">
        <f t="shared" si="1"/>
        <v>45389.8125</v>
      </c>
      <c r="C19" s="402">
        <v>480</v>
      </c>
      <c r="D19" s="411">
        <f t="shared" si="0"/>
        <v>15.4</v>
      </c>
      <c r="E19" s="412">
        <f t="shared" si="2"/>
        <v>190</v>
      </c>
      <c r="F19" s="413">
        <f t="shared" si="3"/>
        <v>6.87</v>
      </c>
      <c r="H19" s="401">
        <v>0.3</v>
      </c>
      <c r="I19" s="404">
        <v>-3</v>
      </c>
      <c r="J19" s="402">
        <v>7.0000000000000007E-2</v>
      </c>
      <c r="L19"/>
      <c r="M19"/>
      <c r="N19"/>
      <c r="O19"/>
      <c r="P19"/>
      <c r="Q19"/>
    </row>
    <row r="20" spans="2:17" s="99" customFormat="1" ht="26.1" customHeight="1">
      <c r="B20" s="410">
        <f t="shared" si="1"/>
        <v>45390.479166666664</v>
      </c>
      <c r="C20" s="402">
        <v>1440</v>
      </c>
      <c r="D20" s="411">
        <f t="shared" si="0"/>
        <v>15.299999999999999</v>
      </c>
      <c r="E20" s="412">
        <f t="shared" si="2"/>
        <v>195</v>
      </c>
      <c r="F20" s="413">
        <f t="shared" si="3"/>
        <v>6.72</v>
      </c>
      <c r="H20" s="401">
        <v>0.2</v>
      </c>
      <c r="I20" s="404">
        <v>2</v>
      </c>
      <c r="J20" s="402">
        <v>-0.08</v>
      </c>
      <c r="L20"/>
      <c r="M20"/>
      <c r="N20"/>
      <c r="O20"/>
      <c r="P20"/>
      <c r="Q20"/>
    </row>
    <row r="21" spans="2:17" s="99" customFormat="1" ht="26.1" customHeight="1">
      <c r="B21" s="410">
        <f t="shared" si="1"/>
        <v>45390.645833333328</v>
      </c>
      <c r="C21" s="402">
        <v>1680</v>
      </c>
      <c r="D21" s="411">
        <f>$D$20</f>
        <v>15.299999999999999</v>
      </c>
      <c r="E21" s="412">
        <f>$E$20</f>
        <v>195</v>
      </c>
      <c r="F21" s="413">
        <f>$F$20</f>
        <v>6.72</v>
      </c>
      <c r="H21" s="401">
        <v>-0.2</v>
      </c>
      <c r="I21" s="404">
        <v>-2</v>
      </c>
      <c r="J21" s="402">
        <v>-0.1</v>
      </c>
      <c r="L21"/>
      <c r="M21"/>
      <c r="N21"/>
      <c r="O21"/>
      <c r="P21"/>
      <c r="Q21"/>
    </row>
    <row r="22" spans="2:17" s="99" customFormat="1" ht="26.1" customHeight="1">
      <c r="B22" s="410">
        <f t="shared" si="1"/>
        <v>45390.8125</v>
      </c>
      <c r="C22" s="402">
        <v>1920</v>
      </c>
      <c r="D22" s="411">
        <f t="shared" ref="D22:D23" si="4">$D$20</f>
        <v>15.299999999999999</v>
      </c>
      <c r="E22" s="412">
        <f t="shared" ref="E22:E23" si="5">$E$20</f>
        <v>195</v>
      </c>
      <c r="F22" s="413">
        <f t="shared" ref="F22:F23" si="6">$F$20</f>
        <v>6.72</v>
      </c>
      <c r="H22" s="401">
        <v>-0.3</v>
      </c>
      <c r="I22" s="404">
        <v>-1</v>
      </c>
      <c r="J22" s="402">
        <v>-0.08</v>
      </c>
      <c r="L22"/>
      <c r="M22"/>
      <c r="N22"/>
      <c r="O22"/>
      <c r="P22"/>
      <c r="Q22"/>
    </row>
    <row r="23" spans="2:17" s="99" customFormat="1" ht="26.1" customHeight="1" thickBot="1">
      <c r="B23" s="410">
        <f t="shared" si="1"/>
        <v>45391.479166666664</v>
      </c>
      <c r="C23" s="402">
        <v>2880</v>
      </c>
      <c r="D23" s="411">
        <f t="shared" si="4"/>
        <v>15.299999999999999</v>
      </c>
      <c r="E23" s="412">
        <f t="shared" si="5"/>
        <v>195</v>
      </c>
      <c r="F23" s="413">
        <f t="shared" si="6"/>
        <v>6.72</v>
      </c>
      <c r="H23" s="414">
        <v>0.2</v>
      </c>
      <c r="I23" s="415">
        <v>-1</v>
      </c>
      <c r="J23" s="416">
        <v>-0.1</v>
      </c>
      <c r="L23"/>
      <c r="M23"/>
      <c r="N23"/>
      <c r="O23"/>
      <c r="P23"/>
      <c r="Q23"/>
    </row>
    <row r="24" spans="2:17" s="99" customFormat="1" ht="26.1" customHeight="1">
      <c r="B24" s="479" t="s">
        <v>79</v>
      </c>
      <c r="C24" s="480"/>
      <c r="D24" s="403">
        <f>MAX(D14:D23)</f>
        <v>15.4</v>
      </c>
      <c r="E24" s="404">
        <f t="shared" ref="E24:F24" si="7">MAX(E14:E23)</f>
        <v>196</v>
      </c>
      <c r="F24" s="402">
        <f t="shared" si="7"/>
        <v>6.93</v>
      </c>
      <c r="H24" s="11"/>
      <c r="I24" s="11"/>
      <c r="J24" s="11"/>
      <c r="L24"/>
      <c r="M24"/>
      <c r="N24"/>
      <c r="O24"/>
      <c r="P24"/>
      <c r="Q24"/>
    </row>
    <row r="25" spans="2:17" s="99" customFormat="1" ht="26.1" customHeight="1">
      <c r="B25" s="479" t="s">
        <v>212</v>
      </c>
      <c r="C25" s="480"/>
      <c r="D25" s="403">
        <f>MIN(D14:D23)</f>
        <v>14.9</v>
      </c>
      <c r="E25" s="404">
        <f t="shared" ref="E25:F25" si="8">MIN(E14:E23)</f>
        <v>190</v>
      </c>
      <c r="F25" s="402">
        <f t="shared" si="8"/>
        <v>6.7</v>
      </c>
      <c r="H25" s="11"/>
      <c r="I25" s="11"/>
      <c r="J25" s="11"/>
      <c r="L25" s="6"/>
      <c r="M25" s="6"/>
      <c r="N25" s="6"/>
      <c r="O25" s="6"/>
      <c r="P25" s="6"/>
    </row>
    <row r="26" spans="2:17" s="99" customFormat="1" ht="26.1" customHeight="1" thickBot="1">
      <c r="B26" s="474" t="s">
        <v>213</v>
      </c>
      <c r="C26" s="475"/>
      <c r="D26" s="417">
        <f>D24-D25</f>
        <v>0.5</v>
      </c>
      <c r="E26" s="415">
        <f t="shared" ref="E26:F26" si="9">E24-E25</f>
        <v>6</v>
      </c>
      <c r="F26" s="416">
        <f t="shared" si="9"/>
        <v>0.22999999999999954</v>
      </c>
      <c r="H26" s="11"/>
      <c r="I26" s="11"/>
      <c r="J26" s="11"/>
      <c r="L26" s="6"/>
      <c r="M26" s="6"/>
      <c r="N26" s="6"/>
      <c r="O26" s="6"/>
      <c r="P26" s="6"/>
    </row>
    <row r="27" spans="2:17" s="99" customFormat="1" ht="18" customHeight="1">
      <c r="E27" s="11"/>
      <c r="F27" s="11"/>
      <c r="L27" s="6"/>
      <c r="M27" s="6"/>
      <c r="N27" s="6"/>
      <c r="O27" s="6"/>
      <c r="P27" s="6"/>
    </row>
    <row r="28" spans="2:17" s="99" customFormat="1" ht="18" customHeight="1">
      <c r="E28" s="11"/>
      <c r="F28" s="11"/>
      <c r="L28" s="6"/>
      <c r="M28" s="6"/>
      <c r="N28" s="6"/>
      <c r="O28" s="6"/>
      <c r="P28" s="6"/>
    </row>
    <row r="29" spans="2:17" s="99" customFormat="1" ht="18" customHeight="1">
      <c r="E29" s="11"/>
      <c r="F29" s="11"/>
    </row>
    <row r="30" spans="2:17" s="99" customFormat="1" ht="18" customHeight="1">
      <c r="E30" s="11"/>
      <c r="F30" s="11"/>
    </row>
    <row r="31" spans="2:17" s="99" customFormat="1" ht="18" customHeight="1">
      <c r="E31" s="11"/>
      <c r="F31" s="11"/>
    </row>
    <row r="32" spans="2:17" s="99" customFormat="1" ht="18" customHeight="1">
      <c r="E32" s="11"/>
      <c r="F32" s="11"/>
    </row>
    <row r="33" spans="5:6" s="99" customFormat="1" ht="18" customHeight="1">
      <c r="E33" s="11"/>
      <c r="F33" s="11"/>
    </row>
    <row r="34" spans="5:6" s="99" customFormat="1" ht="18" customHeight="1">
      <c r="E34" s="11"/>
      <c r="F34" s="11"/>
    </row>
    <row r="35" spans="5:6" s="99" customFormat="1" ht="18" customHeight="1">
      <c r="E35" s="11"/>
      <c r="F35" s="11"/>
    </row>
    <row r="36" spans="5:6" s="99" customFormat="1" ht="18" customHeight="1">
      <c r="E36" s="11"/>
      <c r="F36" s="11"/>
    </row>
    <row r="37" spans="5:6" s="99" customFormat="1" ht="18" customHeight="1">
      <c r="E37" s="11"/>
      <c r="F37" s="11"/>
    </row>
    <row r="38" spans="5:6" ht="18" customHeight="1"/>
    <row r="39" spans="5:6" ht="18" customHeight="1"/>
    <row r="40" spans="5:6" ht="18" customHeight="1"/>
    <row r="41" spans="5:6" ht="18" customHeight="1"/>
    <row r="42" spans="5:6" ht="18" customHeight="1"/>
    <row r="43" spans="5:6" ht="18" customHeight="1"/>
    <row r="44" spans="5:6" ht="18" customHeight="1"/>
  </sheetData>
  <mergeCells count="6">
    <mergeCell ref="B26:C26"/>
    <mergeCell ref="B12:C12"/>
    <mergeCell ref="D12:F12"/>
    <mergeCell ref="H12:J12"/>
    <mergeCell ref="B24:C24"/>
    <mergeCell ref="B25:C25"/>
  </mergeCells>
  <phoneticPr fontId="4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41" r:id="rId4" name="CommandButton1">
          <controlPr defaultSize="0" autoLine="0" autoPict="0" r:id="rId5">
            <anchor moveWithCells="1">
              <from>
                <xdr:col>3</xdr:col>
                <xdr:colOff>323850</xdr:colOff>
                <xdr:row>5</xdr:row>
                <xdr:rowOff>19050</xdr:rowOff>
              </from>
              <to>
                <xdr:col>5</xdr:col>
                <xdr:colOff>133350</xdr:colOff>
                <xdr:row>6</xdr:row>
                <xdr:rowOff>95250</xdr:rowOff>
              </to>
            </anchor>
          </controlPr>
        </control>
      </mc:Choice>
      <mc:Fallback>
        <control shapeId="10241" r:id="rId4" name="CommandButton1"/>
      </mc:Fallback>
    </mc:AlternateContent>
    <mc:AlternateContent xmlns:mc="http://schemas.openxmlformats.org/markup-compatibility/2006">
      <mc:Choice Requires="x14">
        <control shapeId="10242" r:id="rId6" name="CommandButton2">
          <controlPr defaultSize="0" autoLine="0" autoPict="0" r:id="rId7">
            <anchor moveWithCells="1">
              <from>
                <xdr:col>3</xdr:col>
                <xdr:colOff>323850</xdr:colOff>
                <xdr:row>6</xdr:row>
                <xdr:rowOff>142875</xdr:rowOff>
              </from>
              <to>
                <xdr:col>5</xdr:col>
                <xdr:colOff>133350</xdr:colOff>
                <xdr:row>7</xdr:row>
                <xdr:rowOff>219075</xdr:rowOff>
              </to>
            </anchor>
          </controlPr>
        </control>
      </mc:Choice>
      <mc:Fallback>
        <control shapeId="10242" r:id="rId6" name="CommandButton2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11</vt:i4>
      </vt:variant>
      <vt:variant>
        <vt:lpstr>이름 지정된 범위</vt:lpstr>
      </vt:variant>
      <vt:variant>
        <vt:i4>15</vt:i4>
      </vt:variant>
    </vt:vector>
  </HeadingPairs>
  <TitlesOfParts>
    <vt:vector size="26" baseType="lpstr">
      <vt:lpstr>REF</vt:lpstr>
      <vt:lpstr>Sheet1</vt:lpstr>
      <vt:lpstr>Input</vt:lpstr>
      <vt:lpstr>SkinFactor</vt:lpstr>
      <vt:lpstr>SafeYield</vt:lpstr>
      <vt:lpstr>StepTest</vt:lpstr>
      <vt:lpstr>LongTest</vt:lpstr>
      <vt:lpstr>Step.Select</vt:lpstr>
      <vt:lpstr>Janggi.Select</vt:lpstr>
      <vt:lpstr>Recover.Select</vt:lpstr>
      <vt:lpstr>w1</vt:lpstr>
      <vt:lpstr>'w1'!baseTemp</vt:lpstr>
      <vt:lpstr>EffectiveRadius</vt:lpstr>
      <vt:lpstr>GoalSeekTarget</vt:lpstr>
      <vt:lpstr>gongbun</vt:lpstr>
      <vt:lpstr>gongbun2</vt:lpstr>
      <vt:lpstr>Input!Print_Area</vt:lpstr>
      <vt:lpstr>LongTest!Print_Area</vt:lpstr>
      <vt:lpstr>StepTest!Print_Area</vt:lpstr>
      <vt:lpstr>LongTest!Print_Titles</vt:lpstr>
      <vt:lpstr>StepTest!Print_Titles</vt:lpstr>
      <vt:lpstr>pump_hp</vt:lpstr>
      <vt:lpstr>well_radius</vt:lpstr>
      <vt:lpstr>단계양수</vt:lpstr>
      <vt:lpstr>장기양수</vt:lpstr>
      <vt:lpstr>적정채수량산정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minhwasoo</dc:creator>
  <cp:lastModifiedBy>minhwasoo</cp:lastModifiedBy>
  <cp:lastPrinted>2024-04-25T05:52:18Z</cp:lastPrinted>
  <dcterms:created xsi:type="dcterms:W3CDTF">2022-01-08T04:40:11Z</dcterms:created>
  <dcterms:modified xsi:type="dcterms:W3CDTF">2024-06-12T02:51:43Z</dcterms:modified>
</cp:coreProperties>
</file>