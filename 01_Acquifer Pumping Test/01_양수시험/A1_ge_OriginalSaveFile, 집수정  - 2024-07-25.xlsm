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26_농업용 - 부여, 부여군 농업기술센터 1개공, 관정개발 - 합,청대개발\04_양수시험\"/>
    </mc:Choice>
  </mc:AlternateContent>
  <xr:revisionPtr revIDLastSave="0" documentId="13_ncr:1_{B6BEF873-E792-45D0-98A6-132E3D38B7E3}" xr6:coauthVersionLast="47" xr6:coauthVersionMax="47" xr10:uidLastSave="{00000000-0000-0000-0000-000000000000}"/>
  <bookViews>
    <workbookView xWindow="28680" yWindow="-120" windowWidth="29040" windowHeight="15720" tabRatio="716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장회" sheetId="15" state="hidden" r:id="rId11"/>
    <sheet name="장회14" sheetId="20" state="hidden" r:id="rId12"/>
    <sheet name="단계" sheetId="17" state="hidden" r:id="rId13"/>
    <sheet name="장기28" sheetId="16" state="hidden" r:id="rId14"/>
    <sheet name="회복" sheetId="13" state="hidden" r:id="rId15"/>
    <sheet name="장기14" sheetId="18" state="hidden" r:id="rId16"/>
    <sheet name="회복12" sheetId="19" state="hidden" r:id="rId17"/>
    <sheet name="w1" sheetId="11" r:id="rId18"/>
  </sheets>
  <functionGroups builtInGroupCount="19"/>
  <definedNames>
    <definedName name="baseTemp" localSheetId="17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_xlnm.Print_Titles" localSheetId="12">단계!$1:$11</definedName>
    <definedName name="_xlnm.Print_Titles" localSheetId="15">장기14!$1:$11</definedName>
    <definedName name="_xlnm.Print_Titles" localSheetId="13">장기28!$1:$11</definedName>
    <definedName name="_xlnm.Print_Titles" localSheetId="10">장회!$1:$11</definedName>
    <definedName name="_xlnm.Print_Titles" localSheetId="11">장회14!$1:$11</definedName>
    <definedName name="_xlnm.Print_Titles" localSheetId="14">회복!$1:$11</definedName>
    <definedName name="_xlnm.Print_Titles" localSheetId="16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F13" i="13"/>
  <c r="G13" i="13"/>
  <c r="F14" i="13"/>
  <c r="G14" i="13"/>
  <c r="F15" i="13"/>
  <c r="G15" i="13"/>
  <c r="F16" i="13"/>
  <c r="G16" i="13"/>
  <c r="F17" i="13"/>
  <c r="G17" i="13"/>
  <c r="F18" i="13"/>
  <c r="G18" i="13"/>
  <c r="F19" i="13"/>
  <c r="G19" i="13"/>
  <c r="F20" i="13"/>
  <c r="G20" i="13"/>
  <c r="F21" i="13"/>
  <c r="G21" i="13"/>
  <c r="F22" i="13"/>
  <c r="G22" i="13"/>
  <c r="F23" i="13"/>
  <c r="G23" i="13"/>
  <c r="F24" i="13"/>
  <c r="G24" i="13"/>
  <c r="F25" i="13"/>
  <c r="G25" i="13"/>
  <c r="F26" i="13"/>
  <c r="G26" i="13"/>
  <c r="F27" i="13"/>
  <c r="G27" i="13"/>
  <c r="F28" i="13"/>
  <c r="G28" i="13"/>
  <c r="F29" i="13"/>
  <c r="G29" i="13"/>
  <c r="F30" i="13"/>
  <c r="G30" i="13"/>
  <c r="F31" i="13"/>
  <c r="G31" i="13"/>
  <c r="F32" i="13"/>
  <c r="G32" i="13"/>
  <c r="F33" i="13"/>
  <c r="G33" i="13"/>
  <c r="F34" i="13"/>
  <c r="G34" i="13"/>
  <c r="F35" i="13"/>
  <c r="G35" i="13"/>
  <c r="G12" i="13"/>
  <c r="F12" i="13"/>
  <c r="F13" i="19"/>
  <c r="G13" i="19"/>
  <c r="F14" i="19"/>
  <c r="G14" i="19"/>
  <c r="F15" i="19"/>
  <c r="G15" i="19"/>
  <c r="F16" i="19"/>
  <c r="G16" i="19"/>
  <c r="F17" i="19"/>
  <c r="G17" i="19"/>
  <c r="F18" i="19"/>
  <c r="G18" i="19"/>
  <c r="F19" i="19"/>
  <c r="G19" i="19"/>
  <c r="F20" i="19"/>
  <c r="G20" i="19"/>
  <c r="F21" i="19"/>
  <c r="G21" i="19"/>
  <c r="F22" i="19"/>
  <c r="G22" i="19"/>
  <c r="F23" i="19"/>
  <c r="G23" i="19"/>
  <c r="F24" i="19"/>
  <c r="G24" i="19"/>
  <c r="F25" i="19"/>
  <c r="G25" i="19"/>
  <c r="F26" i="19"/>
  <c r="G26" i="19"/>
  <c r="F27" i="19"/>
  <c r="G27" i="19"/>
  <c r="F28" i="19"/>
  <c r="G28" i="19"/>
  <c r="F29" i="19"/>
  <c r="G29" i="19"/>
  <c r="F30" i="19"/>
  <c r="G30" i="19"/>
  <c r="F31" i="19"/>
  <c r="G31" i="19"/>
  <c r="G12" i="19"/>
  <c r="F12" i="19"/>
  <c r="A27" i="9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5" i="15" s="1"/>
  <c r="C80" i="15"/>
  <c r="C5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58" i="20"/>
  <c r="C4" i="19"/>
  <c r="C4" i="13"/>
  <c r="C5" i="13"/>
  <c r="C5" i="18"/>
  <c r="C55" i="20" l="1"/>
  <c r="C50" i="20"/>
  <c r="C45" i="20"/>
  <c r="C40" i="20"/>
  <c r="C27" i="20"/>
  <c r="C22" i="20"/>
  <c r="C18" i="20"/>
  <c r="C14" i="20"/>
  <c r="C13" i="20"/>
  <c r="E9" i="20"/>
  <c r="H8" i="20"/>
  <c r="E8" i="20"/>
  <c r="H7" i="20"/>
  <c r="E7" i="20"/>
  <c r="C4" i="20"/>
  <c r="I3" i="20"/>
  <c r="C3" i="20"/>
  <c r="C2" i="20"/>
  <c r="C31" i="19"/>
  <c r="C5" i="19" s="1"/>
  <c r="C29" i="19"/>
  <c r="C28" i="19"/>
  <c r="C27" i="19"/>
  <c r="C26" i="19"/>
  <c r="C24" i="19"/>
  <c r="C23" i="19"/>
  <c r="C22" i="19"/>
  <c r="C21" i="19"/>
  <c r="C20" i="19"/>
  <c r="C19" i="19"/>
  <c r="C18" i="19"/>
  <c r="C17" i="19"/>
  <c r="C16" i="19"/>
  <c r="C15" i="19"/>
  <c r="C13" i="19"/>
  <c r="C12" i="19"/>
  <c r="E9" i="19"/>
  <c r="H8" i="19"/>
  <c r="E8" i="19"/>
  <c r="H7" i="19"/>
  <c r="E7" i="19"/>
  <c r="C25" i="19"/>
  <c r="I3" i="19"/>
  <c r="C3" i="19"/>
  <c r="C2" i="19"/>
  <c r="C54" i="18"/>
  <c r="C53" i="18"/>
  <c r="C52" i="18"/>
  <c r="C49" i="18"/>
  <c r="C48" i="18"/>
  <c r="C47" i="18"/>
  <c r="C45" i="18"/>
  <c r="C43" i="18"/>
  <c r="C42" i="18"/>
  <c r="C41" i="18"/>
  <c r="C40" i="18"/>
  <c r="C38" i="18"/>
  <c r="C37" i="18"/>
  <c r="C33" i="18"/>
  <c r="C31" i="18"/>
  <c r="C28" i="18"/>
  <c r="C27" i="18"/>
  <c r="C26" i="18"/>
  <c r="C24" i="18"/>
  <c r="C22" i="18"/>
  <c r="C21" i="18"/>
  <c r="C18" i="18"/>
  <c r="C17" i="18"/>
  <c r="C16" i="18"/>
  <c r="C14" i="18"/>
  <c r="C13" i="18"/>
  <c r="C12" i="18"/>
  <c r="E9" i="18"/>
  <c r="H8" i="18"/>
  <c r="E8" i="18"/>
  <c r="H7" i="18"/>
  <c r="E7" i="18"/>
  <c r="C4" i="18"/>
  <c r="C35" i="18" s="1"/>
  <c r="I3" i="18"/>
  <c r="C3" i="18"/>
  <c r="C2" i="18"/>
  <c r="I3" i="13"/>
  <c r="C3" i="13"/>
  <c r="I3" i="15"/>
  <c r="C3" i="15"/>
  <c r="I3" i="17"/>
  <c r="C3" i="17"/>
  <c r="I3" i="16"/>
  <c r="C17" i="20" l="1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14" i="19"/>
  <c r="C30" i="19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H9" i="17" l="1"/>
  <c r="C4" i="17"/>
  <c r="E9" i="17"/>
  <c r="H8" i="17"/>
  <c r="E8" i="17"/>
  <c r="E7" i="17"/>
  <c r="C2" i="17"/>
  <c r="C34" i="13"/>
  <c r="E9" i="13"/>
  <c r="H8" i="13"/>
  <c r="E8" i="13"/>
  <c r="H7" i="13"/>
  <c r="E7" i="13"/>
  <c r="C23" i="13"/>
  <c r="C2" i="13"/>
  <c r="C79" i="16"/>
  <c r="C78" i="16"/>
  <c r="C77" i="16"/>
  <c r="C76" i="16"/>
  <c r="C74" i="16"/>
  <c r="C73" i="16"/>
  <c r="C72" i="16"/>
  <c r="C71" i="16"/>
  <c r="C69" i="16"/>
  <c r="C68" i="16"/>
  <c r="C67" i="16"/>
  <c r="C66" i="16"/>
  <c r="C65" i="16"/>
  <c r="C63" i="16"/>
  <c r="C62" i="16"/>
  <c r="C61" i="16"/>
  <c r="C59" i="16"/>
  <c r="C58" i="16"/>
  <c r="C57" i="16"/>
  <c r="C55" i="16"/>
  <c r="C54" i="16"/>
  <c r="C53" i="16"/>
  <c r="C52" i="16"/>
  <c r="C50" i="16"/>
  <c r="C49" i="16"/>
  <c r="C48" i="16"/>
  <c r="C47" i="16"/>
  <c r="C45" i="16"/>
  <c r="C44" i="16"/>
  <c r="C43" i="16"/>
  <c r="C42" i="16"/>
  <c r="C40" i="16"/>
  <c r="C39" i="16"/>
  <c r="C38" i="16"/>
  <c r="C37" i="16"/>
  <c r="C35" i="16"/>
  <c r="C34" i="16"/>
  <c r="C33" i="16"/>
  <c r="C31" i="16"/>
  <c r="C30" i="16"/>
  <c r="C29" i="16"/>
  <c r="C27" i="16"/>
  <c r="C26" i="16"/>
  <c r="C25" i="16"/>
  <c r="C24" i="16"/>
  <c r="C22" i="16"/>
  <c r="C21" i="16"/>
  <c r="C20" i="16"/>
  <c r="C18" i="16"/>
  <c r="C17" i="16"/>
  <c r="C16" i="16"/>
  <c r="C14" i="16"/>
  <c r="C13" i="16"/>
  <c r="C12" i="16"/>
  <c r="E9" i="16"/>
  <c r="H8" i="16"/>
  <c r="E8" i="16"/>
  <c r="H7" i="16"/>
  <c r="E7" i="16"/>
  <c r="C5" i="16"/>
  <c r="C4" i="16"/>
  <c r="C70" i="16" s="1"/>
  <c r="C3" i="16"/>
  <c r="C2" i="16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H7" i="15"/>
  <c r="H8" i="15"/>
  <c r="E9" i="15"/>
  <c r="E8" i="15"/>
  <c r="E7" i="15"/>
  <c r="C4" i="15"/>
  <c r="C2" i="15"/>
  <c r="P57" i="2"/>
  <c r="P55" i="2"/>
  <c r="C6" i="11"/>
  <c r="O52" i="2"/>
  <c r="O51" i="2"/>
  <c r="C29" i="4"/>
  <c r="C59" i="2"/>
  <c r="F59" i="2"/>
  <c r="F62" i="2" s="1"/>
  <c r="I59" i="2" s="1"/>
  <c r="C61" i="2"/>
  <c r="E20" i="2"/>
  <c r="C16" i="13" l="1"/>
  <c r="C29" i="13"/>
  <c r="C35" i="13"/>
  <c r="C24" i="13"/>
  <c r="C30" i="13"/>
  <c r="C18" i="13"/>
  <c r="C25" i="13"/>
  <c r="C32" i="13"/>
  <c r="C13" i="13"/>
  <c r="C19" i="13"/>
  <c r="C14" i="13"/>
  <c r="C27" i="13"/>
  <c r="C20" i="13"/>
  <c r="C15" i="13"/>
  <c r="C31" i="13"/>
  <c r="C26" i="13"/>
  <c r="C21" i="13"/>
  <c r="C22" i="13"/>
  <c r="C17" i="13"/>
  <c r="C33" i="13"/>
  <c r="C12" i="13"/>
  <c r="C28" i="13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I21" i="18" l="1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B32" i="6" l="1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43" i="6"/>
  <c r="X21" i="7"/>
  <c r="S27" i="6"/>
  <c r="AC2" i="7"/>
  <c r="B2" i="5"/>
  <c r="S28" i="6"/>
  <c r="R4" i="6"/>
  <c r="S4" i="6" s="1"/>
  <c r="Y4" i="6" s="1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38" i="6" l="1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B32" i="9" l="1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C30" i="12" s="1"/>
  <c r="D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C36" i="12" s="1"/>
  <c r="D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B74" i="8"/>
  <c r="M30" i="6"/>
  <c r="O30" i="6" s="1"/>
  <c r="P30" i="6" s="1"/>
  <c r="L31" i="6"/>
  <c r="B70" i="8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B37" i="12" l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B90" i="8"/>
  <c r="B57" i="12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40" i="12" l="1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A75" i="9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1" i="9" l="1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C70" i="12" s="1"/>
  <c r="D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B100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B77" i="12" l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AC31" i="7" s="1"/>
  <c r="B97" i="12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C96" i="12" l="1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AA69" i="7"/>
  <c r="AE69" i="7" s="1"/>
  <c r="E77" i="7"/>
  <c r="Z69" i="7" s="1"/>
  <c r="F52" i="7"/>
  <c r="B73" i="9"/>
  <c r="AB45" i="7"/>
  <c r="AF45" i="7"/>
  <c r="G53" i="7" s="1"/>
  <c r="F54" i="18" l="1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G79" i="16"/>
  <c r="G79" i="15"/>
  <c r="G8" i="7"/>
  <c r="F79" i="15"/>
  <c r="F79" i="16"/>
  <c r="D111" i="7"/>
  <c r="D112" i="7" s="1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58" i="20" l="1"/>
  <c r="G80" i="15"/>
  <c r="F78" i="7"/>
  <c r="B33" i="10"/>
  <c r="H116" i="7"/>
  <c r="J116" i="7" s="1"/>
  <c r="D117" i="7"/>
  <c r="G79" i="7"/>
  <c r="J115" i="7"/>
  <c r="G59" i="20" l="1"/>
  <c r="G81" i="15"/>
  <c r="F58" i="20"/>
  <c r="F80" i="15"/>
  <c r="F79" i="7"/>
  <c r="B34" i="10"/>
  <c r="D118" i="7"/>
  <c r="H117" i="7"/>
  <c r="J117" i="7" s="1"/>
  <c r="G80" i="7"/>
  <c r="G60" i="20" l="1"/>
  <c r="G82" i="15"/>
  <c r="F59" i="20"/>
  <c r="F81" i="15"/>
  <c r="F80" i="7"/>
  <c r="B35" i="10"/>
  <c r="G81" i="7"/>
  <c r="D119" i="7"/>
  <c r="H118" i="7"/>
  <c r="G61" i="20" l="1"/>
  <c r="G83" i="15"/>
  <c r="F60" i="20"/>
  <c r="F82" i="15"/>
  <c r="F81" i="7"/>
  <c r="B36" i="10"/>
  <c r="D120" i="7"/>
  <c r="H119" i="7"/>
  <c r="J119" i="7" s="1"/>
  <c r="G82" i="7"/>
  <c r="J118" i="7"/>
  <c r="F61" i="20" l="1"/>
  <c r="F83" i="15"/>
  <c r="G62" i="20"/>
  <c r="G84" i="15"/>
  <c r="F82" i="7"/>
  <c r="B37" i="10"/>
  <c r="D121" i="7"/>
  <c r="H120" i="7"/>
  <c r="F62" i="20" l="1"/>
  <c r="F84" i="15"/>
  <c r="D122" i="7"/>
  <c r="H121" i="7"/>
  <c r="J120" i="7"/>
  <c r="G83" i="7" l="1"/>
  <c r="D123" i="7"/>
  <c r="H122" i="7"/>
  <c r="J121" i="7"/>
  <c r="G63" i="20" l="1"/>
  <c r="G85" i="15"/>
  <c r="F83" i="7"/>
  <c r="B38" i="10"/>
  <c r="D124" i="7"/>
  <c r="H123" i="7"/>
  <c r="J122" i="7"/>
  <c r="F63" i="20" l="1"/>
  <c r="F85" i="15"/>
  <c r="D125" i="7"/>
  <c r="H124" i="7"/>
  <c r="J123" i="7"/>
  <c r="G84" i="7" l="1"/>
  <c r="D126" i="7"/>
  <c r="H125" i="7"/>
  <c r="J124" i="7"/>
  <c r="G64" i="20" l="1"/>
  <c r="G86" i="15"/>
  <c r="F84" i="7"/>
  <c r="B39" i="10"/>
  <c r="H126" i="7"/>
  <c r="D127" i="7"/>
  <c r="J125" i="7"/>
  <c r="F64" i="20" l="1"/>
  <c r="F86" i="15"/>
  <c r="D128" i="7"/>
  <c r="H128" i="7" s="1"/>
  <c r="H127" i="7"/>
  <c r="J127" i="7" s="1"/>
  <c r="G85" i="7"/>
  <c r="J126" i="7"/>
  <c r="G65" i="20" l="1"/>
  <c r="G87" i="15"/>
  <c r="F85" i="7"/>
  <c r="B40" i="10"/>
  <c r="G86" i="7"/>
  <c r="D129" i="7"/>
  <c r="G66" i="20" l="1"/>
  <c r="G88" i="15"/>
  <c r="F65" i="20"/>
  <c r="F87" i="15"/>
  <c r="F86" i="7"/>
  <c r="B41" i="10"/>
  <c r="D130" i="7"/>
  <c r="H129" i="7"/>
  <c r="J129" i="7" s="1"/>
  <c r="G87" i="7"/>
  <c r="J128" i="7"/>
  <c r="G67" i="20" l="1"/>
  <c r="G89" i="15"/>
  <c r="F66" i="20"/>
  <c r="F88" i="15"/>
  <c r="F87" i="7"/>
  <c r="B42" i="10"/>
  <c r="G88" i="7"/>
  <c r="D131" i="7"/>
  <c r="H130" i="7"/>
  <c r="G68" i="20" l="1"/>
  <c r="G90" i="15"/>
  <c r="F67" i="20"/>
  <c r="F89" i="15"/>
  <c r="F88" i="7"/>
  <c r="B43" i="10"/>
  <c r="G89" i="7"/>
  <c r="H131" i="7"/>
  <c r="D132" i="7"/>
  <c r="J130" i="7"/>
  <c r="G69" i="20" l="1"/>
  <c r="G91" i="15"/>
  <c r="F68" i="20"/>
  <c r="F90" i="15"/>
  <c r="F89" i="7"/>
  <c r="B44" i="10"/>
  <c r="D133" i="7"/>
  <c r="H132" i="7"/>
  <c r="J132" i="7" s="1"/>
  <c r="G90" i="7"/>
  <c r="J131" i="7"/>
  <c r="G70" i="20" l="1"/>
  <c r="G92" i="15"/>
  <c r="F69" i="20"/>
  <c r="F91" i="15"/>
  <c r="F90" i="7"/>
  <c r="B45" i="10"/>
  <c r="G91" i="7"/>
  <c r="D134" i="7"/>
  <c r="H133" i="7"/>
  <c r="F70" i="20" l="1"/>
  <c r="F92" i="15"/>
  <c r="G71" i="20"/>
  <c r="G93" i="15"/>
  <c r="F91" i="7"/>
  <c r="B46" i="10"/>
  <c r="D135" i="7"/>
  <c r="H134" i="7"/>
  <c r="J134" i="7" s="1"/>
  <c r="G92" i="7"/>
  <c r="J133" i="7"/>
  <c r="G72" i="20" l="1"/>
  <c r="G94" i="15"/>
  <c r="F71" i="20"/>
  <c r="F93" i="15"/>
  <c r="F92" i="7"/>
  <c r="B47" i="10"/>
  <c r="G93" i="7"/>
  <c r="D136" i="7"/>
  <c r="H135" i="7"/>
  <c r="G73" i="20" l="1"/>
  <c r="G95" i="15"/>
  <c r="F72" i="20"/>
  <c r="F94" i="15"/>
  <c r="F93" i="7"/>
  <c r="B48" i="10"/>
  <c r="D137" i="7"/>
  <c r="H136" i="7"/>
  <c r="J136" i="7" s="1"/>
  <c r="G94" i="7"/>
  <c r="J135" i="7"/>
  <c r="G74" i="20" l="1"/>
  <c r="G96" i="15"/>
  <c r="F73" i="20"/>
  <c r="F95" i="15"/>
  <c r="F94" i="7"/>
  <c r="B49" i="10"/>
  <c r="G95" i="7"/>
  <c r="D138" i="7"/>
  <c r="H137" i="7"/>
  <c r="G75" i="20" l="1"/>
  <c r="G97" i="15"/>
  <c r="F74" i="20"/>
  <c r="F96" i="15"/>
  <c r="F95" i="7"/>
  <c r="B50" i="10"/>
  <c r="D139" i="7"/>
  <c r="H138" i="7"/>
  <c r="J138" i="7" s="1"/>
  <c r="G96" i="7"/>
  <c r="J137" i="7"/>
  <c r="G76" i="20" l="1"/>
  <c r="G98" i="15"/>
  <c r="F75" i="20"/>
  <c r="F97" i="15"/>
  <c r="F96" i="7"/>
  <c r="B51" i="10"/>
  <c r="G97" i="7"/>
  <c r="D140" i="7"/>
  <c r="H139" i="7"/>
  <c r="G77" i="20" l="1"/>
  <c r="G99" i="15"/>
  <c r="F76" i="20"/>
  <c r="F98" i="15"/>
  <c r="F97" i="7"/>
  <c r="B52" i="10"/>
  <c r="D141" i="7"/>
  <c r="H140" i="7"/>
  <c r="J140" i="7" s="1"/>
  <c r="J139" i="7"/>
  <c r="F77" i="20" l="1"/>
  <c r="F99" i="15"/>
  <c r="G98" i="7"/>
  <c r="G100" i="15" s="1"/>
  <c r="H141" i="7"/>
  <c r="D142" i="7"/>
  <c r="F98" i="7" l="1"/>
  <c r="F100" i="15" s="1"/>
  <c r="B53" i="10"/>
  <c r="D143" i="7"/>
  <c r="H142" i="7"/>
  <c r="J141" i="7"/>
  <c r="G99" i="7" l="1"/>
  <c r="G101" i="15" s="1"/>
  <c r="D144" i="7"/>
  <c r="H143" i="7"/>
  <c r="J142" i="7"/>
  <c r="F99" i="7" l="1"/>
  <c r="F101" i="15" s="1"/>
  <c r="B54" i="10"/>
  <c r="D145" i="7"/>
  <c r="H144" i="7"/>
  <c r="J144" i="7" s="1"/>
  <c r="J143" i="7"/>
  <c r="G100" i="7" l="1"/>
  <c r="G102" i="15" s="1"/>
  <c r="D146" i="7"/>
  <c r="H146" i="7" s="1"/>
  <c r="G101" i="7" s="1"/>
  <c r="G103" i="15" s="1"/>
  <c r="H145" i="7"/>
  <c r="F101" i="7" l="1"/>
  <c r="B56" i="10"/>
  <c r="F100" i="7"/>
  <c r="F102" i="15" s="1"/>
  <c r="B55" i="10"/>
  <c r="J146" i="7"/>
  <c r="J145" i="7"/>
  <c r="C10" i="4" l="1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<sst xmlns="http://schemas.openxmlformats.org/spreadsheetml/2006/main" count="1412" uniqueCount="344">
  <si>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</si>
  <si>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</si>
  <si>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</si>
  <si>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</si>
  <si>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</si>
  <si>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</si>
  <si>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</si>
  <si>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</si>
  <si>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</si>
  <si>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</si>
  <si>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</si>
  <si>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</si>
  <si>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</si>
  <si>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</si>
  <si>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</si>
  <si>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</si>
  <si>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</si>
  <si>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</si>
  <si>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</si>
  <si>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</si>
  <si>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</si>
  <si>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</si>
  <si>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</si>
  <si>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</si>
  <si>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</si>
  <si>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</si>
  <si>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</si>
  <si>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</si>
  <si>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</si>
  <si>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</si>
  <si>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</si>
  <si>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</si>
  <si>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</si>
  <si>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</si>
  <si>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</si>
  <si>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</si>
  <si>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</si>
  <si>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</si>
  <si>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</si>
  <si>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</si>
  <si>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</si>
  <si>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</si>
  <si>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</si>
  <si>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</si>
  <si>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</si>
  <si>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</si>
  <si>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</si>
  <si>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</si>
  <si>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</si>
  <si>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</si>
  <si>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</si>
  <si>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</si>
  <si>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</si>
  <si>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</si>
  <si>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</si>
  <si>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</si>
  <si>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</si>
  <si>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</si>
  <si>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</si>
  <si>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</si>
  <si>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</si>
  <si>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</si>
  <si>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</si>
  <si>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</si>
  <si>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</si>
  <si>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</si>
  <si>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</si>
  <si>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</si>
  <si>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</si>
  <si>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</si>
  <si>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</si>
  <si>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</si>
  <si>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</si>
  <si>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</si>
  <si>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</si>
  <si>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</si>
  <si>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</si>
  <si>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</si>
  <si>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</si>
  <si>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</si>
  <si>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</si>
  <si>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</si>
  <si>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</si>
  <si>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</si>
  <si>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</si>
  <si>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</si>
  <si>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</si>
  <si>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</si>
  <si>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</si>
  <si>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</si>
  <si>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</si>
  <si>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</si>
  <si>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</si>
  <si>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</si>
  <si>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</si>
  <si>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</si>
  <si>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</si>
  <si>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</si>
  <si>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</si>
  <si>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</si>
  <si>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</si>
  <si>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</si>
  <si>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</si>
  <si>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</si>
  <si>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</si>
  <si>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</si>
  <si>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</si>
  <si>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</si>
  <si>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</si>
  <si>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</si>
  <si>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</si>
  <si>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</si>
  <si>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</si>
  <si>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</si>
  <si>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</si>
  <si>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</si>
  <si>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</si>
  <si>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</si>
  <si>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</si>
  <si>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</si>
  <si>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</si>
  <si>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</si>
  <si>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</si>
  <si>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</si>
  <si>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</si>
  <si>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</si>
  <si>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</si>
  <si>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</si>
  <si>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</si>
  <si>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</si>
  <si>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</si>
  <si>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</si>
  <si>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</si>
  <si>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</si>
  <si>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</si>
  <si>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</si>
  <si>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</si>
  <si>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</si>
  <si>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</si>
  <si>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</si>
  <si>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</si>
  <si>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</si>
  <si>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</si>
  <si>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</si>
  <si>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</si>
  <si>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</si>
  <si>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</si>
  <si>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</si>
  <si>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</si>
  <si>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</si>
  <si>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</si>
  <si>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</si>
  <si>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</si>
  <si>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</si>
  <si>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</si>
  <si>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</si>
  <si>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</si>
  <si>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</si>
  <si>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</si>
  <si>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</si>
  <si>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</si>
  <si>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</si>
  <si>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</si>
  <si>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</si>
  <si>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</si>
  <si>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</si>
  <si>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</si>
  <si>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</si>
  <si>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</si>
  <si>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</si>
  <si>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</si>
  <si>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</si>
  <si>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</si>
  <si>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</si>
  <si>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</si>
  <si>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</si>
  <si>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</si>
  <si>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</si>
  <si>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</si>
  <si>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</si>
  <si>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</si>
  <si>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</si>
  <si>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</si>
  <si>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</si>
  <si>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</si>
  <si>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</si>
  <si>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</si>
  <si>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</si>
  <si>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</si>
  <si>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</si>
  <si>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</si>
  <si>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</si>
  <si>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</si>
  <si>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</si>
  <si>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</si>
  <si>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</si>
  <si>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</si>
  <si>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</si>
  <si>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</si>
  <si>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</si>
  <si>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</si>
  <si>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</si>
  <si>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</si>
  <si>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</si>
  <si>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</si>
  <si>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</si>
  <si>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</si>
  <si>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</si>
  <si>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</si>
  <si>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</si>
  <si>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</si>
  <si>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</si>
  <si>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</si>
  <si>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</si>
  <si>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</si>
  <si>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</si>
  <si>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</si>
  <si>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</si>
  <si>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</si>
  <si>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</si>
  <si>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</si>
  <si>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</si>
  <si>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</si>
  <si>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</si>
  <si>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</si>
  <si>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</si>
  <si>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</si>
  <si>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</si>
  <si>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</si>
  <si>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</si>
  <si>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</si>
  <si>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</si>
  <si>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</si>
  <si>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</si>
  <si>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</si>
  <si>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</si>
  <si>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</si>
  <si>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</si>
  <si>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</si>
  <si>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</si>
  <si>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</si>
  <si>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</si>
  <si>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</si>
  <si>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</si>
  <si>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</si>
  <si>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</si>
  <si>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</si>
  <si>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</si>
  <si>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</si>
  <si>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</si>
  <si>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</si>
  <si>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</si>
  <si>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</si>
  <si>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</si>
  <si>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</si>
  <si>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</si>
  <si>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</si>
  <si>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</si>
  <si>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</si>
  <si>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</si>
  <si>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</si>
  <si>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</si>
  <si>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</si>
  <si>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</si>
  <si>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</si>
  <si>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</si>
  <si>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</si>
  <si>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</si>
  <si>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</si>
  <si>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</si>
  <si>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</si>
  <si>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</si>
  <si>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</si>
  <si>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</si>
  <si>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</si>
  <si>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</si>
  <si>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</si>
  <si>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</si>
  <si>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</si>
  <si>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</si>
  <si>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</si>
  <si>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</si>
  <si>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</si>
  <si>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</si>
  <si>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</si>
  <si>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</si>
  <si>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</si>
  <si>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</si>
  <si>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</si>
  <si>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</si>
  <si>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</si>
  <si>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</si>
  <si>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</si>
  <si>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</si>
  <si>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충청남도 부여군 규암면 노화리 284-1번지</t>
    <phoneticPr fontId="7" type="noConversion"/>
  </si>
  <si>
    <t>부여군 농업기술센터 지하수사후관리 및 영향조사 용역</t>
    <phoneticPr fontId="7" type="noConversion"/>
  </si>
  <si>
    <t>규암지구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</si>
  <si>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</si>
  <si>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</si>
  <si>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</si>
  <si>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</si>
  <si>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</si>
  <si>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</si>
  <si>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</si>
  <si>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</si>
  <si>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</si>
  <si>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</si>
  <si>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</si>
  <si>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</si>
  <si>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</si>
  <si>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</si>
  <si>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</si>
  <si>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</si>
  <si>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</si>
  <si>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</si>
  <si>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</si>
  <si>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</si>
  <si>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</si>
  <si>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</si>
  <si>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</si>
  <si>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</si>
  <si>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</si>
  <si>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</si>
  <si>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</si>
  <si>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</si>
  <si>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</si>
  <si>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</si>
  <si>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</si>
  <si>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</si>
  <si>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</si>
  <si>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</si>
  <si>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</si>
  <si>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</si>
  <si>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t>(합)청대개발</t>
  </si>
  <si>
    <t>92
117
143
168
193</t>
  </si>
  <si>
    <t>8.98
10.90
13.06
15.47
19.14</t>
  </si>
  <si>
    <t>5.75
7.67
9.83
12.24
15.91</t>
  </si>
  <si>
    <t>16.000
15.254
14.527
13.725
12.143</t>
  </si>
  <si>
    <t>0.062500
0.065556
0.068838
0.072857
0.082350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</si>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</sst>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5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05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 formatCode="\ 0.00\ ">
                  <c:v>5.91</c:v>
                </c:pt>
                <c:pt idx="21" formatCode="\ 0.00\ ">
                  <c:v>6.0600000000000005</c:v>
                </c:pt>
                <c:pt idx="22" formatCode="\ 0.00\ ">
                  <c:v>6.2</c:v>
                </c:pt>
                <c:pt idx="23" formatCode="\ 0.00\ ">
                  <c:v>6.33</c:v>
                </c:pt>
                <c:pt idx="24" formatCode="\ 0.00\ ">
                  <c:v>6.46</c:v>
                </c:pt>
                <c:pt idx="25">
                  <c:v>6.9</c:v>
                </c:pt>
                <c:pt idx="26" formatCode="\ 0.00\ ">
                  <c:v>7.0100000000000007</c:v>
                </c:pt>
                <c:pt idx="27">
                  <c:v>7.09</c:v>
                </c:pt>
                <c:pt idx="28" formatCode="\ 0.00\ ">
                  <c:v>7.1899999999999995</c:v>
                </c:pt>
                <c:pt idx="29">
                  <c:v>7.28</c:v>
                </c:pt>
                <c:pt idx="30" formatCode="\ 0.00\ ">
                  <c:v>7.34</c:v>
                </c:pt>
                <c:pt idx="31" formatCode="\ 0.00\ ">
                  <c:v>7.39</c:v>
                </c:pt>
                <c:pt idx="32" formatCode="\ 0.00\ ">
                  <c:v>7.43</c:v>
                </c:pt>
                <c:pt idx="33" formatCode="\ 0.00\ ">
                  <c:v>7.46</c:v>
                </c:pt>
                <c:pt idx="34" formatCode="\ 0.00\ ">
                  <c:v>7.4799999999999995</c:v>
                </c:pt>
                <c:pt idx="35">
                  <c:v>7.47</c:v>
                </c:pt>
                <c:pt idx="36" formatCode="\ 0.00\ ">
                  <c:v>7.54</c:v>
                </c:pt>
                <c:pt idx="37" formatCode="\ 0.00\ ">
                  <c:v>7.6</c:v>
                </c:pt>
                <c:pt idx="38" formatCode="\ 0.00\ ">
                  <c:v>7.6499999999999995</c:v>
                </c:pt>
                <c:pt idx="39">
                  <c:v>7.67</c:v>
                </c:pt>
                <c:pt idx="40" formatCode="\ 0.00\ ">
                  <c:v>7.85</c:v>
                </c:pt>
                <c:pt idx="41" formatCode="\ 0.00\ ">
                  <c:v>8.01</c:v>
                </c:pt>
                <c:pt idx="42" formatCode="\ 0.00\ ">
                  <c:v>8.16</c:v>
                </c:pt>
                <c:pt idx="43" formatCode="\ 0.00\ ">
                  <c:v>8.3000000000000007</c:v>
                </c:pt>
                <c:pt idx="44" formatCode="\ 0.00\ ">
                  <c:v>8.4300000000000015</c:v>
                </c:pt>
                <c:pt idx="45">
                  <c:v>8.9600000000000009</c:v>
                </c:pt>
                <c:pt idx="46" formatCode="\ 0.00\ ">
                  <c:v>9.07</c:v>
                </c:pt>
                <c:pt idx="47">
                  <c:v>9.18</c:v>
                </c:pt>
                <c:pt idx="48" formatCode="\ 0.00\ ">
                  <c:v>9.2899999999999991</c:v>
                </c:pt>
                <c:pt idx="49">
                  <c:v>9.39</c:v>
                </c:pt>
                <c:pt idx="50" formatCode="\ 0.00\ ">
                  <c:v>9.4600000000000009</c:v>
                </c:pt>
                <c:pt idx="51" formatCode="\ 0.00\ ">
                  <c:v>9.5100000000000016</c:v>
                </c:pt>
                <c:pt idx="52" formatCode="\ 0.00\ ">
                  <c:v>9.5500000000000007</c:v>
                </c:pt>
                <c:pt idx="53" formatCode="\ 0.00\ ">
                  <c:v>9.58</c:v>
                </c:pt>
                <c:pt idx="54" formatCode="\ 0.00\ ">
                  <c:v>9.6</c:v>
                </c:pt>
                <c:pt idx="55">
                  <c:v>9.61</c:v>
                </c:pt>
                <c:pt idx="56" formatCode="\ 0.00\ ">
                  <c:v>9.69</c:v>
                </c:pt>
                <c:pt idx="57" formatCode="\ 0.00\ ">
                  <c:v>9.75</c:v>
                </c:pt>
                <c:pt idx="58" formatCode="\ 0.00\ ">
                  <c:v>9.8000000000000007</c:v>
                </c:pt>
                <c:pt idx="59">
                  <c:v>9.83</c:v>
                </c:pt>
                <c:pt idx="60" formatCode="\ 0.00\ ">
                  <c:v>10.02</c:v>
                </c:pt>
                <c:pt idx="61" formatCode="\ 0.00\ ">
                  <c:v>10.19</c:v>
                </c:pt>
                <c:pt idx="62" formatCode="\ 0.00\ ">
                  <c:v>10.35</c:v>
                </c:pt>
                <c:pt idx="63" formatCode="\ 0.00\ ">
                  <c:v>10.5</c:v>
                </c:pt>
                <c:pt idx="64" formatCode="\ 0.00\ ">
                  <c:v>10.64</c:v>
                </c:pt>
                <c:pt idx="65">
                  <c:v>11.27</c:v>
                </c:pt>
                <c:pt idx="66" formatCode="\ 0.00\ ">
                  <c:v>11.389999999999999</c:v>
                </c:pt>
                <c:pt idx="67" formatCode="\ 0.00\ ">
                  <c:v>11.51</c:v>
                </c:pt>
                <c:pt idx="68" formatCode="\ 0.00\ ">
                  <c:v>11.629999999999999</c:v>
                </c:pt>
                <c:pt idx="69" formatCode="\ 0.00\ ">
                  <c:v>11.75</c:v>
                </c:pt>
                <c:pt idx="70" formatCode="\ 0.00\ ">
                  <c:v>11.82</c:v>
                </c:pt>
                <c:pt idx="71" formatCode="\ 0.00\ ">
                  <c:v>11.870000000000001</c:v>
                </c:pt>
                <c:pt idx="72" formatCode="\ 0.00\ ">
                  <c:v>11.91</c:v>
                </c:pt>
                <c:pt idx="73" formatCode="\ 0.00\ ">
                  <c:v>11.94</c:v>
                </c:pt>
                <c:pt idx="74" formatCode="\ 0.00\ ">
                  <c:v>11.969999999999999</c:v>
                </c:pt>
                <c:pt idx="75" formatCode="\ 0.00\ ">
                  <c:v>11.99</c:v>
                </c:pt>
                <c:pt idx="76" formatCode="\ 0.00\ ">
                  <c:v>12.08</c:v>
                </c:pt>
                <c:pt idx="77" formatCode="\ 0.00\ ">
                  <c:v>12.15</c:v>
                </c:pt>
                <c:pt idx="78" formatCode="\ 0.00\ ">
                  <c:v>12.200000000000001</c:v>
                </c:pt>
                <c:pt idx="79" formatCode="\ 0.00\ ">
                  <c:v>12.24</c:v>
                </c:pt>
                <c:pt idx="80" formatCode="\ 0.00\ ">
                  <c:v>12.450000000000001</c:v>
                </c:pt>
                <c:pt idx="81" formatCode="\ 0.00\ ">
                  <c:v>12.64</c:v>
                </c:pt>
                <c:pt idx="82" formatCode="\ 0.00\ ">
                  <c:v>12.81</c:v>
                </c:pt>
                <c:pt idx="83" formatCode="\ 0.00\ ">
                  <c:v>12.97</c:v>
                </c:pt>
                <c:pt idx="84" formatCode="\ 0.00\ ">
                  <c:v>13.110000000000001</c:v>
                </c:pt>
                <c:pt idx="85" formatCode="\ 0.00\ ">
                  <c:v>13.7</c:v>
                </c:pt>
                <c:pt idx="86" formatCode="\ 0.00\ ">
                  <c:v>14.01</c:v>
                </c:pt>
                <c:pt idx="87" formatCode="\ 0.00\ ">
                  <c:v>14.25</c:v>
                </c:pt>
                <c:pt idx="88" formatCode="\ 0.00\ ">
                  <c:v>14.55</c:v>
                </c:pt>
                <c:pt idx="89" formatCode="\ 0.00\ ">
                  <c:v>14.8</c:v>
                </c:pt>
                <c:pt idx="90" formatCode="\ 0.00\ ">
                  <c:v>14.950000000000001</c:v>
                </c:pt>
                <c:pt idx="91" formatCode="\ 0.00\ ">
                  <c:v>15.080000000000002</c:v>
                </c:pt>
                <c:pt idx="92" formatCode="\ 0.00\ ">
                  <c:v>15.190000000000001</c:v>
                </c:pt>
                <c:pt idx="93" formatCode="\ 0.00\ ">
                  <c:v>15.270000000000001</c:v>
                </c:pt>
                <c:pt idx="94" formatCode="\ 0.00\ ">
                  <c:v>15.340000000000002</c:v>
                </c:pt>
                <c:pt idx="95" formatCode="\ 0.00\ ">
                  <c:v>15.35</c:v>
                </c:pt>
                <c:pt idx="96" formatCode="\ 0.00\ ">
                  <c:v>15.54</c:v>
                </c:pt>
                <c:pt idx="97" formatCode="\ 0.00\ ">
                  <c:v>15.7</c:v>
                </c:pt>
                <c:pt idx="98" formatCode="\ 0.00\ ">
                  <c:v>15.84</c:v>
                </c:pt>
                <c:pt idx="99" formatCode="\ 0.00\ ">
                  <c:v>15.91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6.25E-2</c:v>
                </c:pt>
                <c:pt idx="1">
                  <c:v>6.5555555555555561E-2</c:v>
                </c:pt>
                <c:pt idx="2">
                  <c:v>6.8837535014005607E-2</c:v>
                </c:pt>
                <c:pt idx="3">
                  <c:v>7.2857142857142856E-2</c:v>
                </c:pt>
                <c:pt idx="4">
                  <c:v>8.2349896480331267E-2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8.2707902001380278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80.006708942635328</c:v>
                </c:pt>
                <c:pt idx="2">
                  <c:v>75.883963897037447</c:v>
                </c:pt>
                <c:pt idx="3">
                  <c:v>72.052298230698128</c:v>
                </c:pt>
                <c:pt idx="4">
                  <c:v>68.665740068571935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6.866666666666664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92</c:v>
                </c:pt>
                <c:pt idx="1">
                  <c:v>117</c:v>
                </c:pt>
                <c:pt idx="2">
                  <c:v>142.79999999999998</c:v>
                </c:pt>
                <c:pt idx="3">
                  <c:v>168</c:v>
                </c:pt>
                <c:pt idx="4">
                  <c:v>193.2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5.75</c:v>
                </c:pt>
                <c:pt idx="1">
                  <c:v>7.67</c:v>
                </c:pt>
                <c:pt idx="2">
                  <c:v>9.83</c:v>
                </c:pt>
                <c:pt idx="3">
                  <c:v>12.24</c:v>
                </c:pt>
                <c:pt idx="4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82</c:v>
                </c:pt>
                <c:pt idx="1">
                  <c:v>92</c:v>
                </c:pt>
                <c:pt idx="2">
                  <c:v>117</c:v>
                </c:pt>
                <c:pt idx="3">
                  <c:v>142.79999999999998</c:v>
                </c:pt>
                <c:pt idx="4">
                  <c:v>168</c:v>
                </c:pt>
                <c:pt idx="5">
                  <c:v>193.2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6.25E-2</c:v>
                </c:pt>
                <c:pt idx="2">
                  <c:v>6.5555555555555561E-2</c:v>
                </c:pt>
                <c:pt idx="3">
                  <c:v>6.8837535014005607E-2</c:v>
                </c:pt>
                <c:pt idx="4">
                  <c:v>7.2857142857142856E-2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6.93333333333331"/>
          <c:min val="58.266666666666673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6.866666666666664"/>
      </c:valAx>
      <c:valAx>
        <c:axId val="1"/>
        <c:scaling>
          <c:orientation val="minMax"/>
          <c:max val="8.8966528640441689E-2"/>
          <c:min val="5.5883367839889578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8.2707902001380278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1.0053579016105445</c:v>
                </c:pt>
                <c:pt idx="1">
                  <c:v>1.6923011842225719</c:v>
                </c:pt>
                <c:pt idx="2">
                  <c:v>2.0941372446729023</c:v>
                </c:pt>
                <c:pt idx="3">
                  <c:v>2.3792444668345993</c:v>
                </c:pt>
                <c:pt idx="4">
                  <c:v>2.60039080910156</c:v>
                </c:pt>
                <c:pt idx="5">
                  <c:v>3.2873340917135874</c:v>
                </c:pt>
                <c:pt idx="6">
                  <c:v>3.6891701521639177</c:v>
                </c:pt>
                <c:pt idx="7">
                  <c:v>3.9742773743256148</c:v>
                </c:pt>
                <c:pt idx="8">
                  <c:v>4.1954237165925754</c:v>
                </c:pt>
                <c:pt idx="9">
                  <c:v>4.3761134347759452</c:v>
                </c:pt>
                <c:pt idx="10">
                  <c:v>4.5288844147168419</c:v>
                </c:pt>
                <c:pt idx="11">
                  <c:v>4.6612206569376422</c:v>
                </c:pt>
                <c:pt idx="12">
                  <c:v>4.7779494952262773</c:v>
                </c:pt>
                <c:pt idx="13">
                  <c:v>4.8823669992046028</c:v>
                </c:pt>
                <c:pt idx="14">
                  <c:v>4.9768241211801048</c:v>
                </c:pt>
                <c:pt idx="15">
                  <c:v>5.0630567173879726</c:v>
                </c:pt>
                <c:pt idx="16">
                  <c:v>5.2842030596549332</c:v>
                </c:pt>
                <c:pt idx="17">
                  <c:v>5.4648927778383047</c:v>
                </c:pt>
                <c:pt idx="18">
                  <c:v>5.6176637577792015</c:v>
                </c:pt>
                <c:pt idx="19">
                  <c:v>5.75</c:v>
                </c:pt>
                <c:pt idx="20">
                  <c:v>6.8972697053712064</c:v>
                </c:pt>
                <c:pt idx="21">
                  <c:v>6.9906721802986684</c:v>
                </c:pt>
                <c:pt idx="22">
                  <c:v>7.0776278041263812</c:v>
                </c:pt>
                <c:pt idx="23">
                  <c:v>7.3074179892074067</c:v>
                </c:pt>
                <c:pt idx="24">
                  <c:v>7.67</c:v>
                </c:pt>
                <c:pt idx="25">
                  <c:v>9.2690762661611874</c:v>
                </c:pt>
                <c:pt idx="26">
                  <c:v>9.3294087612665866</c:v>
                </c:pt>
                <c:pt idx="27">
                  <c:v>9.3874640073403253</c:v>
                </c:pt>
                <c:pt idx="28">
                  <c:v>9.5495381330805937</c:v>
                </c:pt>
                <c:pt idx="29">
                  <c:v>9.83</c:v>
                </c:pt>
                <c:pt idx="30">
                  <c:v>11.768954518597225</c:v>
                </c:pt>
                <c:pt idx="31">
                  <c:v>11.817217188623763</c:v>
                </c:pt>
                <c:pt idx="32">
                  <c:v>11.864226139950679</c:v>
                </c:pt>
                <c:pt idx="33">
                  <c:v>11.998342514205495</c:v>
                </c:pt>
                <c:pt idx="34">
                  <c:v>12.24</c:v>
                </c:pt>
                <c:pt idx="35">
                  <c:v>15.488505630451588</c:v>
                </c:pt>
                <c:pt idx="36">
                  <c:v>15.530551591814923</c:v>
                </c:pt>
                <c:pt idx="37">
                  <c:v>15.571764904917057</c:v>
                </c:pt>
                <c:pt idx="38">
                  <c:v>15.690723241645514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2.37</c:v>
                </c:pt>
                <c:pt idx="4">
                  <c:v>2.6</c:v>
                </c:pt>
                <c:pt idx="5">
                  <c:v>3.28</c:v>
                </c:pt>
                <c:pt idx="6">
                  <c:v>3.68</c:v>
                </c:pt>
                <c:pt idx="7">
                  <c:v>3.97</c:v>
                </c:pt>
                <c:pt idx="8">
                  <c:v>4.1900000000000004</c:v>
                </c:pt>
                <c:pt idx="9">
                  <c:v>4.37</c:v>
                </c:pt>
                <c:pt idx="10">
                  <c:v>4.5199999999999996</c:v>
                </c:pt>
                <c:pt idx="11">
                  <c:v>4.66</c:v>
                </c:pt>
                <c:pt idx="12">
                  <c:v>4.7699999999999996</c:v>
                </c:pt>
                <c:pt idx="13">
                  <c:v>4.88</c:v>
                </c:pt>
                <c:pt idx="14">
                  <c:v>4.97</c:v>
                </c:pt>
                <c:pt idx="15">
                  <c:v>5.0599999999999996</c:v>
                </c:pt>
                <c:pt idx="16">
                  <c:v>5.28</c:v>
                </c:pt>
                <c:pt idx="17">
                  <c:v>5.46</c:v>
                </c:pt>
                <c:pt idx="18">
                  <c:v>5.61</c:v>
                </c:pt>
                <c:pt idx="19">
                  <c:v>5.75</c:v>
                </c:pt>
                <c:pt idx="20">
                  <c:v>6.9</c:v>
                </c:pt>
                <c:pt idx="21">
                  <c:v>7.09</c:v>
                </c:pt>
                <c:pt idx="22">
                  <c:v>7.28</c:v>
                </c:pt>
                <c:pt idx="23">
                  <c:v>7.47</c:v>
                </c:pt>
                <c:pt idx="24">
                  <c:v>7.67</c:v>
                </c:pt>
                <c:pt idx="25">
                  <c:v>8.9600000000000009</c:v>
                </c:pt>
                <c:pt idx="26">
                  <c:v>9.18</c:v>
                </c:pt>
                <c:pt idx="27">
                  <c:v>9.39</c:v>
                </c:pt>
                <c:pt idx="28">
                  <c:v>9.61</c:v>
                </c:pt>
                <c:pt idx="29">
                  <c:v>9.83</c:v>
                </c:pt>
                <c:pt idx="30">
                  <c:v>11.27</c:v>
                </c:pt>
                <c:pt idx="31">
                  <c:v>11.51</c:v>
                </c:pt>
                <c:pt idx="32">
                  <c:v>11.75</c:v>
                </c:pt>
                <c:pt idx="33">
                  <c:v>11.99</c:v>
                </c:pt>
                <c:pt idx="34">
                  <c:v>12.24</c:v>
                </c:pt>
                <c:pt idx="35">
                  <c:v>13.7</c:v>
                </c:pt>
                <c:pt idx="36">
                  <c:v>14.25</c:v>
                </c:pt>
                <c:pt idx="37">
                  <c:v>14.8</c:v>
                </c:pt>
                <c:pt idx="38">
                  <c:v>15.35</c:v>
                </c:pt>
                <c:pt idx="39">
                  <c:v>15.91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5.778394899008843</c:v>
                </c:pt>
                <c:pt idx="1">
                  <c:v>6.6091777325675274</c:v>
                </c:pt>
                <c:pt idx="2">
                  <c:v>7.0951545364422248</c:v>
                </c:pt>
                <c:pt idx="3">
                  <c:v>7.4399605661262136</c:v>
                </c:pt>
                <c:pt idx="4">
                  <c:v>7.7074129009988859</c:v>
                </c:pt>
                <c:pt idx="5">
                  <c:v>8.5381957345575703</c:v>
                </c:pt>
                <c:pt idx="6">
                  <c:v>9.0241725384322677</c:v>
                </c:pt>
                <c:pt idx="7">
                  <c:v>9.3689785681162565</c:v>
                </c:pt>
                <c:pt idx="8">
                  <c:v>9.6364309029889288</c:v>
                </c:pt>
                <c:pt idx="9">
                  <c:v>9.8549553719909539</c:v>
                </c:pt>
                <c:pt idx="10">
                  <c:v>10.039715177950825</c:v>
                </c:pt>
                <c:pt idx="11">
                  <c:v>10.199761401674943</c:v>
                </c:pt>
                <c:pt idx="12">
                  <c:v>10.340932175865651</c:v>
                </c:pt>
                <c:pt idx="13">
                  <c:v>10.467213736547615</c:v>
                </c:pt>
                <c:pt idx="14">
                  <c:v>10.58144930363289</c:v>
                </c:pt>
                <c:pt idx="15">
                  <c:v>10.68573820554964</c:v>
                </c:pt>
                <c:pt idx="16">
                  <c:v>10.953190540422311</c:v>
                </c:pt>
                <c:pt idx="17">
                  <c:v>11.171715009424336</c:v>
                </c:pt>
                <c:pt idx="18">
                  <c:v>11.356474815384207</c:v>
                </c:pt>
                <c:pt idx="19">
                  <c:v>11.516521039108325</c:v>
                </c:pt>
                <c:pt idx="20">
                  <c:v>11.701280845068196</c:v>
                </c:pt>
                <c:pt idx="21">
                  <c:v>11.861327068792313</c:v>
                </c:pt>
                <c:pt idx="22">
                  <c:v>12.002497842983018</c:v>
                </c:pt>
                <c:pt idx="23">
                  <c:v>12.347303872667009</c:v>
                </c:pt>
                <c:pt idx="24">
                  <c:v>12.614756207539681</c:v>
                </c:pt>
                <c:pt idx="25">
                  <c:v>12.833280676541705</c:v>
                </c:pt>
                <c:pt idx="26">
                  <c:v>13.018040482501579</c:v>
                </c:pt>
                <c:pt idx="27">
                  <c:v>13.178086706225695</c:v>
                </c:pt>
                <c:pt idx="28">
                  <c:v>13.319257480416404</c:v>
                </c:pt>
                <c:pt idx="29">
                  <c:v>13.445539041098368</c:v>
                </c:pt>
                <c:pt idx="30">
                  <c:v>13.559774608183641</c:v>
                </c:pt>
                <c:pt idx="31">
                  <c:v>13.664063510100391</c:v>
                </c:pt>
                <c:pt idx="32">
                  <c:v>13.759999999999998</c:v>
                </c:pt>
                <c:pt idx="33">
                  <c:v>13.759999999999998</c:v>
                </c:pt>
                <c:pt idx="34">
                  <c:v>13.759999999999998</c:v>
                </c:pt>
                <c:pt idx="35">
                  <c:v>13.759999999999998</c:v>
                </c:pt>
                <c:pt idx="36">
                  <c:v>13.759999999999998</c:v>
                </c:pt>
                <c:pt idx="37">
                  <c:v>13.759999999999998</c:v>
                </c:pt>
                <c:pt idx="38">
                  <c:v>13.759999999999998</c:v>
                </c:pt>
                <c:pt idx="39">
                  <c:v>13.759999999999998</c:v>
                </c:pt>
                <c:pt idx="40">
                  <c:v>13.759999999999998</c:v>
                </c:pt>
                <c:pt idx="41">
                  <c:v>13.759999999999998</c:v>
                </c:pt>
                <c:pt idx="42">
                  <c:v>13.759999999999998</c:v>
                </c:pt>
                <c:pt idx="43">
                  <c:v>13.759999999999998</c:v>
                </c:pt>
                <c:pt idx="44">
                  <c:v>13.759999999999998</c:v>
                </c:pt>
                <c:pt idx="45">
                  <c:v>13.759999999999998</c:v>
                </c:pt>
                <c:pt idx="46">
                  <c:v>13.759999999999998</c:v>
                </c:pt>
                <c:pt idx="47">
                  <c:v>13.759999999999998</c:v>
                </c:pt>
                <c:pt idx="48">
                  <c:v>13.759999999999998</c:v>
                </c:pt>
                <c:pt idx="49">
                  <c:v>13.759999999999998</c:v>
                </c:pt>
                <c:pt idx="50">
                  <c:v>13.759999999999998</c:v>
                </c:pt>
                <c:pt idx="51">
                  <c:v>13.759999999999998</c:v>
                </c:pt>
                <c:pt idx="52">
                  <c:v>13.759999999999998</c:v>
                </c:pt>
                <c:pt idx="53">
                  <c:v>13.759999999999998</c:v>
                </c:pt>
                <c:pt idx="54">
                  <c:v>13.759999999999998</c:v>
                </c:pt>
                <c:pt idx="55">
                  <c:v>13.759999999999998</c:v>
                </c:pt>
                <c:pt idx="56">
                  <c:v>13.759999999999998</c:v>
                </c:pt>
                <c:pt idx="57">
                  <c:v>13.759999999999998</c:v>
                </c:pt>
                <c:pt idx="58">
                  <c:v>13.759999999999998</c:v>
                </c:pt>
                <c:pt idx="59">
                  <c:v>13.759999999999998</c:v>
                </c:pt>
                <c:pt idx="60">
                  <c:v>13.759999999999998</c:v>
                </c:pt>
                <c:pt idx="61">
                  <c:v>13.759999999999998</c:v>
                </c:pt>
                <c:pt idx="62">
                  <c:v>13.759999999999998</c:v>
                </c:pt>
                <c:pt idx="63">
                  <c:v>13.759999999999998</c:v>
                </c:pt>
                <c:pt idx="64">
                  <c:v>13.759999999999998</c:v>
                </c:pt>
                <c:pt idx="65">
                  <c:v>13.759999999999998</c:v>
                </c:pt>
                <c:pt idx="66">
                  <c:v>13.759999999999998</c:v>
                </c:pt>
                <c:pt idx="67">
                  <c:v>13.759999999999998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9.5326106081923019</c:v>
                </c:pt>
                <c:pt idx="1">
                  <c:v>8.8115700909768595</c:v>
                </c:pt>
                <c:pt idx="2">
                  <c:v>8.1450686133629677</c:v>
                </c:pt>
                <c:pt idx="3">
                  <c:v>7.528980877576581</c:v>
                </c:pt>
                <c:pt idx="4">
                  <c:v>6.9594936207061942</c:v>
                </c:pt>
                <c:pt idx="5">
                  <c:v>5.496699334690387</c:v>
                </c:pt>
                <c:pt idx="6">
                  <c:v>5.2159042865162419</c:v>
                </c:pt>
                <c:pt idx="7">
                  <c:v>4.4566908311452735</c:v>
                </c:pt>
                <c:pt idx="8">
                  <c:v>4.1195896115489692</c:v>
                </c:pt>
                <c:pt idx="9">
                  <c:v>3.807986510749501</c:v>
                </c:pt>
                <c:pt idx="10">
                  <c:v>3.7094473981982814</c:v>
                </c:pt>
                <c:pt idx="11">
                  <c:v>3.613458178267472</c:v>
                </c:pt>
                <c:pt idx="12">
                  <c:v>3.5199528674891147</c:v>
                </c:pt>
                <c:pt idx="13">
                  <c:v>3.4288671898467773</c:v>
                </c:pt>
                <c:pt idx="14">
                  <c:v>3.3401385325918982</c:v>
                </c:pt>
                <c:pt idx="15">
                  <c:v>3.2537059032034716</c:v>
                </c:pt>
                <c:pt idx="16">
                  <c:v>3.1695098874614858</c:v>
                </c:pt>
                <c:pt idx="17">
                  <c:v>3.0874926086052907</c:v>
                </c:pt>
                <c:pt idx="18">
                  <c:v>3.0075976875488246</c:v>
                </c:pt>
                <c:pt idx="19">
                  <c:v>2.7801049385696022</c:v>
                </c:pt>
                <c:pt idx="20">
                  <c:v>2.7081642757882127</c:v>
                </c:pt>
                <c:pt idx="21">
                  <c:v>2.3139709308588219</c:v>
                </c:pt>
                <c:pt idx="22">
                  <c:v>1.9771553434664608</c:v>
                </c:pt>
                <c:pt idx="23">
                  <c:v>1.6893657565296705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4" dataDxfId="13" headerRowCellStyle="표준 2" dataCellStyle="표준 2">
  <autoFilter ref="G3:G6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1" dataDxfId="10" headerRowCellStyle="표준 2" dataCellStyle="표준 2">
  <autoFilter ref="F3:F7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00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00">
        <v>4</v>
      </c>
      <c r="B4" s="6">
        <f t="shared" si="0"/>
        <v>2.37</v>
      </c>
      <c r="E4" s="6">
        <v>4</v>
      </c>
      <c r="F4" s="6">
        <f>StepTest!G15</f>
        <v>2.37</v>
      </c>
    </row>
    <row r="5" spans="1:6">
      <c r="A5" s="100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00">
        <v>10</v>
      </c>
      <c r="B6" s="6">
        <f t="shared" si="0"/>
        <v>3.28</v>
      </c>
      <c r="E6" s="6">
        <v>10</v>
      </c>
      <c r="F6" s="6">
        <f>StepTest!G17</f>
        <v>3.28</v>
      </c>
    </row>
    <row r="7" spans="1:6">
      <c r="A7" s="100">
        <v>15</v>
      </c>
      <c r="B7" s="6">
        <f t="shared" si="0"/>
        <v>3.68</v>
      </c>
      <c r="E7" s="6">
        <v>15</v>
      </c>
      <c r="F7" s="6">
        <f>StepTest!G18</f>
        <v>3.68</v>
      </c>
    </row>
    <row r="8" spans="1:6">
      <c r="A8" s="100">
        <v>20</v>
      </c>
      <c r="B8" s="6">
        <f t="shared" si="0"/>
        <v>3.97</v>
      </c>
      <c r="E8" s="6">
        <v>20</v>
      </c>
      <c r="F8" s="6">
        <f>StepTest!G19</f>
        <v>3.97</v>
      </c>
    </row>
    <row r="9" spans="1:6">
      <c r="A9" s="100">
        <v>25</v>
      </c>
      <c r="B9" s="6">
        <f t="shared" si="0"/>
        <v>4.1900000000000004</v>
      </c>
      <c r="E9" s="6">
        <v>25</v>
      </c>
      <c r="F9" s="6">
        <f>StepTest!G20</f>
        <v>4.1900000000000004</v>
      </c>
    </row>
    <row r="10" spans="1:6">
      <c r="A10" s="100">
        <v>30</v>
      </c>
      <c r="B10" s="6">
        <f t="shared" si="0"/>
        <v>4.37</v>
      </c>
      <c r="E10" s="6">
        <v>30</v>
      </c>
      <c r="F10" s="6">
        <f>StepTest!G21</f>
        <v>4.37</v>
      </c>
    </row>
    <row r="11" spans="1:6">
      <c r="A11" s="100">
        <v>35</v>
      </c>
      <c r="B11" s="6">
        <f t="shared" si="0"/>
        <v>4.5199999999999996</v>
      </c>
      <c r="E11" s="6">
        <v>35</v>
      </c>
      <c r="F11" s="6">
        <f>StepTest!G22</f>
        <v>4.5199999999999996</v>
      </c>
    </row>
    <row r="12" spans="1:6">
      <c r="A12" s="100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00">
        <v>45</v>
      </c>
      <c r="B13" s="6">
        <f t="shared" si="0"/>
        <v>4.7699999999999996</v>
      </c>
      <c r="E13" s="6">
        <v>45</v>
      </c>
      <c r="F13" s="6">
        <f>StepTest!G24</f>
        <v>4.7699999999999996</v>
      </c>
    </row>
    <row r="14" spans="1:6">
      <c r="A14" s="100">
        <v>50</v>
      </c>
      <c r="B14" s="6">
        <f t="shared" si="0"/>
        <v>4.88</v>
      </c>
      <c r="E14" s="6">
        <v>50</v>
      </c>
      <c r="F14" s="6">
        <f>StepTest!G25</f>
        <v>4.88</v>
      </c>
    </row>
    <row r="15" spans="1:6">
      <c r="A15" s="100">
        <v>55</v>
      </c>
      <c r="B15" s="6">
        <f t="shared" si="0"/>
        <v>4.97</v>
      </c>
      <c r="E15" s="6">
        <v>55</v>
      </c>
      <c r="F15" s="6">
        <f>StepTest!G26</f>
        <v>4.97</v>
      </c>
    </row>
    <row r="16" spans="1:6">
      <c r="A16" s="100">
        <v>60</v>
      </c>
      <c r="B16" s="6">
        <f t="shared" si="0"/>
        <v>5.0599999999999996</v>
      </c>
      <c r="E16" s="6">
        <v>60</v>
      </c>
      <c r="F16" s="6">
        <f>StepTest!G27</f>
        <v>5.0599999999999996</v>
      </c>
    </row>
    <row r="17" spans="1:6">
      <c r="A17" s="100">
        <v>75</v>
      </c>
      <c r="B17" s="6">
        <f t="shared" si="0"/>
        <v>5.28</v>
      </c>
      <c r="E17" s="6">
        <v>75</v>
      </c>
      <c r="F17" s="6">
        <f>StepTest!G28</f>
        <v>5.28</v>
      </c>
    </row>
    <row r="18" spans="1:6">
      <c r="A18" s="100">
        <v>90</v>
      </c>
      <c r="B18" s="6">
        <f t="shared" si="0"/>
        <v>5.46</v>
      </c>
      <c r="E18" s="6">
        <v>90</v>
      </c>
      <c r="F18" s="6">
        <f>StepTest!G29</f>
        <v>5.46</v>
      </c>
    </row>
    <row r="19" spans="1:6">
      <c r="A19" s="100">
        <v>105</v>
      </c>
      <c r="B19" s="6">
        <f t="shared" si="0"/>
        <v>5.61</v>
      </c>
      <c r="E19" s="6">
        <v>105</v>
      </c>
      <c r="F19" s="6">
        <f>StepTest!G30</f>
        <v>5.61</v>
      </c>
    </row>
    <row r="20" spans="1:6">
      <c r="A20" s="101">
        <v>120</v>
      </c>
      <c r="B20" s="102">
        <f t="shared" si="0"/>
        <v>5.75</v>
      </c>
      <c r="C20" s="102">
        <f>B26-B20</f>
        <v>1.1500000000000004</v>
      </c>
      <c r="D20" s="103">
        <f>C20/10</f>
        <v>0.11500000000000003</v>
      </c>
      <c r="E20" s="6">
        <v>120</v>
      </c>
      <c r="F20" s="6">
        <f>StepTest!G31</f>
        <v>5.75</v>
      </c>
    </row>
    <row r="21" spans="1:6">
      <c r="A21" s="100">
        <v>121</v>
      </c>
      <c r="B21" s="104">
        <f>B20+D21</f>
        <v>5.91</v>
      </c>
      <c r="D21" s="6">
        <v>0.16</v>
      </c>
      <c r="E21" s="6">
        <v>130</v>
      </c>
      <c r="F21" s="6">
        <f>StepTest!G32</f>
        <v>6.9</v>
      </c>
    </row>
    <row r="22" spans="1:6">
      <c r="A22" s="100">
        <v>122</v>
      </c>
      <c r="B22" s="104">
        <f>B21+D22</f>
        <v>6.0600000000000005</v>
      </c>
      <c r="D22" s="6">
        <v>0.15</v>
      </c>
      <c r="E22" s="6">
        <v>140</v>
      </c>
      <c r="F22" s="6">
        <f>StepTest!G33</f>
        <v>7.09</v>
      </c>
    </row>
    <row r="23" spans="1:6">
      <c r="A23" s="100">
        <v>123</v>
      </c>
      <c r="B23" s="104">
        <f>B22+D23</f>
        <v>6.2</v>
      </c>
      <c r="D23" s="6">
        <v>0.14000000000000001</v>
      </c>
      <c r="E23" s="6">
        <v>150</v>
      </c>
      <c r="F23" s="6">
        <f>StepTest!G34</f>
        <v>7.28</v>
      </c>
    </row>
    <row r="24" spans="1:6">
      <c r="A24" s="100">
        <v>124</v>
      </c>
      <c r="B24" s="104">
        <f>B23+D24</f>
        <v>6.33</v>
      </c>
      <c r="D24" s="6">
        <v>0.13</v>
      </c>
      <c r="E24" s="6">
        <v>180</v>
      </c>
      <c r="F24" s="6">
        <f>StepTest!G35</f>
        <v>7.47</v>
      </c>
    </row>
    <row r="25" spans="1:6">
      <c r="A25" s="100">
        <v>125</v>
      </c>
      <c r="B25" s="104">
        <f>B24+D25</f>
        <v>6.46</v>
      </c>
      <c r="D25" s="6">
        <v>0.13</v>
      </c>
      <c r="E25" s="6">
        <v>240</v>
      </c>
      <c r="F25" s="6">
        <f>StepTest!G36</f>
        <v>7.67</v>
      </c>
    </row>
    <row r="26" spans="1:6">
      <c r="A26" s="100">
        <v>130</v>
      </c>
      <c r="B26" s="102">
        <f>F21</f>
        <v>6.9</v>
      </c>
      <c r="C26" s="102">
        <f>B28-B26</f>
        <v>0.1899999999999995</v>
      </c>
      <c r="D26" s="102">
        <f>C26/2</f>
        <v>9.4999999999999751E-2</v>
      </c>
      <c r="E26" s="6">
        <v>250</v>
      </c>
      <c r="F26" s="6">
        <f>StepTest!G37</f>
        <v>8.9600000000000009</v>
      </c>
    </row>
    <row r="27" spans="1:6">
      <c r="A27" s="100">
        <v>135</v>
      </c>
      <c r="B27" s="104">
        <f>B26+D27</f>
        <v>7.0100000000000007</v>
      </c>
      <c r="D27" s="6">
        <v>0.11</v>
      </c>
      <c r="E27" s="6">
        <v>260</v>
      </c>
      <c r="F27" s="6">
        <f>StepTest!G38</f>
        <v>9.18</v>
      </c>
    </row>
    <row r="28" spans="1:6">
      <c r="A28" s="100">
        <v>140</v>
      </c>
      <c r="B28" s="102">
        <f>F22</f>
        <v>7.09</v>
      </c>
      <c r="C28" s="102">
        <f>B30-B28</f>
        <v>0.19000000000000039</v>
      </c>
      <c r="D28" s="102">
        <f>C28/2</f>
        <v>9.5000000000000195E-2</v>
      </c>
      <c r="E28" s="6">
        <v>270</v>
      </c>
      <c r="F28" s="6">
        <f>StepTest!G39</f>
        <v>9.39</v>
      </c>
    </row>
    <row r="29" spans="1:6">
      <c r="A29" s="100">
        <v>145</v>
      </c>
      <c r="B29" s="104">
        <f>B28+D29</f>
        <v>7.1899999999999995</v>
      </c>
      <c r="D29" s="6">
        <v>0.1</v>
      </c>
      <c r="E29" s="6">
        <v>300</v>
      </c>
      <c r="F29" s="6">
        <f>StepTest!G40</f>
        <v>9.61</v>
      </c>
    </row>
    <row r="30" spans="1:6">
      <c r="A30" s="100">
        <v>150</v>
      </c>
      <c r="B30" s="102">
        <f>F23</f>
        <v>7.28</v>
      </c>
      <c r="C30" s="102">
        <f>B36-B30</f>
        <v>0.1899999999999995</v>
      </c>
      <c r="D30" s="105">
        <f>C30/6</f>
        <v>3.1666666666666586E-2</v>
      </c>
      <c r="E30" s="6">
        <v>360</v>
      </c>
      <c r="F30" s="6">
        <f>StepTest!G41</f>
        <v>9.83</v>
      </c>
    </row>
    <row r="31" spans="1:6">
      <c r="A31" s="100">
        <v>155</v>
      </c>
      <c r="B31" s="104">
        <f>B30+D31</f>
        <v>7.34</v>
      </c>
      <c r="D31" s="6">
        <v>0.06</v>
      </c>
    </row>
    <row r="32" spans="1:6">
      <c r="A32" s="100">
        <v>160</v>
      </c>
      <c r="B32" s="104">
        <f t="shared" ref="B32:B39" si="1">B31+D32</f>
        <v>7.39</v>
      </c>
      <c r="D32" s="6">
        <v>0.05</v>
      </c>
    </row>
    <row r="33" spans="1:4">
      <c r="A33" s="100">
        <v>165</v>
      </c>
      <c r="B33" s="104">
        <f t="shared" si="1"/>
        <v>7.43</v>
      </c>
      <c r="D33" s="6">
        <v>0.04</v>
      </c>
    </row>
    <row r="34" spans="1:4">
      <c r="A34" s="100">
        <v>170</v>
      </c>
      <c r="B34" s="104">
        <f t="shared" si="1"/>
        <v>7.46</v>
      </c>
      <c r="D34" s="6">
        <v>0.03</v>
      </c>
    </row>
    <row r="35" spans="1:4">
      <c r="A35" s="100">
        <v>175</v>
      </c>
      <c r="B35" s="104">
        <f t="shared" si="1"/>
        <v>7.4799999999999995</v>
      </c>
      <c r="D35" s="6">
        <v>0.02</v>
      </c>
    </row>
    <row r="36" spans="1:4">
      <c r="A36" s="100">
        <v>180</v>
      </c>
      <c r="B36" s="102">
        <f>F24</f>
        <v>7.47</v>
      </c>
      <c r="C36" s="102">
        <f>B40-B36</f>
        <v>0.20000000000000018</v>
      </c>
      <c r="D36" s="102">
        <f>C36/4</f>
        <v>5.0000000000000044E-2</v>
      </c>
    </row>
    <row r="37" spans="1:4">
      <c r="A37" s="100">
        <v>195</v>
      </c>
      <c r="B37" s="104">
        <f t="shared" si="1"/>
        <v>7.54</v>
      </c>
      <c r="D37" s="6">
        <v>7.0000000000000007E-2</v>
      </c>
    </row>
    <row r="38" spans="1:4">
      <c r="A38" s="100">
        <v>210</v>
      </c>
      <c r="B38" s="104">
        <f t="shared" si="1"/>
        <v>7.6</v>
      </c>
      <c r="D38" s="6">
        <v>0.06</v>
      </c>
    </row>
    <row r="39" spans="1:4">
      <c r="A39" s="100">
        <v>225</v>
      </c>
      <c r="B39" s="104">
        <f t="shared" si="1"/>
        <v>7.6499999999999995</v>
      </c>
      <c r="D39" s="6">
        <v>0.05</v>
      </c>
    </row>
    <row r="40" spans="1:4">
      <c r="A40" s="101">
        <v>240</v>
      </c>
      <c r="B40" s="102">
        <f>F25</f>
        <v>7.67</v>
      </c>
      <c r="C40" s="102">
        <f>B46-B40</f>
        <v>1.2900000000000009</v>
      </c>
      <c r="D40" s="103">
        <f>C40/10</f>
        <v>0.12900000000000009</v>
      </c>
    </row>
    <row r="41" spans="1:4">
      <c r="A41" s="100">
        <v>241</v>
      </c>
      <c r="B41" s="104">
        <f>B40+D41</f>
        <v>7.85</v>
      </c>
      <c r="D41" s="6">
        <v>0.18</v>
      </c>
    </row>
    <row r="42" spans="1:4">
      <c r="A42" s="100">
        <v>242</v>
      </c>
      <c r="B42" s="104">
        <f>B41+D42</f>
        <v>8.01</v>
      </c>
      <c r="D42" s="6">
        <v>0.16</v>
      </c>
    </row>
    <row r="43" spans="1:4">
      <c r="A43" s="100">
        <v>243</v>
      </c>
      <c r="B43" s="104">
        <f>B42+D43</f>
        <v>8.16</v>
      </c>
      <c r="D43" s="6">
        <v>0.15</v>
      </c>
    </row>
    <row r="44" spans="1:4">
      <c r="A44" s="100">
        <v>244</v>
      </c>
      <c r="B44" s="104">
        <f>B43+D44</f>
        <v>8.3000000000000007</v>
      </c>
      <c r="D44" s="6">
        <v>0.14000000000000001</v>
      </c>
    </row>
    <row r="45" spans="1:4">
      <c r="A45" s="100">
        <v>245</v>
      </c>
      <c r="B45" s="104">
        <f>B44+D45</f>
        <v>8.4300000000000015</v>
      </c>
      <c r="D45" s="6">
        <v>0.13</v>
      </c>
    </row>
    <row r="46" spans="1:4">
      <c r="A46" s="100">
        <v>250</v>
      </c>
      <c r="B46" s="102">
        <f>F26</f>
        <v>8.9600000000000009</v>
      </c>
      <c r="C46" s="102">
        <f>B48-B46</f>
        <v>0.21999999999999886</v>
      </c>
      <c r="D46" s="102">
        <f>C46/2</f>
        <v>0.10999999999999943</v>
      </c>
    </row>
    <row r="47" spans="1:4">
      <c r="A47" s="100">
        <v>255</v>
      </c>
      <c r="B47" s="104">
        <f>B46+D47</f>
        <v>9.07</v>
      </c>
      <c r="D47" s="6">
        <v>0.11</v>
      </c>
    </row>
    <row r="48" spans="1:4">
      <c r="A48" s="100">
        <v>260</v>
      </c>
      <c r="B48" s="102">
        <f>F27</f>
        <v>9.18</v>
      </c>
      <c r="C48" s="102">
        <f>B50-B48</f>
        <v>0.21000000000000085</v>
      </c>
      <c r="D48" s="102">
        <f>C48/2</f>
        <v>0.10500000000000043</v>
      </c>
    </row>
    <row r="49" spans="1:6">
      <c r="A49" s="100">
        <v>265</v>
      </c>
      <c r="B49" s="104">
        <f>B48+D49</f>
        <v>9.2899999999999991</v>
      </c>
      <c r="D49" s="6">
        <v>0.11</v>
      </c>
    </row>
    <row r="50" spans="1:6">
      <c r="A50" s="100">
        <v>270</v>
      </c>
      <c r="B50" s="102">
        <f>F28</f>
        <v>9.39</v>
      </c>
      <c r="C50" s="102">
        <f>B56-B50</f>
        <v>0.21999999999999886</v>
      </c>
      <c r="D50" s="105">
        <f>C50/6</f>
        <v>3.666666666666648E-2</v>
      </c>
    </row>
    <row r="51" spans="1:6">
      <c r="A51" s="100">
        <v>275</v>
      </c>
      <c r="B51" s="104">
        <f>B50+D51</f>
        <v>9.4600000000000009</v>
      </c>
      <c r="D51" s="6">
        <v>7.0000000000000007E-2</v>
      </c>
    </row>
    <row r="52" spans="1:6">
      <c r="A52" s="100">
        <v>280</v>
      </c>
      <c r="B52" s="104">
        <f>B51+D52</f>
        <v>9.5100000000000016</v>
      </c>
      <c r="D52" s="6">
        <v>0.05</v>
      </c>
    </row>
    <row r="53" spans="1:6">
      <c r="A53" s="100">
        <v>285</v>
      </c>
      <c r="B53" s="104">
        <f>B52+D53</f>
        <v>9.5500000000000007</v>
      </c>
      <c r="D53" s="6">
        <v>0.04</v>
      </c>
    </row>
    <row r="54" spans="1:6">
      <c r="A54" s="100">
        <v>290</v>
      </c>
      <c r="B54" s="104">
        <f>B53+D54</f>
        <v>9.58</v>
      </c>
      <c r="D54" s="6">
        <v>0.03</v>
      </c>
    </row>
    <row r="55" spans="1:6">
      <c r="A55" s="100">
        <v>295</v>
      </c>
      <c r="B55" s="104">
        <f>B54+D55</f>
        <v>9.6</v>
      </c>
      <c r="D55" s="6">
        <v>0.02</v>
      </c>
    </row>
    <row r="56" spans="1:6">
      <c r="A56" s="100">
        <v>300</v>
      </c>
      <c r="B56" s="102">
        <f>F29</f>
        <v>9.61</v>
      </c>
      <c r="C56" s="102">
        <f>B60-B56</f>
        <v>0.22000000000000064</v>
      </c>
      <c r="D56" s="102">
        <f>C56/4</f>
        <v>5.500000000000016E-2</v>
      </c>
    </row>
    <row r="57" spans="1:6">
      <c r="A57" s="100">
        <v>315</v>
      </c>
      <c r="B57" s="104">
        <f>B56+D57</f>
        <v>9.69</v>
      </c>
      <c r="D57" s="6">
        <v>0.08</v>
      </c>
    </row>
    <row r="58" spans="1:6">
      <c r="A58" s="100">
        <v>330</v>
      </c>
      <c r="B58" s="104">
        <f>B57+D58</f>
        <v>9.75</v>
      </c>
      <c r="D58" s="6">
        <v>0.06</v>
      </c>
    </row>
    <row r="59" spans="1:6">
      <c r="A59" s="100">
        <v>345</v>
      </c>
      <c r="B59" s="104">
        <f>B58+D59</f>
        <v>9.8000000000000007</v>
      </c>
      <c r="D59" s="6">
        <v>0.05</v>
      </c>
    </row>
    <row r="60" spans="1:6">
      <c r="A60" s="101">
        <v>360</v>
      </c>
      <c r="B60" s="102">
        <f>F30</f>
        <v>9.83</v>
      </c>
      <c r="C60" s="102">
        <f>B66-B60</f>
        <v>1.4399999999999995</v>
      </c>
      <c r="D60" s="103">
        <f>C60/10</f>
        <v>0.14399999999999996</v>
      </c>
    </row>
    <row r="61" spans="1:6">
      <c r="A61" s="100">
        <v>361</v>
      </c>
      <c r="B61" s="104">
        <f>B60+D61</f>
        <v>10.02</v>
      </c>
      <c r="D61" s="6">
        <v>0.19</v>
      </c>
    </row>
    <row r="62" spans="1:6">
      <c r="A62" s="100">
        <v>362</v>
      </c>
      <c r="B62" s="104">
        <f>B61+D62</f>
        <v>10.19</v>
      </c>
      <c r="D62" s="6">
        <v>0.17</v>
      </c>
    </row>
    <row r="63" spans="1:6">
      <c r="A63" s="100">
        <v>363</v>
      </c>
      <c r="B63" s="104">
        <f>B62+D63</f>
        <v>10.35</v>
      </c>
      <c r="D63" s="6">
        <v>0.16</v>
      </c>
      <c r="E63" s="6">
        <v>370</v>
      </c>
      <c r="F63" s="6">
        <f>StepTest!G42</f>
        <v>11.27</v>
      </c>
    </row>
    <row r="64" spans="1:6">
      <c r="A64" s="100">
        <v>364</v>
      </c>
      <c r="B64" s="104">
        <f>B63+D64</f>
        <v>10.5</v>
      </c>
      <c r="D64" s="6">
        <v>0.15</v>
      </c>
      <c r="E64" s="6">
        <v>380</v>
      </c>
      <c r="F64" s="6">
        <f>StepTest!G43</f>
        <v>11.51</v>
      </c>
    </row>
    <row r="65" spans="1:6">
      <c r="A65" s="100">
        <v>365</v>
      </c>
      <c r="B65" s="104">
        <f>B64+D65</f>
        <v>10.64</v>
      </c>
      <c r="D65" s="6">
        <v>0.14000000000000001</v>
      </c>
      <c r="E65" s="6">
        <v>390</v>
      </c>
      <c r="F65" s="6">
        <f>StepTest!G44</f>
        <v>11.75</v>
      </c>
    </row>
    <row r="66" spans="1:6">
      <c r="A66" s="100">
        <v>370</v>
      </c>
      <c r="B66" s="102">
        <f>F63</f>
        <v>11.27</v>
      </c>
      <c r="C66" s="106">
        <f>B68-B66</f>
        <v>0.24000000000000021</v>
      </c>
      <c r="D66" s="102">
        <f>C66/2</f>
        <v>0.12000000000000011</v>
      </c>
      <c r="E66" s="6">
        <v>420</v>
      </c>
      <c r="F66" s="6">
        <f>StepTest!G45</f>
        <v>11.99</v>
      </c>
    </row>
    <row r="67" spans="1:6">
      <c r="A67" s="100">
        <v>375</v>
      </c>
      <c r="B67" s="104">
        <f>B66+D67</f>
        <v>11.389999999999999</v>
      </c>
      <c r="D67" s="6">
        <v>0.12</v>
      </c>
      <c r="E67" s="6">
        <v>480</v>
      </c>
      <c r="F67" s="6">
        <f>StepTest!G46</f>
        <v>12.24</v>
      </c>
    </row>
    <row r="68" spans="1:6">
      <c r="A68" s="100">
        <v>380</v>
      </c>
      <c r="B68" s="107">
        <f>F64</f>
        <v>11.51</v>
      </c>
      <c r="C68" s="102">
        <f>B70-B68</f>
        <v>0.24000000000000021</v>
      </c>
      <c r="D68" s="102">
        <f>C68/2</f>
        <v>0.12000000000000011</v>
      </c>
      <c r="E68" s="6">
        <v>490</v>
      </c>
      <c r="F68" s="6">
        <f>StepTest!G47</f>
        <v>13.7</v>
      </c>
    </row>
    <row r="69" spans="1:6">
      <c r="A69" s="100">
        <v>385</v>
      </c>
      <c r="B69" s="104">
        <f>B68+D69</f>
        <v>11.629999999999999</v>
      </c>
      <c r="D69" s="6">
        <v>0.12</v>
      </c>
      <c r="E69" s="6">
        <v>500</v>
      </c>
      <c r="F69" s="6">
        <f>StepTest!G48</f>
        <v>14.25</v>
      </c>
    </row>
    <row r="70" spans="1:6">
      <c r="A70" s="100">
        <v>390</v>
      </c>
      <c r="B70" s="107">
        <f>F65</f>
        <v>11.75</v>
      </c>
      <c r="C70" s="102">
        <f>B76-B70</f>
        <v>0.24000000000000021</v>
      </c>
      <c r="D70" s="105">
        <f>C70/6</f>
        <v>4.0000000000000036E-2</v>
      </c>
      <c r="E70" s="6">
        <v>510</v>
      </c>
      <c r="F70" s="6">
        <f>StepTest!G49</f>
        <v>14.8</v>
      </c>
    </row>
    <row r="71" spans="1:6">
      <c r="A71" s="100">
        <v>395</v>
      </c>
      <c r="B71" s="104">
        <f>B70+D71</f>
        <v>11.82</v>
      </c>
      <c r="D71" s="6">
        <v>7.0000000000000007E-2</v>
      </c>
      <c r="E71" s="6">
        <v>540</v>
      </c>
      <c r="F71" s="6">
        <f>StepTest!G50</f>
        <v>15.35</v>
      </c>
    </row>
    <row r="72" spans="1:6">
      <c r="A72" s="100">
        <v>400</v>
      </c>
      <c r="B72" s="104">
        <f>B71+D72</f>
        <v>11.870000000000001</v>
      </c>
      <c r="D72" s="6">
        <v>0.05</v>
      </c>
      <c r="E72" s="6">
        <v>600</v>
      </c>
      <c r="F72" s="6">
        <f>StepTest!G51</f>
        <v>15.91</v>
      </c>
    </row>
    <row r="73" spans="1:6">
      <c r="A73" s="100">
        <v>405</v>
      </c>
      <c r="B73" s="104">
        <f>B72+D73</f>
        <v>11.91</v>
      </c>
      <c r="D73" s="6">
        <v>0.04</v>
      </c>
    </row>
    <row r="74" spans="1:6">
      <c r="A74" s="100">
        <v>410</v>
      </c>
      <c r="B74" s="104">
        <f>B73+D74</f>
        <v>11.94</v>
      </c>
      <c r="D74" s="6">
        <v>0.03</v>
      </c>
    </row>
    <row r="75" spans="1:6">
      <c r="A75" s="100">
        <v>415</v>
      </c>
      <c r="B75" s="104">
        <f>B74+D75</f>
        <v>11.969999999999999</v>
      </c>
      <c r="D75" s="6">
        <v>0.03</v>
      </c>
    </row>
    <row r="76" spans="1:6">
      <c r="A76" s="100">
        <v>420</v>
      </c>
      <c r="B76" s="107">
        <f>F66</f>
        <v>11.99</v>
      </c>
      <c r="C76" s="102">
        <f>B80-B76</f>
        <v>0.25</v>
      </c>
      <c r="D76" s="102">
        <f>C76/4</f>
        <v>6.25E-2</v>
      </c>
    </row>
    <row r="77" spans="1:6">
      <c r="A77" s="100">
        <v>435</v>
      </c>
      <c r="B77" s="104">
        <f>B76+D77</f>
        <v>12.08</v>
      </c>
      <c r="D77" s="6">
        <v>0.09</v>
      </c>
    </row>
    <row r="78" spans="1:6">
      <c r="A78" s="100">
        <v>450</v>
      </c>
      <c r="B78" s="104">
        <f>B77+D78</f>
        <v>12.15</v>
      </c>
      <c r="D78" s="6">
        <v>7.0000000000000007E-2</v>
      </c>
    </row>
    <row r="79" spans="1:6">
      <c r="A79" s="100">
        <v>465</v>
      </c>
      <c r="B79" s="104">
        <f>B78+D79</f>
        <v>12.200000000000001</v>
      </c>
      <c r="D79" s="6">
        <v>0.05</v>
      </c>
    </row>
    <row r="80" spans="1:6">
      <c r="A80" s="101">
        <v>480</v>
      </c>
      <c r="B80" s="107">
        <f>F67</f>
        <v>12.24</v>
      </c>
      <c r="C80" s="102">
        <f>B86-B80</f>
        <v>1.4599999999999991</v>
      </c>
      <c r="D80" s="103">
        <f>C80/10</f>
        <v>0.14599999999999991</v>
      </c>
    </row>
    <row r="81" spans="1:4">
      <c r="A81" s="100">
        <v>481</v>
      </c>
      <c r="B81" s="104">
        <f>B80+D81</f>
        <v>12.450000000000001</v>
      </c>
      <c r="D81" s="6">
        <v>0.21</v>
      </c>
    </row>
    <row r="82" spans="1:4">
      <c r="A82" s="100">
        <v>482</v>
      </c>
      <c r="B82" s="104">
        <f>B81+D82</f>
        <v>12.64</v>
      </c>
      <c r="D82" s="6">
        <v>0.19</v>
      </c>
    </row>
    <row r="83" spans="1:4">
      <c r="A83" s="100">
        <v>483</v>
      </c>
      <c r="B83" s="104">
        <f>B82+D83</f>
        <v>12.81</v>
      </c>
      <c r="D83" s="6">
        <v>0.17</v>
      </c>
    </row>
    <row r="84" spans="1:4">
      <c r="A84" s="100">
        <v>484</v>
      </c>
      <c r="B84" s="104">
        <f>B83+D84</f>
        <v>12.97</v>
      </c>
      <c r="D84" s="6">
        <v>0.16</v>
      </c>
    </row>
    <row r="85" spans="1:4">
      <c r="A85" s="100">
        <v>485</v>
      </c>
      <c r="B85" s="104">
        <f>B84+D85</f>
        <v>13.110000000000001</v>
      </c>
      <c r="D85" s="6">
        <v>0.14000000000000001</v>
      </c>
    </row>
    <row r="86" spans="1:4">
      <c r="A86" s="100">
        <v>490</v>
      </c>
      <c r="B86" s="107">
        <f>F68</f>
        <v>13.7</v>
      </c>
      <c r="C86" s="102">
        <f>B88-B86</f>
        <v>0.55000000000000071</v>
      </c>
      <c r="D86" s="102">
        <f>C86/2</f>
        <v>0.27500000000000036</v>
      </c>
    </row>
    <row r="87" spans="1:4">
      <c r="A87" s="100">
        <v>495</v>
      </c>
      <c r="B87" s="104">
        <f>B86+D87</f>
        <v>14.01</v>
      </c>
      <c r="D87" s="6">
        <v>0.31</v>
      </c>
    </row>
    <row r="88" spans="1:4">
      <c r="A88" s="100">
        <v>500</v>
      </c>
      <c r="B88" s="107">
        <f>F69</f>
        <v>14.25</v>
      </c>
      <c r="C88" s="102">
        <f>B90-B88</f>
        <v>0.55000000000000071</v>
      </c>
      <c r="D88" s="102">
        <f>C88/2</f>
        <v>0.27500000000000036</v>
      </c>
    </row>
    <row r="89" spans="1:4">
      <c r="A89" s="100">
        <v>505</v>
      </c>
      <c r="B89" s="104">
        <f>B88+D89</f>
        <v>14.55</v>
      </c>
      <c r="D89" s="6">
        <v>0.3</v>
      </c>
    </row>
    <row r="90" spans="1:4">
      <c r="A90" s="100">
        <v>510</v>
      </c>
      <c r="B90" s="107">
        <f>F70</f>
        <v>14.8</v>
      </c>
      <c r="C90" s="102">
        <f>B96-B90</f>
        <v>0.54999999999999893</v>
      </c>
      <c r="D90" s="105">
        <f>C90/6</f>
        <v>9.1666666666666494E-2</v>
      </c>
    </row>
    <row r="91" spans="1:4">
      <c r="A91" s="100">
        <v>515</v>
      </c>
      <c r="B91" s="104">
        <f>B90+D91</f>
        <v>14.950000000000001</v>
      </c>
      <c r="D91" s="6">
        <v>0.15</v>
      </c>
    </row>
    <row r="92" spans="1:4">
      <c r="A92" s="100">
        <v>520</v>
      </c>
      <c r="B92" s="104">
        <f>B91+D92</f>
        <v>15.080000000000002</v>
      </c>
      <c r="D92" s="6">
        <v>0.13</v>
      </c>
    </row>
    <row r="93" spans="1:4">
      <c r="A93" s="100">
        <v>525</v>
      </c>
      <c r="B93" s="104">
        <f>B92+D93</f>
        <v>15.190000000000001</v>
      </c>
      <c r="D93" s="6">
        <v>0.11</v>
      </c>
    </row>
    <row r="94" spans="1:4">
      <c r="A94" s="100">
        <v>530</v>
      </c>
      <c r="B94" s="104">
        <f>B93+D94</f>
        <v>15.270000000000001</v>
      </c>
      <c r="D94" s="6">
        <v>0.08</v>
      </c>
    </row>
    <row r="95" spans="1:4">
      <c r="A95" s="100">
        <v>535</v>
      </c>
      <c r="B95" s="104">
        <f>B94+D95</f>
        <v>15.340000000000002</v>
      </c>
      <c r="D95" s="6">
        <v>7.0000000000000007E-2</v>
      </c>
    </row>
    <row r="96" spans="1:4">
      <c r="A96" s="100">
        <v>540</v>
      </c>
      <c r="B96" s="107">
        <f>F71</f>
        <v>15.35</v>
      </c>
      <c r="C96" s="102">
        <f>B100-B96</f>
        <v>0.5600000000000005</v>
      </c>
      <c r="D96" s="102">
        <f>C96/4</f>
        <v>0.14000000000000012</v>
      </c>
    </row>
    <row r="97" spans="1:4">
      <c r="A97" s="100">
        <v>555</v>
      </c>
      <c r="B97" s="104">
        <f>B96+D97</f>
        <v>15.54</v>
      </c>
      <c r="D97" s="6">
        <v>0.19</v>
      </c>
    </row>
    <row r="98" spans="1:4">
      <c r="A98" s="100">
        <v>570</v>
      </c>
      <c r="B98" s="104">
        <f>B97+D98</f>
        <v>15.7</v>
      </c>
      <c r="D98" s="6">
        <v>0.16</v>
      </c>
    </row>
    <row r="99" spans="1:4">
      <c r="A99" s="100">
        <v>585</v>
      </c>
      <c r="B99" s="104">
        <f>B98+D99</f>
        <v>15.84</v>
      </c>
      <c r="D99" s="6">
        <v>0.14000000000000001</v>
      </c>
    </row>
    <row r="100" spans="1:4">
      <c r="A100" s="101">
        <v>600</v>
      </c>
      <c r="B100" s="65">
        <f>F72</f>
        <v>15.91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R18" sqref="R1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43.316666666666663</v>
      </c>
      <c r="F1" s="3"/>
      <c r="G1" s="3">
        <f>E1/E2</f>
        <v>0.88401360544217678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82</v>
      </c>
      <c r="E2" s="3">
        <f>M51/3</f>
        <v>49</v>
      </c>
      <c r="F2" s="235" t="s">
        <v>2</v>
      </c>
      <c r="G2" s="3" t="s">
        <v>3</v>
      </c>
    </row>
    <row r="3" spans="1:17" s="167" customFormat="1">
      <c r="A3" s="172">
        <f>B3+$M$48</f>
        <v>8.98</v>
      </c>
      <c r="B3" s="255">
        <f>B20</f>
        <v>5.75</v>
      </c>
      <c r="C3" s="173"/>
      <c r="D3" s="256">
        <f t="shared" ref="D3:D7" si="0">D20</f>
        <v>92</v>
      </c>
      <c r="E3" s="4">
        <f>D3/12</f>
        <v>7.666666666666667</v>
      </c>
      <c r="F3" s="174">
        <f>B3/D3</f>
        <v>6.25E-2</v>
      </c>
      <c r="G3" s="174">
        <f>1/F3</f>
        <v>16</v>
      </c>
    </row>
    <row r="4" spans="1:17" s="167" customFormat="1">
      <c r="A4" s="172">
        <f>B4+$M$48</f>
        <v>10.9</v>
      </c>
      <c r="B4" s="173">
        <f>B21</f>
        <v>7.67</v>
      </c>
      <c r="C4" s="173"/>
      <c r="D4" s="171">
        <f t="shared" si="0"/>
        <v>117</v>
      </c>
      <c r="E4" s="4">
        <f>D4/12</f>
        <v>9.75</v>
      </c>
      <c r="F4" s="174">
        <f t="shared" ref="F4:F7" si="1">B4/D4</f>
        <v>6.5555555555555561E-2</v>
      </c>
      <c r="G4" s="174">
        <f t="shared" ref="G4:G7" si="2">1/F4</f>
        <v>15.254237288135592</v>
      </c>
    </row>
    <row r="5" spans="1:17" s="167" customFormat="1">
      <c r="A5" s="172">
        <f>B5+$M$48</f>
        <v>13.06</v>
      </c>
      <c r="B5" s="173">
        <f>B22</f>
        <v>9.83</v>
      </c>
      <c r="C5" s="173"/>
      <c r="D5" s="171">
        <f t="shared" si="0"/>
        <v>142.79999999999998</v>
      </c>
      <c r="E5" s="4">
        <f>D5/12</f>
        <v>11.899999999999999</v>
      </c>
      <c r="F5" s="174">
        <f t="shared" si="1"/>
        <v>6.8837535014005607E-2</v>
      </c>
      <c r="G5" s="174">
        <f t="shared" si="2"/>
        <v>14.526958290946082</v>
      </c>
    </row>
    <row r="6" spans="1:17" s="167" customFormat="1">
      <c r="A6" s="172">
        <f>B6+$M$48</f>
        <v>15.47</v>
      </c>
      <c r="B6" s="255">
        <f>B23</f>
        <v>12.24</v>
      </c>
      <c r="C6" s="173"/>
      <c r="D6" s="171">
        <f>D23</f>
        <v>168</v>
      </c>
      <c r="E6" s="4">
        <f>D6/12</f>
        <v>14</v>
      </c>
      <c r="F6" s="174">
        <f t="shared" si="1"/>
        <v>7.2857142857142856E-2</v>
      </c>
      <c r="G6" s="174">
        <f t="shared" si="2"/>
        <v>13.725490196078432</v>
      </c>
    </row>
    <row r="7" spans="1:17" s="167" customFormat="1">
      <c r="A7" s="172">
        <f>B7+$M$48</f>
        <v>19.14</v>
      </c>
      <c r="B7" s="173">
        <f>B24</f>
        <v>15.91</v>
      </c>
      <c r="C7" s="173"/>
      <c r="D7" s="171">
        <f t="shared" si="0"/>
        <v>193.2</v>
      </c>
      <c r="E7" s="4">
        <f>D7/12</f>
        <v>16.099999999999998</v>
      </c>
      <c r="F7" s="174">
        <f t="shared" si="1"/>
        <v>8.2349896480331267E-2</v>
      </c>
      <c r="G7" s="174">
        <f t="shared" si="2"/>
        <v>12.143306096794468</v>
      </c>
    </row>
    <row r="8" spans="1:17" s="167" customFormat="1">
      <c r="A8" s="4"/>
      <c r="B8" s="4" t="s">
        <v>4</v>
      </c>
      <c r="C8" s="4"/>
      <c r="D8" s="4"/>
      <c r="E8" s="503" t="s">
        <v>5</v>
      </c>
      <c r="F8" s="503"/>
      <c r="G8" s="503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504" t="s">
        <v>7</v>
      </c>
      <c r="G9" s="504"/>
    </row>
    <row r="10" spans="1:17" s="167" customFormat="1">
      <c r="A10" s="176">
        <f>D20/B20</f>
        <v>16</v>
      </c>
      <c r="B10" s="176">
        <f>B20/D20</f>
        <v>6.25E-2</v>
      </c>
      <c r="C10" s="4"/>
      <c r="D10" s="4"/>
      <c r="E10" s="233">
        <v>0.98</v>
      </c>
      <c r="F10" s="504" t="s">
        <v>8</v>
      </c>
      <c r="G10" s="504"/>
    </row>
    <row r="11" spans="1:17" s="167" customFormat="1">
      <c r="A11" s="176">
        <f t="shared" ref="A11:A14" si="3">D21/B21</f>
        <v>15.254237288135593</v>
      </c>
      <c r="B11" s="176">
        <f t="shared" ref="B11:B14" si="4">B21/D21</f>
        <v>6.5555555555555561E-2</v>
      </c>
      <c r="C11" s="4"/>
      <c r="D11" s="4" t="s">
        <v>4</v>
      </c>
      <c r="E11" s="233">
        <v>0.98</v>
      </c>
      <c r="F11" s="504" t="s">
        <v>9</v>
      </c>
      <c r="G11" s="504"/>
    </row>
    <row r="12" spans="1:17" s="167" customFormat="1">
      <c r="A12" s="176">
        <f t="shared" si="3"/>
        <v>14.526958290946082</v>
      </c>
      <c r="B12" s="176">
        <f t="shared" si="4"/>
        <v>6.8837535014005607E-2</v>
      </c>
      <c r="C12" s="4"/>
      <c r="D12" s="4"/>
      <c r="E12" s="233">
        <v>1</v>
      </c>
      <c r="F12" s="504" t="s">
        <v>10</v>
      </c>
      <c r="G12" s="504"/>
    </row>
    <row r="13" spans="1:17" s="167" customFormat="1">
      <c r="A13" s="176">
        <f t="shared" si="3"/>
        <v>13.725490196078431</v>
      </c>
      <c r="B13" s="176">
        <f t="shared" si="4"/>
        <v>7.2857142857142856E-2</v>
      </c>
      <c r="C13" s="4"/>
      <c r="D13" s="4" t="s">
        <v>4</v>
      </c>
      <c r="E13" s="503" t="s">
        <v>11</v>
      </c>
      <c r="F13" s="503"/>
      <c r="G13" s="503"/>
    </row>
    <row r="14" spans="1:17" s="167" customFormat="1">
      <c r="A14" s="176">
        <f t="shared" si="3"/>
        <v>12.143306096794468</v>
      </c>
      <c r="B14" s="176">
        <f t="shared" si="4"/>
        <v>8.2349896480331267E-2</v>
      </c>
      <c r="C14" s="4"/>
      <c r="D14" s="4"/>
      <c r="E14" s="233">
        <v>1</v>
      </c>
      <c r="F14" s="504" t="s">
        <v>7</v>
      </c>
      <c r="G14" s="504"/>
    </row>
    <row r="15" spans="1:17" s="167" customFormat="1">
      <c r="A15" s="4"/>
      <c r="B15" s="4"/>
      <c r="C15" s="4"/>
      <c r="D15" s="4"/>
      <c r="E15" s="233">
        <v>1</v>
      </c>
      <c r="F15" s="504" t="s">
        <v>8</v>
      </c>
      <c r="G15" s="504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504" t="s">
        <v>9</v>
      </c>
      <c r="G16" s="504"/>
      <c r="Q16" s="223">
        <v>45024</v>
      </c>
    </row>
    <row r="17" spans="1:21" s="167" customFormat="1">
      <c r="A17" s="4"/>
      <c r="B17" s="175">
        <f>M52</f>
        <v>12.24</v>
      </c>
      <c r="C17" s="4"/>
      <c r="D17" s="240">
        <f>M47</f>
        <v>168</v>
      </c>
      <c r="E17" s="233">
        <v>1</v>
      </c>
      <c r="F17" s="504" t="s">
        <v>10</v>
      </c>
      <c r="G17" s="504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82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5.75</v>
      </c>
      <c r="C20" s="4">
        <f>0.48*E9</f>
        <v>0.47039999999999998</v>
      </c>
      <c r="D20" s="198">
        <f>INT(D$17*E20)</f>
        <v>92</v>
      </c>
      <c r="E20" s="241">
        <f>0.55*E14</f>
        <v>0.55000000000000004</v>
      </c>
      <c r="F20" s="174">
        <f>B20/D20</f>
        <v>6.25E-2</v>
      </c>
      <c r="G20" s="4">
        <f>F20-F19</f>
        <v>6.25E-2</v>
      </c>
    </row>
    <row r="21" spans="1:21" s="167" customFormat="1" ht="16.5">
      <c r="A21" s="173">
        <f>B21-B20</f>
        <v>1.92</v>
      </c>
      <c r="B21" s="180">
        <f>INT(B$17*C21*100)/100</f>
        <v>7.67</v>
      </c>
      <c r="C21" s="4">
        <f>0.64*E10</f>
        <v>0.62719999999999998</v>
      </c>
      <c r="D21" s="198">
        <f>INT(D$17*E21)</f>
        <v>117</v>
      </c>
      <c r="E21" s="241">
        <f>0.7*E15</f>
        <v>0.7</v>
      </c>
      <c r="F21" s="174">
        <f>B21/D21</f>
        <v>6.5555555555555561E-2</v>
      </c>
      <c r="G21" s="4">
        <f>F21-F20</f>
        <v>3.0555555555555614E-3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2.16</v>
      </c>
      <c r="B22" s="180">
        <f>INT(B$17*C22*100)/100</f>
        <v>9.83</v>
      </c>
      <c r="C22" s="4">
        <f>0.82*E11</f>
        <v>0.80359999999999998</v>
      </c>
      <c r="D22" s="199">
        <f>(D$17*E22)</f>
        <v>142.79999999999998</v>
      </c>
      <c r="E22" s="241">
        <f>0.85*E16</f>
        <v>0.85</v>
      </c>
      <c r="F22" s="174">
        <f>B22/D22</f>
        <v>6.8837535014005607E-2</v>
      </c>
      <c r="G22" s="4">
        <f>F22-F21</f>
        <v>3.2819794584500461E-3</v>
      </c>
    </row>
    <row r="23" spans="1:21" s="167" customFormat="1">
      <c r="A23" s="173">
        <f>B23-B22</f>
        <v>2.41</v>
      </c>
      <c r="B23" s="180">
        <f>INT(B$17*C23*100)/100</f>
        <v>12.24</v>
      </c>
      <c r="C23" s="4">
        <v>1</v>
      </c>
      <c r="D23" s="198">
        <f>D$17*E23</f>
        <v>168</v>
      </c>
      <c r="E23" s="239">
        <v>1</v>
      </c>
      <c r="F23" s="174">
        <f>B23/D23</f>
        <v>7.2857142857142856E-2</v>
      </c>
      <c r="G23" s="4">
        <f>F23-F22</f>
        <v>4.0196078431372489E-3</v>
      </c>
      <c r="O23" s="182"/>
      <c r="Q23" s="182"/>
      <c r="S23" s="182"/>
      <c r="U23" s="182"/>
    </row>
    <row r="24" spans="1:21" s="167" customFormat="1">
      <c r="A24" s="173">
        <f>B24-B23</f>
        <v>3.67</v>
      </c>
      <c r="B24" s="180">
        <f>INT(B$17*C24*100)/100</f>
        <v>15.91</v>
      </c>
      <c r="C24" s="4">
        <f>1.3*E12</f>
        <v>1.3</v>
      </c>
      <c r="D24" s="198">
        <f>D$17*E24</f>
        <v>193.2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8.2349896480331267E-2</v>
      </c>
      <c r="G25" s="173"/>
      <c r="O25" s="182"/>
      <c r="Q25" s="182"/>
      <c r="S25" s="182"/>
      <c r="U25" s="182"/>
    </row>
    <row r="26" spans="1:21" s="167" customFormat="1">
      <c r="A26" s="485" t="s">
        <v>14</v>
      </c>
      <c r="B26" s="485"/>
      <c r="C26" s="184">
        <f>INT(M51*1)</f>
        <v>147</v>
      </c>
      <c r="D26" s="4"/>
      <c r="E26" s="4"/>
      <c r="F26" s="185">
        <f>M50/M51</f>
        <v>9.3605442176870737E-2</v>
      </c>
      <c r="G26" s="4"/>
      <c r="O26" s="182"/>
      <c r="Q26" s="182"/>
      <c r="S26" s="182"/>
      <c r="U26" s="182"/>
    </row>
    <row r="27" spans="1:21" s="167" customFormat="1">
      <c r="A27" s="485" t="s">
        <v>15</v>
      </c>
      <c r="B27" s="485"/>
      <c r="C27" s="186">
        <f>SafeYield!B7</f>
        <v>152.24050273452164</v>
      </c>
      <c r="D27" s="173">
        <f>(C27/D6)*100</f>
        <v>90.619346865786682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1.3540000000000001E-4</v>
      </c>
      <c r="B31" s="233">
        <v>4.9848099999999999E-2</v>
      </c>
      <c r="C31" s="4"/>
      <c r="D31" s="171">
        <f t="shared" ref="D31:D36" si="5">D19</f>
        <v>82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1.3540000000000001E-4</v>
      </c>
      <c r="B32" s="4">
        <f t="shared" si="6"/>
        <v>4.9848099999999999E-2</v>
      </c>
      <c r="C32" s="4"/>
      <c r="D32" s="171">
        <f t="shared" si="5"/>
        <v>92</v>
      </c>
      <c r="E32" s="4"/>
      <c r="F32" s="187">
        <f>B32*D32/(B32*D32+A32*D32*D32)*100</f>
        <v>80.006708942635328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1.3540000000000001E-4</v>
      </c>
      <c r="B33" s="4">
        <f t="shared" si="6"/>
        <v>4.9848099999999999E-2</v>
      </c>
      <c r="C33" s="4"/>
      <c r="D33" s="171">
        <f t="shared" si="5"/>
        <v>117</v>
      </c>
      <c r="E33" s="4"/>
      <c r="F33" s="187">
        <f>B33*D33/(B33*D33+A33*D33*D33)*100</f>
        <v>75.883963897037447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1.3540000000000001E-4</v>
      </c>
      <c r="B34" s="4">
        <f t="shared" si="6"/>
        <v>4.9848099999999999E-2</v>
      </c>
      <c r="C34" s="4"/>
      <c r="D34" s="171">
        <f t="shared" si="5"/>
        <v>142.79999999999998</v>
      </c>
      <c r="E34" s="4"/>
      <c r="F34" s="187">
        <f>B34*D34/(B34*D34+A34*D34*D34)*100</f>
        <v>72.052298230698128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1.3540000000000001E-4</v>
      </c>
      <c r="B35" s="4">
        <f>B34</f>
        <v>4.9848099999999999E-2</v>
      </c>
      <c r="C35" s="4"/>
      <c r="D35" s="171">
        <f t="shared" si="5"/>
        <v>168</v>
      </c>
      <c r="E35" s="4"/>
      <c r="F35" s="187">
        <f>B35*D35/(B35*D35+A35*D35*D35)*100</f>
        <v>68.665740068571935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193.2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74.152177784735713</v>
      </c>
      <c r="G37" s="4"/>
      <c r="P37" s="220">
        <v>1.3540000000000001E-4</v>
      </c>
      <c r="Q37" s="220">
        <v>0.14899999999999999</v>
      </c>
    </row>
    <row r="38" spans="1:21" s="167" customFormat="1" ht="13.5" customHeight="1">
      <c r="A38" s="242">
        <v>71.63</v>
      </c>
      <c r="B38" s="233">
        <v>0.14899999999999999</v>
      </c>
      <c r="C38" s="233">
        <v>93.533000000000001</v>
      </c>
      <c r="D38" s="4"/>
      <c r="E38" s="4" t="s">
        <v>21</v>
      </c>
      <c r="F38" s="4"/>
      <c r="G38" s="4"/>
      <c r="P38" s="220">
        <v>4.9848099999999999E-2</v>
      </c>
      <c r="Q38" s="220">
        <v>93.533000000000001</v>
      </c>
    </row>
    <row r="39" spans="1:21" s="167" customFormat="1" ht="13.5" customHeight="1">
      <c r="A39" s="168"/>
      <c r="B39" s="4" t="s">
        <v>22</v>
      </c>
      <c r="C39" s="173">
        <f>(C38-A38)/B38</f>
        <v>147.00000000000006</v>
      </c>
      <c r="D39" s="4">
        <f>C38-B38*M51</f>
        <v>71.63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147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86" t="s">
        <v>295</v>
      </c>
      <c r="J44" s="487"/>
      <c r="K44" s="488"/>
      <c r="L44" s="224" t="s">
        <v>30</v>
      </c>
      <c r="M44" s="228">
        <v>150</v>
      </c>
      <c r="N44" s="224" t="s">
        <v>31</v>
      </c>
      <c r="Q44" s="369">
        <v>92</v>
      </c>
      <c r="R44" s="200">
        <v>8.98</v>
      </c>
      <c r="S44" s="200">
        <v>5.75</v>
      </c>
      <c r="T44" s="201">
        <v>16</v>
      </c>
      <c r="U44" s="250">
        <v>6.25E-2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95" t="s">
        <v>296</v>
      </c>
      <c r="J45" s="496"/>
      <c r="K45" s="497"/>
      <c r="L45" s="224" t="s">
        <v>34</v>
      </c>
      <c r="M45" s="195">
        <v>100</v>
      </c>
      <c r="N45" s="229">
        <f>M44</f>
        <v>150</v>
      </c>
      <c r="Q45" s="369">
        <v>117</v>
      </c>
      <c r="R45" s="200">
        <v>10.9</v>
      </c>
      <c r="S45" s="200">
        <v>7.67</v>
      </c>
      <c r="T45" s="201">
        <v>15.254</v>
      </c>
      <c r="U45" s="250">
        <v>6.5555555555555561E-2</v>
      </c>
    </row>
    <row r="46" spans="1:21" s="167" customFormat="1" ht="16.5">
      <c r="A46" s="4">
        <f>B34</f>
        <v>4.9848099999999999E-2</v>
      </c>
      <c r="B46" s="364" t="s">
        <v>35</v>
      </c>
      <c r="C46" s="489" t="s">
        <v>36</v>
      </c>
      <c r="D46" s="489"/>
      <c r="E46" s="4"/>
      <c r="F46" s="4"/>
      <c r="G46" s="4"/>
      <c r="H46" s="224" t="s">
        <v>37</v>
      </c>
      <c r="I46" s="486" t="s">
        <v>294</v>
      </c>
      <c r="J46" s="487"/>
      <c r="K46" s="488"/>
      <c r="L46" s="224" t="s">
        <v>38</v>
      </c>
      <c r="M46" s="192">
        <f>IF(I52&gt;M48, M45-I52,M45-M48)</f>
        <v>88</v>
      </c>
      <c r="N46" s="11"/>
      <c r="Q46" s="369">
        <v>143</v>
      </c>
      <c r="R46" s="200">
        <v>13.06</v>
      </c>
      <c r="S46" s="200">
        <v>9.83</v>
      </c>
      <c r="T46" s="201">
        <v>14.526999999999999</v>
      </c>
      <c r="U46" s="250">
        <v>6.8837535014005607E-2</v>
      </c>
    </row>
    <row r="47" spans="1:21" s="167" customFormat="1" ht="16.5">
      <c r="A47" s="4">
        <f>120/1440</f>
        <v>8.3333333333333329E-2</v>
      </c>
      <c r="B47" s="364" t="s">
        <v>39</v>
      </c>
      <c r="C47" s="489" t="s">
        <v>40</v>
      </c>
      <c r="D47" s="489"/>
      <c r="E47" s="4"/>
      <c r="F47" s="4"/>
      <c r="G47" s="4"/>
      <c r="H47" s="224" t="s">
        <v>41</v>
      </c>
      <c r="I47" s="498" t="s">
        <v>333</v>
      </c>
      <c r="J47" s="499"/>
      <c r="K47" s="500"/>
      <c r="L47" s="224" t="s">
        <v>42</v>
      </c>
      <c r="M47" s="193">
        <f>INT((M51*100)/M53)</f>
        <v>168</v>
      </c>
      <c r="N47" s="11"/>
      <c r="Q47" s="369">
        <v>168</v>
      </c>
      <c r="R47" s="200">
        <v>15.47</v>
      </c>
      <c r="S47" s="200">
        <v>12.24</v>
      </c>
      <c r="T47" s="201">
        <v>13.725</v>
      </c>
      <c r="U47" s="250">
        <v>7.2857142857142856E-2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1</v>
      </c>
      <c r="J48" s="490" t="s">
        <v>293</v>
      </c>
      <c r="K48" s="490"/>
      <c r="L48" s="224" t="s">
        <v>44</v>
      </c>
      <c r="M48" s="195">
        <v>3.23</v>
      </c>
      <c r="N48" s="11"/>
      <c r="Q48" s="370">
        <v>193</v>
      </c>
      <c r="R48" s="251">
        <v>19.14</v>
      </c>
      <c r="S48" s="251">
        <v>15.91</v>
      </c>
      <c r="T48" s="252">
        <v>12.143000000000001</v>
      </c>
      <c r="U48" s="253">
        <v>8.2349896480331267E-2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91" t="str">
        <f>I45</f>
        <v>규암지구</v>
      </c>
      <c r="J49" s="491"/>
      <c r="K49" s="491"/>
      <c r="L49" s="224" t="s">
        <v>48</v>
      </c>
      <c r="M49" s="195">
        <v>16.989999999999998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320</v>
      </c>
      <c r="I50" s="246">
        <v>50</v>
      </c>
      <c r="J50" s="501"/>
      <c r="K50" s="502"/>
      <c r="L50" s="224" t="s">
        <v>50</v>
      </c>
      <c r="M50" s="194">
        <f>M49-M48</f>
        <v>13.759999999999998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92"/>
      <c r="J51" s="493"/>
      <c r="K51" s="494"/>
      <c r="L51" s="169" t="s">
        <v>52</v>
      </c>
      <c r="M51" s="195">
        <v>147</v>
      </c>
      <c r="N51" s="11"/>
      <c r="O51" s="167">
        <f>M51</f>
        <v>147</v>
      </c>
      <c r="P51" s="165">
        <f>ROUND((O51/O52)*100,1)</f>
        <v>169</v>
      </c>
    </row>
    <row r="52" spans="1:24" s="167" customFormat="1" ht="16.5">
      <c r="A52" s="168" t="s">
        <v>53</v>
      </c>
      <c r="B52" s="364">
        <f>INT(10^((INT(5.46*A44*A46*1000))/1000)*1000)/1000</f>
        <v>87700082114.363007</v>
      </c>
      <c r="C52" s="364">
        <f>INT(B52*B51*1000)/1000</f>
        <v>43850041.056999996</v>
      </c>
      <c r="D52" s="365"/>
      <c r="E52" s="4"/>
      <c r="F52" s="4"/>
      <c r="G52" s="4"/>
      <c r="H52" s="225" t="s">
        <v>54</v>
      </c>
      <c r="I52" s="246">
        <v>12</v>
      </c>
      <c r="J52" s="222" t="s">
        <v>55</v>
      </c>
      <c r="K52" s="170">
        <v>0</v>
      </c>
      <c r="L52" s="221" t="s">
        <v>56</v>
      </c>
      <c r="M52" s="192">
        <f>INT(M50*0.89*100)/100</f>
        <v>12.24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4" t="s">
        <v>243</v>
      </c>
      <c r="J53" s="484"/>
      <c r="K53" s="484"/>
      <c r="L53" s="48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193.2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73" t="s">
        <v>62</v>
      </c>
      <c r="E57" s="474"/>
      <c r="F57" s="473" t="s">
        <v>61</v>
      </c>
      <c r="G57" s="474"/>
      <c r="H57" s="349" t="s">
        <v>63</v>
      </c>
      <c r="I57" s="350">
        <f>M50</f>
        <v>13.759999999999998</v>
      </c>
      <c r="J57" s="349" t="s">
        <v>64</v>
      </c>
      <c r="K57" s="349" t="s">
        <v>65</v>
      </c>
      <c r="L57" s="473" t="s">
        <v>66</v>
      </c>
      <c r="M57" s="475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67">
        <v>0.22439999999999999</v>
      </c>
      <c r="E58" s="468"/>
      <c r="F58" s="467"/>
      <c r="G58" s="468"/>
      <c r="H58" s="222" t="s">
        <v>68</v>
      </c>
      <c r="I58" s="352">
        <f>C62/M46</f>
        <v>0.51613636363636362</v>
      </c>
      <c r="J58" s="222" t="s">
        <v>69</v>
      </c>
      <c r="K58" s="353">
        <f>INT((6*I57*I58*I60/I59)^0.5)</f>
        <v>11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76">
        <f>B59</f>
        <v>59.61</v>
      </c>
      <c r="D59" s="478">
        <v>0.15190000000000001</v>
      </c>
      <c r="E59" s="479"/>
      <c r="F59" s="480">
        <f>INT((D59+D60)/1*10000000)/10000000</f>
        <v>0.15190000000000001</v>
      </c>
      <c r="G59" s="481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14</v>
      </c>
      <c r="L59" s="353"/>
      <c r="M59" s="355"/>
    </row>
    <row r="60" spans="1:24" s="167" customFormat="1" ht="18" customHeight="1">
      <c r="A60" s="230" t="s">
        <v>74</v>
      </c>
      <c r="B60" s="351"/>
      <c r="C60" s="477"/>
      <c r="D60" s="478"/>
      <c r="E60" s="479"/>
      <c r="F60" s="482"/>
      <c r="G60" s="483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67"/>
      <c r="E61" s="468"/>
      <c r="F61" s="467"/>
      <c r="G61" s="468"/>
      <c r="H61" s="222" t="s">
        <v>28</v>
      </c>
      <c r="I61" s="222">
        <f>C62</f>
        <v>45.42</v>
      </c>
      <c r="J61" s="222" t="s">
        <v>77</v>
      </c>
      <c r="K61" s="353">
        <f>((K58+K59+K60)/3)</f>
        <v>14.446970837196091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469"/>
      <c r="E62" s="470"/>
      <c r="F62" s="471">
        <f>F59</f>
        <v>0.15190000000000001</v>
      </c>
      <c r="G62" s="472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334</v>
      </c>
      <c r="R64" s="244" t="s">
        <v>335</v>
      </c>
      <c r="S64" s="244" t="s">
        <v>336</v>
      </c>
      <c r="T64" s="244" t="s">
        <v>337</v>
      </c>
      <c r="U64" s="244" t="s">
        <v>338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규암지구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부여군 규암면 노화리 284-1번지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5.778394899008843</v>
      </c>
      <c r="C4" s="276">
        <f>LongTest!B10</f>
        <v>147</v>
      </c>
      <c r="D4" s="277">
        <v>1.855</v>
      </c>
      <c r="E4" s="278">
        <f>Input!M44/2000</f>
        <v>7.4999999999999997E-2</v>
      </c>
      <c r="F4" s="19">
        <v>5.0000000000000001E-4</v>
      </c>
      <c r="G4" s="19">
        <f>PI()</f>
        <v>3.1415926535897931</v>
      </c>
      <c r="H4" s="108">
        <f>Input!$A$46</f>
        <v>4.9848099999999999E-2</v>
      </c>
      <c r="I4" s="271">
        <f>Input!M48</f>
        <v>3.23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7.8250000000000002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1.9326539482365797</v>
      </c>
      <c r="D6" s="203"/>
      <c r="E6" s="202">
        <f>1.15*LOG((2.25*D5*(1/1440))/(F4*E4^2))</f>
        <v>4.1839436172824573</v>
      </c>
      <c r="F6" s="204" t="s">
        <v>121</v>
      </c>
      <c r="G6" s="384">
        <f>C6-E6</f>
        <v>-2.2512896690458777</v>
      </c>
      <c r="H6" s="35"/>
      <c r="I6" s="271">
        <f>Input!M49</f>
        <v>16.989999999999998</v>
      </c>
      <c r="J6" s="264">
        <f>MAX(C13,C18,C23)</f>
        <v>88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1.5989928271407815E-3</v>
      </c>
      <c r="G7" s="205" t="s">
        <v>124</v>
      </c>
      <c r="H7" s="35">
        <f>F4*EXP(4*G4*D4*H4)</f>
        <v>1.5981437685890986E-3</v>
      </c>
      <c r="I7" s="279" t="s">
        <v>125</v>
      </c>
      <c r="J7" s="265">
        <f>ROUND((C13+C18+C23)/3,1)</f>
        <v>71.5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0.71199999999999997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14.7486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14.7525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4.91936575652967</v>
      </c>
      <c r="D10" s="24" t="s">
        <v>236</v>
      </c>
      <c r="E10" s="257">
        <v>8.029E-2</v>
      </c>
      <c r="H10" s="212" t="s">
        <v>214</v>
      </c>
      <c r="I10" s="218">
        <f>Input!I52</f>
        <v>12</v>
      </c>
      <c r="J10" s="261" t="s">
        <v>242</v>
      </c>
      <c r="K10" s="268">
        <f>ROUND(E4*SQRT(E10/F4),4)</f>
        <v>0.95040000000000002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12.070634243470328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56.9</v>
      </c>
      <c r="D13" s="25"/>
      <c r="E13" s="386" t="s">
        <v>251</v>
      </c>
      <c r="F13" s="287">
        <f>D5</f>
        <v>7.8250000000000002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13.759999999999998</v>
      </c>
      <c r="C16" s="213">
        <f>I8-IF(I4&gt;I10,I4,I10)</f>
        <v>88</v>
      </c>
      <c r="D16" s="215">
        <f>(F13+H13)/2</f>
        <v>5.8304999999999998</v>
      </c>
      <c r="E16" s="30">
        <f>INT(D16/C16*100000)/100000</f>
        <v>6.6250000000000003E-2</v>
      </c>
      <c r="F16" s="31">
        <v>1440</v>
      </c>
      <c r="G16" s="217">
        <v>780</v>
      </c>
      <c r="H16" s="215">
        <f>INT(G16/F16*10000)/10000</f>
        <v>0.54159999999999997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69.599999999999994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13.759999999999998</v>
      </c>
      <c r="C21" s="214">
        <f t="shared" si="0"/>
        <v>88</v>
      </c>
      <c r="D21" s="31">
        <f t="shared" si="0"/>
        <v>5.8304999999999998</v>
      </c>
      <c r="E21" s="215">
        <f t="shared" si="0"/>
        <v>6.6250000000000003E-2</v>
      </c>
      <c r="F21" s="31">
        <f t="shared" si="0"/>
        <v>1440</v>
      </c>
      <c r="G21" s="31">
        <f>G16</f>
        <v>780</v>
      </c>
      <c r="H21" s="31">
        <f t="shared" si="0"/>
        <v>0.54159999999999997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88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13.759999999999998</v>
      </c>
      <c r="C26" s="31">
        <f t="shared" si="1"/>
        <v>88</v>
      </c>
      <c r="D26" s="31">
        <f t="shared" si="1"/>
        <v>5.8304999999999998</v>
      </c>
      <c r="E26" s="30">
        <f t="shared" si="1"/>
        <v>6.6250000000000003E-2</v>
      </c>
      <c r="F26" s="31">
        <f t="shared" si="1"/>
        <v>1440</v>
      </c>
      <c r="G26" s="31">
        <f t="shared" si="1"/>
        <v>780</v>
      </c>
      <c r="H26" s="215">
        <f>INT(G16/F16*10000)/10000</f>
        <v>0.54159999999999997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5.8304999999999998</v>
      </c>
      <c r="D28" s="382">
        <f>(C28/C16)*(100/86400)</f>
        <v>7.6684816919191906E-5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7.668481691919192E-5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71.5</v>
      </c>
      <c r="D30" s="14"/>
      <c r="E30" s="376">
        <f>(C13+C18)/2</f>
        <v>63.25</v>
      </c>
      <c r="F30" s="377">
        <f>MAX(C13,C18)</f>
        <v>69.599999999999994</v>
      </c>
      <c r="G30" s="378">
        <f>ROUND(C4/(G4*F30^2*I16),3)</f>
        <v>10.539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92</v>
      </c>
    </row>
    <row r="3" spans="1:2" ht="20.100000000000001" customHeight="1">
      <c r="A3" s="42" t="s">
        <v>146</v>
      </c>
      <c r="B3" s="156">
        <f>StepTest!G31</f>
        <v>5.75</v>
      </c>
    </row>
    <row r="4" spans="1:2" ht="20.100000000000001" customHeight="1">
      <c r="A4" s="42" t="s">
        <v>147</v>
      </c>
      <c r="B4" s="157">
        <f>StepTest!G46</f>
        <v>12.24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152.24050273452164</v>
      </c>
    </row>
    <row r="8" spans="1:2" ht="20.100000000000001" customHeight="1">
      <c r="A8" s="42" t="s">
        <v>150</v>
      </c>
      <c r="B8" s="157">
        <f>INT(B7)</f>
        <v>152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0.90476190476190477</v>
      </c>
    </row>
    <row r="12" spans="1:2" ht="17.25" thickBot="1"/>
    <row r="13" spans="1:2" ht="24.95" customHeight="1">
      <c r="A13" s="44" t="s">
        <v>151</v>
      </c>
      <c r="B13" s="159">
        <f>Input!$D$6</f>
        <v>168</v>
      </c>
    </row>
    <row r="14" spans="1:2" ht="24.95" customHeight="1">
      <c r="A14" s="45" t="s">
        <v>52</v>
      </c>
      <c r="B14" s="160">
        <f>B8</f>
        <v>152</v>
      </c>
    </row>
    <row r="15" spans="1:2" ht="24.95" customHeight="1" thickBot="1">
      <c r="A15" s="46" t="s">
        <v>152</v>
      </c>
      <c r="B15" s="161">
        <f>Input!$M$51</f>
        <v>147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D25" sqref="D25:E25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07" t="s">
        <v>160</v>
      </c>
      <c r="B4" s="507"/>
      <c r="C4" s="302" t="str">
        <f>Input!I44</f>
        <v>부여군 농업기술센터 지하수사후관리 및 영향조사 용역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92</v>
      </c>
      <c r="S4" s="51">
        <f>$R$4</f>
        <v>92</v>
      </c>
      <c r="T4" s="300">
        <v>7.3789520908025681</v>
      </c>
      <c r="U4" s="299">
        <f>Input!M44/2/1000</f>
        <v>7.4999999999999997E-2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8.2441460088008025</v>
      </c>
      <c r="Z4" s="58">
        <f>Z22</f>
        <v>7.238788107190258</v>
      </c>
      <c r="AA4" s="57">
        <f>$Z$4</f>
        <v>7.238788107190258</v>
      </c>
      <c r="AB4" s="57">
        <f>X4</f>
        <v>1</v>
      </c>
      <c r="AC4" s="57">
        <f>Y4-AA4</f>
        <v>1.0053579016105445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07" t="s">
        <v>161</v>
      </c>
      <c r="B5" s="507"/>
      <c r="C5" s="306" t="str">
        <f>Input!I45</f>
        <v>규암지구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92</v>
      </c>
      <c r="T5" s="51">
        <f>$T4</f>
        <v>7.3789520908025681</v>
      </c>
      <c r="U5" s="61">
        <f>$U4</f>
        <v>7.4999999999999997E-2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8.9310892914128299</v>
      </c>
      <c r="AA5" s="57">
        <f t="shared" ref="AA5:AA23" si="5">$Z$4</f>
        <v>7.238788107190258</v>
      </c>
      <c r="AB5" s="57">
        <f t="shared" ref="AB5:AB43" si="6">X5</f>
        <v>2</v>
      </c>
      <c r="AC5" s="57">
        <f t="shared" ref="AC5:AC43" si="7">Y5-AA5</f>
        <v>1.6923011842225719</v>
      </c>
      <c r="AD5" s="59">
        <f t="shared" ref="AD5:AD16" si="8">INT((AC5-AE5)*100)/100</f>
        <v>1.69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07" t="s">
        <v>162</v>
      </c>
      <c r="B6" s="507"/>
      <c r="C6" s="310" t="str">
        <f>Input!I46</f>
        <v>충청남도 부여군 규암면 노화리 284-1번지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92</v>
      </c>
      <c r="T6" s="51">
        <f t="shared" ref="T6:T51" si="10">$T5</f>
        <v>7.3789520908025681</v>
      </c>
      <c r="U6" s="61">
        <f t="shared" ref="U6:U51" si="11">$U5</f>
        <v>7.4999999999999997E-2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9.3329253518631603</v>
      </c>
      <c r="AA6" s="57">
        <f t="shared" si="5"/>
        <v>7.238788107190258</v>
      </c>
      <c r="AB6" s="57">
        <f t="shared" si="6"/>
        <v>3</v>
      </c>
      <c r="AC6" s="57">
        <f t="shared" si="7"/>
        <v>2.0941372446729023</v>
      </c>
      <c r="AD6" s="59">
        <f t="shared" si="8"/>
        <v>2.09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07" t="s">
        <v>163</v>
      </c>
      <c r="B7" s="507"/>
      <c r="C7" s="311" t="str">
        <f>Input!I47</f>
        <v>(합)청대개발</v>
      </c>
      <c r="D7" s="312"/>
      <c r="E7" s="303"/>
      <c r="F7" s="313"/>
      <c r="G7" s="314" t="str">
        <f>Input!I49</f>
        <v>규암지구</v>
      </c>
      <c r="H7" s="315"/>
      <c r="I7" s="316"/>
      <c r="P7" s="51">
        <v>4</v>
      </c>
      <c r="Q7" s="372"/>
      <c r="S7" s="51">
        <f t="shared" si="3"/>
        <v>92</v>
      </c>
      <c r="T7" s="51">
        <f t="shared" si="10"/>
        <v>7.3789520908025681</v>
      </c>
      <c r="U7" s="61">
        <f t="shared" si="11"/>
        <v>7.4999999999999997E-2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9.6180325740248573</v>
      </c>
      <c r="AA7" s="57">
        <f t="shared" si="5"/>
        <v>7.238788107190258</v>
      </c>
      <c r="AB7" s="57">
        <f t="shared" si="6"/>
        <v>4</v>
      </c>
      <c r="AC7" s="57">
        <f t="shared" si="7"/>
        <v>2.3792444668345993</v>
      </c>
      <c r="AD7" s="59">
        <f t="shared" si="8"/>
        <v>2.37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08">
        <f>Input!I48</f>
        <v>1</v>
      </c>
      <c r="D8" s="509"/>
      <c r="E8" s="510"/>
      <c r="F8" s="318" t="s">
        <v>165</v>
      </c>
      <c r="G8" s="314" t="str">
        <f>G7</f>
        <v>규암지구</v>
      </c>
      <c r="H8" s="315"/>
      <c r="I8" s="319"/>
      <c r="K8" s="62"/>
      <c r="P8" s="51">
        <v>5</v>
      </c>
      <c r="Q8" s="372"/>
      <c r="S8" s="51">
        <f t="shared" si="3"/>
        <v>92</v>
      </c>
      <c r="T8" s="51">
        <f t="shared" si="10"/>
        <v>7.3789520908025681</v>
      </c>
      <c r="U8" s="61">
        <f t="shared" si="11"/>
        <v>7.4999999999999997E-2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9.839178916291818</v>
      </c>
      <c r="AA8" s="57">
        <f t="shared" si="5"/>
        <v>7.238788107190258</v>
      </c>
      <c r="AB8" s="57">
        <f t="shared" si="6"/>
        <v>5</v>
      </c>
      <c r="AC8" s="57">
        <f t="shared" si="7"/>
        <v>2.60039080910156</v>
      </c>
      <c r="AD8" s="59">
        <f t="shared" si="8"/>
        <v>2.6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1">
        <f>Input!M44</f>
        <v>150</v>
      </c>
      <c r="E9" s="511"/>
      <c r="F9" s="301" t="s">
        <v>168</v>
      </c>
      <c r="G9" s="512">
        <f>Input!M45</f>
        <v>100</v>
      </c>
      <c r="H9" s="512"/>
      <c r="I9" s="301"/>
      <c r="P9" s="51">
        <v>10</v>
      </c>
      <c r="Q9" s="372"/>
      <c r="S9" s="51">
        <f t="shared" si="3"/>
        <v>92</v>
      </c>
      <c r="T9" s="51">
        <f t="shared" si="10"/>
        <v>7.3789520908025681</v>
      </c>
      <c r="U9" s="61">
        <f t="shared" si="11"/>
        <v>7.4999999999999997E-2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10.526122198903845</v>
      </c>
      <c r="AA9" s="57">
        <f t="shared" si="5"/>
        <v>7.238788107190258</v>
      </c>
      <c r="AB9" s="57">
        <f t="shared" si="6"/>
        <v>10</v>
      </c>
      <c r="AC9" s="57">
        <f t="shared" si="7"/>
        <v>3.2873340917135874</v>
      </c>
      <c r="AD9" s="59">
        <f t="shared" si="8"/>
        <v>3.28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3">
        <f>Input!M48</f>
        <v>3.23</v>
      </c>
      <c r="E10" s="514"/>
      <c r="F10" s="321" t="s">
        <v>4</v>
      </c>
      <c r="G10" s="515" t="s">
        <v>4</v>
      </c>
      <c r="H10" s="515"/>
      <c r="I10" s="309"/>
      <c r="P10" s="51">
        <v>15</v>
      </c>
      <c r="Q10" s="372"/>
      <c r="S10" s="51">
        <f t="shared" si="3"/>
        <v>92</v>
      </c>
      <c r="T10" s="51">
        <f t="shared" si="10"/>
        <v>7.3789520908025681</v>
      </c>
      <c r="U10" s="61">
        <f t="shared" si="11"/>
        <v>7.4999999999999997E-2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10.927958259354176</v>
      </c>
      <c r="AA10" s="57">
        <f t="shared" si="5"/>
        <v>7.238788107190258</v>
      </c>
      <c r="AB10" s="57">
        <f t="shared" si="6"/>
        <v>15</v>
      </c>
      <c r="AC10" s="57">
        <f t="shared" si="7"/>
        <v>3.6891701521639177</v>
      </c>
      <c r="AD10" s="59">
        <f t="shared" si="8"/>
        <v>3.68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16" t="s">
        <v>173</v>
      </c>
      <c r="E11" s="516"/>
      <c r="F11" s="322" t="s">
        <v>174</v>
      </c>
      <c r="G11" s="517" t="s">
        <v>175</v>
      </c>
      <c r="H11" s="517"/>
      <c r="I11" s="301" t="s">
        <v>176</v>
      </c>
      <c r="J11" s="63">
        <f>G12-J13</f>
        <v>0.31000000000000005</v>
      </c>
      <c r="P11" s="51">
        <v>20</v>
      </c>
      <c r="Q11" s="372"/>
      <c r="S11" s="51">
        <f t="shared" si="3"/>
        <v>92</v>
      </c>
      <c r="T11" s="51">
        <f t="shared" si="10"/>
        <v>7.3789520908025681</v>
      </c>
      <c r="U11" s="61">
        <f t="shared" si="11"/>
        <v>7.4999999999999997E-2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11.213065481515873</v>
      </c>
      <c r="AA11" s="57">
        <f t="shared" si="5"/>
        <v>7.238788107190258</v>
      </c>
      <c r="AB11" s="57">
        <f t="shared" si="6"/>
        <v>20</v>
      </c>
      <c r="AC11" s="57">
        <f t="shared" si="7"/>
        <v>3.9742773743256148</v>
      </c>
      <c r="AD11" s="59">
        <f t="shared" si="8"/>
        <v>3.97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92</v>
      </c>
      <c r="C12" s="325">
        <v>45489.458333333336</v>
      </c>
      <c r="D12" s="505">
        <v>1</v>
      </c>
      <c r="E12" s="505"/>
      <c r="F12" s="326">
        <f>G12+$D$10</f>
        <v>4.2300000000000004</v>
      </c>
      <c r="G12" s="506">
        <f>AD4</f>
        <v>1</v>
      </c>
      <c r="H12" s="506"/>
      <c r="I12" s="301" t="s">
        <v>177</v>
      </c>
      <c r="J12" s="64"/>
      <c r="P12" s="51">
        <v>25</v>
      </c>
      <c r="Q12" s="372"/>
      <c r="S12" s="51">
        <f t="shared" si="3"/>
        <v>92</v>
      </c>
      <c r="T12" s="51">
        <f t="shared" si="10"/>
        <v>7.3789520908025681</v>
      </c>
      <c r="U12" s="61">
        <f t="shared" si="11"/>
        <v>7.4999999999999997E-2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11.434211823782833</v>
      </c>
      <c r="AA12" s="57">
        <f t="shared" si="5"/>
        <v>7.238788107190258</v>
      </c>
      <c r="AB12" s="57">
        <f t="shared" si="6"/>
        <v>25</v>
      </c>
      <c r="AC12" s="57">
        <f t="shared" si="7"/>
        <v>4.1954237165925754</v>
      </c>
      <c r="AD12" s="59">
        <f t="shared" si="8"/>
        <v>4.1900000000000004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05">
        <v>2</v>
      </c>
      <c r="E13" s="505"/>
      <c r="F13" s="326">
        <f t="shared" ref="F13:F51" si="13">G13+$D$10</f>
        <v>4.92</v>
      </c>
      <c r="G13" s="506">
        <f t="shared" ref="G13:G51" si="14">AD5</f>
        <v>1.69</v>
      </c>
      <c r="H13" s="506"/>
      <c r="I13" s="327"/>
      <c r="J13" s="328">
        <f>G13-G12</f>
        <v>0.69</v>
      </c>
      <c r="P13" s="51">
        <v>30</v>
      </c>
      <c r="Q13" s="372"/>
      <c r="S13" s="51">
        <f t="shared" si="3"/>
        <v>92</v>
      </c>
      <c r="T13" s="51">
        <f t="shared" si="10"/>
        <v>7.3789520908025681</v>
      </c>
      <c r="U13" s="61">
        <f t="shared" si="11"/>
        <v>7.4999999999999997E-2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11.614901541966203</v>
      </c>
      <c r="AA13" s="57">
        <f t="shared" si="5"/>
        <v>7.238788107190258</v>
      </c>
      <c r="AB13" s="57">
        <f t="shared" si="6"/>
        <v>30</v>
      </c>
      <c r="AC13" s="57">
        <f t="shared" si="7"/>
        <v>4.3761134347759452</v>
      </c>
      <c r="AD13" s="59">
        <f t="shared" si="8"/>
        <v>4.37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05">
        <v>3</v>
      </c>
      <c r="E14" s="505"/>
      <c r="F14" s="326">
        <f t="shared" si="13"/>
        <v>5.32</v>
      </c>
      <c r="G14" s="506">
        <f t="shared" si="14"/>
        <v>2.09</v>
      </c>
      <c r="H14" s="506"/>
      <c r="I14" s="327"/>
      <c r="J14" s="328">
        <f t="shared" ref="J14:J51" si="15">G14-G13</f>
        <v>0.39999999999999991</v>
      </c>
      <c r="Q14" s="372"/>
      <c r="S14" s="51">
        <f t="shared" si="3"/>
        <v>92</v>
      </c>
      <c r="T14" s="51">
        <f t="shared" si="10"/>
        <v>7.3789520908025681</v>
      </c>
      <c r="U14" s="61">
        <f t="shared" si="11"/>
        <v>7.4999999999999997E-2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11.7676725219071</v>
      </c>
      <c r="AA14" s="57">
        <f t="shared" si="5"/>
        <v>7.238788107190258</v>
      </c>
      <c r="AB14" s="57">
        <f t="shared" si="6"/>
        <v>35</v>
      </c>
      <c r="AC14" s="57">
        <f t="shared" si="7"/>
        <v>4.5288844147168419</v>
      </c>
      <c r="AD14" s="59">
        <f t="shared" si="8"/>
        <v>4.5199999999999996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05">
        <v>4</v>
      </c>
      <c r="E15" s="505"/>
      <c r="F15" s="326">
        <f t="shared" si="13"/>
        <v>5.6</v>
      </c>
      <c r="G15" s="506">
        <f t="shared" si="14"/>
        <v>2.37</v>
      </c>
      <c r="H15" s="506"/>
      <c r="I15" s="327"/>
      <c r="J15" s="328">
        <f t="shared" si="15"/>
        <v>0.28000000000000025</v>
      </c>
      <c r="Q15" s="372"/>
      <c r="S15" s="51">
        <f t="shared" si="3"/>
        <v>92</v>
      </c>
      <c r="T15" s="51">
        <f t="shared" si="10"/>
        <v>7.3789520908025681</v>
      </c>
      <c r="U15" s="61">
        <f t="shared" si="11"/>
        <v>7.4999999999999997E-2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11.9000087641279</v>
      </c>
      <c r="AA15" s="57">
        <f t="shared" si="5"/>
        <v>7.238788107190258</v>
      </c>
      <c r="AB15" s="57">
        <f t="shared" si="6"/>
        <v>40</v>
      </c>
      <c r="AC15" s="57">
        <f t="shared" si="7"/>
        <v>4.6612206569376422</v>
      </c>
      <c r="AD15" s="59">
        <f t="shared" si="8"/>
        <v>4.66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05">
        <v>5</v>
      </c>
      <c r="E16" s="505"/>
      <c r="F16" s="326">
        <f t="shared" si="13"/>
        <v>5.83</v>
      </c>
      <c r="G16" s="506">
        <f t="shared" si="14"/>
        <v>2.6</v>
      </c>
      <c r="H16" s="506"/>
      <c r="I16" s="327"/>
      <c r="J16" s="328">
        <f t="shared" si="15"/>
        <v>0.22999999999999998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92</v>
      </c>
      <c r="T16" s="51">
        <f t="shared" si="10"/>
        <v>7.3789520908025681</v>
      </c>
      <c r="U16" s="61">
        <f t="shared" si="11"/>
        <v>7.4999999999999997E-2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12.016737602416535</v>
      </c>
      <c r="AA16" s="57">
        <f t="shared" si="5"/>
        <v>7.238788107190258</v>
      </c>
      <c r="AB16" s="57">
        <f t="shared" si="6"/>
        <v>45</v>
      </c>
      <c r="AC16" s="57">
        <f t="shared" si="7"/>
        <v>4.7779494952262773</v>
      </c>
      <c r="AD16" s="59">
        <f t="shared" si="8"/>
        <v>4.7699999999999996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05">
        <v>10</v>
      </c>
      <c r="E17" s="505"/>
      <c r="F17" s="326">
        <f t="shared" si="13"/>
        <v>6.51</v>
      </c>
      <c r="G17" s="506">
        <f t="shared" si="14"/>
        <v>3.28</v>
      </c>
      <c r="H17" s="506"/>
      <c r="I17" s="327"/>
      <c r="J17" s="328">
        <f t="shared" si="15"/>
        <v>0.67999999999999972</v>
      </c>
      <c r="K17" s="373">
        <f>D12</f>
        <v>1</v>
      </c>
      <c r="L17" s="374">
        <f>INT(B12/1440*10000)/10000</f>
        <v>6.3799999999999996E-2</v>
      </c>
      <c r="M17" s="374">
        <f>K17*L17</f>
        <v>6.3799999999999996E-2</v>
      </c>
      <c r="N17" s="374">
        <f>INT((D9/2000)^2*3.14159*100000)/100000</f>
        <v>1.7670000000000002E-2</v>
      </c>
      <c r="O17" s="374">
        <f>INT(M17/N17*100)/100</f>
        <v>3.61</v>
      </c>
      <c r="P17" s="375">
        <f>INT((G12-O17)*100)/100</f>
        <v>-2.61</v>
      </c>
      <c r="S17" s="51">
        <f t="shared" si="3"/>
        <v>92</v>
      </c>
      <c r="T17" s="51">
        <f t="shared" si="10"/>
        <v>7.3789520908025681</v>
      </c>
      <c r="U17" s="61">
        <f t="shared" si="11"/>
        <v>7.4999999999999997E-2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12.121155106394861</v>
      </c>
      <c r="AA17" s="57">
        <f t="shared" si="5"/>
        <v>7.238788107190258</v>
      </c>
      <c r="AB17" s="57">
        <f t="shared" si="6"/>
        <v>50</v>
      </c>
      <c r="AC17" s="57">
        <f t="shared" si="7"/>
        <v>4.8823669992046028</v>
      </c>
      <c r="AD17" s="59">
        <f t="shared" ref="AD17:AD22" si="16">INT(AC17*100)/100</f>
        <v>4.88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05">
        <v>15</v>
      </c>
      <c r="E18" s="505"/>
      <c r="F18" s="326">
        <f t="shared" si="13"/>
        <v>6.91</v>
      </c>
      <c r="G18" s="506">
        <f t="shared" si="14"/>
        <v>3.68</v>
      </c>
      <c r="H18" s="506"/>
      <c r="I18" s="327"/>
      <c r="J18" s="328">
        <f t="shared" si="15"/>
        <v>0.40000000000000036</v>
      </c>
      <c r="K18" s="373">
        <f>D13</f>
        <v>2</v>
      </c>
      <c r="L18" s="374">
        <f>L17</f>
        <v>6.3799999999999996E-2</v>
      </c>
      <c r="M18" s="374">
        <f t="shared" ref="M18:M32" si="17">K18*L18</f>
        <v>0.12759999999999999</v>
      </c>
      <c r="N18" s="374">
        <f>N17</f>
        <v>1.7670000000000002E-2</v>
      </c>
      <c r="O18" s="374">
        <f>INT(M18/N18*100)/100</f>
        <v>7.22</v>
      </c>
      <c r="P18" s="375">
        <f>INT((G13-O18)*100*0.98)/100</f>
        <v>-5.42</v>
      </c>
      <c r="S18" s="51">
        <f t="shared" si="3"/>
        <v>92</v>
      </c>
      <c r="T18" s="51">
        <f t="shared" si="10"/>
        <v>7.3789520908025681</v>
      </c>
      <c r="U18" s="61">
        <f t="shared" si="11"/>
        <v>7.4999999999999997E-2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12.215612228370363</v>
      </c>
      <c r="AA18" s="57">
        <f t="shared" si="5"/>
        <v>7.238788107190258</v>
      </c>
      <c r="AB18" s="57">
        <f t="shared" si="6"/>
        <v>55</v>
      </c>
      <c r="AC18" s="57">
        <f t="shared" si="7"/>
        <v>4.9768241211801048</v>
      </c>
      <c r="AD18" s="59">
        <f t="shared" si="16"/>
        <v>4.97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05">
        <v>20</v>
      </c>
      <c r="E19" s="505"/>
      <c r="F19" s="326">
        <f t="shared" si="13"/>
        <v>7.2</v>
      </c>
      <c r="G19" s="506">
        <f t="shared" si="14"/>
        <v>3.97</v>
      </c>
      <c r="H19" s="506"/>
      <c r="I19" s="327"/>
      <c r="J19" s="328">
        <f t="shared" si="15"/>
        <v>0.29000000000000004</v>
      </c>
      <c r="K19" s="373">
        <f t="shared" ref="K19:K32" si="18">D14</f>
        <v>3</v>
      </c>
      <c r="L19" s="374">
        <f>L18</f>
        <v>6.3799999999999996E-2</v>
      </c>
      <c r="M19" s="374">
        <f t="shared" si="17"/>
        <v>0.19139999999999999</v>
      </c>
      <c r="N19" s="374">
        <f t="shared" ref="N19:N32" si="19">N18</f>
        <v>1.7670000000000002E-2</v>
      </c>
      <c r="O19" s="374">
        <f>INT(M19/N19*100)/100</f>
        <v>10.83</v>
      </c>
      <c r="P19" s="375">
        <f>INT((G14-O19)*100*0.95)/100</f>
        <v>-8.31</v>
      </c>
      <c r="S19" s="51">
        <f t="shared" si="3"/>
        <v>92</v>
      </c>
      <c r="T19" s="51">
        <f t="shared" si="10"/>
        <v>7.3789520908025681</v>
      </c>
      <c r="U19" s="61">
        <f t="shared" si="11"/>
        <v>7.4999999999999997E-2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12.301844824578231</v>
      </c>
      <c r="AA19" s="57">
        <f t="shared" si="5"/>
        <v>7.238788107190258</v>
      </c>
      <c r="AB19" s="57">
        <f t="shared" si="6"/>
        <v>60</v>
      </c>
      <c r="AC19" s="57">
        <f t="shared" si="7"/>
        <v>5.0630567173879726</v>
      </c>
      <c r="AD19" s="59">
        <f t="shared" si="16"/>
        <v>5.0599999999999996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05">
        <v>25</v>
      </c>
      <c r="E20" s="505"/>
      <c r="F20" s="326">
        <f t="shared" si="13"/>
        <v>7.42</v>
      </c>
      <c r="G20" s="506">
        <f t="shared" si="14"/>
        <v>4.1900000000000004</v>
      </c>
      <c r="H20" s="506"/>
      <c r="I20" s="327"/>
      <c r="J20" s="328">
        <f t="shared" si="15"/>
        <v>0.2200000000000002</v>
      </c>
      <c r="K20" s="373">
        <f t="shared" si="18"/>
        <v>4</v>
      </c>
      <c r="L20" s="374">
        <f>L19</f>
        <v>6.3799999999999996E-2</v>
      </c>
      <c r="M20" s="374">
        <f t="shared" si="17"/>
        <v>0.25519999999999998</v>
      </c>
      <c r="N20" s="374">
        <f t="shared" si="19"/>
        <v>1.7670000000000002E-2</v>
      </c>
      <c r="O20" s="374">
        <f>INT(M20/N20*100)/100</f>
        <v>14.44</v>
      </c>
      <c r="P20" s="375">
        <f>INT((G15-O20)*100*0.91)/100</f>
        <v>-10.99</v>
      </c>
      <c r="S20" s="51">
        <f t="shared" si="3"/>
        <v>92</v>
      </c>
      <c r="T20" s="51">
        <f t="shared" si="10"/>
        <v>7.3789520908025681</v>
      </c>
      <c r="U20" s="61">
        <f t="shared" si="11"/>
        <v>7.4999999999999997E-2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12.522991166845191</v>
      </c>
      <c r="AA20" s="57">
        <f t="shared" si="5"/>
        <v>7.238788107190258</v>
      </c>
      <c r="AB20" s="57">
        <f t="shared" si="6"/>
        <v>75</v>
      </c>
      <c r="AC20" s="57">
        <f t="shared" si="7"/>
        <v>5.2842030596549332</v>
      </c>
      <c r="AD20" s="59">
        <f t="shared" si="16"/>
        <v>5.28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05">
        <v>30</v>
      </c>
      <c r="E21" s="505"/>
      <c r="F21" s="326">
        <f t="shared" si="13"/>
        <v>7.6</v>
      </c>
      <c r="G21" s="506">
        <f t="shared" si="14"/>
        <v>4.37</v>
      </c>
      <c r="H21" s="506"/>
      <c r="I21" s="327"/>
      <c r="J21" s="328">
        <f t="shared" si="15"/>
        <v>0.17999999999999972</v>
      </c>
      <c r="K21" s="373">
        <f t="shared" si="18"/>
        <v>5</v>
      </c>
      <c r="L21" s="373">
        <f>L20</f>
        <v>6.3799999999999996E-2</v>
      </c>
      <c r="M21" s="374">
        <f t="shared" si="17"/>
        <v>0.31899999999999995</v>
      </c>
      <c r="N21" s="374">
        <f t="shared" si="19"/>
        <v>1.7670000000000002E-2</v>
      </c>
      <c r="O21" s="373">
        <f>INT(M21/N21*100)/100</f>
        <v>18.05</v>
      </c>
      <c r="P21" s="375">
        <f>INT((G16-O21)*100*0.86)/100</f>
        <v>-13.29</v>
      </c>
      <c r="S21" s="51">
        <f t="shared" si="3"/>
        <v>92</v>
      </c>
      <c r="T21" s="51">
        <f t="shared" si="10"/>
        <v>7.3789520908025681</v>
      </c>
      <c r="U21" s="61">
        <f t="shared" si="11"/>
        <v>7.4999999999999997E-2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12.703680885028563</v>
      </c>
      <c r="AA21" s="57">
        <f t="shared" si="5"/>
        <v>7.238788107190258</v>
      </c>
      <c r="AB21" s="57">
        <f t="shared" si="6"/>
        <v>90</v>
      </c>
      <c r="AC21" s="57">
        <f t="shared" si="7"/>
        <v>5.4648927778383047</v>
      </c>
      <c r="AD21" s="59">
        <f t="shared" si="16"/>
        <v>5.46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05">
        <v>35</v>
      </c>
      <c r="E22" s="505"/>
      <c r="F22" s="326">
        <f t="shared" si="13"/>
        <v>7.75</v>
      </c>
      <c r="G22" s="506">
        <f t="shared" si="14"/>
        <v>4.5199999999999996</v>
      </c>
      <c r="H22" s="506"/>
      <c r="I22" s="301"/>
      <c r="J22" s="328">
        <f t="shared" si="15"/>
        <v>0.14999999999999947</v>
      </c>
      <c r="K22" s="373">
        <f t="shared" si="18"/>
        <v>10</v>
      </c>
      <c r="L22" s="373">
        <f t="shared" ref="L22:L32" si="20">L21</f>
        <v>6.3799999999999996E-2</v>
      </c>
      <c r="M22" s="374">
        <f t="shared" si="17"/>
        <v>0.6379999999999999</v>
      </c>
      <c r="N22" s="374">
        <f t="shared" si="19"/>
        <v>1.7670000000000002E-2</v>
      </c>
      <c r="O22" s="373">
        <f t="shared" ref="O22:O30" si="21">INT(M22/N22*100)/100</f>
        <v>36.1</v>
      </c>
      <c r="P22" s="375">
        <f>INT((G17-O22)*100*0.8)/100</f>
        <v>-26.26</v>
      </c>
      <c r="S22" s="51">
        <f t="shared" si="3"/>
        <v>92</v>
      </c>
      <c r="T22" s="51">
        <f t="shared" si="10"/>
        <v>7.3789520908025681</v>
      </c>
      <c r="U22" s="61">
        <f t="shared" si="11"/>
        <v>7.4999999999999997E-2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12.856451864969459</v>
      </c>
      <c r="Z22" s="57">
        <f>Y23-Z23</f>
        <v>7.238788107190258</v>
      </c>
      <c r="AA22" s="57">
        <f t="shared" si="5"/>
        <v>7.238788107190258</v>
      </c>
      <c r="AB22" s="57">
        <f t="shared" si="6"/>
        <v>105</v>
      </c>
      <c r="AC22" s="57">
        <f t="shared" si="7"/>
        <v>5.6176637577792015</v>
      </c>
      <c r="AD22" s="59">
        <f t="shared" si="16"/>
        <v>5.61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05">
        <v>40</v>
      </c>
      <c r="E23" s="505"/>
      <c r="F23" s="326">
        <f t="shared" si="13"/>
        <v>7.8900000000000006</v>
      </c>
      <c r="G23" s="506">
        <f t="shared" si="14"/>
        <v>4.66</v>
      </c>
      <c r="H23" s="506"/>
      <c r="I23" s="301"/>
      <c r="J23" s="328">
        <f t="shared" si="15"/>
        <v>0.14000000000000057</v>
      </c>
      <c r="K23" s="373">
        <f t="shared" si="18"/>
        <v>15</v>
      </c>
      <c r="L23" s="373">
        <f t="shared" si="20"/>
        <v>6.3799999999999996E-2</v>
      </c>
      <c r="M23" s="374">
        <f t="shared" si="17"/>
        <v>0.95699999999999996</v>
      </c>
      <c r="N23" s="374">
        <f t="shared" si="19"/>
        <v>1.7670000000000002E-2</v>
      </c>
      <c r="O23" s="373">
        <f t="shared" si="21"/>
        <v>54.15</v>
      </c>
      <c r="P23" s="375">
        <f t="shared" ref="P23:P32" si="22">INT((G18-O23)*100)/100</f>
        <v>-50.47</v>
      </c>
      <c r="S23" s="51">
        <f t="shared" si="3"/>
        <v>92</v>
      </c>
      <c r="T23" s="51">
        <f t="shared" si="10"/>
        <v>7.3789520908025681</v>
      </c>
      <c r="U23" s="61">
        <f t="shared" si="11"/>
        <v>7.4999999999999997E-2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12.988788107190258</v>
      </c>
      <c r="Z23" s="57">
        <f>Input!B20</f>
        <v>5.75</v>
      </c>
      <c r="AA23" s="57">
        <f t="shared" si="5"/>
        <v>7.238788107190258</v>
      </c>
      <c r="AB23" s="57">
        <f t="shared" si="6"/>
        <v>120</v>
      </c>
      <c r="AC23" s="57">
        <f t="shared" si="7"/>
        <v>5.75</v>
      </c>
      <c r="AD23" s="59">
        <f>INT((AC$3+AE23)*100)/100</f>
        <v>5.75</v>
      </c>
      <c r="AE23" s="57">
        <f>AG$23*AF23</f>
        <v>5.75</v>
      </c>
      <c r="AF23" s="57">
        <v>1</v>
      </c>
      <c r="AG23" s="57">
        <f>AC23-AC3</f>
        <v>5.75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05">
        <v>45</v>
      </c>
      <c r="E24" s="505"/>
      <c r="F24" s="326">
        <f t="shared" si="13"/>
        <v>8</v>
      </c>
      <c r="G24" s="506">
        <f t="shared" si="14"/>
        <v>4.7699999999999996</v>
      </c>
      <c r="H24" s="506"/>
      <c r="I24" s="301"/>
      <c r="J24" s="328">
        <f t="shared" si="15"/>
        <v>0.10999999999999943</v>
      </c>
      <c r="K24" s="373">
        <f t="shared" si="18"/>
        <v>20</v>
      </c>
      <c r="L24" s="373">
        <f t="shared" si="20"/>
        <v>6.3799999999999996E-2</v>
      </c>
      <c r="M24" s="374">
        <f t="shared" si="17"/>
        <v>1.2759999999999998</v>
      </c>
      <c r="N24" s="374">
        <f t="shared" si="19"/>
        <v>1.7670000000000002E-2</v>
      </c>
      <c r="O24" s="373">
        <f t="shared" si="21"/>
        <v>72.209999999999994</v>
      </c>
      <c r="P24" s="375">
        <f t="shared" si="22"/>
        <v>-68.239999999999995</v>
      </c>
      <c r="R24" s="55">
        <f>B32</f>
        <v>117</v>
      </c>
      <c r="S24" s="51">
        <f>$R$24</f>
        <v>117</v>
      </c>
      <c r="T24" s="51">
        <f t="shared" si="10"/>
        <v>7.3789520908025681</v>
      </c>
      <c r="U24" s="61">
        <f t="shared" si="11"/>
        <v>7.4999999999999997E-2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16.619232451098025</v>
      </c>
      <c r="Z24" s="57">
        <f>Z27</f>
        <v>9.7219627457268185</v>
      </c>
      <c r="AA24" s="57">
        <f>$Z$24</f>
        <v>9.7219627457268185</v>
      </c>
      <c r="AB24" s="57">
        <f t="shared" si="6"/>
        <v>130</v>
      </c>
      <c r="AC24" s="57">
        <f t="shared" si="7"/>
        <v>6.8972697053712064</v>
      </c>
      <c r="AD24" s="59">
        <f>INT((AC$23+AE24)*100)/100</f>
        <v>6.9</v>
      </c>
      <c r="AE24" s="57">
        <f>AF24*AG$28</f>
        <v>1.1519999999999999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05">
        <v>50</v>
      </c>
      <c r="E25" s="505"/>
      <c r="F25" s="326">
        <f t="shared" si="13"/>
        <v>8.11</v>
      </c>
      <c r="G25" s="506">
        <f t="shared" si="14"/>
        <v>4.88</v>
      </c>
      <c r="H25" s="506"/>
      <c r="I25" s="301"/>
      <c r="J25" s="328">
        <f t="shared" si="15"/>
        <v>0.11000000000000032</v>
      </c>
      <c r="K25" s="373">
        <f t="shared" si="18"/>
        <v>25</v>
      </c>
      <c r="L25" s="373">
        <f t="shared" si="20"/>
        <v>6.3799999999999996E-2</v>
      </c>
      <c r="M25" s="374">
        <f t="shared" si="17"/>
        <v>1.595</v>
      </c>
      <c r="N25" s="374">
        <f t="shared" si="19"/>
        <v>1.7670000000000002E-2</v>
      </c>
      <c r="O25" s="373">
        <f t="shared" si="21"/>
        <v>90.26</v>
      </c>
      <c r="P25" s="375">
        <f t="shared" si="22"/>
        <v>-86.07</v>
      </c>
      <c r="S25" s="51">
        <f>$R$24</f>
        <v>117</v>
      </c>
      <c r="T25" s="51">
        <f t="shared" si="10"/>
        <v>7.3789520908025681</v>
      </c>
      <c r="U25" s="61">
        <f t="shared" si="11"/>
        <v>7.4999999999999997E-2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16.712634926025487</v>
      </c>
      <c r="AA25" s="57">
        <f>$Z$24</f>
        <v>9.7219627457268185</v>
      </c>
      <c r="AB25" s="57">
        <f t="shared" si="6"/>
        <v>140</v>
      </c>
      <c r="AC25" s="57">
        <f t="shared" si="7"/>
        <v>6.9906721802986684</v>
      </c>
      <c r="AD25" s="59">
        <f>INT((AC$23+AE25)*100)/100</f>
        <v>7.09</v>
      </c>
      <c r="AE25" s="57">
        <f>AF25*AG$28</f>
        <v>1.3439999999999999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05">
        <v>55</v>
      </c>
      <c r="E26" s="505"/>
      <c r="F26" s="326">
        <f t="shared" si="13"/>
        <v>8.1999999999999993</v>
      </c>
      <c r="G26" s="506">
        <f t="shared" si="14"/>
        <v>4.97</v>
      </c>
      <c r="H26" s="506"/>
      <c r="I26" s="301"/>
      <c r="J26" s="328">
        <f t="shared" si="15"/>
        <v>8.9999999999999858E-2</v>
      </c>
      <c r="K26" s="373">
        <f t="shared" si="18"/>
        <v>30</v>
      </c>
      <c r="L26" s="373">
        <f t="shared" si="20"/>
        <v>6.3799999999999996E-2</v>
      </c>
      <c r="M26" s="374">
        <f t="shared" si="17"/>
        <v>1.9139999999999999</v>
      </c>
      <c r="N26" s="374">
        <f t="shared" si="19"/>
        <v>1.7670000000000002E-2</v>
      </c>
      <c r="O26" s="374">
        <f t="shared" si="21"/>
        <v>108.31</v>
      </c>
      <c r="P26" s="375">
        <f t="shared" si="22"/>
        <v>-103.94</v>
      </c>
      <c r="S26" s="51">
        <f>$R$24</f>
        <v>117</v>
      </c>
      <c r="T26" s="51">
        <f t="shared" si="10"/>
        <v>7.3789520908025681</v>
      </c>
      <c r="U26" s="61">
        <f t="shared" si="11"/>
        <v>7.4999999999999997E-2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16.7995905498532</v>
      </c>
      <c r="AA26" s="57">
        <f>$Z$24</f>
        <v>9.7219627457268185</v>
      </c>
      <c r="AB26" s="57">
        <f t="shared" si="6"/>
        <v>150</v>
      </c>
      <c r="AC26" s="57">
        <f t="shared" si="7"/>
        <v>7.0776278041263812</v>
      </c>
      <c r="AD26" s="59">
        <f>INT((AC$23+AE26)*100)/100</f>
        <v>7.28</v>
      </c>
      <c r="AE26" s="57">
        <f>AF26*AG$28</f>
        <v>1.536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05">
        <v>60</v>
      </c>
      <c r="E27" s="505"/>
      <c r="F27" s="326">
        <f t="shared" si="13"/>
        <v>8.2899999999999991</v>
      </c>
      <c r="G27" s="506">
        <f t="shared" si="14"/>
        <v>5.0599999999999996</v>
      </c>
      <c r="H27" s="506"/>
      <c r="I27" s="301"/>
      <c r="J27" s="328">
        <f t="shared" si="15"/>
        <v>8.9999999999999858E-2</v>
      </c>
      <c r="K27" s="373">
        <f t="shared" si="18"/>
        <v>35</v>
      </c>
      <c r="L27" s="373">
        <f t="shared" si="20"/>
        <v>6.3799999999999996E-2</v>
      </c>
      <c r="M27" s="374">
        <f t="shared" si="17"/>
        <v>2.2329999999999997</v>
      </c>
      <c r="N27" s="374">
        <f t="shared" si="19"/>
        <v>1.7670000000000002E-2</v>
      </c>
      <c r="O27" s="374">
        <f t="shared" si="21"/>
        <v>126.37</v>
      </c>
      <c r="P27" s="375">
        <f t="shared" si="22"/>
        <v>-121.85</v>
      </c>
      <c r="S27" s="51">
        <f>$R$24</f>
        <v>117</v>
      </c>
      <c r="T27" s="51">
        <f t="shared" si="10"/>
        <v>7.3789520908025681</v>
      </c>
      <c r="U27" s="61">
        <f t="shared" si="11"/>
        <v>7.4999999999999997E-2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17.029380734934225</v>
      </c>
      <c r="Z27" s="57">
        <f>Y28-Z28</f>
        <v>9.7219627457268185</v>
      </c>
      <c r="AA27" s="57">
        <f>$Z$24</f>
        <v>9.7219627457268185</v>
      </c>
      <c r="AB27" s="57">
        <f t="shared" si="6"/>
        <v>180</v>
      </c>
      <c r="AC27" s="57">
        <f t="shared" si="7"/>
        <v>7.3074179892074067</v>
      </c>
      <c r="AD27" s="59">
        <f>INT((AC$23+AE27)*100)/100</f>
        <v>7.47</v>
      </c>
      <c r="AE27" s="57">
        <f>AF27*AG$28</f>
        <v>1.728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05">
        <v>75</v>
      </c>
      <c r="E28" s="505"/>
      <c r="F28" s="326">
        <f t="shared" si="13"/>
        <v>8.51</v>
      </c>
      <c r="G28" s="506">
        <f t="shared" si="14"/>
        <v>5.28</v>
      </c>
      <c r="H28" s="506"/>
      <c r="I28" s="301"/>
      <c r="J28" s="328">
        <f t="shared" si="15"/>
        <v>0.22000000000000064</v>
      </c>
      <c r="K28" s="373">
        <f t="shared" si="18"/>
        <v>40</v>
      </c>
      <c r="L28" s="373">
        <f t="shared" si="20"/>
        <v>6.3799999999999996E-2</v>
      </c>
      <c r="M28" s="374">
        <f t="shared" si="17"/>
        <v>2.5519999999999996</v>
      </c>
      <c r="N28" s="374">
        <f t="shared" si="19"/>
        <v>1.7670000000000002E-2</v>
      </c>
      <c r="O28" s="374">
        <f t="shared" si="21"/>
        <v>144.41999999999999</v>
      </c>
      <c r="P28" s="375">
        <f t="shared" si="22"/>
        <v>-139.76</v>
      </c>
      <c r="S28" s="51">
        <f>$R$24</f>
        <v>117</v>
      </c>
      <c r="T28" s="51">
        <f t="shared" si="10"/>
        <v>7.3789520908025681</v>
      </c>
      <c r="U28" s="61">
        <f t="shared" si="11"/>
        <v>7.4999999999999997E-2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17.391962745726818</v>
      </c>
      <c r="Z28" s="57">
        <f>Input!B21</f>
        <v>7.67</v>
      </c>
      <c r="AA28" s="57">
        <f>$Z$24</f>
        <v>9.7219627457268185</v>
      </c>
      <c r="AB28" s="57">
        <f t="shared" si="6"/>
        <v>240</v>
      </c>
      <c r="AC28" s="57">
        <f t="shared" si="7"/>
        <v>7.67</v>
      </c>
      <c r="AD28" s="59">
        <f>INT((AC$23+AE28)*100)/100</f>
        <v>7.67</v>
      </c>
      <c r="AE28" s="57">
        <f>AF28*AG$28</f>
        <v>1.92</v>
      </c>
      <c r="AF28" s="57">
        <v>1</v>
      </c>
      <c r="AG28" s="57">
        <f>AC28-AC23</f>
        <v>1.92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05">
        <v>90</v>
      </c>
      <c r="E29" s="505"/>
      <c r="F29" s="326">
        <f t="shared" si="13"/>
        <v>8.69</v>
      </c>
      <c r="G29" s="506">
        <f t="shared" si="14"/>
        <v>5.46</v>
      </c>
      <c r="H29" s="506"/>
      <c r="I29" s="301"/>
      <c r="J29" s="328">
        <f t="shared" si="15"/>
        <v>0.17999999999999972</v>
      </c>
      <c r="K29" s="373">
        <f t="shared" si="18"/>
        <v>45</v>
      </c>
      <c r="L29" s="373">
        <f t="shared" si="20"/>
        <v>6.3799999999999996E-2</v>
      </c>
      <c r="M29" s="374">
        <f t="shared" si="17"/>
        <v>2.871</v>
      </c>
      <c r="N29" s="374">
        <f t="shared" si="19"/>
        <v>1.7670000000000002E-2</v>
      </c>
      <c r="O29" s="374">
        <f t="shared" si="21"/>
        <v>162.47</v>
      </c>
      <c r="P29" s="375">
        <f t="shared" si="22"/>
        <v>-157.69999999999999</v>
      </c>
      <c r="R29" s="55">
        <f>B37</f>
        <v>142.79999999999998</v>
      </c>
      <c r="S29" s="51">
        <f>$R$29</f>
        <v>142.79999999999998</v>
      </c>
      <c r="T29" s="51">
        <f t="shared" si="10"/>
        <v>7.3789520908025681</v>
      </c>
      <c r="U29" s="61">
        <f t="shared" si="11"/>
        <v>7.4999999999999997E-2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21.289909221553291</v>
      </c>
      <c r="Z29" s="57">
        <f>Z32</f>
        <v>12.020832955392104</v>
      </c>
      <c r="AA29" s="57">
        <f>$Z$29</f>
        <v>12.020832955392104</v>
      </c>
      <c r="AB29" s="57">
        <f t="shared" si="6"/>
        <v>250</v>
      </c>
      <c r="AC29" s="57">
        <f t="shared" si="7"/>
        <v>9.2690762661611874</v>
      </c>
      <c r="AD29" s="59">
        <f>INT((AC$28+AE29)*100)/100</f>
        <v>8.9600000000000009</v>
      </c>
      <c r="AE29" s="57">
        <f>AF29*AG$33</f>
        <v>1.296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05">
        <v>105</v>
      </c>
      <c r="E30" s="505"/>
      <c r="F30" s="326">
        <f t="shared" si="13"/>
        <v>8.84</v>
      </c>
      <c r="G30" s="506">
        <f t="shared" si="14"/>
        <v>5.61</v>
      </c>
      <c r="H30" s="506"/>
      <c r="I30" s="301"/>
      <c r="J30" s="328">
        <f t="shared" si="15"/>
        <v>0.15000000000000036</v>
      </c>
      <c r="K30" s="373">
        <f t="shared" si="18"/>
        <v>50</v>
      </c>
      <c r="L30" s="373">
        <f t="shared" si="20"/>
        <v>6.3799999999999996E-2</v>
      </c>
      <c r="M30" s="374">
        <f t="shared" si="17"/>
        <v>3.19</v>
      </c>
      <c r="N30" s="374">
        <f t="shared" si="19"/>
        <v>1.7670000000000002E-2</v>
      </c>
      <c r="O30" s="374">
        <f t="shared" si="21"/>
        <v>180.53</v>
      </c>
      <c r="P30" s="375">
        <f t="shared" si="22"/>
        <v>-175.65</v>
      </c>
      <c r="R30" s="51" t="s">
        <v>21</v>
      </c>
      <c r="S30" s="51">
        <f>$R$29</f>
        <v>142.79999999999998</v>
      </c>
      <c r="T30" s="51">
        <f t="shared" si="10"/>
        <v>7.3789520908025681</v>
      </c>
      <c r="U30" s="61">
        <f t="shared" si="11"/>
        <v>7.4999999999999997E-2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21.35024171665869</v>
      </c>
      <c r="AA30" s="57">
        <f>$Z$29</f>
        <v>12.020832955392104</v>
      </c>
      <c r="AB30" s="57">
        <f t="shared" si="6"/>
        <v>260</v>
      </c>
      <c r="AC30" s="57">
        <f t="shared" si="7"/>
        <v>9.3294087612665866</v>
      </c>
      <c r="AD30" s="59">
        <f>INT((AC$28+AE30)*100)/100</f>
        <v>9.18</v>
      </c>
      <c r="AE30" s="57">
        <f>AF30*AG$33</f>
        <v>1.512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05">
        <v>120</v>
      </c>
      <c r="E31" s="505"/>
      <c r="F31" s="326">
        <f t="shared" si="13"/>
        <v>8.98</v>
      </c>
      <c r="G31" s="506">
        <f t="shared" si="14"/>
        <v>5.75</v>
      </c>
      <c r="H31" s="506"/>
      <c r="I31" s="301"/>
      <c r="J31" s="328">
        <f t="shared" si="15"/>
        <v>0.13999999999999968</v>
      </c>
      <c r="K31" s="373">
        <f t="shared" si="18"/>
        <v>55</v>
      </c>
      <c r="L31" s="373">
        <f t="shared" si="20"/>
        <v>6.3799999999999996E-2</v>
      </c>
      <c r="M31" s="374">
        <f t="shared" si="17"/>
        <v>3.5089999999999999</v>
      </c>
      <c r="N31" s="374">
        <f t="shared" si="19"/>
        <v>1.7670000000000002E-2</v>
      </c>
      <c r="O31" s="374">
        <f>INT(M31/N31*100)/100</f>
        <v>198.58</v>
      </c>
      <c r="P31" s="375">
        <f t="shared" si="22"/>
        <v>-193.61</v>
      </c>
      <c r="S31" s="51">
        <f>$R$29</f>
        <v>142.79999999999998</v>
      </c>
      <c r="T31" s="51">
        <f t="shared" si="10"/>
        <v>7.3789520908025681</v>
      </c>
      <c r="U31" s="61">
        <f t="shared" si="11"/>
        <v>7.4999999999999997E-2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21.408296962732429</v>
      </c>
      <c r="AA31" s="57">
        <f>$Z$29</f>
        <v>12.020832955392104</v>
      </c>
      <c r="AB31" s="57">
        <f t="shared" si="6"/>
        <v>270</v>
      </c>
      <c r="AC31" s="57">
        <f t="shared" si="7"/>
        <v>9.3874640073403253</v>
      </c>
      <c r="AD31" s="59">
        <f>INT((AC$28+AE31)*100)/100</f>
        <v>9.39</v>
      </c>
      <c r="AE31" s="57">
        <f>AF31*AG$33</f>
        <v>1.7280000000000002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117</v>
      </c>
      <c r="C32" s="325">
        <f>$C$12+D32/1440</f>
        <v>45489.548611111117</v>
      </c>
      <c r="D32" s="505">
        <v>130</v>
      </c>
      <c r="E32" s="505"/>
      <c r="F32" s="326">
        <f t="shared" si="13"/>
        <v>10.130000000000001</v>
      </c>
      <c r="G32" s="506">
        <f t="shared" si="14"/>
        <v>6.9</v>
      </c>
      <c r="H32" s="506"/>
      <c r="I32" s="301"/>
      <c r="J32" s="328">
        <f t="shared" si="15"/>
        <v>1.1500000000000004</v>
      </c>
      <c r="K32" s="373">
        <f t="shared" si="18"/>
        <v>60</v>
      </c>
      <c r="L32" s="373">
        <f t="shared" si="20"/>
        <v>6.3799999999999996E-2</v>
      </c>
      <c r="M32" s="374">
        <f t="shared" si="17"/>
        <v>3.8279999999999998</v>
      </c>
      <c r="N32" s="374">
        <f t="shared" si="19"/>
        <v>1.7670000000000002E-2</v>
      </c>
      <c r="O32" s="374">
        <f>INT(M32/N32*100)/100</f>
        <v>216.63</v>
      </c>
      <c r="P32" s="375">
        <f t="shared" si="22"/>
        <v>-211.57</v>
      </c>
      <c r="S32" s="51">
        <f>$R$29</f>
        <v>142.79999999999998</v>
      </c>
      <c r="T32" s="51">
        <f t="shared" si="10"/>
        <v>7.3789520908025681</v>
      </c>
      <c r="U32" s="61">
        <f t="shared" si="11"/>
        <v>7.4999999999999997E-2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21.570371088472697</v>
      </c>
      <c r="Z32" s="57">
        <f>Y33-Z33</f>
        <v>12.020832955392104</v>
      </c>
      <c r="AA32" s="57">
        <f>$Z$29</f>
        <v>12.020832955392104</v>
      </c>
      <c r="AB32" s="57">
        <f t="shared" si="6"/>
        <v>300</v>
      </c>
      <c r="AC32" s="57">
        <f t="shared" si="7"/>
        <v>9.5495381330805937</v>
      </c>
      <c r="AD32" s="59">
        <f>INT((AC$28+AE32)*100)/100</f>
        <v>9.61</v>
      </c>
      <c r="AE32" s="57">
        <f>AF32*AG$33</f>
        <v>1.9440000000000002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05">
        <v>140</v>
      </c>
      <c r="E33" s="505"/>
      <c r="F33" s="326">
        <f t="shared" si="13"/>
        <v>10.32</v>
      </c>
      <c r="G33" s="506">
        <f t="shared" si="14"/>
        <v>7.09</v>
      </c>
      <c r="H33" s="506"/>
      <c r="I33" s="301"/>
      <c r="J33" s="328">
        <f t="shared" si="15"/>
        <v>0.1899999999999995</v>
      </c>
      <c r="L33" s="66" t="s">
        <v>21</v>
      </c>
      <c r="P33" s="58"/>
      <c r="S33" s="51">
        <f>$R$29</f>
        <v>142.79999999999998</v>
      </c>
      <c r="T33" s="51">
        <f t="shared" si="10"/>
        <v>7.3789520908025681</v>
      </c>
      <c r="U33" s="61">
        <f t="shared" si="11"/>
        <v>7.4999999999999997E-2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21.850832955392104</v>
      </c>
      <c r="Z33" s="57">
        <f>Input!B22</f>
        <v>9.83</v>
      </c>
      <c r="AA33" s="57">
        <f>$Z$29</f>
        <v>12.020832955392104</v>
      </c>
      <c r="AB33" s="57">
        <f t="shared" si="6"/>
        <v>360</v>
      </c>
      <c r="AC33" s="57">
        <f t="shared" si="7"/>
        <v>9.83</v>
      </c>
      <c r="AD33" s="59">
        <f>INT((AC$28+AE33)*100)/100</f>
        <v>9.83</v>
      </c>
      <c r="AE33" s="57">
        <f>AF33*AG$33</f>
        <v>2.16</v>
      </c>
      <c r="AF33" s="57">
        <v>1</v>
      </c>
      <c r="AG33" s="57">
        <f>AC33-AC28</f>
        <v>2.16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05">
        <v>150</v>
      </c>
      <c r="E34" s="505"/>
      <c r="F34" s="326">
        <f t="shared" si="13"/>
        <v>10.51</v>
      </c>
      <c r="G34" s="506">
        <f t="shared" si="14"/>
        <v>7.28</v>
      </c>
      <c r="H34" s="506"/>
      <c r="I34" s="301"/>
      <c r="J34" s="328">
        <f t="shared" si="15"/>
        <v>0.19000000000000039</v>
      </c>
      <c r="L34" s="66" t="s">
        <v>21</v>
      </c>
      <c r="R34" s="51">
        <f>B42</f>
        <v>168</v>
      </c>
      <c r="S34" s="51">
        <f>$R$34</f>
        <v>168</v>
      </c>
      <c r="T34" s="51">
        <f t="shared" si="10"/>
        <v>7.3789520908025681</v>
      </c>
      <c r="U34" s="61">
        <f t="shared" si="11"/>
        <v>7.4999999999999997E-2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25.756447398658143</v>
      </c>
      <c r="Z34" s="57">
        <f>Z37</f>
        <v>13.987492880060918</v>
      </c>
      <c r="AA34" s="57">
        <f>$Z$34</f>
        <v>13.987492880060918</v>
      </c>
      <c r="AB34" s="57">
        <f t="shared" si="6"/>
        <v>370</v>
      </c>
      <c r="AC34" s="57">
        <f t="shared" si="7"/>
        <v>11.768954518597225</v>
      </c>
      <c r="AD34" s="59">
        <f>INT((AC$33+AE34)*100)/100</f>
        <v>11.27</v>
      </c>
      <c r="AE34" s="57">
        <f>AG$38*AF34</f>
        <v>1.446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05">
        <v>180</v>
      </c>
      <c r="E35" s="505"/>
      <c r="F35" s="326">
        <f t="shared" si="13"/>
        <v>10.7</v>
      </c>
      <c r="G35" s="506">
        <f t="shared" si="14"/>
        <v>7.47</v>
      </c>
      <c r="H35" s="506"/>
      <c r="I35" s="301"/>
      <c r="J35" s="328">
        <f t="shared" si="15"/>
        <v>0.1899999999999995</v>
      </c>
      <c r="L35" s="66" t="s">
        <v>21</v>
      </c>
      <c r="S35" s="51">
        <f>$R$34</f>
        <v>168</v>
      </c>
      <c r="T35" s="51">
        <f t="shared" si="10"/>
        <v>7.3789520908025681</v>
      </c>
      <c r="U35" s="61">
        <f t="shared" si="11"/>
        <v>7.4999999999999997E-2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25.804710068684681</v>
      </c>
      <c r="AA35" s="57">
        <f>$Z$34</f>
        <v>13.987492880060918</v>
      </c>
      <c r="AB35" s="57">
        <f t="shared" si="6"/>
        <v>380</v>
      </c>
      <c r="AC35" s="57">
        <f t="shared" si="7"/>
        <v>11.817217188623763</v>
      </c>
      <c r="AD35" s="59">
        <f>INT((AC$33+AE35)*100)/100</f>
        <v>11.51</v>
      </c>
      <c r="AE35" s="57">
        <f>AG$38*AF35</f>
        <v>1.6870000000000001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05">
        <v>240</v>
      </c>
      <c r="E36" s="505"/>
      <c r="F36" s="326">
        <f t="shared" si="13"/>
        <v>10.9</v>
      </c>
      <c r="G36" s="506">
        <f t="shared" si="14"/>
        <v>7.67</v>
      </c>
      <c r="H36" s="506"/>
      <c r="I36" s="301"/>
      <c r="J36" s="328">
        <f t="shared" si="15"/>
        <v>0.20000000000000018</v>
      </c>
      <c r="L36" s="66" t="s">
        <v>21</v>
      </c>
      <c r="S36" s="51">
        <f>$R$34</f>
        <v>168</v>
      </c>
      <c r="T36" s="51">
        <f t="shared" si="10"/>
        <v>7.3789520908025681</v>
      </c>
      <c r="U36" s="61">
        <f t="shared" si="11"/>
        <v>7.4999999999999997E-2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25.851719020011597</v>
      </c>
      <c r="AA36" s="57">
        <f>$Z$34</f>
        <v>13.987492880060918</v>
      </c>
      <c r="AB36" s="57">
        <f t="shared" si="6"/>
        <v>390</v>
      </c>
      <c r="AC36" s="57">
        <f t="shared" si="7"/>
        <v>11.864226139950679</v>
      </c>
      <c r="AD36" s="59">
        <f>INT((AC$33+AE36)*100)/100</f>
        <v>11.75</v>
      </c>
      <c r="AE36" s="57">
        <f>AG$38*AF36</f>
        <v>1.9280000000000002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142.79999999999998</v>
      </c>
      <c r="C37" s="325">
        <f>$C$12+D37/1440</f>
        <v>45489.631944444445</v>
      </c>
      <c r="D37" s="505">
        <v>250</v>
      </c>
      <c r="E37" s="505"/>
      <c r="F37" s="326">
        <f t="shared" si="13"/>
        <v>12.190000000000001</v>
      </c>
      <c r="G37" s="506">
        <f t="shared" si="14"/>
        <v>8.9600000000000009</v>
      </c>
      <c r="H37" s="506"/>
      <c r="I37" s="301"/>
      <c r="J37" s="328">
        <f t="shared" si="15"/>
        <v>1.2900000000000009</v>
      </c>
      <c r="L37" s="66" t="s">
        <v>21</v>
      </c>
      <c r="S37" s="51">
        <f>$R$34</f>
        <v>168</v>
      </c>
      <c r="T37" s="51">
        <f t="shared" si="10"/>
        <v>7.3789520908025681</v>
      </c>
      <c r="U37" s="61">
        <f t="shared" si="11"/>
        <v>7.4999999999999997E-2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25.985835394266413</v>
      </c>
      <c r="Z37" s="57">
        <f>Y38-Z38</f>
        <v>13.987492880060918</v>
      </c>
      <c r="AA37" s="57">
        <f>$Z$34</f>
        <v>13.987492880060918</v>
      </c>
      <c r="AB37" s="57">
        <f t="shared" si="6"/>
        <v>420</v>
      </c>
      <c r="AC37" s="57">
        <f t="shared" si="7"/>
        <v>11.998342514205495</v>
      </c>
      <c r="AD37" s="59">
        <f>INT((AC$33+AE37)*100)/100</f>
        <v>11.99</v>
      </c>
      <c r="AE37" s="57">
        <f>AG$38*AF37</f>
        <v>2.169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05">
        <v>260</v>
      </c>
      <c r="E38" s="505"/>
      <c r="F38" s="326">
        <f t="shared" si="13"/>
        <v>12.41</v>
      </c>
      <c r="G38" s="506">
        <f t="shared" si="14"/>
        <v>9.18</v>
      </c>
      <c r="H38" s="506"/>
      <c r="I38" s="301"/>
      <c r="J38" s="328">
        <f t="shared" si="15"/>
        <v>0.21999999999999886</v>
      </c>
      <c r="L38" s="66" t="s">
        <v>21</v>
      </c>
      <c r="S38" s="51">
        <f>$R$34</f>
        <v>168</v>
      </c>
      <c r="T38" s="51">
        <f t="shared" si="10"/>
        <v>7.3789520908025681</v>
      </c>
      <c r="U38" s="61">
        <f t="shared" si="11"/>
        <v>7.4999999999999997E-2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26.227492880060918</v>
      </c>
      <c r="Z38" s="57">
        <f>Input!B23</f>
        <v>12.24</v>
      </c>
      <c r="AA38" s="57">
        <f>$Z$34</f>
        <v>13.987492880060918</v>
      </c>
      <c r="AB38" s="57">
        <f t="shared" si="6"/>
        <v>480</v>
      </c>
      <c r="AC38" s="57">
        <f t="shared" si="7"/>
        <v>12.24</v>
      </c>
      <c r="AD38" s="59">
        <f>INT((AC$33+AE38)*100)/100</f>
        <v>12.24</v>
      </c>
      <c r="AE38" s="57">
        <f>AG$38*AF38</f>
        <v>2.41</v>
      </c>
      <c r="AF38" s="57">
        <v>1</v>
      </c>
      <c r="AG38" s="57">
        <f>AC38-AC33</f>
        <v>2.41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05">
        <v>270</v>
      </c>
      <c r="E39" s="505"/>
      <c r="F39" s="326">
        <f t="shared" si="13"/>
        <v>12.620000000000001</v>
      </c>
      <c r="G39" s="506">
        <f t="shared" si="14"/>
        <v>9.39</v>
      </c>
      <c r="H39" s="506"/>
      <c r="I39" s="301"/>
      <c r="J39" s="328">
        <f t="shared" si="15"/>
        <v>0.21000000000000085</v>
      </c>
      <c r="K39" s="60" t="s">
        <v>21</v>
      </c>
      <c r="L39" s="66" t="s">
        <v>21</v>
      </c>
      <c r="R39" s="55">
        <f>B47</f>
        <v>193.2</v>
      </c>
      <c r="S39" s="51">
        <f>$R$39</f>
        <v>193.2</v>
      </c>
      <c r="T39" s="51">
        <f t="shared" si="10"/>
        <v>7.3789520908025681</v>
      </c>
      <c r="U39" s="61">
        <f t="shared" si="11"/>
        <v>7.4999999999999997E-2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30.204529761282256</v>
      </c>
      <c r="Z39" s="57">
        <f>Z42</f>
        <v>14.716024130830668</v>
      </c>
      <c r="AA39" s="57">
        <f>$Z$39</f>
        <v>14.716024130830668</v>
      </c>
      <c r="AB39" s="57">
        <f t="shared" si="6"/>
        <v>490</v>
      </c>
      <c r="AC39" s="57">
        <f t="shared" si="7"/>
        <v>15.488505630451588</v>
      </c>
      <c r="AD39" s="59">
        <f>INT((AC$38+AE39)*100)/100</f>
        <v>13.7</v>
      </c>
      <c r="AE39" s="57">
        <f>AG$43*AF39</f>
        <v>1.468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05">
        <v>300</v>
      </c>
      <c r="E40" s="505"/>
      <c r="F40" s="326">
        <f t="shared" si="13"/>
        <v>12.84</v>
      </c>
      <c r="G40" s="506">
        <f t="shared" si="14"/>
        <v>9.61</v>
      </c>
      <c r="H40" s="506"/>
      <c r="I40" s="301"/>
      <c r="J40" s="328">
        <f t="shared" si="15"/>
        <v>0.21999999999999886</v>
      </c>
      <c r="K40" s="60" t="s">
        <v>21</v>
      </c>
      <c r="L40" s="66" t="s">
        <v>21</v>
      </c>
      <c r="S40" s="51">
        <f>$R$39</f>
        <v>193.2</v>
      </c>
      <c r="T40" s="51">
        <f t="shared" si="10"/>
        <v>7.3789520908025681</v>
      </c>
      <c r="U40" s="61">
        <f t="shared" si="11"/>
        <v>7.4999999999999997E-2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30.246575722645591</v>
      </c>
      <c r="AA40" s="57">
        <f>$Z$39</f>
        <v>14.716024130830668</v>
      </c>
      <c r="AB40" s="57">
        <f t="shared" si="6"/>
        <v>500</v>
      </c>
      <c r="AC40" s="57">
        <f t="shared" si="7"/>
        <v>15.530551591814923</v>
      </c>
      <c r="AD40" s="59">
        <f>INT((AC$38+AE40)*100)/100</f>
        <v>14.25</v>
      </c>
      <c r="AE40" s="57">
        <f>AG$43*AF40</f>
        <v>2.0185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05">
        <v>360</v>
      </c>
      <c r="E41" s="505"/>
      <c r="F41" s="326">
        <f t="shared" si="13"/>
        <v>13.06</v>
      </c>
      <c r="G41" s="506">
        <f t="shared" si="14"/>
        <v>9.83</v>
      </c>
      <c r="H41" s="506"/>
      <c r="I41" s="301"/>
      <c r="J41" s="328">
        <f t="shared" si="15"/>
        <v>0.22000000000000064</v>
      </c>
      <c r="K41" s="60" t="s">
        <v>21</v>
      </c>
      <c r="L41" s="66" t="s">
        <v>21</v>
      </c>
      <c r="S41" s="51">
        <f>$R$39</f>
        <v>193.2</v>
      </c>
      <c r="T41" s="51">
        <f t="shared" si="10"/>
        <v>7.3789520908025681</v>
      </c>
      <c r="U41" s="61">
        <f t="shared" si="11"/>
        <v>7.4999999999999997E-2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30.287789035747725</v>
      </c>
      <c r="AA41" s="57">
        <f>$Z$39</f>
        <v>14.716024130830668</v>
      </c>
      <c r="AB41" s="57">
        <f t="shared" si="6"/>
        <v>510</v>
      </c>
      <c r="AC41" s="57">
        <f t="shared" si="7"/>
        <v>15.571764904917057</v>
      </c>
      <c r="AD41" s="59">
        <f>INT((AC$38+AE41)*100)/100</f>
        <v>14.8</v>
      </c>
      <c r="AE41" s="57">
        <f>AG$43*AF41</f>
        <v>2.569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168</v>
      </c>
      <c r="C42" s="325">
        <f>$C$12+D42/1440</f>
        <v>45489.715277777781</v>
      </c>
      <c r="D42" s="505">
        <v>370</v>
      </c>
      <c r="E42" s="505"/>
      <c r="F42" s="326">
        <f t="shared" si="13"/>
        <v>14.5</v>
      </c>
      <c r="G42" s="506">
        <f t="shared" si="14"/>
        <v>11.27</v>
      </c>
      <c r="H42" s="506"/>
      <c r="I42" s="301"/>
      <c r="J42" s="328">
        <f t="shared" si="15"/>
        <v>1.4399999999999995</v>
      </c>
      <c r="K42" s="60" t="s">
        <v>21</v>
      </c>
      <c r="L42" s="66" t="s">
        <v>21</v>
      </c>
      <c r="S42" s="51">
        <f>$R$39</f>
        <v>193.2</v>
      </c>
      <c r="T42" s="51">
        <f t="shared" si="10"/>
        <v>7.3789520908025681</v>
      </c>
      <c r="U42" s="61">
        <f t="shared" si="11"/>
        <v>7.4999999999999997E-2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30.406747372476183</v>
      </c>
      <c r="Z42" s="57">
        <f>Y43-Z43</f>
        <v>14.716024130830668</v>
      </c>
      <c r="AA42" s="57">
        <f>$Z$39</f>
        <v>14.716024130830668</v>
      </c>
      <c r="AB42" s="57">
        <f t="shared" si="6"/>
        <v>540</v>
      </c>
      <c r="AC42" s="57">
        <f t="shared" si="7"/>
        <v>15.690723241645514</v>
      </c>
      <c r="AD42" s="59">
        <f>INT((AC$38+AE42)*100)/100</f>
        <v>15.35</v>
      </c>
      <c r="AE42" s="57">
        <f>AG$43*AF42</f>
        <v>3.1194999999999999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05">
        <v>380</v>
      </c>
      <c r="E43" s="505"/>
      <c r="F43" s="326">
        <f t="shared" si="13"/>
        <v>14.74</v>
      </c>
      <c r="G43" s="506">
        <f t="shared" si="14"/>
        <v>11.51</v>
      </c>
      <c r="H43" s="506"/>
      <c r="I43" s="301"/>
      <c r="J43" s="328">
        <f t="shared" si="15"/>
        <v>0.24000000000000021</v>
      </c>
      <c r="K43" s="60" t="s">
        <v>21</v>
      </c>
      <c r="L43" s="66" t="s">
        <v>21</v>
      </c>
      <c r="S43" s="51">
        <f>$R$39</f>
        <v>193.2</v>
      </c>
      <c r="T43" s="51">
        <f t="shared" si="10"/>
        <v>7.3789520908025681</v>
      </c>
      <c r="U43" s="61">
        <f t="shared" si="11"/>
        <v>7.4999999999999997E-2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30.626024130830668</v>
      </c>
      <c r="Z43" s="57">
        <f>Input!B24</f>
        <v>15.91</v>
      </c>
      <c r="AA43" s="57">
        <f>$Z$39</f>
        <v>14.716024130830668</v>
      </c>
      <c r="AB43" s="57">
        <f t="shared" si="6"/>
        <v>600</v>
      </c>
      <c r="AC43" s="57">
        <f t="shared" si="7"/>
        <v>15.91</v>
      </c>
      <c r="AD43" s="59">
        <f>INT((AC$38+AE43)*100)/100</f>
        <v>15.91</v>
      </c>
      <c r="AE43" s="57">
        <f>AG$43*AF43</f>
        <v>3.67</v>
      </c>
      <c r="AF43" s="57">
        <v>1</v>
      </c>
      <c r="AG43" s="57">
        <f>AC43-AC38</f>
        <v>3.67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05">
        <v>390</v>
      </c>
      <c r="E44" s="505"/>
      <c r="F44" s="326">
        <f t="shared" si="13"/>
        <v>14.98</v>
      </c>
      <c r="G44" s="506">
        <f t="shared" si="14"/>
        <v>11.75</v>
      </c>
      <c r="H44" s="506"/>
      <c r="I44" s="301"/>
      <c r="J44" s="328">
        <f t="shared" si="15"/>
        <v>0.24000000000000021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05">
        <v>420</v>
      </c>
      <c r="E45" s="505"/>
      <c r="F45" s="326">
        <f t="shared" si="13"/>
        <v>15.22</v>
      </c>
      <c r="G45" s="506">
        <f t="shared" si="14"/>
        <v>11.99</v>
      </c>
      <c r="H45" s="506"/>
      <c r="I45" s="301"/>
      <c r="J45" s="328">
        <f t="shared" si="15"/>
        <v>0.24000000000000021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05">
        <v>480</v>
      </c>
      <c r="E46" s="505"/>
      <c r="F46" s="326">
        <f t="shared" si="13"/>
        <v>15.47</v>
      </c>
      <c r="G46" s="506">
        <f t="shared" si="14"/>
        <v>12.24</v>
      </c>
      <c r="H46" s="506"/>
      <c r="I46" s="301"/>
      <c r="J46" s="328">
        <f t="shared" si="15"/>
        <v>0.25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193.2</v>
      </c>
      <c r="C47" s="325">
        <f>$C$12+D47/1440</f>
        <v>45489.798611111117</v>
      </c>
      <c r="D47" s="505">
        <v>490</v>
      </c>
      <c r="E47" s="505"/>
      <c r="F47" s="326">
        <f t="shared" si="13"/>
        <v>16.93</v>
      </c>
      <c r="G47" s="506">
        <f t="shared" si="14"/>
        <v>13.7</v>
      </c>
      <c r="H47" s="506"/>
      <c r="I47" s="301"/>
      <c r="J47" s="328">
        <f t="shared" si="15"/>
        <v>1.4599999999999991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05">
        <v>500</v>
      </c>
      <c r="E48" s="505"/>
      <c r="F48" s="326">
        <f t="shared" si="13"/>
        <v>17.48</v>
      </c>
      <c r="G48" s="506">
        <f t="shared" si="14"/>
        <v>14.25</v>
      </c>
      <c r="H48" s="506"/>
      <c r="I48" s="301"/>
      <c r="J48" s="328">
        <f t="shared" si="15"/>
        <v>0.55000000000000071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05">
        <v>510</v>
      </c>
      <c r="E49" s="505"/>
      <c r="F49" s="326">
        <f t="shared" si="13"/>
        <v>18.03</v>
      </c>
      <c r="G49" s="506">
        <f t="shared" si="14"/>
        <v>14.8</v>
      </c>
      <c r="H49" s="506"/>
      <c r="I49" s="301"/>
      <c r="J49" s="328">
        <f t="shared" si="15"/>
        <v>0.55000000000000071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05">
        <v>540</v>
      </c>
      <c r="E50" s="505"/>
      <c r="F50" s="326">
        <f t="shared" si="13"/>
        <v>18.579999999999998</v>
      </c>
      <c r="G50" s="506">
        <f t="shared" si="14"/>
        <v>15.35</v>
      </c>
      <c r="H50" s="506"/>
      <c r="I50" s="301"/>
      <c r="J50" s="328">
        <f t="shared" si="15"/>
        <v>0.54999999999999893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05">
        <v>600</v>
      </c>
      <c r="E51" s="505"/>
      <c r="F51" s="326">
        <f t="shared" si="13"/>
        <v>19.14</v>
      </c>
      <c r="G51" s="506">
        <f t="shared" si="14"/>
        <v>15.91</v>
      </c>
      <c r="H51" s="506"/>
      <c r="I51" s="301" t="s">
        <v>180</v>
      </c>
      <c r="J51" s="328">
        <f t="shared" si="15"/>
        <v>0.5600000000000005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67" zoomScale="115" zoomScaleNormal="115" zoomScaleSheetLayoutView="85" workbookViewId="0">
      <selection activeCell="C78" sqref="C78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-3.0032806765417046</v>
      </c>
      <c r="N1" s="519" t="s">
        <v>183</v>
      </c>
      <c r="O1" s="519"/>
      <c r="P1" s="69">
        <f>StepTest!G41</f>
        <v>9.83</v>
      </c>
      <c r="Q1" s="70" t="s">
        <v>184</v>
      </c>
      <c r="R1" s="71">
        <f>G35</f>
        <v>12.833280676541705</v>
      </c>
      <c r="S1" s="72">
        <f>D7/2000</f>
        <v>7.4999999999999997E-2</v>
      </c>
      <c r="T1" s="73">
        <v>6.7818739187697528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부여군 농업기술센터 지하수사후관리 및 영향조사 용역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16.989999999999998</v>
      </c>
      <c r="T2" s="51">
        <v>44</v>
      </c>
      <c r="U2" s="55">
        <f>B10</f>
        <v>147</v>
      </c>
      <c r="V2" s="55">
        <f>U2</f>
        <v>147</v>
      </c>
      <c r="W2" s="51">
        <f>T1</f>
        <v>6.7818739187697528</v>
      </c>
      <c r="X2" s="51">
        <f>StepTest!U4</f>
        <v>7.4999999999999997E-2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9.8692608624378249</v>
      </c>
      <c r="AC2" s="57">
        <f>1.6*V2/(4*PI()*W2)*LOG10((2.25*W2*Z2)/(X2*X2*Y2))</f>
        <v>9.8692608624378249</v>
      </c>
      <c r="AD2" s="74">
        <v>0</v>
      </c>
      <c r="AE2" s="56">
        <f>AA2</f>
        <v>1</v>
      </c>
      <c r="AF2" s="57">
        <f t="shared" ref="AF2:AF14" si="1">AC2-$P$3-O3</f>
        <v>5.778394899008843</v>
      </c>
      <c r="AG2" s="57">
        <f>AC2</f>
        <v>9.8692608624378249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규암지구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4.0908659634289819</v>
      </c>
      <c r="V3" s="55">
        <f>V2</f>
        <v>147</v>
      </c>
      <c r="W3" s="51">
        <f>W$2</f>
        <v>6.7818739187697528</v>
      </c>
      <c r="X3" s="51">
        <f>X2</f>
        <v>7.4999999999999997E-2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10.700043695996509</v>
      </c>
      <c r="AC3" s="57">
        <f t="shared" ref="AC3:AC34" si="5">1.6*V3/(4*PI()*W3)*LOG10((2.25*W3*Z3)/(X3*X3*Y3))</f>
        <v>10.700043695996509</v>
      </c>
      <c r="AD3" s="57">
        <f>AB69</f>
        <v>17.85086596342898</v>
      </c>
      <c r="AE3" s="56">
        <f t="shared" ref="AE3:AE66" si="6">AA3</f>
        <v>2</v>
      </c>
      <c r="AF3" s="57">
        <f t="shared" si="1"/>
        <v>6.6091777325675274</v>
      </c>
      <c r="AG3" s="57">
        <f t="shared" ref="AG3:AG16" si="7">AC3</f>
        <v>10.700043695996509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부여군 규암면 노화리 284-1번지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-4.9400000000000004</v>
      </c>
      <c r="N4" s="78"/>
      <c r="O4" s="291"/>
      <c r="P4" s="291"/>
      <c r="V4" s="55">
        <f t="shared" ref="V4:V67" si="8">V3</f>
        <v>147</v>
      </c>
      <c r="W4" s="51">
        <f t="shared" ref="W4:W67" si="9">W$2</f>
        <v>6.7818739187697528</v>
      </c>
      <c r="X4" s="51">
        <f t="shared" ref="X4:X67" si="10">X3</f>
        <v>7.4999999999999997E-2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11.186020499871207</v>
      </c>
      <c r="AC4" s="57">
        <f>1.6*V4/(4*PI()*W4)*LOG10((2.25*W4*Z4)/(X4*X4*Y4))</f>
        <v>11.186020499871207</v>
      </c>
      <c r="AD4" s="57">
        <f>AC69</f>
        <v>17.85086596342898</v>
      </c>
      <c r="AE4" s="56">
        <f t="shared" si="6"/>
        <v>3</v>
      </c>
      <c r="AF4" s="57">
        <f t="shared" si="1"/>
        <v>7.0951545364422248</v>
      </c>
      <c r="AG4" s="57">
        <f t="shared" si="7"/>
        <v>11.186020499871207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(합)청대개발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-10.220000000000001</v>
      </c>
      <c r="N5" s="78"/>
      <c r="O5" s="291"/>
      <c r="P5" s="291"/>
      <c r="V5" s="55">
        <f t="shared" si="8"/>
        <v>147</v>
      </c>
      <c r="W5" s="51">
        <f t="shared" si="9"/>
        <v>6.7818739187697528</v>
      </c>
      <c r="X5" s="51">
        <f t="shared" si="10"/>
        <v>7.4999999999999997E-2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11.530826529555195</v>
      </c>
      <c r="AC5" s="57">
        <f t="shared" si="5"/>
        <v>11.530826529555195</v>
      </c>
      <c r="AD5" s="57">
        <f>AF69</f>
        <v>13.759999999999998</v>
      </c>
      <c r="AE5" s="56">
        <f t="shared" si="6"/>
        <v>4</v>
      </c>
      <c r="AF5" s="57">
        <f t="shared" si="1"/>
        <v>7.4399605661262136</v>
      </c>
      <c r="AG5" s="57">
        <f t="shared" si="7"/>
        <v>11.530826529555195</v>
      </c>
    </row>
    <row r="6" spans="1:38" s="51" customFormat="1" ht="21.6" customHeight="1">
      <c r="A6" s="120" t="str">
        <f>StepTest!A8</f>
        <v>수중모타</v>
      </c>
      <c r="B6" s="120"/>
      <c r="C6" s="520">
        <f>StepTest!C8</f>
        <v>1</v>
      </c>
      <c r="D6" s="520"/>
      <c r="E6" s="521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-15.65</v>
      </c>
      <c r="N6" s="78"/>
      <c r="O6" s="291"/>
      <c r="P6" s="291"/>
      <c r="V6" s="55">
        <f t="shared" si="8"/>
        <v>147</v>
      </c>
      <c r="W6" s="51">
        <f t="shared" si="9"/>
        <v>6.7818739187697528</v>
      </c>
      <c r="X6" s="51">
        <f t="shared" si="10"/>
        <v>7.4999999999999997E-2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11.798278864427868</v>
      </c>
      <c r="AC6" s="57">
        <f t="shared" si="5"/>
        <v>11.798278864427868</v>
      </c>
      <c r="AE6" s="56">
        <f t="shared" si="6"/>
        <v>5</v>
      </c>
      <c r="AF6" s="57">
        <f t="shared" si="1"/>
        <v>7.7074129009988859</v>
      </c>
      <c r="AG6" s="57">
        <f t="shared" si="7"/>
        <v>11.798278864427868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150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-21.16</v>
      </c>
      <c r="N7" s="78"/>
      <c r="O7" s="291"/>
      <c r="P7" s="291"/>
      <c r="V7" s="55">
        <f t="shared" si="8"/>
        <v>147</v>
      </c>
      <c r="W7" s="51">
        <f t="shared" si="9"/>
        <v>6.7818739187697528</v>
      </c>
      <c r="X7" s="51">
        <f t="shared" si="10"/>
        <v>7.4999999999999997E-2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12.629061697986552</v>
      </c>
      <c r="AC7" s="57">
        <f t="shared" si="5"/>
        <v>12.629061697986552</v>
      </c>
      <c r="AE7" s="56">
        <f t="shared" si="6"/>
        <v>10</v>
      </c>
      <c r="AF7" s="57">
        <f t="shared" si="1"/>
        <v>8.5381957345575703</v>
      </c>
      <c r="AG7" s="57">
        <f t="shared" si="7"/>
        <v>12.629061697986552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3.23</v>
      </c>
      <c r="E8" s="133"/>
      <c r="F8" s="134" t="s">
        <v>189</v>
      </c>
      <c r="G8" s="138">
        <f>F77</f>
        <v>16.989999999999998</v>
      </c>
      <c r="H8" s="130">
        <f>Input!C40</f>
        <v>147</v>
      </c>
      <c r="I8" s="130"/>
      <c r="J8" s="120"/>
      <c r="K8" s="330">
        <f>Input!M50</f>
        <v>13.759999999999998</v>
      </c>
      <c r="L8" s="371">
        <f>G10-K11</f>
        <v>4.9476120654501585</v>
      </c>
      <c r="M8" s="58">
        <f t="shared" si="2"/>
        <v>-49.19</v>
      </c>
      <c r="N8" s="78"/>
      <c r="O8" s="291"/>
      <c r="P8" s="291"/>
      <c r="V8" s="55">
        <f t="shared" si="8"/>
        <v>147</v>
      </c>
      <c r="W8" s="51">
        <f t="shared" si="9"/>
        <v>6.7818739187697528</v>
      </c>
      <c r="X8" s="51">
        <f t="shared" si="10"/>
        <v>7.4999999999999997E-2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13.11503850186125</v>
      </c>
      <c r="AC8" s="57">
        <f t="shared" si="5"/>
        <v>13.11503850186125</v>
      </c>
      <c r="AE8" s="56">
        <f t="shared" si="6"/>
        <v>15</v>
      </c>
      <c r="AF8" s="57">
        <f t="shared" si="1"/>
        <v>9.0241725384322677</v>
      </c>
      <c r="AG8" s="57">
        <f t="shared" si="7"/>
        <v>13.11503850186125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2" t="s">
        <v>173</v>
      </c>
      <c r="E9" s="522"/>
      <c r="F9" s="139" t="s">
        <v>174</v>
      </c>
      <c r="G9" s="139" t="s">
        <v>175</v>
      </c>
      <c r="H9" s="140"/>
      <c r="I9" s="140"/>
      <c r="J9" s="140"/>
      <c r="K9" s="75">
        <f>G8-D8</f>
        <v>13.759999999999998</v>
      </c>
      <c r="M9" s="58">
        <f t="shared" si="2"/>
        <v>-77.56</v>
      </c>
      <c r="N9" s="78"/>
      <c r="O9" s="291"/>
      <c r="P9" s="291"/>
      <c r="V9" s="55">
        <f t="shared" si="8"/>
        <v>147</v>
      </c>
      <c r="W9" s="51">
        <f t="shared" si="9"/>
        <v>6.7818739187697528</v>
      </c>
      <c r="X9" s="51">
        <f t="shared" si="10"/>
        <v>7.4999999999999997E-2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13.459844531545238</v>
      </c>
      <c r="AC9" s="57">
        <f t="shared" si="5"/>
        <v>13.459844531545238</v>
      </c>
      <c r="AE9" s="56">
        <f t="shared" si="6"/>
        <v>20</v>
      </c>
      <c r="AF9" s="57">
        <f t="shared" si="1"/>
        <v>9.3689785681162565</v>
      </c>
      <c r="AG9" s="57">
        <f t="shared" si="7"/>
        <v>13.459844531545238</v>
      </c>
    </row>
    <row r="10" spans="1:38" s="51" customFormat="1" ht="21" customHeight="1">
      <c r="A10" s="140">
        <v>1</v>
      </c>
      <c r="B10" s="141">
        <f>Input!C26</f>
        <v>147</v>
      </c>
      <c r="C10" s="142">
        <v>45490.458333333336</v>
      </c>
      <c r="D10" s="143">
        <v>1</v>
      </c>
      <c r="E10" s="133">
        <f>D10/1440</f>
        <v>6.9444444444444447E-4</v>
      </c>
      <c r="F10" s="144">
        <f>G10+D$8</f>
        <v>9.0083948990088434</v>
      </c>
      <c r="G10" s="145">
        <f>AF2</f>
        <v>5.778394899008843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-106.08</v>
      </c>
      <c r="N10" s="78"/>
      <c r="O10" s="291"/>
      <c r="P10" s="291"/>
      <c r="V10" s="55">
        <f t="shared" si="8"/>
        <v>147</v>
      </c>
      <c r="W10" s="51">
        <f t="shared" si="9"/>
        <v>6.7818739187697528</v>
      </c>
      <c r="X10" s="51">
        <f t="shared" si="10"/>
        <v>7.4999999999999997E-2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13.727296866417911</v>
      </c>
      <c r="AC10" s="57">
        <f t="shared" si="5"/>
        <v>13.727296866417911</v>
      </c>
      <c r="AE10" s="56">
        <f t="shared" si="6"/>
        <v>25</v>
      </c>
      <c r="AF10" s="57">
        <f t="shared" si="1"/>
        <v>9.6364309029889288</v>
      </c>
      <c r="AG10" s="57">
        <f t="shared" si="7"/>
        <v>13.727296866417911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9.8391777325675278</v>
      </c>
      <c r="G11" s="144">
        <f>AF3</f>
        <v>6.6091777325675274</v>
      </c>
      <c r="H11" s="146"/>
      <c r="I11" s="146"/>
      <c r="J11" s="146"/>
      <c r="K11" s="80">
        <f>G11-G10</f>
        <v>0.83078283355868443</v>
      </c>
      <c r="L11" s="75" t="s">
        <v>21</v>
      </c>
      <c r="N11" s="78"/>
      <c r="O11" s="291"/>
      <c r="V11" s="55">
        <f t="shared" si="8"/>
        <v>147</v>
      </c>
      <c r="W11" s="51">
        <f t="shared" si="9"/>
        <v>6.7818739187697528</v>
      </c>
      <c r="X11" s="51">
        <f t="shared" si="10"/>
        <v>7.4999999999999997E-2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13.945821335419936</v>
      </c>
      <c r="AC11" s="57">
        <f t="shared" si="5"/>
        <v>13.945821335419936</v>
      </c>
      <c r="AE11" s="56">
        <f t="shared" si="6"/>
        <v>30</v>
      </c>
      <c r="AF11" s="57">
        <f t="shared" si="1"/>
        <v>9.8549553719909539</v>
      </c>
      <c r="AG11" s="57">
        <f t="shared" si="7"/>
        <v>13.945821335419936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10.325154536442225</v>
      </c>
      <c r="G12" s="144">
        <f t="shared" ref="G12:G74" si="14">AF4</f>
        <v>7.0951545364422248</v>
      </c>
      <c r="H12" s="146"/>
      <c r="I12" s="146"/>
      <c r="J12" s="146"/>
      <c r="K12" s="80">
        <f t="shared" ref="K12:K47" si="15">G12-G11</f>
        <v>0.48597680387469744</v>
      </c>
      <c r="L12" s="75" t="s">
        <v>21</v>
      </c>
      <c r="N12" s="78"/>
      <c r="O12" s="291"/>
      <c r="V12" s="55">
        <f t="shared" si="8"/>
        <v>147</v>
      </c>
      <c r="W12" s="51">
        <f t="shared" si="9"/>
        <v>6.7818739187697528</v>
      </c>
      <c r="X12" s="51">
        <f t="shared" si="10"/>
        <v>7.4999999999999997E-2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14.130581141379807</v>
      </c>
      <c r="AC12" s="57">
        <f t="shared" si="5"/>
        <v>14.130581141379807</v>
      </c>
      <c r="AE12" s="56">
        <f t="shared" si="6"/>
        <v>35</v>
      </c>
      <c r="AF12" s="57">
        <f t="shared" si="1"/>
        <v>10.039715177950825</v>
      </c>
      <c r="AG12" s="57">
        <f t="shared" si="7"/>
        <v>14.130581141379807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10.669960566126214</v>
      </c>
      <c r="G13" s="144">
        <f t="shared" si="14"/>
        <v>7.4399605661262136</v>
      </c>
      <c r="H13" s="146"/>
      <c r="I13" s="146"/>
      <c r="J13" s="146"/>
      <c r="K13" s="80">
        <f t="shared" si="15"/>
        <v>0.34480602968398877</v>
      </c>
      <c r="L13" s="75" t="s">
        <v>21</v>
      </c>
      <c r="M13" s="293">
        <v>0</v>
      </c>
      <c r="N13" s="78"/>
      <c r="O13" s="291"/>
      <c r="V13" s="55">
        <f t="shared" si="8"/>
        <v>147</v>
      </c>
      <c r="W13" s="51">
        <f t="shared" si="9"/>
        <v>6.7818739187697528</v>
      </c>
      <c r="X13" s="51">
        <f t="shared" si="10"/>
        <v>7.4999999999999997E-2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14.290627365103925</v>
      </c>
      <c r="AC13" s="57">
        <f t="shared" si="5"/>
        <v>14.290627365103925</v>
      </c>
      <c r="AE13" s="56">
        <f t="shared" si="6"/>
        <v>40</v>
      </c>
      <c r="AF13" s="57">
        <f t="shared" si="1"/>
        <v>10.199761401674943</v>
      </c>
      <c r="AG13" s="57">
        <f t="shared" si="7"/>
        <v>14.290627365103925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10.937412900998886</v>
      </c>
      <c r="G14" s="144">
        <f t="shared" si="14"/>
        <v>7.7074129009988859</v>
      </c>
      <c r="H14" s="146"/>
      <c r="I14" s="146"/>
      <c r="J14" s="146"/>
      <c r="K14" s="80">
        <f t="shared" si="15"/>
        <v>0.26745233487267228</v>
      </c>
      <c r="L14" s="75" t="s">
        <v>21</v>
      </c>
      <c r="N14" s="78"/>
      <c r="O14" s="291"/>
      <c r="V14" s="55">
        <f t="shared" si="8"/>
        <v>147</v>
      </c>
      <c r="W14" s="51">
        <f t="shared" si="9"/>
        <v>6.7818739187697528</v>
      </c>
      <c r="X14" s="51">
        <f t="shared" si="10"/>
        <v>7.4999999999999997E-2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14.431798139294633</v>
      </c>
      <c r="AC14" s="57">
        <f t="shared" si="5"/>
        <v>14.431798139294633</v>
      </c>
      <c r="AE14" s="56">
        <f t="shared" si="6"/>
        <v>45</v>
      </c>
      <c r="AF14" s="57">
        <f t="shared" si="1"/>
        <v>10.340932175865651</v>
      </c>
      <c r="AG14" s="57">
        <f t="shared" si="7"/>
        <v>14.431798139294633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11.768195734557571</v>
      </c>
      <c r="G15" s="144">
        <f t="shared" si="14"/>
        <v>8.5381957345575703</v>
      </c>
      <c r="H15" s="146"/>
      <c r="I15" s="146"/>
      <c r="J15" s="146"/>
      <c r="K15" s="80">
        <f t="shared" si="15"/>
        <v>0.83078283355868443</v>
      </c>
      <c r="L15" s="75" t="s">
        <v>21</v>
      </c>
      <c r="N15" s="81"/>
      <c r="O15" s="53"/>
      <c r="V15" s="55">
        <f t="shared" si="8"/>
        <v>147</v>
      </c>
      <c r="W15" s="51">
        <f t="shared" si="9"/>
        <v>6.7818739187697528</v>
      </c>
      <c r="X15" s="51">
        <f t="shared" si="10"/>
        <v>7.4999999999999997E-2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14.558079699976597</v>
      </c>
      <c r="AC15" s="57">
        <f t="shared" si="5"/>
        <v>14.558079699976597</v>
      </c>
      <c r="AE15" s="56">
        <f t="shared" si="6"/>
        <v>50</v>
      </c>
      <c r="AF15" s="57">
        <f>AC15-$P$3</f>
        <v>10.467213736547615</v>
      </c>
      <c r="AG15" s="57">
        <f t="shared" si="7"/>
        <v>14.558079699976597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12.254172538432268</v>
      </c>
      <c r="G16" s="144">
        <f t="shared" si="14"/>
        <v>9.0241725384322677</v>
      </c>
      <c r="H16" s="146"/>
      <c r="I16" s="146"/>
      <c r="J16" s="146"/>
      <c r="K16" s="80">
        <f t="shared" si="15"/>
        <v>0.48597680387469744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147</v>
      </c>
      <c r="W16" s="51">
        <f t="shared" si="9"/>
        <v>6.7818739187697528</v>
      </c>
      <c r="X16" s="51">
        <f t="shared" si="10"/>
        <v>7.4999999999999997E-2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14.672315267061872</v>
      </c>
      <c r="AC16" s="57">
        <f t="shared" si="5"/>
        <v>14.672315267061872</v>
      </c>
      <c r="AE16" s="56">
        <f t="shared" si="6"/>
        <v>55</v>
      </c>
      <c r="AF16" s="57">
        <f>AC16-$P$3</f>
        <v>10.58144930363289</v>
      </c>
      <c r="AG16" s="57">
        <f t="shared" si="7"/>
        <v>14.672315267061872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12.598978568116257</v>
      </c>
      <c r="G17" s="144">
        <f t="shared" si="14"/>
        <v>9.3689785681162565</v>
      </c>
      <c r="H17" s="146"/>
      <c r="I17" s="146"/>
      <c r="J17" s="146"/>
      <c r="K17" s="80">
        <f t="shared" si="15"/>
        <v>0.34480602968398877</v>
      </c>
      <c r="L17" s="373">
        <f>D10</f>
        <v>1</v>
      </c>
      <c r="M17" s="374">
        <f>INT(B10/1440*10000)/10000</f>
        <v>0.10199999999999999</v>
      </c>
      <c r="N17" s="374">
        <f>L17*M17</f>
        <v>0.10199999999999999</v>
      </c>
      <c r="O17" s="374">
        <f>INT((D7/2/1000)^2*PI()*100000)/100000</f>
        <v>1.7670000000000002E-2</v>
      </c>
      <c r="P17" s="374">
        <f>INT(N17/O17*100)/100</f>
        <v>5.77</v>
      </c>
      <c r="Q17" s="375">
        <f>INT((G10-P17)*100)/100</f>
        <v>0</v>
      </c>
      <c r="V17" s="55">
        <f t="shared" si="8"/>
        <v>147</v>
      </c>
      <c r="W17" s="51">
        <f t="shared" si="9"/>
        <v>6.7818739187697528</v>
      </c>
      <c r="X17" s="51">
        <f t="shared" si="10"/>
        <v>7.4999999999999997E-2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14.776604168978622</v>
      </c>
      <c r="AC17" s="57">
        <f t="shared" si="5"/>
        <v>14.776604168978622</v>
      </c>
      <c r="AE17" s="56">
        <f t="shared" si="6"/>
        <v>60</v>
      </c>
      <c r="AF17" s="57">
        <f>AC17-$P$3</f>
        <v>10.68573820554964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12.866430902988929</v>
      </c>
      <c r="G18" s="144">
        <f t="shared" si="14"/>
        <v>9.6364309029889288</v>
      </c>
      <c r="H18" s="146"/>
      <c r="I18" s="146"/>
      <c r="J18" s="146"/>
      <c r="K18" s="80">
        <f t="shared" si="15"/>
        <v>0.26745233487267228</v>
      </c>
      <c r="L18" s="373">
        <f t="shared" ref="L18:L31" si="16">D11</f>
        <v>2</v>
      </c>
      <c r="M18" s="374">
        <f>M17</f>
        <v>0.10199999999999999</v>
      </c>
      <c r="N18" s="374">
        <f>L18*M18</f>
        <v>0.20399999999999999</v>
      </c>
      <c r="O18" s="374">
        <f>O17</f>
        <v>1.7670000000000002E-2</v>
      </c>
      <c r="P18" s="374">
        <f>INT(N18/O18*100)/100</f>
        <v>11.54</v>
      </c>
      <c r="Q18" s="375">
        <f t="shared" ref="Q18:Q27" si="17">INT((G11-P18)*100)/100</f>
        <v>-4.9400000000000004</v>
      </c>
      <c r="V18" s="55">
        <f t="shared" si="8"/>
        <v>147</v>
      </c>
      <c r="W18" s="51">
        <f t="shared" si="9"/>
        <v>6.7818739187697528</v>
      </c>
      <c r="X18" s="51">
        <f t="shared" si="10"/>
        <v>7.4999999999999997E-2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15.044056503851293</v>
      </c>
      <c r="AC18" s="57">
        <f t="shared" si="5"/>
        <v>15.044056503851293</v>
      </c>
      <c r="AE18" s="56">
        <f t="shared" si="6"/>
        <v>75</v>
      </c>
      <c r="AF18" s="57">
        <f>AC18-$P$3</f>
        <v>10.953190540422311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13.084955371990954</v>
      </c>
      <c r="G19" s="144">
        <f t="shared" si="14"/>
        <v>9.8549553719909539</v>
      </c>
      <c r="H19" s="146"/>
      <c r="I19" s="146"/>
      <c r="J19" s="146"/>
      <c r="K19" s="80">
        <f t="shared" si="15"/>
        <v>0.21852446900202516</v>
      </c>
      <c r="L19" s="373">
        <f t="shared" si="16"/>
        <v>3</v>
      </c>
      <c r="M19" s="374">
        <f>M18</f>
        <v>0.10199999999999999</v>
      </c>
      <c r="N19" s="374">
        <f t="shared" ref="N19:N27" si="18">L19*M19</f>
        <v>0.30599999999999999</v>
      </c>
      <c r="O19" s="374">
        <f t="shared" ref="O19:O31" si="19">O18</f>
        <v>1.7670000000000002E-2</v>
      </c>
      <c r="P19" s="374">
        <f>INT(N19/O19*100)/100</f>
        <v>17.309999999999999</v>
      </c>
      <c r="Q19" s="375">
        <f t="shared" si="17"/>
        <v>-10.220000000000001</v>
      </c>
      <c r="V19" s="55">
        <f t="shared" si="8"/>
        <v>147</v>
      </c>
      <c r="W19" s="51">
        <f t="shared" si="9"/>
        <v>6.7818739187697528</v>
      </c>
      <c r="X19" s="51">
        <f t="shared" si="10"/>
        <v>7.4999999999999997E-2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15.262580972853318</v>
      </c>
      <c r="AC19" s="57">
        <f t="shared" si="5"/>
        <v>15.262580972853318</v>
      </c>
      <c r="AE19" s="56">
        <f t="shared" si="6"/>
        <v>90</v>
      </c>
      <c r="AF19" s="57">
        <f>AC19-$P$3</f>
        <v>11.171715009424336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13.269715177950825</v>
      </c>
      <c r="G20" s="144">
        <f t="shared" si="14"/>
        <v>10.039715177950825</v>
      </c>
      <c r="H20" s="146"/>
      <c r="I20" s="146"/>
      <c r="J20" s="146"/>
      <c r="K20" s="80">
        <f t="shared" si="15"/>
        <v>0.18475980595987096</v>
      </c>
      <c r="L20" s="373">
        <f t="shared" si="16"/>
        <v>4</v>
      </c>
      <c r="M20" s="374">
        <f>M19</f>
        <v>0.10199999999999999</v>
      </c>
      <c r="N20" s="374">
        <f>L20*M20</f>
        <v>0.40799999999999997</v>
      </c>
      <c r="O20" s="374">
        <f>O19</f>
        <v>1.7670000000000002E-2</v>
      </c>
      <c r="P20" s="374">
        <f>INT(N20/O20*100)/100</f>
        <v>23.08</v>
      </c>
      <c r="Q20" s="375">
        <f t="shared" si="17"/>
        <v>-15.65</v>
      </c>
      <c r="V20" s="55">
        <f t="shared" si="8"/>
        <v>147</v>
      </c>
      <c r="W20" s="51">
        <f t="shared" si="9"/>
        <v>6.7818739187697528</v>
      </c>
      <c r="X20" s="51">
        <f t="shared" si="10"/>
        <v>7.4999999999999997E-2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15.447340778813189</v>
      </c>
      <c r="AC20" s="57">
        <f t="shared" si="5"/>
        <v>15.447340778813189</v>
      </c>
      <c r="AE20" s="56">
        <f t="shared" si="6"/>
        <v>105</v>
      </c>
      <c r="AF20" s="57">
        <f t="shared" ref="AF20:AF69" si="20">AC20-$P$3</f>
        <v>11.356474815384207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13.429761401674943</v>
      </c>
      <c r="G21" s="144">
        <f t="shared" si="14"/>
        <v>10.199761401674943</v>
      </c>
      <c r="H21" s="146"/>
      <c r="I21" s="146"/>
      <c r="J21" s="146"/>
      <c r="K21" s="80">
        <f t="shared" si="15"/>
        <v>0.16004622372411781</v>
      </c>
      <c r="L21" s="373">
        <f t="shared" si="16"/>
        <v>5</v>
      </c>
      <c r="M21" s="374">
        <f>M20</f>
        <v>0.10199999999999999</v>
      </c>
      <c r="N21" s="374">
        <f t="shared" si="18"/>
        <v>0.51</v>
      </c>
      <c r="O21" s="374">
        <f t="shared" si="19"/>
        <v>1.7670000000000002E-2</v>
      </c>
      <c r="P21" s="374">
        <f>INT(N21/O21*100)/100</f>
        <v>28.86</v>
      </c>
      <c r="Q21" s="375">
        <f t="shared" si="17"/>
        <v>-21.16</v>
      </c>
      <c r="V21" s="55">
        <f t="shared" si="8"/>
        <v>147</v>
      </c>
      <c r="W21" s="51">
        <f t="shared" si="9"/>
        <v>6.7818739187697528</v>
      </c>
      <c r="X21" s="51">
        <f t="shared" si="10"/>
        <v>7.4999999999999997E-2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15.607387002537306</v>
      </c>
      <c r="AC21" s="57">
        <f t="shared" si="5"/>
        <v>15.607387002537306</v>
      </c>
      <c r="AE21" s="56">
        <f t="shared" si="6"/>
        <v>120</v>
      </c>
      <c r="AF21" s="57">
        <f t="shared" si="20"/>
        <v>11.516521039108325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13.570932175865652</v>
      </c>
      <c r="G22" s="144">
        <f t="shared" si="14"/>
        <v>10.340932175865651</v>
      </c>
      <c r="H22" s="146"/>
      <c r="I22" s="146"/>
      <c r="J22" s="146"/>
      <c r="K22" s="80">
        <f t="shared" si="15"/>
        <v>0.14117077419070867</v>
      </c>
      <c r="L22" s="373">
        <f t="shared" si="16"/>
        <v>10</v>
      </c>
      <c r="M22" s="374">
        <f t="shared" ref="M22:M31" si="21">M21</f>
        <v>0.10199999999999999</v>
      </c>
      <c r="N22" s="374">
        <f>L22*M22</f>
        <v>1.02</v>
      </c>
      <c r="O22" s="374">
        <f>O21</f>
        <v>1.7670000000000002E-2</v>
      </c>
      <c r="P22" s="374">
        <f t="shared" ref="P22:P27" si="22">INT(N22/O22*100)/100</f>
        <v>57.72</v>
      </c>
      <c r="Q22" s="375">
        <f t="shared" si="17"/>
        <v>-49.19</v>
      </c>
      <c r="V22" s="55">
        <f t="shared" si="8"/>
        <v>147</v>
      </c>
      <c r="W22" s="51">
        <f t="shared" si="9"/>
        <v>6.7818739187697528</v>
      </c>
      <c r="X22" s="51">
        <f t="shared" si="10"/>
        <v>7.4999999999999997E-2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15.792146808497177</v>
      </c>
      <c r="AC22" s="57">
        <f t="shared" si="5"/>
        <v>15.792146808497177</v>
      </c>
      <c r="AE22" s="56">
        <f t="shared" si="6"/>
        <v>140</v>
      </c>
      <c r="AF22" s="57">
        <f t="shared" si="20"/>
        <v>11.701280845068196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13.697213736547615</v>
      </c>
      <c r="G23" s="144">
        <f t="shared" si="14"/>
        <v>10.467213736547615</v>
      </c>
      <c r="H23" s="146"/>
      <c r="I23" s="146"/>
      <c r="J23" s="146"/>
      <c r="K23" s="80">
        <f t="shared" si="15"/>
        <v>0.12628156068196361</v>
      </c>
      <c r="L23" s="373">
        <f t="shared" si="16"/>
        <v>15</v>
      </c>
      <c r="M23" s="374">
        <f t="shared" si="21"/>
        <v>0.10199999999999999</v>
      </c>
      <c r="N23" s="374">
        <f t="shared" si="18"/>
        <v>1.5299999999999998</v>
      </c>
      <c r="O23" s="374">
        <f t="shared" si="19"/>
        <v>1.7670000000000002E-2</v>
      </c>
      <c r="P23" s="374">
        <f t="shared" si="22"/>
        <v>86.58</v>
      </c>
      <c r="Q23" s="375">
        <f t="shared" si="17"/>
        <v>-77.56</v>
      </c>
      <c r="V23" s="55">
        <f t="shared" si="8"/>
        <v>147</v>
      </c>
      <c r="W23" s="51">
        <f t="shared" si="9"/>
        <v>6.7818739187697528</v>
      </c>
      <c r="X23" s="51">
        <f t="shared" si="10"/>
        <v>7.4999999999999997E-2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15.952193032221295</v>
      </c>
      <c r="AC23" s="57">
        <f t="shared" si="5"/>
        <v>15.952193032221295</v>
      </c>
      <c r="AE23" s="56">
        <f t="shared" si="6"/>
        <v>160</v>
      </c>
      <c r="AF23" s="57">
        <f t="shared" si="20"/>
        <v>11.861327068792313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13.811449303632891</v>
      </c>
      <c r="G24" s="144">
        <f t="shared" si="14"/>
        <v>10.58144930363289</v>
      </c>
      <c r="H24" s="146"/>
      <c r="I24" s="146"/>
      <c r="J24" s="146"/>
      <c r="K24" s="80">
        <f t="shared" si="15"/>
        <v>0.11423556708527549</v>
      </c>
      <c r="L24" s="373">
        <f t="shared" si="16"/>
        <v>20</v>
      </c>
      <c r="M24" s="374">
        <f t="shared" si="21"/>
        <v>0.10199999999999999</v>
      </c>
      <c r="N24" s="374">
        <f t="shared" si="18"/>
        <v>2.04</v>
      </c>
      <c r="O24" s="374">
        <f t="shared" si="19"/>
        <v>1.7670000000000002E-2</v>
      </c>
      <c r="P24" s="374">
        <f t="shared" si="22"/>
        <v>115.44</v>
      </c>
      <c r="Q24" s="375">
        <f t="shared" si="17"/>
        <v>-106.08</v>
      </c>
      <c r="V24" s="55">
        <f t="shared" si="8"/>
        <v>147</v>
      </c>
      <c r="W24" s="51">
        <f t="shared" si="9"/>
        <v>6.7818739187697528</v>
      </c>
      <c r="X24" s="51">
        <f t="shared" si="10"/>
        <v>7.4999999999999997E-2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16.093363806412</v>
      </c>
      <c r="AC24" s="57">
        <f t="shared" si="5"/>
        <v>16.093363806412</v>
      </c>
      <c r="AE24" s="56">
        <f t="shared" si="6"/>
        <v>180</v>
      </c>
      <c r="AF24" s="57">
        <f t="shared" si="20"/>
        <v>12.002497842983018</v>
      </c>
    </row>
    <row r="25" spans="1:32" s="51" customFormat="1" ht="21" customHeight="1">
      <c r="A25" s="140"/>
      <c r="B25" s="140"/>
      <c r="C25" s="142">
        <f>$C$10+D25/1440</f>
        <v>45490.5</v>
      </c>
      <c r="D25" s="143">
        <v>60</v>
      </c>
      <c r="E25" s="133">
        <f t="shared" si="12"/>
        <v>4.1666666666666664E-2</v>
      </c>
      <c r="F25" s="144">
        <f t="shared" si="13"/>
        <v>13.915738205549641</v>
      </c>
      <c r="G25" s="144">
        <f t="shared" si="14"/>
        <v>10.68573820554964</v>
      </c>
      <c r="H25" s="146"/>
      <c r="I25" s="146"/>
      <c r="J25" s="146"/>
      <c r="K25" s="80">
        <f t="shared" si="15"/>
        <v>0.10428890191674967</v>
      </c>
      <c r="L25" s="373">
        <f t="shared" si="16"/>
        <v>25</v>
      </c>
      <c r="M25" s="374">
        <f t="shared" si="21"/>
        <v>0.10199999999999999</v>
      </c>
      <c r="N25" s="374">
        <f t="shared" si="18"/>
        <v>2.5499999999999998</v>
      </c>
      <c r="O25" s="374">
        <f t="shared" si="19"/>
        <v>1.7670000000000002E-2</v>
      </c>
      <c r="P25" s="374">
        <f t="shared" si="22"/>
        <v>144.31</v>
      </c>
      <c r="Q25" s="375">
        <f t="shared" si="17"/>
        <v>-134.68</v>
      </c>
      <c r="V25" s="55">
        <f t="shared" si="8"/>
        <v>147</v>
      </c>
      <c r="W25" s="51">
        <f t="shared" si="9"/>
        <v>6.7818739187697528</v>
      </c>
      <c r="X25" s="51">
        <f t="shared" si="10"/>
        <v>7.4999999999999997E-2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16.438169836095991</v>
      </c>
      <c r="AC25" s="57">
        <f t="shared" si="5"/>
        <v>16.438169836095991</v>
      </c>
      <c r="AE25" s="56">
        <f t="shared" si="6"/>
        <v>240</v>
      </c>
      <c r="AF25" s="57">
        <f t="shared" si="20"/>
        <v>12.347303872667009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14.183190540422311</v>
      </c>
      <c r="G26" s="144">
        <f t="shared" si="14"/>
        <v>10.953190540422311</v>
      </c>
      <c r="H26" s="146"/>
      <c r="I26" s="146"/>
      <c r="J26" s="146"/>
      <c r="K26" s="80">
        <f t="shared" si="15"/>
        <v>0.26745233487267051</v>
      </c>
      <c r="L26" s="373">
        <f t="shared" si="16"/>
        <v>30</v>
      </c>
      <c r="M26" s="374">
        <f t="shared" si="21"/>
        <v>0.10199999999999999</v>
      </c>
      <c r="N26" s="374">
        <f t="shared" si="18"/>
        <v>3.0599999999999996</v>
      </c>
      <c r="O26" s="374">
        <f t="shared" si="19"/>
        <v>1.7670000000000002E-2</v>
      </c>
      <c r="P26" s="374">
        <f t="shared" si="22"/>
        <v>173.17</v>
      </c>
      <c r="Q26" s="375">
        <f t="shared" si="17"/>
        <v>-163.32</v>
      </c>
      <c r="V26" s="55">
        <f t="shared" si="8"/>
        <v>147</v>
      </c>
      <c r="W26" s="51">
        <f t="shared" si="9"/>
        <v>6.7818739187697528</v>
      </c>
      <c r="X26" s="51">
        <f t="shared" si="10"/>
        <v>7.4999999999999997E-2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16.705622170968663</v>
      </c>
      <c r="AC26" s="57">
        <f t="shared" si="5"/>
        <v>16.705622170968663</v>
      </c>
      <c r="AE26" s="56">
        <f t="shared" si="6"/>
        <v>300</v>
      </c>
      <c r="AF26" s="57">
        <f t="shared" si="20"/>
        <v>12.614756207539681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14.401715009424336</v>
      </c>
      <c r="G27" s="144">
        <f t="shared" si="14"/>
        <v>11.171715009424336</v>
      </c>
      <c r="H27" s="146"/>
      <c r="I27" s="146"/>
      <c r="J27" s="146"/>
      <c r="K27" s="80">
        <f t="shared" si="15"/>
        <v>0.21852446900202516</v>
      </c>
      <c r="L27" s="373">
        <f t="shared" si="16"/>
        <v>35</v>
      </c>
      <c r="M27" s="374">
        <f t="shared" si="21"/>
        <v>0.10199999999999999</v>
      </c>
      <c r="N27" s="374">
        <f t="shared" si="18"/>
        <v>3.57</v>
      </c>
      <c r="O27" s="374">
        <f t="shared" si="19"/>
        <v>1.7670000000000002E-2</v>
      </c>
      <c r="P27" s="374">
        <f t="shared" si="22"/>
        <v>202.03</v>
      </c>
      <c r="Q27" s="375">
        <f t="shared" si="17"/>
        <v>-192</v>
      </c>
      <c r="V27" s="55">
        <f t="shared" si="8"/>
        <v>147</v>
      </c>
      <c r="W27" s="51">
        <f t="shared" si="9"/>
        <v>6.7818739187697528</v>
      </c>
      <c r="X27" s="51">
        <f t="shared" si="10"/>
        <v>7.4999999999999997E-2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16.924146639970687</v>
      </c>
      <c r="AC27" s="57">
        <f t="shared" si="5"/>
        <v>16.924146639970687</v>
      </c>
      <c r="AE27" s="56">
        <f t="shared" si="6"/>
        <v>360</v>
      </c>
      <c r="AF27" s="57">
        <f t="shared" si="20"/>
        <v>12.833280676541705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14.586474815384207</v>
      </c>
      <c r="G28" s="144">
        <f t="shared" si="14"/>
        <v>11.356474815384207</v>
      </c>
      <c r="H28" s="146"/>
      <c r="I28" s="146"/>
      <c r="J28" s="146"/>
      <c r="K28" s="80">
        <f t="shared" si="15"/>
        <v>0.18475980595987096</v>
      </c>
      <c r="L28" s="373">
        <f t="shared" si="16"/>
        <v>40</v>
      </c>
      <c r="M28" s="374">
        <f t="shared" si="21"/>
        <v>0.10199999999999999</v>
      </c>
      <c r="N28" s="374">
        <f>L28*M28</f>
        <v>4.08</v>
      </c>
      <c r="O28" s="374">
        <f t="shared" si="19"/>
        <v>1.7670000000000002E-2</v>
      </c>
      <c r="P28" s="374">
        <f>INT(N28/O28*100)/100</f>
        <v>230.89</v>
      </c>
      <c r="Q28" s="375">
        <f>INT((G21-P28)*100)/100</f>
        <v>-220.7</v>
      </c>
      <c r="S28"/>
      <c r="V28" s="55">
        <f t="shared" si="8"/>
        <v>147</v>
      </c>
      <c r="W28" s="51">
        <f t="shared" si="9"/>
        <v>6.7818739187697528</v>
      </c>
      <c r="X28" s="51">
        <f t="shared" si="10"/>
        <v>7.4999999999999997E-2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17.108906445930561</v>
      </c>
      <c r="AC28" s="57">
        <f t="shared" si="5"/>
        <v>17.108906445930561</v>
      </c>
      <c r="AE28" s="56">
        <f t="shared" si="6"/>
        <v>420</v>
      </c>
      <c r="AF28" s="57">
        <f t="shared" si="20"/>
        <v>13.018040482501579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14.746521039108325</v>
      </c>
      <c r="G29" s="144">
        <f t="shared" si="14"/>
        <v>11.516521039108325</v>
      </c>
      <c r="H29" s="146"/>
      <c r="I29" s="146"/>
      <c r="J29" s="146"/>
      <c r="K29" s="80">
        <f t="shared" si="15"/>
        <v>0.16004622372411781</v>
      </c>
      <c r="L29" s="373">
        <f t="shared" si="16"/>
        <v>45</v>
      </c>
      <c r="M29" s="374">
        <f t="shared" si="21"/>
        <v>0.10199999999999999</v>
      </c>
      <c r="N29" s="374">
        <f>L29*M29</f>
        <v>4.59</v>
      </c>
      <c r="O29" s="374">
        <f t="shared" si="19"/>
        <v>1.7670000000000002E-2</v>
      </c>
      <c r="P29" s="374">
        <f>INT(N29/O29*100)/100</f>
        <v>259.76</v>
      </c>
      <c r="Q29" s="375">
        <f>INT((G22-P29)*100)/100</f>
        <v>-249.42</v>
      </c>
      <c r="V29" s="55">
        <f t="shared" si="8"/>
        <v>147</v>
      </c>
      <c r="W29" s="51">
        <f t="shared" si="9"/>
        <v>6.7818739187697528</v>
      </c>
      <c r="X29" s="51">
        <f t="shared" si="10"/>
        <v>7.4999999999999997E-2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17.268952669654677</v>
      </c>
      <c r="AC29" s="57">
        <f t="shared" si="5"/>
        <v>17.268952669654677</v>
      </c>
      <c r="AE29" s="56">
        <f t="shared" si="6"/>
        <v>480</v>
      </c>
      <c r="AF29" s="57">
        <f t="shared" si="20"/>
        <v>13.178086706225695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14.931280845068196</v>
      </c>
      <c r="G30" s="144">
        <f t="shared" si="14"/>
        <v>11.701280845068196</v>
      </c>
      <c r="H30" s="146"/>
      <c r="I30" s="146"/>
      <c r="J30" s="146"/>
      <c r="K30" s="80">
        <f t="shared" si="15"/>
        <v>0.18475980595987096</v>
      </c>
      <c r="L30" s="373">
        <f t="shared" si="16"/>
        <v>50</v>
      </c>
      <c r="M30" s="374">
        <f t="shared" si="21"/>
        <v>0.10199999999999999</v>
      </c>
      <c r="N30" s="374">
        <f>L30*M30</f>
        <v>5.0999999999999996</v>
      </c>
      <c r="O30" s="374">
        <f t="shared" si="19"/>
        <v>1.7670000000000002E-2</v>
      </c>
      <c r="P30" s="374">
        <f>INT(N30/O30*100)/100</f>
        <v>288.62</v>
      </c>
      <c r="Q30" s="375">
        <f>INT((G23-P30)*100)/100</f>
        <v>-278.16000000000003</v>
      </c>
      <c r="V30" s="55">
        <f t="shared" si="8"/>
        <v>147</v>
      </c>
      <c r="W30" s="51">
        <f t="shared" si="9"/>
        <v>6.7818739187697528</v>
      </c>
      <c r="X30" s="51">
        <f t="shared" si="10"/>
        <v>7.4999999999999997E-2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17.410123443845386</v>
      </c>
      <c r="AC30" s="57">
        <f t="shared" si="5"/>
        <v>17.410123443845386</v>
      </c>
      <c r="AE30" s="56">
        <f t="shared" si="6"/>
        <v>540</v>
      </c>
      <c r="AF30" s="57">
        <f t="shared" si="20"/>
        <v>13.319257480416404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15.091327068792314</v>
      </c>
      <c r="G31" s="144">
        <f t="shared" si="14"/>
        <v>11.861327068792313</v>
      </c>
      <c r="H31" s="146"/>
      <c r="I31" s="146"/>
      <c r="J31" s="146"/>
      <c r="K31" s="80">
        <f t="shared" si="15"/>
        <v>0.16004622372411781</v>
      </c>
      <c r="L31" s="373">
        <f t="shared" si="16"/>
        <v>55</v>
      </c>
      <c r="M31" s="374">
        <f t="shared" si="21"/>
        <v>0.10199999999999999</v>
      </c>
      <c r="N31" s="374">
        <f>L31*M31</f>
        <v>5.6099999999999994</v>
      </c>
      <c r="O31" s="374">
        <f t="shared" si="19"/>
        <v>1.7670000000000002E-2</v>
      </c>
      <c r="P31" s="374">
        <f>INT(N31/O31*100)/100</f>
        <v>317.48</v>
      </c>
      <c r="Q31" s="375">
        <f>INT((G24-P31)*100)/100</f>
        <v>-306.89999999999998</v>
      </c>
      <c r="V31" s="55">
        <f t="shared" si="8"/>
        <v>147</v>
      </c>
      <c r="W31" s="51">
        <f t="shared" si="9"/>
        <v>6.7818739187697528</v>
      </c>
      <c r="X31" s="51">
        <f t="shared" si="10"/>
        <v>7.4999999999999997E-2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17.536405004527349</v>
      </c>
      <c r="AC31" s="57">
        <f t="shared" si="5"/>
        <v>17.536405004527349</v>
      </c>
      <c r="AE31" s="56">
        <f t="shared" si="6"/>
        <v>600</v>
      </c>
      <c r="AF31" s="57">
        <f t="shared" si="20"/>
        <v>13.445539041098368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15.232497842983019</v>
      </c>
      <c r="G32" s="144">
        <f t="shared" si="14"/>
        <v>12.002497842983018</v>
      </c>
      <c r="H32" s="146"/>
      <c r="I32" s="146"/>
      <c r="J32" s="146"/>
      <c r="K32" s="80">
        <f t="shared" si="15"/>
        <v>0.14117077419070512</v>
      </c>
      <c r="L32" s="82" t="s">
        <v>21</v>
      </c>
      <c r="O32" s="84"/>
      <c r="V32" s="55">
        <f t="shared" si="8"/>
        <v>147</v>
      </c>
      <c r="W32" s="51">
        <f t="shared" si="9"/>
        <v>6.7818739187697528</v>
      </c>
      <c r="X32" s="51">
        <f t="shared" si="10"/>
        <v>7.4999999999999997E-2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17.650640571612623</v>
      </c>
      <c r="AC32" s="57">
        <f t="shared" si="5"/>
        <v>17.650640571612623</v>
      </c>
      <c r="AE32" s="56">
        <f t="shared" si="6"/>
        <v>660</v>
      </c>
      <c r="AF32" s="57">
        <f t="shared" si="20"/>
        <v>13.559774608183641</v>
      </c>
    </row>
    <row r="33" spans="1:32" s="51" customFormat="1" ht="21" customHeight="1">
      <c r="A33" s="140"/>
      <c r="B33" s="140"/>
      <c r="C33" s="142">
        <f>$C$10+D33/1440</f>
        <v>45490.625</v>
      </c>
      <c r="D33" s="143">
        <f t="shared" ref="D33:D76" si="23">D32+60</f>
        <v>240</v>
      </c>
      <c r="E33" s="133">
        <f t="shared" si="12"/>
        <v>0.16666666666666666</v>
      </c>
      <c r="F33" s="144">
        <f t="shared" si="13"/>
        <v>15.577303872667009</v>
      </c>
      <c r="G33" s="144">
        <f t="shared" si="14"/>
        <v>12.347303872667009</v>
      </c>
      <c r="H33" s="146"/>
      <c r="I33" s="146"/>
      <c r="J33" s="146"/>
      <c r="K33" s="80">
        <f t="shared" si="15"/>
        <v>0.34480602968399054</v>
      </c>
      <c r="L33" s="75" t="s">
        <v>21</v>
      </c>
      <c r="O33" s="84"/>
      <c r="V33" s="55">
        <f t="shared" si="8"/>
        <v>147</v>
      </c>
      <c r="W33" s="51">
        <f t="shared" si="9"/>
        <v>6.7818739187697528</v>
      </c>
      <c r="X33" s="51">
        <f t="shared" si="10"/>
        <v>7.4999999999999997E-2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17.754929473529373</v>
      </c>
      <c r="AC33" s="57">
        <f t="shared" si="5"/>
        <v>17.754929473529373</v>
      </c>
      <c r="AE33" s="56">
        <f t="shared" si="6"/>
        <v>720</v>
      </c>
      <c r="AF33" s="57">
        <f t="shared" si="20"/>
        <v>13.664063510100391</v>
      </c>
    </row>
    <row r="34" spans="1:32" s="51" customFormat="1" ht="21" customHeight="1">
      <c r="A34" s="140"/>
      <c r="B34" s="140"/>
      <c r="C34" s="142"/>
      <c r="D34" s="143">
        <f t="shared" si="23"/>
        <v>300</v>
      </c>
      <c r="E34" s="133">
        <f t="shared" si="12"/>
        <v>0.20833333333333334</v>
      </c>
      <c r="F34" s="144">
        <f t="shared" si="13"/>
        <v>15.844756207539682</v>
      </c>
      <c r="G34" s="144">
        <f t="shared" si="14"/>
        <v>12.614756207539681</v>
      </c>
      <c r="H34" s="146"/>
      <c r="I34" s="146"/>
      <c r="J34" s="146"/>
      <c r="K34" s="80">
        <f t="shared" si="15"/>
        <v>0.26745233487267228</v>
      </c>
      <c r="L34" s="75" t="s">
        <v>21</v>
      </c>
      <c r="P34" s="84"/>
      <c r="V34" s="55">
        <f t="shared" si="8"/>
        <v>147</v>
      </c>
      <c r="W34" s="51">
        <f t="shared" si="9"/>
        <v>6.7818739187697528</v>
      </c>
      <c r="X34" s="51">
        <f t="shared" si="10"/>
        <v>7.4999999999999997E-2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17.85086596342898</v>
      </c>
      <c r="AC34" s="57">
        <f t="shared" si="5"/>
        <v>17.85086596342898</v>
      </c>
      <c r="AE34" s="56">
        <f t="shared" si="6"/>
        <v>780</v>
      </c>
      <c r="AF34" s="57">
        <f t="shared" si="20"/>
        <v>13.759999999999998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3"/>
        <v>360</v>
      </c>
      <c r="E35" s="133">
        <f t="shared" si="12"/>
        <v>0.25</v>
      </c>
      <c r="F35" s="144">
        <f t="shared" si="13"/>
        <v>16.063280676541705</v>
      </c>
      <c r="G35" s="144">
        <f t="shared" si="14"/>
        <v>12.833280676541705</v>
      </c>
      <c r="H35" s="146"/>
      <c r="I35" s="146"/>
      <c r="J35" s="146"/>
      <c r="K35" s="80">
        <f t="shared" si="15"/>
        <v>0.21852446900202338</v>
      </c>
      <c r="L35" s="75" t="s">
        <v>21</v>
      </c>
      <c r="O35" s="84"/>
      <c r="V35" s="55">
        <f t="shared" si="8"/>
        <v>147</v>
      </c>
      <c r="W35" s="51">
        <f t="shared" si="9"/>
        <v>6.7818739187697528</v>
      </c>
      <c r="X35" s="51">
        <f t="shared" si="10"/>
        <v>7.4999999999999997E-2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17.85086596342898</v>
      </c>
      <c r="AC35" s="57">
        <f t="shared" ref="AC35:AC38" si="24">AC34</f>
        <v>17.85086596342898</v>
      </c>
      <c r="AE35" s="56">
        <f t="shared" si="6"/>
        <v>840</v>
      </c>
      <c r="AF35" s="57">
        <f t="shared" si="20"/>
        <v>13.759999999999998</v>
      </c>
    </row>
    <row r="36" spans="1:32" s="51" customFormat="1" ht="21" customHeight="1">
      <c r="A36" s="140"/>
      <c r="B36" s="140"/>
      <c r="C36" s="142"/>
      <c r="D36" s="143">
        <f t="shared" si="23"/>
        <v>420</v>
      </c>
      <c r="E36" s="133">
        <f t="shared" si="12"/>
        <v>0.29166666666666669</v>
      </c>
      <c r="F36" s="144">
        <f t="shared" si="13"/>
        <v>16.24804048250158</v>
      </c>
      <c r="G36" s="144">
        <f t="shared" si="14"/>
        <v>13.018040482501579</v>
      </c>
      <c r="H36" s="146"/>
      <c r="I36" s="146"/>
      <c r="J36" s="146"/>
      <c r="K36" s="80">
        <f t="shared" si="15"/>
        <v>0.18475980595987451</v>
      </c>
      <c r="L36" s="75" t="s">
        <v>21</v>
      </c>
      <c r="V36" s="55">
        <f t="shared" si="8"/>
        <v>147</v>
      </c>
      <c r="W36" s="51">
        <f t="shared" si="9"/>
        <v>6.7818739187697528</v>
      </c>
      <c r="X36" s="51">
        <f t="shared" si="10"/>
        <v>7.4999999999999997E-2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17.85086596342898</v>
      </c>
      <c r="AC36" s="57">
        <f t="shared" si="24"/>
        <v>17.85086596342898</v>
      </c>
      <c r="AE36" s="56">
        <f t="shared" si="6"/>
        <v>900</v>
      </c>
      <c r="AF36" s="57">
        <f t="shared" si="20"/>
        <v>13.759999999999998</v>
      </c>
    </row>
    <row r="37" spans="1:32" s="51" customFormat="1" ht="21" customHeight="1">
      <c r="A37" s="140"/>
      <c r="B37" s="140"/>
      <c r="C37" s="142"/>
      <c r="D37" s="143">
        <f t="shared" si="23"/>
        <v>480</v>
      </c>
      <c r="E37" s="133">
        <f t="shared" si="12"/>
        <v>0.33333333333333331</v>
      </c>
      <c r="F37" s="144">
        <f t="shared" si="13"/>
        <v>16.408086706225696</v>
      </c>
      <c r="G37" s="144">
        <f t="shared" si="14"/>
        <v>13.178086706225695</v>
      </c>
      <c r="H37" s="146"/>
      <c r="I37" s="146"/>
      <c r="J37" s="146"/>
      <c r="K37" s="80">
        <f t="shared" si="15"/>
        <v>0.16004622372411603</v>
      </c>
      <c r="L37" s="75" t="s">
        <v>21</v>
      </c>
      <c r="V37" s="55">
        <f t="shared" si="8"/>
        <v>147</v>
      </c>
      <c r="W37" s="51">
        <f t="shared" si="9"/>
        <v>6.7818739187697528</v>
      </c>
      <c r="X37" s="51">
        <f t="shared" si="10"/>
        <v>7.4999999999999997E-2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17.85086596342898</v>
      </c>
      <c r="AC37" s="57">
        <f t="shared" si="24"/>
        <v>17.85086596342898</v>
      </c>
      <c r="AD37" s="51">
        <v>37</v>
      </c>
      <c r="AE37" s="56">
        <f t="shared" si="6"/>
        <v>960</v>
      </c>
      <c r="AF37" s="57">
        <f t="shared" si="20"/>
        <v>13.759999999999998</v>
      </c>
    </row>
    <row r="38" spans="1:32" s="51" customFormat="1" ht="21" customHeight="1">
      <c r="A38" s="140"/>
      <c r="B38" s="140"/>
      <c r="C38" s="142"/>
      <c r="D38" s="143">
        <f t="shared" si="23"/>
        <v>540</v>
      </c>
      <c r="E38" s="133">
        <f t="shared" si="12"/>
        <v>0.375</v>
      </c>
      <c r="F38" s="144">
        <f t="shared" si="13"/>
        <v>16.549257480416404</v>
      </c>
      <c r="G38" s="144">
        <f t="shared" si="14"/>
        <v>13.319257480416404</v>
      </c>
      <c r="H38" s="146"/>
      <c r="I38" s="146"/>
      <c r="J38" s="146"/>
      <c r="K38" s="80">
        <f t="shared" si="15"/>
        <v>0.14117077419070867</v>
      </c>
      <c r="L38" s="75" t="s">
        <v>21</v>
      </c>
      <c r="V38" s="55">
        <f t="shared" si="8"/>
        <v>147</v>
      </c>
      <c r="W38" s="51">
        <f t="shared" si="9"/>
        <v>6.7818739187697528</v>
      </c>
      <c r="X38" s="51">
        <f t="shared" si="10"/>
        <v>7.4999999999999997E-2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17.85086596342898</v>
      </c>
      <c r="AC38" s="57">
        <f t="shared" si="24"/>
        <v>17.85086596342898</v>
      </c>
      <c r="AD38" s="52" t="s">
        <v>40</v>
      </c>
      <c r="AE38" s="56">
        <f t="shared" si="6"/>
        <v>1020</v>
      </c>
      <c r="AF38" s="57">
        <f t="shared" si="20"/>
        <v>13.759999999999998</v>
      </c>
    </row>
    <row r="39" spans="1:32" s="51" customFormat="1" ht="21" customHeight="1">
      <c r="A39" s="140"/>
      <c r="B39" s="140"/>
      <c r="C39" s="142">
        <f>$C$10+D39/1440</f>
        <v>45490.875</v>
      </c>
      <c r="D39" s="143">
        <f t="shared" si="23"/>
        <v>600</v>
      </c>
      <c r="E39" s="133">
        <f t="shared" si="12"/>
        <v>0.41666666666666669</v>
      </c>
      <c r="F39" s="144">
        <f t="shared" si="13"/>
        <v>16.675539041098368</v>
      </c>
      <c r="G39" s="144">
        <f t="shared" si="14"/>
        <v>13.445539041098368</v>
      </c>
      <c r="H39" s="146"/>
      <c r="I39" s="146"/>
      <c r="J39" s="146"/>
      <c r="K39" s="80">
        <f t="shared" si="15"/>
        <v>0.12628156068196361</v>
      </c>
      <c r="L39" s="75" t="s">
        <v>21</v>
      </c>
      <c r="V39" s="55">
        <f t="shared" si="8"/>
        <v>147</v>
      </c>
      <c r="W39" s="51">
        <f t="shared" si="9"/>
        <v>6.7818739187697528</v>
      </c>
      <c r="X39" s="51">
        <f t="shared" si="10"/>
        <v>7.4999999999999997E-2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17.85086596342898</v>
      </c>
      <c r="AC39" s="57">
        <f t="shared" ref="AC39:AC40" si="25">AC38</f>
        <v>17.85086596342898</v>
      </c>
      <c r="AD39" s="85">
        <v>39</v>
      </c>
      <c r="AE39" s="56">
        <f t="shared" si="6"/>
        <v>1080</v>
      </c>
      <c r="AF39" s="57">
        <f t="shared" si="20"/>
        <v>13.759999999999998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3"/>
        <v>660</v>
      </c>
      <c r="E40" s="133">
        <f t="shared" si="12"/>
        <v>0.45833333333333331</v>
      </c>
      <c r="F40" s="144">
        <f t="shared" si="13"/>
        <v>16.789774608183642</v>
      </c>
      <c r="G40" s="144">
        <f t="shared" si="14"/>
        <v>13.559774608183641</v>
      </c>
      <c r="H40" s="146"/>
      <c r="I40" s="146"/>
      <c r="J40" s="146"/>
      <c r="K40" s="80">
        <f t="shared" si="15"/>
        <v>0.11423556708527371</v>
      </c>
      <c r="L40" s="75" t="s">
        <v>21</v>
      </c>
      <c r="V40" s="55">
        <f t="shared" si="8"/>
        <v>147</v>
      </c>
      <c r="W40" s="51">
        <f t="shared" si="9"/>
        <v>6.7818739187697528</v>
      </c>
      <c r="X40" s="51">
        <f t="shared" si="10"/>
        <v>7.4999999999999997E-2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17.85086596342898</v>
      </c>
      <c r="AC40" s="57">
        <f t="shared" si="25"/>
        <v>17.85086596342898</v>
      </c>
      <c r="AD40" s="85">
        <v>40</v>
      </c>
      <c r="AE40" s="56">
        <f t="shared" si="6"/>
        <v>1140</v>
      </c>
      <c r="AF40" s="57">
        <f t="shared" si="20"/>
        <v>13.759999999999998</v>
      </c>
    </row>
    <row r="41" spans="1:32" s="51" customFormat="1" ht="21" customHeight="1">
      <c r="A41" s="140"/>
      <c r="B41" s="140"/>
      <c r="C41" s="142"/>
      <c r="D41" s="143">
        <f t="shared" si="23"/>
        <v>720</v>
      </c>
      <c r="E41" s="133">
        <f t="shared" si="12"/>
        <v>0.5</v>
      </c>
      <c r="F41" s="144">
        <f t="shared" si="13"/>
        <v>16.894063510100391</v>
      </c>
      <c r="G41" s="144">
        <f t="shared" si="14"/>
        <v>13.664063510100391</v>
      </c>
      <c r="H41" s="146"/>
      <c r="I41" s="146"/>
      <c r="J41" s="146"/>
      <c r="K41" s="80">
        <f t="shared" si="15"/>
        <v>0.10428890191674967</v>
      </c>
      <c r="L41" s="75" t="s">
        <v>21</v>
      </c>
      <c r="V41" s="86">
        <f t="shared" si="8"/>
        <v>147</v>
      </c>
      <c r="W41" s="87">
        <f t="shared" si="9"/>
        <v>6.7818739187697528</v>
      </c>
      <c r="X41" s="87">
        <f t="shared" si="10"/>
        <v>7.4999999999999997E-2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17.85086596342898</v>
      </c>
      <c r="AC41" s="57">
        <f t="shared" ref="AC41:AC46" si="26">AC40</f>
        <v>17.85086596342898</v>
      </c>
      <c r="AD41" s="90">
        <v>41</v>
      </c>
      <c r="AE41" s="56">
        <f t="shared" si="6"/>
        <v>1200</v>
      </c>
      <c r="AF41" s="57">
        <f t="shared" si="20"/>
        <v>13.759999999999998</v>
      </c>
    </row>
    <row r="42" spans="1:32" s="51" customFormat="1" ht="21" customHeight="1">
      <c r="A42" s="140"/>
      <c r="B42" s="140"/>
      <c r="C42" s="142"/>
      <c r="D42" s="143">
        <f t="shared" si="23"/>
        <v>780</v>
      </c>
      <c r="E42" s="133">
        <f t="shared" si="12"/>
        <v>0.54166666666666663</v>
      </c>
      <c r="F42" s="144">
        <f t="shared" si="13"/>
        <v>16.989999999999998</v>
      </c>
      <c r="G42" s="144">
        <f t="shared" si="14"/>
        <v>13.759999999999998</v>
      </c>
      <c r="H42" s="146"/>
      <c r="I42" s="146"/>
      <c r="J42" s="146"/>
      <c r="K42" s="80">
        <f t="shared" si="15"/>
        <v>9.5936489899607125E-2</v>
      </c>
      <c r="L42" s="75" t="s">
        <v>21</v>
      </c>
      <c r="V42" s="55">
        <f t="shared" si="8"/>
        <v>147</v>
      </c>
      <c r="W42" s="51">
        <f t="shared" si="9"/>
        <v>6.7818739187697528</v>
      </c>
      <c r="X42" s="51">
        <f t="shared" si="10"/>
        <v>7.4999999999999997E-2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17.85086596342898</v>
      </c>
      <c r="AC42" s="57">
        <f t="shared" si="26"/>
        <v>17.85086596342898</v>
      </c>
      <c r="AD42" s="85">
        <v>42</v>
      </c>
      <c r="AE42" s="56">
        <f t="shared" si="6"/>
        <v>1260</v>
      </c>
      <c r="AF42" s="57">
        <f t="shared" si="20"/>
        <v>13.759999999999998</v>
      </c>
    </row>
    <row r="43" spans="1:32" s="51" customFormat="1" ht="21" customHeight="1">
      <c r="A43" s="140"/>
      <c r="B43" s="140"/>
      <c r="C43" s="142"/>
      <c r="D43" s="143">
        <f t="shared" si="23"/>
        <v>840</v>
      </c>
      <c r="E43" s="133">
        <f t="shared" si="12"/>
        <v>0.58333333333333337</v>
      </c>
      <c r="F43" s="144">
        <f t="shared" si="13"/>
        <v>16.989999999999998</v>
      </c>
      <c r="G43" s="144">
        <f t="shared" si="14"/>
        <v>13.759999999999998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147</v>
      </c>
      <c r="W43" s="87">
        <f t="shared" si="9"/>
        <v>6.7818739187697528</v>
      </c>
      <c r="X43" s="87">
        <f t="shared" si="10"/>
        <v>7.4999999999999997E-2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17.85086596342898</v>
      </c>
      <c r="AC43" s="57">
        <f t="shared" si="26"/>
        <v>17.85086596342898</v>
      </c>
      <c r="AD43" s="90">
        <v>43</v>
      </c>
      <c r="AE43" s="56">
        <f t="shared" si="6"/>
        <v>1320</v>
      </c>
      <c r="AF43" s="57">
        <f t="shared" si="20"/>
        <v>13.759999999999998</v>
      </c>
    </row>
    <row r="44" spans="1:32" s="51" customFormat="1" ht="21" customHeight="1">
      <c r="A44" s="140"/>
      <c r="B44" s="140"/>
      <c r="C44" s="142"/>
      <c r="D44" s="143">
        <f t="shared" si="23"/>
        <v>900</v>
      </c>
      <c r="E44" s="133">
        <f t="shared" si="12"/>
        <v>0.625</v>
      </c>
      <c r="F44" s="144">
        <f t="shared" si="13"/>
        <v>16.989999999999998</v>
      </c>
      <c r="G44" s="144">
        <f t="shared" si="14"/>
        <v>13.759999999999998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147</v>
      </c>
      <c r="W44" s="51">
        <f t="shared" si="9"/>
        <v>6.7818739187697528</v>
      </c>
      <c r="X44" s="51">
        <f t="shared" si="10"/>
        <v>7.4999999999999997E-2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17.85086596342898</v>
      </c>
      <c r="AC44" s="57">
        <f t="shared" si="26"/>
        <v>17.85086596342898</v>
      </c>
      <c r="AD44" s="85">
        <v>44</v>
      </c>
      <c r="AE44" s="56">
        <f t="shared" si="6"/>
        <v>1380</v>
      </c>
      <c r="AF44" s="57">
        <f t="shared" si="20"/>
        <v>13.759999999999998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45491.125</v>
      </c>
      <c r="D45" s="143">
        <f t="shared" si="23"/>
        <v>960</v>
      </c>
      <c r="E45" s="133">
        <f t="shared" si="12"/>
        <v>0.66666666666666663</v>
      </c>
      <c r="F45" s="144">
        <f t="shared" si="13"/>
        <v>16.989999999999998</v>
      </c>
      <c r="G45" s="144">
        <f t="shared" si="14"/>
        <v>13.759999999999998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147</v>
      </c>
      <c r="W45" s="87">
        <f t="shared" si="9"/>
        <v>6.7818739187697528</v>
      </c>
      <c r="X45" s="87">
        <f t="shared" si="10"/>
        <v>7.4999999999999997E-2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17.85086596342898</v>
      </c>
      <c r="AC45" s="57">
        <f t="shared" si="26"/>
        <v>17.85086596342898</v>
      </c>
      <c r="AD45" s="90">
        <v>45</v>
      </c>
      <c r="AE45" s="56">
        <f t="shared" si="6"/>
        <v>1440</v>
      </c>
      <c r="AF45" s="57">
        <f t="shared" si="20"/>
        <v>13.759999999999998</v>
      </c>
    </row>
    <row r="46" spans="1:32" s="51" customFormat="1" ht="21" customHeight="1">
      <c r="A46" s="140"/>
      <c r="B46" s="140"/>
      <c r="C46" s="140"/>
      <c r="D46" s="147">
        <f t="shared" si="23"/>
        <v>1020</v>
      </c>
      <c r="E46" s="133">
        <f t="shared" si="12"/>
        <v>0.70833333333333337</v>
      </c>
      <c r="F46" s="144">
        <f t="shared" si="13"/>
        <v>16.989999999999998</v>
      </c>
      <c r="G46" s="144">
        <f t="shared" si="14"/>
        <v>13.759999999999998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147</v>
      </c>
      <c r="W46" s="51">
        <f t="shared" si="9"/>
        <v>6.7818739187697528</v>
      </c>
      <c r="X46" s="51">
        <f t="shared" si="10"/>
        <v>7.4999999999999997E-2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17.85086596342898</v>
      </c>
      <c r="AC46" s="57">
        <f t="shared" si="26"/>
        <v>17.85086596342898</v>
      </c>
      <c r="AD46" s="85">
        <v>46</v>
      </c>
      <c r="AE46" s="91">
        <f t="shared" si="6"/>
        <v>1500</v>
      </c>
      <c r="AF46" s="93">
        <f t="shared" si="20"/>
        <v>13.759999999999998</v>
      </c>
    </row>
    <row r="47" spans="1:32" s="51" customFormat="1" ht="21" customHeight="1">
      <c r="A47" s="140"/>
      <c r="B47" s="140"/>
      <c r="C47" s="142"/>
      <c r="D47" s="143">
        <f t="shared" si="23"/>
        <v>1080</v>
      </c>
      <c r="E47" s="133">
        <f t="shared" si="12"/>
        <v>0.75</v>
      </c>
      <c r="F47" s="144">
        <f t="shared" si="13"/>
        <v>16.989999999999998</v>
      </c>
      <c r="G47" s="144">
        <f t="shared" si="14"/>
        <v>13.759999999999998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147</v>
      </c>
      <c r="W47" s="51">
        <f t="shared" si="9"/>
        <v>6.7818739187697528</v>
      </c>
      <c r="X47" s="51">
        <f t="shared" si="10"/>
        <v>7.4999999999999997E-2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17.85086596342898</v>
      </c>
      <c r="AC47" s="57">
        <f t="shared" ref="AC47:AC69" si="27">AC46</f>
        <v>17.85086596342898</v>
      </c>
      <c r="AE47" s="56">
        <f t="shared" si="6"/>
        <v>1560</v>
      </c>
      <c r="AF47" s="57">
        <f t="shared" si="20"/>
        <v>13.759999999999998</v>
      </c>
    </row>
    <row r="48" spans="1:32" s="51" customFormat="1" ht="21" customHeight="1">
      <c r="A48" s="140"/>
      <c r="B48" s="140"/>
      <c r="C48" s="142"/>
      <c r="D48" s="143">
        <f t="shared" si="23"/>
        <v>1140</v>
      </c>
      <c r="E48" s="133">
        <f t="shared" si="12"/>
        <v>0.79166666666666663</v>
      </c>
      <c r="F48" s="144">
        <f t="shared" si="13"/>
        <v>16.989999999999998</v>
      </c>
      <c r="G48" s="144">
        <f t="shared" si="14"/>
        <v>13.759999999999998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147</v>
      </c>
      <c r="W48" s="51">
        <f t="shared" si="9"/>
        <v>6.7818739187697528</v>
      </c>
      <c r="X48" s="51">
        <f t="shared" si="10"/>
        <v>7.4999999999999997E-2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17.85086596342898</v>
      </c>
      <c r="AC48" s="57">
        <f t="shared" si="27"/>
        <v>17.85086596342898</v>
      </c>
      <c r="AE48" s="56">
        <f t="shared" si="6"/>
        <v>1620</v>
      </c>
      <c r="AF48" s="57">
        <f t="shared" si="20"/>
        <v>13.759999999999998</v>
      </c>
    </row>
    <row r="49" spans="1:32" s="51" customFormat="1" ht="21" customHeight="1">
      <c r="A49" s="140"/>
      <c r="B49" s="140"/>
      <c r="C49" s="142"/>
      <c r="D49" s="143">
        <f t="shared" si="23"/>
        <v>1200</v>
      </c>
      <c r="E49" s="133">
        <f t="shared" si="12"/>
        <v>0.83333333333333337</v>
      </c>
      <c r="F49" s="144">
        <f t="shared" si="13"/>
        <v>16.989999999999998</v>
      </c>
      <c r="G49" s="144">
        <f t="shared" si="14"/>
        <v>13.759999999999998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147</v>
      </c>
      <c r="W49" s="51">
        <f t="shared" si="9"/>
        <v>6.7818739187697528</v>
      </c>
      <c r="X49" s="51">
        <f t="shared" si="10"/>
        <v>7.4999999999999997E-2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17.85086596342898</v>
      </c>
      <c r="AC49" s="57">
        <f t="shared" si="27"/>
        <v>17.85086596342898</v>
      </c>
      <c r="AE49" s="56">
        <f t="shared" si="6"/>
        <v>1680</v>
      </c>
      <c r="AF49" s="57">
        <f t="shared" si="20"/>
        <v>13.759999999999998</v>
      </c>
    </row>
    <row r="50" spans="1:32" s="51" customFormat="1" ht="21" customHeight="1">
      <c r="A50" s="140"/>
      <c r="B50" s="140"/>
      <c r="C50" s="142"/>
      <c r="D50" s="143">
        <f t="shared" si="23"/>
        <v>1260</v>
      </c>
      <c r="E50" s="133">
        <f t="shared" si="12"/>
        <v>0.875</v>
      </c>
      <c r="F50" s="144">
        <f t="shared" si="13"/>
        <v>16.989999999999998</v>
      </c>
      <c r="G50" s="144">
        <f t="shared" si="14"/>
        <v>13.759999999999998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147</v>
      </c>
      <c r="W50" s="51">
        <f t="shared" si="9"/>
        <v>6.7818739187697528</v>
      </c>
      <c r="X50" s="51">
        <f t="shared" si="10"/>
        <v>7.4999999999999997E-2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17.85086596342898</v>
      </c>
      <c r="AC50" s="57">
        <f t="shared" si="27"/>
        <v>17.85086596342898</v>
      </c>
      <c r="AE50" s="56">
        <f t="shared" si="6"/>
        <v>1740</v>
      </c>
      <c r="AF50" s="57">
        <f t="shared" si="20"/>
        <v>13.759999999999998</v>
      </c>
    </row>
    <row r="51" spans="1:32" s="51" customFormat="1" ht="21" customHeight="1">
      <c r="A51" s="140"/>
      <c r="B51" s="140"/>
      <c r="C51" s="142">
        <f>$C$10+D51/1440</f>
        <v>45491.375</v>
      </c>
      <c r="D51" s="143">
        <f t="shared" si="23"/>
        <v>1320</v>
      </c>
      <c r="E51" s="133">
        <f t="shared" si="12"/>
        <v>0.91666666666666663</v>
      </c>
      <c r="F51" s="144">
        <f t="shared" si="13"/>
        <v>16.989999999999998</v>
      </c>
      <c r="G51" s="144">
        <f t="shared" si="14"/>
        <v>13.759999999999998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147</v>
      </c>
      <c r="W51" s="51">
        <f t="shared" si="9"/>
        <v>6.7818739187697528</v>
      </c>
      <c r="X51" s="51">
        <f t="shared" si="10"/>
        <v>7.4999999999999997E-2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17.85086596342898</v>
      </c>
      <c r="AC51" s="57">
        <f t="shared" si="27"/>
        <v>17.85086596342898</v>
      </c>
      <c r="AE51" s="56">
        <f t="shared" si="6"/>
        <v>1800</v>
      </c>
      <c r="AF51" s="57">
        <f t="shared" si="20"/>
        <v>13.759999999999998</v>
      </c>
    </row>
    <row r="52" spans="1:32" s="51" customFormat="1" ht="21" customHeight="1">
      <c r="A52" s="140"/>
      <c r="B52" s="140"/>
      <c r="C52" s="142"/>
      <c r="D52" s="143">
        <f t="shared" si="23"/>
        <v>1380</v>
      </c>
      <c r="E52" s="133">
        <f t="shared" si="12"/>
        <v>0.95833333333333337</v>
      </c>
      <c r="F52" s="144">
        <f t="shared" si="13"/>
        <v>16.989999999999998</v>
      </c>
      <c r="G52" s="144">
        <f t="shared" si="14"/>
        <v>13.759999999999998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147</v>
      </c>
      <c r="W52" s="51">
        <f t="shared" si="9"/>
        <v>6.7818739187697528</v>
      </c>
      <c r="X52" s="51">
        <f t="shared" si="10"/>
        <v>7.4999999999999997E-2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17.85086596342898</v>
      </c>
      <c r="AC52" s="57">
        <f t="shared" si="27"/>
        <v>17.85086596342898</v>
      </c>
      <c r="AE52" s="56">
        <f t="shared" si="6"/>
        <v>1860</v>
      </c>
      <c r="AF52" s="57">
        <f t="shared" si="20"/>
        <v>13.759999999999998</v>
      </c>
    </row>
    <row r="53" spans="1:32" s="51" customFormat="1" ht="21" customHeight="1">
      <c r="A53" s="140"/>
      <c r="B53" s="140"/>
      <c r="C53" s="142"/>
      <c r="D53" s="143">
        <f t="shared" si="23"/>
        <v>1440</v>
      </c>
      <c r="E53" s="133">
        <f t="shared" si="12"/>
        <v>1</v>
      </c>
      <c r="F53" s="144">
        <f t="shared" si="13"/>
        <v>16.989999999999998</v>
      </c>
      <c r="G53" s="144">
        <f t="shared" si="14"/>
        <v>13.759999999999998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147</v>
      </c>
      <c r="W53" s="51">
        <f t="shared" si="9"/>
        <v>6.7818739187697528</v>
      </c>
      <c r="X53" s="51">
        <f t="shared" si="10"/>
        <v>7.4999999999999997E-2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17.85086596342898</v>
      </c>
      <c r="AC53" s="57">
        <f t="shared" si="27"/>
        <v>17.85086596342898</v>
      </c>
      <c r="AE53" s="56">
        <f t="shared" si="6"/>
        <v>1920</v>
      </c>
      <c r="AF53" s="57">
        <f t="shared" si="20"/>
        <v>13.759999999999998</v>
      </c>
    </row>
    <row r="54" spans="1:32" s="51" customFormat="1" ht="21" customHeight="1">
      <c r="A54" s="140"/>
      <c r="B54" s="140"/>
      <c r="C54" s="142"/>
      <c r="D54" s="143">
        <f t="shared" si="23"/>
        <v>1500</v>
      </c>
      <c r="E54" s="133">
        <f t="shared" si="12"/>
        <v>1.0416666666666667</v>
      </c>
      <c r="F54" s="144">
        <f t="shared" si="13"/>
        <v>16.989999999999998</v>
      </c>
      <c r="G54" s="144">
        <f t="shared" si="14"/>
        <v>13.759999999999998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147</v>
      </c>
      <c r="W54" s="51">
        <f t="shared" si="9"/>
        <v>6.7818739187697528</v>
      </c>
      <c r="X54" s="51">
        <f t="shared" si="10"/>
        <v>7.4999999999999997E-2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17.85086596342898</v>
      </c>
      <c r="AC54" s="57">
        <f t="shared" si="27"/>
        <v>17.85086596342898</v>
      </c>
      <c r="AE54" s="56">
        <f t="shared" si="6"/>
        <v>1980</v>
      </c>
      <c r="AF54" s="57">
        <f t="shared" si="20"/>
        <v>13.759999999999998</v>
      </c>
    </row>
    <row r="55" spans="1:32" s="51" customFormat="1" ht="21" customHeight="1">
      <c r="A55" s="140"/>
      <c r="B55" s="140"/>
      <c r="C55" s="142" t="s">
        <v>4</v>
      </c>
      <c r="D55" s="143">
        <f t="shared" si="23"/>
        <v>1560</v>
      </c>
      <c r="E55" s="133">
        <f t="shared" si="12"/>
        <v>1.0833333333333333</v>
      </c>
      <c r="F55" s="144">
        <f t="shared" si="13"/>
        <v>16.989999999999998</v>
      </c>
      <c r="G55" s="144">
        <f t="shared" si="14"/>
        <v>13.759999999999998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147</v>
      </c>
      <c r="W55" s="51">
        <f t="shared" si="9"/>
        <v>6.7818739187697528</v>
      </c>
      <c r="X55" s="51">
        <f t="shared" si="10"/>
        <v>7.4999999999999997E-2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17.85086596342898</v>
      </c>
      <c r="AC55" s="57">
        <f t="shared" si="27"/>
        <v>17.85086596342898</v>
      </c>
      <c r="AE55" s="56">
        <f t="shared" si="6"/>
        <v>2040</v>
      </c>
      <c r="AF55" s="57">
        <f t="shared" si="20"/>
        <v>13.759999999999998</v>
      </c>
    </row>
    <row r="56" spans="1:32" s="51" customFormat="1" ht="21.6" customHeight="1">
      <c r="A56" s="140"/>
      <c r="B56" s="140"/>
      <c r="C56" s="142">
        <f>$C$10+D56/1440</f>
        <v>45491.583333333336</v>
      </c>
      <c r="D56" s="143">
        <f t="shared" si="23"/>
        <v>1620</v>
      </c>
      <c r="E56" s="133">
        <f t="shared" si="12"/>
        <v>1.125</v>
      </c>
      <c r="F56" s="144">
        <f t="shared" si="13"/>
        <v>16.989999999999998</v>
      </c>
      <c r="G56" s="144">
        <f t="shared" si="14"/>
        <v>13.759999999999998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147</v>
      </c>
      <c r="W56" s="51">
        <f t="shared" si="9"/>
        <v>6.7818739187697528</v>
      </c>
      <c r="X56" s="51">
        <f t="shared" si="10"/>
        <v>7.4999999999999997E-2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17.85086596342898</v>
      </c>
      <c r="AC56" s="57">
        <f t="shared" si="27"/>
        <v>17.85086596342898</v>
      </c>
      <c r="AE56" s="56">
        <f t="shared" si="6"/>
        <v>2100</v>
      </c>
      <c r="AF56" s="57">
        <f t="shared" si="20"/>
        <v>13.759999999999998</v>
      </c>
    </row>
    <row r="57" spans="1:32" s="51" customFormat="1" ht="21.6" customHeight="1">
      <c r="A57" s="140"/>
      <c r="B57" s="140"/>
      <c r="C57" s="142"/>
      <c r="D57" s="143">
        <f t="shared" si="23"/>
        <v>1680</v>
      </c>
      <c r="E57" s="133">
        <f t="shared" si="12"/>
        <v>1.1666666666666667</v>
      </c>
      <c r="F57" s="144">
        <f t="shared" si="13"/>
        <v>16.989999999999998</v>
      </c>
      <c r="G57" s="144">
        <f t="shared" si="14"/>
        <v>13.759999999999998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147</v>
      </c>
      <c r="W57" s="51">
        <f t="shared" si="9"/>
        <v>6.7818739187697528</v>
      </c>
      <c r="X57" s="51">
        <f t="shared" si="10"/>
        <v>7.4999999999999997E-2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17.85086596342898</v>
      </c>
      <c r="AC57" s="57">
        <f t="shared" si="27"/>
        <v>17.85086596342898</v>
      </c>
      <c r="AE57" s="56">
        <f t="shared" si="6"/>
        <v>2160</v>
      </c>
      <c r="AF57" s="57">
        <f t="shared" si="20"/>
        <v>13.759999999999998</v>
      </c>
    </row>
    <row r="58" spans="1:32" s="51" customFormat="1" ht="21.6" customHeight="1">
      <c r="A58" s="140"/>
      <c r="B58" s="140"/>
      <c r="C58" s="142"/>
      <c r="D58" s="143">
        <f t="shared" si="23"/>
        <v>1740</v>
      </c>
      <c r="E58" s="133">
        <f t="shared" si="12"/>
        <v>1.2083333333333333</v>
      </c>
      <c r="F58" s="144">
        <f t="shared" si="13"/>
        <v>16.989999999999998</v>
      </c>
      <c r="G58" s="144">
        <f t="shared" si="14"/>
        <v>13.759999999999998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147</v>
      </c>
      <c r="W58" s="51">
        <f t="shared" si="9"/>
        <v>6.7818739187697528</v>
      </c>
      <c r="X58" s="51">
        <f t="shared" si="10"/>
        <v>7.4999999999999997E-2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17.85086596342898</v>
      </c>
      <c r="AC58" s="57">
        <f t="shared" si="27"/>
        <v>17.85086596342898</v>
      </c>
      <c r="AE58" s="56">
        <f t="shared" si="6"/>
        <v>2220</v>
      </c>
      <c r="AF58" s="57">
        <f t="shared" si="20"/>
        <v>13.759999999999998</v>
      </c>
    </row>
    <row r="59" spans="1:32" s="51" customFormat="1" ht="21.6" customHeight="1">
      <c r="A59" s="140"/>
      <c r="B59" s="140"/>
      <c r="C59" s="142"/>
      <c r="D59" s="143">
        <f t="shared" si="23"/>
        <v>1800</v>
      </c>
      <c r="E59" s="133">
        <f t="shared" si="12"/>
        <v>1.25</v>
      </c>
      <c r="F59" s="144">
        <f t="shared" si="13"/>
        <v>16.989999999999998</v>
      </c>
      <c r="G59" s="144">
        <f t="shared" si="14"/>
        <v>13.759999999999998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147</v>
      </c>
      <c r="W59" s="51">
        <f t="shared" si="9"/>
        <v>6.7818739187697528</v>
      </c>
      <c r="X59" s="51">
        <f t="shared" si="10"/>
        <v>7.4999999999999997E-2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17.85086596342898</v>
      </c>
      <c r="AC59" s="57">
        <f t="shared" si="27"/>
        <v>17.85086596342898</v>
      </c>
      <c r="AE59" s="56">
        <f t="shared" si="6"/>
        <v>2280</v>
      </c>
      <c r="AF59" s="57">
        <f t="shared" si="20"/>
        <v>13.759999999999998</v>
      </c>
    </row>
    <row r="60" spans="1:32" s="51" customFormat="1" ht="21.6" customHeight="1">
      <c r="A60" s="140"/>
      <c r="B60" s="140"/>
      <c r="C60" s="142"/>
      <c r="D60" s="143">
        <f t="shared" si="23"/>
        <v>1860</v>
      </c>
      <c r="E60" s="133">
        <f t="shared" si="12"/>
        <v>1.2916666666666667</v>
      </c>
      <c r="F60" s="144">
        <f t="shared" si="13"/>
        <v>16.989999999999998</v>
      </c>
      <c r="G60" s="144">
        <f t="shared" si="14"/>
        <v>13.759999999999998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147</v>
      </c>
      <c r="W60" s="51">
        <f t="shared" si="9"/>
        <v>6.7818739187697528</v>
      </c>
      <c r="X60" s="51">
        <f t="shared" si="10"/>
        <v>7.4999999999999997E-2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17.85086596342898</v>
      </c>
      <c r="AC60" s="57">
        <f t="shared" si="27"/>
        <v>17.85086596342898</v>
      </c>
      <c r="AE60" s="56">
        <f t="shared" si="6"/>
        <v>2340</v>
      </c>
      <c r="AF60" s="57">
        <f t="shared" si="20"/>
        <v>13.759999999999998</v>
      </c>
    </row>
    <row r="61" spans="1:32" s="51" customFormat="1" ht="21.6" customHeight="1">
      <c r="A61" s="140"/>
      <c r="B61" s="140"/>
      <c r="C61" s="142">
        <f>$C$10+D61/1440</f>
        <v>45491.791666666672</v>
      </c>
      <c r="D61" s="143">
        <f t="shared" si="23"/>
        <v>1920</v>
      </c>
      <c r="E61" s="133">
        <f t="shared" si="12"/>
        <v>1.3333333333333333</v>
      </c>
      <c r="F61" s="144">
        <f t="shared" si="13"/>
        <v>16.989999999999998</v>
      </c>
      <c r="G61" s="144">
        <f t="shared" si="14"/>
        <v>13.759999999999998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147</v>
      </c>
      <c r="W61" s="51">
        <f t="shared" si="9"/>
        <v>6.7818739187697528</v>
      </c>
      <c r="X61" s="51">
        <f t="shared" si="10"/>
        <v>7.4999999999999997E-2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17.85086596342898</v>
      </c>
      <c r="AC61" s="57">
        <f t="shared" si="27"/>
        <v>17.85086596342898</v>
      </c>
      <c r="AE61" s="56">
        <f t="shared" si="6"/>
        <v>2400</v>
      </c>
      <c r="AF61" s="57">
        <f t="shared" si="20"/>
        <v>13.759999999999998</v>
      </c>
    </row>
    <row r="62" spans="1:32" s="51" customFormat="1" ht="21.6" customHeight="1">
      <c r="A62" s="140"/>
      <c r="B62" s="140"/>
      <c r="C62" s="142"/>
      <c r="D62" s="143">
        <f t="shared" si="23"/>
        <v>1980</v>
      </c>
      <c r="E62" s="133">
        <f t="shared" si="12"/>
        <v>1.375</v>
      </c>
      <c r="F62" s="144">
        <f t="shared" si="13"/>
        <v>16.989999999999998</v>
      </c>
      <c r="G62" s="144">
        <f t="shared" si="14"/>
        <v>13.759999999999998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147</v>
      </c>
      <c r="W62" s="51">
        <f t="shared" si="9"/>
        <v>6.7818739187697528</v>
      </c>
      <c r="X62" s="51">
        <f t="shared" si="10"/>
        <v>7.4999999999999997E-2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17.85086596342898</v>
      </c>
      <c r="AC62" s="57">
        <f t="shared" si="27"/>
        <v>17.85086596342898</v>
      </c>
      <c r="AE62" s="56">
        <f t="shared" si="6"/>
        <v>2460</v>
      </c>
      <c r="AF62" s="57">
        <f t="shared" si="20"/>
        <v>13.759999999999998</v>
      </c>
    </row>
    <row r="63" spans="1:32" s="51" customFormat="1" ht="21.6" customHeight="1">
      <c r="A63" s="140"/>
      <c r="B63" s="140"/>
      <c r="C63" s="142"/>
      <c r="D63" s="143">
        <f t="shared" si="23"/>
        <v>2040</v>
      </c>
      <c r="E63" s="133">
        <f t="shared" si="12"/>
        <v>1.4166666666666667</v>
      </c>
      <c r="F63" s="144">
        <f>F62</f>
        <v>16.989999999999998</v>
      </c>
      <c r="G63" s="144">
        <f t="shared" si="14"/>
        <v>13.759999999999998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147</v>
      </c>
      <c r="W63" s="51">
        <f t="shared" si="9"/>
        <v>6.7818739187697528</v>
      </c>
      <c r="X63" s="51">
        <f t="shared" si="10"/>
        <v>7.4999999999999997E-2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17.85086596342898</v>
      </c>
      <c r="AC63" s="57">
        <f t="shared" si="27"/>
        <v>17.85086596342898</v>
      </c>
      <c r="AE63" s="56">
        <f t="shared" si="6"/>
        <v>2520</v>
      </c>
      <c r="AF63" s="57">
        <f t="shared" si="20"/>
        <v>13.759999999999998</v>
      </c>
    </row>
    <row r="64" spans="1:32" s="51" customFormat="1" ht="21.6" customHeight="1">
      <c r="A64" s="140"/>
      <c r="B64" s="140"/>
      <c r="C64" s="142"/>
      <c r="D64" s="143">
        <f t="shared" si="23"/>
        <v>2100</v>
      </c>
      <c r="E64" s="133">
        <f t="shared" si="12"/>
        <v>1.4583333333333333</v>
      </c>
      <c r="F64" s="144">
        <f t="shared" ref="F64:F77" si="28">F63</f>
        <v>16.989999999999998</v>
      </c>
      <c r="G64" s="144">
        <f t="shared" si="14"/>
        <v>13.759999999999998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147</v>
      </c>
      <c r="W64" s="51">
        <f t="shared" si="9"/>
        <v>6.7818739187697528</v>
      </c>
      <c r="X64" s="51">
        <f t="shared" si="10"/>
        <v>7.4999999999999997E-2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17.85086596342898</v>
      </c>
      <c r="AC64" s="57">
        <f t="shared" si="27"/>
        <v>17.85086596342898</v>
      </c>
      <c r="AE64" s="56">
        <f t="shared" si="6"/>
        <v>2580</v>
      </c>
      <c r="AF64" s="57">
        <f t="shared" si="20"/>
        <v>13.759999999999998</v>
      </c>
    </row>
    <row r="65" spans="1:32" s="51" customFormat="1" ht="21.6" customHeight="1">
      <c r="A65" s="140"/>
      <c r="B65" s="140"/>
      <c r="C65" s="142"/>
      <c r="D65" s="143">
        <f t="shared" si="23"/>
        <v>2160</v>
      </c>
      <c r="E65" s="133">
        <f t="shared" si="12"/>
        <v>1.5</v>
      </c>
      <c r="F65" s="144">
        <f t="shared" si="28"/>
        <v>16.989999999999998</v>
      </c>
      <c r="G65" s="144">
        <f t="shared" si="14"/>
        <v>13.759999999999998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147</v>
      </c>
      <c r="W65" s="51">
        <f t="shared" si="9"/>
        <v>6.7818739187697528</v>
      </c>
      <c r="X65" s="51">
        <f t="shared" si="10"/>
        <v>7.4999999999999997E-2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17.85086596342898</v>
      </c>
      <c r="AC65" s="57">
        <f t="shared" si="27"/>
        <v>17.85086596342898</v>
      </c>
      <c r="AE65" s="56">
        <f t="shared" si="6"/>
        <v>2640</v>
      </c>
      <c r="AF65" s="57">
        <f t="shared" si="20"/>
        <v>13.759999999999998</v>
      </c>
    </row>
    <row r="66" spans="1:32" s="51" customFormat="1" ht="21.6" customHeight="1">
      <c r="A66" s="140"/>
      <c r="B66" s="140"/>
      <c r="C66" s="142">
        <f>$C$10+D66/1440</f>
        <v>45492</v>
      </c>
      <c r="D66" s="143">
        <f t="shared" si="23"/>
        <v>2220</v>
      </c>
      <c r="E66" s="133">
        <f t="shared" si="12"/>
        <v>1.5416666666666667</v>
      </c>
      <c r="F66" s="144">
        <f t="shared" si="28"/>
        <v>16.989999999999998</v>
      </c>
      <c r="G66" s="144">
        <f t="shared" si="14"/>
        <v>13.759999999999998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147</v>
      </c>
      <c r="W66" s="51">
        <f t="shared" si="9"/>
        <v>6.7818739187697528</v>
      </c>
      <c r="X66" s="51">
        <f t="shared" si="10"/>
        <v>7.4999999999999997E-2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17.85086596342898</v>
      </c>
      <c r="AC66" s="57">
        <f t="shared" si="27"/>
        <v>17.85086596342898</v>
      </c>
      <c r="AE66" s="56">
        <f t="shared" si="6"/>
        <v>2700</v>
      </c>
      <c r="AF66" s="57">
        <f t="shared" si="20"/>
        <v>13.759999999999998</v>
      </c>
    </row>
    <row r="67" spans="1:32" s="51" customFormat="1" ht="21.6" customHeight="1">
      <c r="A67" s="140"/>
      <c r="B67" s="140"/>
      <c r="C67" s="142"/>
      <c r="D67" s="143">
        <f t="shared" si="23"/>
        <v>2280</v>
      </c>
      <c r="E67" s="133">
        <f t="shared" si="12"/>
        <v>1.5833333333333333</v>
      </c>
      <c r="F67" s="144">
        <f t="shared" si="28"/>
        <v>16.989999999999998</v>
      </c>
      <c r="G67" s="144">
        <f t="shared" si="14"/>
        <v>13.759999999999998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147</v>
      </c>
      <c r="W67" s="51">
        <f t="shared" si="9"/>
        <v>6.7818739187697528</v>
      </c>
      <c r="X67" s="51">
        <f t="shared" si="10"/>
        <v>7.4999999999999997E-2</v>
      </c>
      <c r="Y67" s="51">
        <f t="shared" si="11"/>
        <v>5.0000000000000001E-4</v>
      </c>
      <c r="Z67" s="51">
        <f t="shared" ref="Z67:Z79" si="29">E75</f>
        <v>1.9166666666666667</v>
      </c>
      <c r="AA67" s="56">
        <f t="shared" ref="AA67:AA79" si="30">D75</f>
        <v>2760</v>
      </c>
      <c r="AB67" s="76">
        <f>AC67+AD$2</f>
        <v>17.85086596342898</v>
      </c>
      <c r="AC67" s="57">
        <f t="shared" si="27"/>
        <v>17.85086596342898</v>
      </c>
      <c r="AE67" s="56">
        <f>AA67</f>
        <v>2760</v>
      </c>
      <c r="AF67" s="57">
        <f t="shared" si="20"/>
        <v>13.759999999999998</v>
      </c>
    </row>
    <row r="68" spans="1:32" s="51" customFormat="1" ht="21.6" customHeight="1">
      <c r="A68" s="140"/>
      <c r="B68" s="140"/>
      <c r="C68" s="142" t="s">
        <v>4</v>
      </c>
      <c r="D68" s="143">
        <f t="shared" si="23"/>
        <v>2340</v>
      </c>
      <c r="E68" s="133">
        <f t="shared" si="12"/>
        <v>1.625</v>
      </c>
      <c r="F68" s="144">
        <f t="shared" si="28"/>
        <v>16.989999999999998</v>
      </c>
      <c r="G68" s="144">
        <f t="shared" si="14"/>
        <v>13.759999999999998</v>
      </c>
      <c r="H68" s="146"/>
      <c r="I68" s="146"/>
      <c r="J68" s="146"/>
      <c r="K68" s="51" t="s">
        <v>21</v>
      </c>
      <c r="L68" s="75" t="s">
        <v>21</v>
      </c>
      <c r="V68" s="55">
        <f>V67</f>
        <v>147</v>
      </c>
      <c r="W68" s="51">
        <f t="shared" ref="W68:W83" si="31">W$2</f>
        <v>6.7818739187697528</v>
      </c>
      <c r="X68" s="51">
        <f t="shared" ref="X68:X83" si="32">X67</f>
        <v>7.4999999999999997E-2</v>
      </c>
      <c r="Y68" s="51">
        <f t="shared" ref="Y68:Y83" si="33">Y$2</f>
        <v>5.0000000000000001E-4</v>
      </c>
      <c r="Z68" s="51">
        <f t="shared" si="29"/>
        <v>1.9583333333333333</v>
      </c>
      <c r="AA68" s="56">
        <f t="shared" si="30"/>
        <v>2820</v>
      </c>
      <c r="AB68" s="76">
        <f>AC68+AD$2</f>
        <v>17.85086596342898</v>
      </c>
      <c r="AC68" s="57">
        <f t="shared" si="27"/>
        <v>17.85086596342898</v>
      </c>
      <c r="AE68" s="56">
        <f>AA68</f>
        <v>2820</v>
      </c>
      <c r="AF68" s="57">
        <f t="shared" si="20"/>
        <v>13.759999999999998</v>
      </c>
    </row>
    <row r="69" spans="1:32" s="51" customFormat="1" ht="21.6" customHeight="1">
      <c r="A69" s="140"/>
      <c r="B69" s="140"/>
      <c r="C69" s="142"/>
      <c r="D69" s="143">
        <f t="shared" si="23"/>
        <v>2400</v>
      </c>
      <c r="E69" s="133">
        <f t="shared" si="12"/>
        <v>1.6666666666666667</v>
      </c>
      <c r="F69" s="144">
        <f t="shared" si="28"/>
        <v>16.989999999999998</v>
      </c>
      <c r="G69" s="144">
        <f t="shared" si="14"/>
        <v>13.759999999999998</v>
      </c>
      <c r="H69" s="146"/>
      <c r="I69" s="146"/>
      <c r="J69" s="146"/>
      <c r="K69" s="51" t="s">
        <v>21</v>
      </c>
      <c r="L69" s="75" t="s">
        <v>21</v>
      </c>
      <c r="V69" s="55">
        <f>V68</f>
        <v>147</v>
      </c>
      <c r="W69" s="51">
        <f t="shared" si="31"/>
        <v>6.7818739187697528</v>
      </c>
      <c r="X69" s="51">
        <f t="shared" si="32"/>
        <v>7.4999999999999997E-2</v>
      </c>
      <c r="Y69" s="51">
        <f t="shared" si="33"/>
        <v>5.0000000000000001E-4</v>
      </c>
      <c r="Z69" s="51">
        <f t="shared" si="29"/>
        <v>2</v>
      </c>
      <c r="AA69" s="56">
        <f t="shared" si="30"/>
        <v>2880</v>
      </c>
      <c r="AB69" s="76">
        <f>AC69+AD$2</f>
        <v>17.85086596342898</v>
      </c>
      <c r="AC69" s="57">
        <f t="shared" si="27"/>
        <v>17.85086596342898</v>
      </c>
      <c r="AE69" s="56">
        <f>AA69</f>
        <v>2880</v>
      </c>
      <c r="AF69" s="57">
        <f t="shared" si="20"/>
        <v>13.759999999999998</v>
      </c>
    </row>
    <row r="70" spans="1:32" s="51" customFormat="1" ht="21.6" customHeight="1">
      <c r="A70" s="140"/>
      <c r="B70" s="140"/>
      <c r="C70" s="142"/>
      <c r="D70" s="143">
        <f t="shared" si="23"/>
        <v>2460</v>
      </c>
      <c r="E70" s="133">
        <f t="shared" si="12"/>
        <v>1.7083333333333333</v>
      </c>
      <c r="F70" s="144">
        <f t="shared" si="28"/>
        <v>16.989999999999998</v>
      </c>
      <c r="G70" s="144">
        <f t="shared" si="14"/>
        <v>13.759999999999998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1"/>
        <v>6.7818739187697528</v>
      </c>
      <c r="X70" s="51">
        <f t="shared" si="32"/>
        <v>7.4999999999999997E-2</v>
      </c>
      <c r="Y70" s="51">
        <f t="shared" si="33"/>
        <v>5.0000000000000001E-4</v>
      </c>
      <c r="Z70" s="51">
        <f t="shared" si="29"/>
        <v>6.9444444444444447E-4</v>
      </c>
      <c r="AA70" s="56">
        <f t="shared" si="30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45492.208333333336</v>
      </c>
      <c r="D71" s="143">
        <f t="shared" si="23"/>
        <v>2520</v>
      </c>
      <c r="E71" s="133">
        <f t="shared" si="12"/>
        <v>1.75</v>
      </c>
      <c r="F71" s="144">
        <f t="shared" si="28"/>
        <v>16.989999999999998</v>
      </c>
      <c r="G71" s="144">
        <f t="shared" si="14"/>
        <v>13.759999999999998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1"/>
        <v>6.7818739187697528</v>
      </c>
      <c r="X71" s="51">
        <f t="shared" si="32"/>
        <v>7.4999999999999997E-2</v>
      </c>
      <c r="Y71" s="51">
        <f t="shared" si="33"/>
        <v>5.0000000000000001E-4</v>
      </c>
      <c r="Z71" s="51">
        <f t="shared" si="29"/>
        <v>1.3888888888888889E-3</v>
      </c>
      <c r="AA71" s="56">
        <f t="shared" si="30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3"/>
        <v>2580</v>
      </c>
      <c r="E72" s="133">
        <f t="shared" si="12"/>
        <v>1.7916666666666667</v>
      </c>
      <c r="F72" s="144">
        <f t="shared" si="28"/>
        <v>16.989999999999998</v>
      </c>
      <c r="G72" s="144">
        <f t="shared" si="14"/>
        <v>13.759999999999998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1"/>
        <v>6.7818739187697528</v>
      </c>
      <c r="X72" s="51">
        <f t="shared" si="32"/>
        <v>7.4999999999999997E-2</v>
      </c>
      <c r="Y72" s="51">
        <f t="shared" si="33"/>
        <v>5.0000000000000001E-4</v>
      </c>
      <c r="Z72" s="51">
        <f t="shared" si="29"/>
        <v>2.0833333333333333E-3</v>
      </c>
      <c r="AA72" s="56">
        <f t="shared" si="30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3"/>
        <v>2640</v>
      </c>
      <c r="E73" s="133">
        <f t="shared" si="12"/>
        <v>1.8333333333333333</v>
      </c>
      <c r="F73" s="144">
        <f t="shared" si="28"/>
        <v>16.989999999999998</v>
      </c>
      <c r="G73" s="144">
        <f t="shared" si="14"/>
        <v>13.759999999999998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1"/>
        <v>6.7818739187697528</v>
      </c>
      <c r="X73" s="51">
        <f t="shared" si="32"/>
        <v>7.4999999999999997E-2</v>
      </c>
      <c r="Y73" s="51">
        <f t="shared" si="33"/>
        <v>5.0000000000000001E-4</v>
      </c>
      <c r="Z73" s="51">
        <f t="shared" si="29"/>
        <v>2.7777777777777779E-3</v>
      </c>
      <c r="AA73" s="56">
        <f t="shared" si="30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3"/>
        <v>2700</v>
      </c>
      <c r="E74" s="133">
        <f t="shared" si="12"/>
        <v>1.875</v>
      </c>
      <c r="F74" s="144">
        <f t="shared" si="28"/>
        <v>16.989999999999998</v>
      </c>
      <c r="G74" s="144">
        <f t="shared" si="14"/>
        <v>13.759999999999998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1"/>
        <v>6.7818739187697528</v>
      </c>
      <c r="X74" s="51">
        <f t="shared" si="32"/>
        <v>7.4999999999999997E-2</v>
      </c>
      <c r="Y74" s="51">
        <f t="shared" si="33"/>
        <v>5.0000000000000001E-4</v>
      </c>
      <c r="Z74" s="51">
        <f t="shared" si="29"/>
        <v>3.472222222222222E-3</v>
      </c>
      <c r="AA74" s="56">
        <f t="shared" si="30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3"/>
        <v>2760</v>
      </c>
      <c r="E75" s="133">
        <f>D75/1440</f>
        <v>1.9166666666666667</v>
      </c>
      <c r="F75" s="144">
        <f t="shared" si="28"/>
        <v>16.989999999999998</v>
      </c>
      <c r="G75" s="144">
        <f>AF67</f>
        <v>13.759999999999998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1"/>
        <v>6.7818739187697528</v>
      </c>
      <c r="X75" s="51">
        <f t="shared" si="32"/>
        <v>7.4999999999999997E-2</v>
      </c>
      <c r="Y75" s="51">
        <f t="shared" si="33"/>
        <v>5.0000000000000001E-4</v>
      </c>
      <c r="Z75" s="51">
        <f t="shared" si="29"/>
        <v>6.9444444444444441E-3</v>
      </c>
      <c r="AA75" s="56">
        <f t="shared" si="30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3"/>
        <v>2820</v>
      </c>
      <c r="E76" s="133">
        <f>D76/1440</f>
        <v>1.9583333333333333</v>
      </c>
      <c r="F76" s="144">
        <f t="shared" si="28"/>
        <v>16.989999999999998</v>
      </c>
      <c r="G76" s="144">
        <f>AF68</f>
        <v>13.759999999999998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1"/>
        <v>6.7818739187697528</v>
      </c>
      <c r="X76" s="51">
        <f t="shared" si="32"/>
        <v>7.4999999999999997E-2</v>
      </c>
      <c r="Y76" s="51">
        <f t="shared" si="33"/>
        <v>5.0000000000000001E-4</v>
      </c>
      <c r="Z76" s="51">
        <f t="shared" si="29"/>
        <v>1.0416666666666666E-2</v>
      </c>
      <c r="AA76" s="56">
        <f t="shared" si="30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45492.458333333336</v>
      </c>
      <c r="D77" s="143">
        <f>D76+60</f>
        <v>2880</v>
      </c>
      <c r="E77" s="133">
        <f>D77/1440</f>
        <v>2</v>
      </c>
      <c r="F77" s="145">
        <f t="shared" si="28"/>
        <v>16.989999999999998</v>
      </c>
      <c r="G77" s="144">
        <f>AF69</f>
        <v>13.759999999999998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1"/>
        <v>6.7818739187697528</v>
      </c>
      <c r="X77" s="51">
        <f t="shared" si="32"/>
        <v>7.4999999999999997E-2</v>
      </c>
      <c r="Y77" s="51">
        <f t="shared" si="33"/>
        <v>5.0000000000000001E-4</v>
      </c>
      <c r="Z77" s="51">
        <f t="shared" si="29"/>
        <v>1.3888888888888888E-2</v>
      </c>
      <c r="AA77" s="56">
        <f t="shared" si="30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45492.459027777782</v>
      </c>
      <c r="D78" s="143">
        <v>1</v>
      </c>
      <c r="E78" s="133">
        <f t="shared" ref="E78:E101" si="34">D78/1440</f>
        <v>6.9444444444444447E-4</v>
      </c>
      <c r="F78" s="144">
        <f>G78+D$8</f>
        <v>12.762610608192302</v>
      </c>
      <c r="G78" s="144">
        <f>H114</f>
        <v>9.5326106081923019</v>
      </c>
      <c r="H78" s="518" t="s">
        <v>191</v>
      </c>
      <c r="I78" s="518"/>
      <c r="J78" s="518"/>
      <c r="K78" s="51" t="s">
        <v>21</v>
      </c>
      <c r="L78" s="75"/>
      <c r="V78" s="55"/>
      <c r="W78" s="51">
        <f t="shared" si="31"/>
        <v>6.7818739187697528</v>
      </c>
      <c r="X78" s="51">
        <f t="shared" si="32"/>
        <v>7.4999999999999997E-2</v>
      </c>
      <c r="Y78" s="51">
        <f t="shared" si="33"/>
        <v>5.0000000000000001E-4</v>
      </c>
      <c r="Z78" s="51">
        <f t="shared" si="29"/>
        <v>1.7361111111111112E-2</v>
      </c>
      <c r="AA78" s="56">
        <f t="shared" si="30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4"/>
        <v>1.3888888888888889E-3</v>
      </c>
      <c r="F79" s="144">
        <f t="shared" ref="F79:F101" si="35">G79+D$8</f>
        <v>12.04157009097686</v>
      </c>
      <c r="G79" s="144">
        <f>H115</f>
        <v>8.8115700909768595</v>
      </c>
      <c r="H79" s="518"/>
      <c r="I79" s="518"/>
      <c r="J79" s="518"/>
      <c r="K79" s="51" t="s">
        <v>21</v>
      </c>
      <c r="L79" s="75" t="s">
        <v>21</v>
      </c>
      <c r="V79" s="55"/>
      <c r="W79" s="51">
        <f t="shared" si="31"/>
        <v>6.7818739187697528</v>
      </c>
      <c r="X79" s="51">
        <f t="shared" si="32"/>
        <v>7.4999999999999997E-2</v>
      </c>
      <c r="Y79" s="51">
        <f t="shared" si="33"/>
        <v>5.0000000000000001E-4</v>
      </c>
      <c r="Z79" s="51">
        <f t="shared" si="29"/>
        <v>2.0833333333333332E-2</v>
      </c>
      <c r="AA79" s="56">
        <f t="shared" si="30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4"/>
        <v>2.0833333333333333E-3</v>
      </c>
      <c r="F80" s="144">
        <f t="shared" si="35"/>
        <v>11.375068613362968</v>
      </c>
      <c r="G80" s="144">
        <f>H116</f>
        <v>8.1450686133629677</v>
      </c>
      <c r="H80" s="518"/>
      <c r="I80" s="518"/>
      <c r="J80" s="518"/>
      <c r="K80" s="51" t="s">
        <v>21</v>
      </c>
      <c r="L80" s="75" t="s">
        <v>21</v>
      </c>
      <c r="V80" s="55"/>
      <c r="W80" s="51">
        <f t="shared" si="31"/>
        <v>6.7818739187697528</v>
      </c>
      <c r="X80" s="51">
        <f t="shared" si="32"/>
        <v>7.4999999999999997E-2</v>
      </c>
      <c r="Y80" s="51">
        <f t="shared" si="33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4"/>
        <v>2.7777777777777779E-3</v>
      </c>
      <c r="F81" s="144">
        <f t="shared" si="35"/>
        <v>10.758980877576581</v>
      </c>
      <c r="G81" s="144">
        <f>H117</f>
        <v>7.528980877576581</v>
      </c>
      <c r="H81" s="518"/>
      <c r="I81" s="518"/>
      <c r="J81" s="518"/>
      <c r="K81" s="51" t="s">
        <v>21</v>
      </c>
      <c r="L81" s="75" t="s">
        <v>21</v>
      </c>
      <c r="V81" s="55"/>
      <c r="W81" s="51">
        <f t="shared" si="31"/>
        <v>6.7818739187697528</v>
      </c>
      <c r="X81" s="51">
        <f t="shared" si="32"/>
        <v>7.4999999999999997E-2</v>
      </c>
      <c r="Y81" s="51">
        <f t="shared" si="33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4"/>
        <v>3.472222222222222E-3</v>
      </c>
      <c r="F82" s="144">
        <f t="shared" si="35"/>
        <v>10.189493620706195</v>
      </c>
      <c r="G82" s="144">
        <f>H118</f>
        <v>6.9594936207061942</v>
      </c>
      <c r="H82" s="518"/>
      <c r="I82" s="518"/>
      <c r="J82" s="518"/>
      <c r="K82" s="51" t="s">
        <v>21</v>
      </c>
      <c r="L82" s="75" t="s">
        <v>21</v>
      </c>
      <c r="V82" s="55"/>
      <c r="W82" s="51">
        <f t="shared" si="31"/>
        <v>6.7818739187697528</v>
      </c>
      <c r="X82" s="51">
        <f t="shared" si="32"/>
        <v>7.4999999999999997E-2</v>
      </c>
      <c r="Y82" s="51">
        <f t="shared" si="33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4"/>
        <v>6.9444444444444441E-3</v>
      </c>
      <c r="F83" s="144">
        <f t="shared" si="35"/>
        <v>8.7266993346903874</v>
      </c>
      <c r="G83" s="144">
        <f>H121</f>
        <v>5.496699334690387</v>
      </c>
      <c r="H83" s="518"/>
      <c r="I83" s="518"/>
      <c r="J83" s="518"/>
      <c r="K83" s="51" t="s">
        <v>21</v>
      </c>
      <c r="L83" s="75" t="s">
        <v>21</v>
      </c>
      <c r="V83" s="55"/>
      <c r="W83" s="51">
        <f t="shared" si="31"/>
        <v>6.7818739187697528</v>
      </c>
      <c r="X83" s="51">
        <f t="shared" si="32"/>
        <v>7.4999999999999997E-2</v>
      </c>
      <c r="Y83" s="51">
        <f t="shared" si="33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4"/>
        <v>1.0416666666666666E-2</v>
      </c>
      <c r="F84" s="144">
        <f t="shared" si="35"/>
        <v>8.4459042865162424</v>
      </c>
      <c r="G84" s="144">
        <f>H124</f>
        <v>5.2159042865162419</v>
      </c>
      <c r="H84" s="518"/>
      <c r="I84" s="518"/>
      <c r="J84" s="518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4"/>
        <v>1.3888888888888888E-2</v>
      </c>
      <c r="F85" s="144">
        <f t="shared" si="35"/>
        <v>7.686690831145274</v>
      </c>
      <c r="G85" s="144">
        <f>H126</f>
        <v>4.4566908311452735</v>
      </c>
      <c r="H85" s="518"/>
      <c r="I85" s="518"/>
      <c r="J85" s="518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4"/>
        <v>1.7361111111111112E-2</v>
      </c>
      <c r="F86" s="144">
        <f t="shared" si="35"/>
        <v>7.3495896115489696</v>
      </c>
      <c r="G86" s="144">
        <f t="shared" ref="G86:G92" si="36">H127</f>
        <v>4.1195896115489692</v>
      </c>
      <c r="H86" s="518"/>
      <c r="I86" s="518"/>
      <c r="J86" s="518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4"/>
        <v>2.0833333333333332E-2</v>
      </c>
      <c r="F87" s="144">
        <f t="shared" si="35"/>
        <v>7.0379865107495014</v>
      </c>
      <c r="G87" s="144">
        <f t="shared" si="36"/>
        <v>3.807986510749501</v>
      </c>
      <c r="H87" s="518"/>
      <c r="I87" s="518"/>
      <c r="J87" s="518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4"/>
        <v>2.4305555555555556E-2</v>
      </c>
      <c r="F88" s="144">
        <f t="shared" si="35"/>
        <v>6.9394473981982809</v>
      </c>
      <c r="G88" s="144">
        <f t="shared" si="36"/>
        <v>3.7094473981982814</v>
      </c>
      <c r="H88" s="518"/>
      <c r="I88" s="518"/>
      <c r="J88" s="518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4"/>
        <v>2.7777777777777776E-2</v>
      </c>
      <c r="F89" s="144">
        <f t="shared" si="35"/>
        <v>6.8434581782674719</v>
      </c>
      <c r="G89" s="144">
        <f t="shared" si="36"/>
        <v>3.613458178267472</v>
      </c>
      <c r="H89" s="518"/>
      <c r="I89" s="518"/>
      <c r="J89" s="518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4"/>
        <v>3.125E-2</v>
      </c>
      <c r="F90" s="144">
        <f t="shared" si="35"/>
        <v>6.7499528674891147</v>
      </c>
      <c r="G90" s="144">
        <f t="shared" si="36"/>
        <v>3.5199528674891147</v>
      </c>
      <c r="H90" s="518"/>
      <c r="I90" s="518"/>
      <c r="J90" s="518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4"/>
        <v>3.4722222222222224E-2</v>
      </c>
      <c r="F91" s="144">
        <f t="shared" si="35"/>
        <v>6.6588671898467773</v>
      </c>
      <c r="G91" s="144">
        <f t="shared" si="36"/>
        <v>3.4288671898467773</v>
      </c>
      <c r="H91" s="518"/>
      <c r="I91" s="518"/>
      <c r="J91" s="518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4"/>
        <v>3.8194444444444448E-2</v>
      </c>
      <c r="F92" s="144">
        <f t="shared" si="35"/>
        <v>6.5701385325918977</v>
      </c>
      <c r="G92" s="144">
        <f t="shared" si="36"/>
        <v>3.3401385325918982</v>
      </c>
      <c r="H92" s="518"/>
      <c r="I92" s="518"/>
      <c r="J92" s="518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45492.5</v>
      </c>
      <c r="D93" s="143">
        <v>60</v>
      </c>
      <c r="E93" s="133">
        <f t="shared" si="34"/>
        <v>4.1666666666666664E-2</v>
      </c>
      <c r="F93" s="144">
        <f t="shared" si="35"/>
        <v>6.4837059032034716</v>
      </c>
      <c r="G93" s="144">
        <f>H134</f>
        <v>3.2537059032034716</v>
      </c>
      <c r="H93" s="518"/>
      <c r="I93" s="518"/>
      <c r="J93" s="518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4"/>
        <v>5.2083333333333336E-2</v>
      </c>
      <c r="F94" s="144">
        <f t="shared" si="35"/>
        <v>6.3995098874614857</v>
      </c>
      <c r="G94" s="144">
        <f>H135</f>
        <v>3.1695098874614858</v>
      </c>
      <c r="H94" s="518"/>
      <c r="I94" s="518"/>
      <c r="J94" s="518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4"/>
        <v>6.25E-2</v>
      </c>
      <c r="F95" s="144">
        <f t="shared" si="35"/>
        <v>6.3174926086052903</v>
      </c>
      <c r="G95" s="144">
        <f>H136</f>
        <v>3.0874926086052907</v>
      </c>
      <c r="H95" s="518"/>
      <c r="I95" s="518"/>
      <c r="J95" s="518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4"/>
        <v>7.2916666666666671E-2</v>
      </c>
      <c r="F96" s="144">
        <f t="shared" si="35"/>
        <v>6.2375976875488242</v>
      </c>
      <c r="G96" s="144">
        <f>H137</f>
        <v>3.0075976875488246</v>
      </c>
      <c r="H96" s="518"/>
      <c r="I96" s="518"/>
      <c r="J96" s="518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45492.541666666672</v>
      </c>
      <c r="D97" s="143">
        <v>120</v>
      </c>
      <c r="E97" s="133">
        <f t="shared" si="34"/>
        <v>8.3333333333333329E-2</v>
      </c>
      <c r="F97" s="144">
        <f t="shared" si="35"/>
        <v>6.0101049385696026</v>
      </c>
      <c r="G97" s="144">
        <f>H138</f>
        <v>2.7801049385696022</v>
      </c>
      <c r="H97" s="518"/>
      <c r="I97" s="518"/>
      <c r="J97" s="518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4"/>
        <v>0.125</v>
      </c>
      <c r="F98" s="144">
        <f t="shared" si="35"/>
        <v>5.9381642757882123</v>
      </c>
      <c r="G98" s="144">
        <f>H140</f>
        <v>2.7081642757882127</v>
      </c>
      <c r="H98" s="518"/>
      <c r="I98" s="518"/>
      <c r="J98" s="518"/>
      <c r="K98" s="80"/>
      <c r="L98" s="75" t="s">
        <v>21</v>
      </c>
      <c r="V98" s="55" t="str">
        <f t="shared" ref="V98:V103" si="37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45492.625</v>
      </c>
      <c r="D99" s="143">
        <v>240</v>
      </c>
      <c r="E99" s="133">
        <f t="shared" si="34"/>
        <v>0.16666666666666666</v>
      </c>
      <c r="F99" s="144">
        <f t="shared" si="35"/>
        <v>5.5439709308588219</v>
      </c>
      <c r="G99" s="144">
        <f>H142</f>
        <v>2.3139709308588219</v>
      </c>
      <c r="H99" s="518"/>
      <c r="I99" s="518"/>
      <c r="J99" s="518"/>
      <c r="V99" s="55" t="str">
        <f t="shared" si="37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4"/>
        <v>0.20833333333333334</v>
      </c>
      <c r="F100" s="144">
        <f t="shared" si="35"/>
        <v>5.2071553434664608</v>
      </c>
      <c r="G100" s="144">
        <f>H144</f>
        <v>1.9771553434664608</v>
      </c>
      <c r="H100" s="518"/>
      <c r="I100" s="518"/>
      <c r="J100" s="518"/>
      <c r="V100" s="55" t="str">
        <f t="shared" si="37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45492.708333333336</v>
      </c>
      <c r="D101" s="143">
        <v>360</v>
      </c>
      <c r="E101" s="133">
        <f t="shared" si="34"/>
        <v>0.25</v>
      </c>
      <c r="F101" s="145">
        <f t="shared" si="35"/>
        <v>4.91936575652967</v>
      </c>
      <c r="G101" s="148">
        <f>H146</f>
        <v>1.6893657565296705</v>
      </c>
      <c r="H101" s="518"/>
      <c r="I101" s="518"/>
      <c r="J101" s="518"/>
      <c r="V101" s="55" t="str">
        <f t="shared" si="37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7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7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13.759999999999998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13.759999999999998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8">D111^E111</f>
        <v>12.069450897140504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39">C111-C$110</f>
        <v>92</v>
      </c>
      <c r="D112" s="336">
        <f>D111</f>
        <v>13.759999999999998</v>
      </c>
      <c r="E112" s="338">
        <f t="shared" ref="E112:E141" si="40">C112/100</f>
        <v>0.92</v>
      </c>
      <c r="F112" s="342"/>
      <c r="G112" s="331">
        <v>2</v>
      </c>
      <c r="H112" s="340">
        <f t="shared" si="38"/>
        <v>11.156525416905158</v>
      </c>
      <c r="I112" s="341"/>
      <c r="J112" s="343">
        <f>H111-H112</f>
        <v>0.91292548023534614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39"/>
        <v>89</v>
      </c>
      <c r="D113" s="336">
        <f t="shared" ref="D113:D146" si="41">D112</f>
        <v>13.759999999999998</v>
      </c>
      <c r="E113" s="338">
        <f t="shared" si="40"/>
        <v>0.89</v>
      </c>
      <c r="F113" s="339" t="s">
        <v>21</v>
      </c>
      <c r="G113" s="331">
        <v>3</v>
      </c>
      <c r="H113" s="340">
        <f t="shared" si="38"/>
        <v>10.312653031095204</v>
      </c>
      <c r="I113" s="341"/>
      <c r="J113" s="343">
        <f t="shared" ref="J113:J146" si="42">H112-H113</f>
        <v>0.84387238580995394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39"/>
        <v>86</v>
      </c>
      <c r="D114" s="336">
        <f t="shared" si="41"/>
        <v>13.759999999999998</v>
      </c>
      <c r="E114" s="338">
        <f t="shared" si="40"/>
        <v>0.86</v>
      </c>
      <c r="F114" s="342">
        <v>1</v>
      </c>
      <c r="G114" s="344">
        <v>4</v>
      </c>
      <c r="H114" s="345">
        <f t="shared" si="38"/>
        <v>9.5326106081923019</v>
      </c>
      <c r="I114" s="346"/>
      <c r="J114" s="343">
        <f t="shared" si="42"/>
        <v>0.78004242290290193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39"/>
        <v>83</v>
      </c>
      <c r="D115" s="336">
        <f t="shared" si="41"/>
        <v>13.759999999999998</v>
      </c>
      <c r="E115" s="338">
        <f t="shared" si="40"/>
        <v>0.83</v>
      </c>
      <c r="F115" s="342">
        <v>2</v>
      </c>
      <c r="G115" s="344">
        <v>5</v>
      </c>
      <c r="H115" s="345">
        <f t="shared" si="38"/>
        <v>8.8115700909768595</v>
      </c>
      <c r="I115" s="346"/>
      <c r="J115" s="343">
        <f t="shared" si="42"/>
        <v>0.72104051721544238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39"/>
        <v>80</v>
      </c>
      <c r="D116" s="336">
        <f t="shared" si="41"/>
        <v>13.759999999999998</v>
      </c>
      <c r="E116" s="338">
        <f t="shared" si="40"/>
        <v>0.8</v>
      </c>
      <c r="F116" s="342">
        <v>3</v>
      </c>
      <c r="G116" s="344">
        <v>6</v>
      </c>
      <c r="H116" s="345">
        <f t="shared" si="38"/>
        <v>8.1450686133629677</v>
      </c>
      <c r="I116" s="346"/>
      <c r="J116" s="343">
        <f t="shared" si="42"/>
        <v>0.66650147761389178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39"/>
        <v>77</v>
      </c>
      <c r="D117" s="336">
        <f t="shared" si="41"/>
        <v>13.759999999999998</v>
      </c>
      <c r="E117" s="338">
        <f t="shared" si="40"/>
        <v>0.77</v>
      </c>
      <c r="F117" s="342">
        <v>4</v>
      </c>
      <c r="G117" s="344">
        <v>7</v>
      </c>
      <c r="H117" s="345">
        <f t="shared" si="38"/>
        <v>7.528980877576581</v>
      </c>
      <c r="I117" s="346"/>
      <c r="J117" s="343">
        <f t="shared" si="42"/>
        <v>0.61608773578638676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39"/>
        <v>74</v>
      </c>
      <c r="D118" s="336">
        <f t="shared" si="41"/>
        <v>13.759999999999998</v>
      </c>
      <c r="E118" s="338">
        <f t="shared" si="40"/>
        <v>0.74</v>
      </c>
      <c r="F118" s="342">
        <v>5</v>
      </c>
      <c r="G118" s="344">
        <v>8</v>
      </c>
      <c r="H118" s="345">
        <f t="shared" si="38"/>
        <v>6.9594936207061942</v>
      </c>
      <c r="I118" s="346"/>
      <c r="J118" s="343">
        <f t="shared" si="42"/>
        <v>0.56948725687038682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39"/>
        <v>71</v>
      </c>
      <c r="D119" s="336">
        <f t="shared" si="41"/>
        <v>13.759999999999998</v>
      </c>
      <c r="E119" s="338">
        <f t="shared" si="40"/>
        <v>0.71</v>
      </c>
      <c r="F119" s="339"/>
      <c r="G119" s="331">
        <v>9</v>
      </c>
      <c r="H119" s="347">
        <f t="shared" si="38"/>
        <v>6.4330820125871107</v>
      </c>
      <c r="I119" s="348"/>
      <c r="J119" s="343">
        <f t="shared" si="42"/>
        <v>0.5264116081190835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1"/>
        <v>13.759999999999998</v>
      </c>
      <c r="E120" s="338">
        <f t="shared" si="40"/>
        <v>0.68</v>
      </c>
      <c r="F120" s="339" t="s">
        <v>21</v>
      </c>
      <c r="G120" s="331">
        <v>10</v>
      </c>
      <c r="H120" s="340">
        <f t="shared" si="38"/>
        <v>5.9464878389345319</v>
      </c>
      <c r="I120" s="341"/>
      <c r="J120" s="343">
        <f t="shared" si="42"/>
        <v>0.48659417365257873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3">C120-A$120</f>
        <v>65</v>
      </c>
      <c r="D121" s="336">
        <f t="shared" si="41"/>
        <v>13.759999999999998</v>
      </c>
      <c r="E121" s="338">
        <f t="shared" si="40"/>
        <v>0.65</v>
      </c>
      <c r="F121" s="342">
        <v>10</v>
      </c>
      <c r="G121" s="344">
        <v>12</v>
      </c>
      <c r="H121" s="345">
        <f t="shared" si="38"/>
        <v>5.496699334690387</v>
      </c>
      <c r="I121" s="346"/>
      <c r="J121" s="343">
        <f t="shared" si="42"/>
        <v>0.44978850424414496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3"/>
        <v>62</v>
      </c>
      <c r="D122" s="336">
        <f t="shared" si="41"/>
        <v>13.759999999999998</v>
      </c>
      <c r="E122" s="338">
        <f t="shared" si="40"/>
        <v>0.62</v>
      </c>
      <c r="F122" s="339"/>
      <c r="G122" s="331">
        <v>14</v>
      </c>
      <c r="H122" s="340">
        <f t="shared" si="38"/>
        <v>5.0809325427628078</v>
      </c>
      <c r="I122" s="341"/>
      <c r="J122" s="343">
        <f t="shared" si="42"/>
        <v>0.41576679192757915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1"/>
        <v>13.759999999999998</v>
      </c>
      <c r="E123" s="338">
        <f t="shared" si="40"/>
        <v>0.37</v>
      </c>
      <c r="F123" s="339"/>
      <c r="G123" s="331">
        <v>15</v>
      </c>
      <c r="H123" s="340">
        <f t="shared" si="38"/>
        <v>2.6380852186209212</v>
      </c>
      <c r="I123" s="341"/>
      <c r="J123" s="343">
        <f t="shared" si="42"/>
        <v>2.4428473241418867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1"/>
        <v>13.759999999999998</v>
      </c>
      <c r="E124" s="338">
        <f t="shared" si="40"/>
        <v>0.63</v>
      </c>
      <c r="F124" s="342">
        <v>15</v>
      </c>
      <c r="G124" s="344">
        <v>16</v>
      </c>
      <c r="H124" s="345">
        <f t="shared" si="38"/>
        <v>5.2159042865162419</v>
      </c>
      <c r="I124" s="346"/>
      <c r="J124" s="343">
        <f t="shared" si="42"/>
        <v>-2.5778190678953208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3"/>
        <v>60</v>
      </c>
      <c r="D125" s="336">
        <f t="shared" si="41"/>
        <v>13.759999999999998</v>
      </c>
      <c r="E125" s="338">
        <f t="shared" si="40"/>
        <v>0.6</v>
      </c>
      <c r="F125" s="339"/>
      <c r="G125" s="331">
        <v>18</v>
      </c>
      <c r="H125" s="340">
        <f t="shared" si="38"/>
        <v>4.8213766509004721</v>
      </c>
      <c r="I125" s="341"/>
      <c r="J125" s="343">
        <f t="shared" si="42"/>
        <v>0.39452763561576987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3"/>
        <v>57</v>
      </c>
      <c r="D126" s="336">
        <f t="shared" si="41"/>
        <v>13.759999999999998</v>
      </c>
      <c r="E126" s="338">
        <f t="shared" si="40"/>
        <v>0.56999999999999995</v>
      </c>
      <c r="F126" s="342">
        <v>20</v>
      </c>
      <c r="G126" s="344">
        <v>20</v>
      </c>
      <c r="H126" s="345">
        <f t="shared" si="38"/>
        <v>4.4566908311452735</v>
      </c>
      <c r="I126" s="346"/>
      <c r="J126" s="343">
        <f t="shared" si="42"/>
        <v>0.36468581975519854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3"/>
        <v>54</v>
      </c>
      <c r="D127" s="336">
        <f t="shared" si="41"/>
        <v>13.759999999999998</v>
      </c>
      <c r="E127" s="338">
        <f t="shared" si="40"/>
        <v>0.54</v>
      </c>
      <c r="F127" s="342">
        <v>25</v>
      </c>
      <c r="G127" s="344">
        <v>25</v>
      </c>
      <c r="H127" s="345">
        <f t="shared" si="38"/>
        <v>4.1195896115489692</v>
      </c>
      <c r="I127" s="346"/>
      <c r="J127" s="343">
        <f t="shared" si="42"/>
        <v>0.33710121959630435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3"/>
        <v>51</v>
      </c>
      <c r="D128" s="336">
        <f t="shared" si="41"/>
        <v>13.759999999999998</v>
      </c>
      <c r="E128" s="338">
        <f t="shared" si="40"/>
        <v>0.51</v>
      </c>
      <c r="F128" s="342">
        <v>30</v>
      </c>
      <c r="G128" s="344">
        <v>30</v>
      </c>
      <c r="H128" s="345">
        <f>D128^E128</f>
        <v>3.807986510749501</v>
      </c>
      <c r="I128" s="346"/>
      <c r="J128" s="343">
        <f t="shared" si="42"/>
        <v>0.31160310079946818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1"/>
        <v>13.759999999999998</v>
      </c>
      <c r="E129" s="338">
        <f t="shared" si="40"/>
        <v>0.5</v>
      </c>
      <c r="F129" s="342">
        <v>35</v>
      </c>
      <c r="G129" s="344">
        <v>35</v>
      </c>
      <c r="H129" s="345">
        <f t="shared" si="38"/>
        <v>3.7094473981982814</v>
      </c>
      <c r="I129" s="346"/>
      <c r="J129" s="343">
        <f t="shared" si="42"/>
        <v>9.853911255121961E-2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1"/>
        <v>13.759999999999998</v>
      </c>
      <c r="E130" s="338">
        <f t="shared" si="40"/>
        <v>0.49</v>
      </c>
      <c r="F130" s="342">
        <v>40</v>
      </c>
      <c r="G130" s="344">
        <v>40</v>
      </c>
      <c r="H130" s="345">
        <f t="shared" si="38"/>
        <v>3.613458178267472</v>
      </c>
      <c r="I130" s="346"/>
      <c r="J130" s="343">
        <f t="shared" si="42"/>
        <v>9.5989219930809444E-2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1"/>
        <v>13.759999999999998</v>
      </c>
      <c r="E131" s="338">
        <f t="shared" si="40"/>
        <v>0.48</v>
      </c>
      <c r="F131" s="342">
        <v>45</v>
      </c>
      <c r="G131" s="344">
        <v>45</v>
      </c>
      <c r="H131" s="345">
        <f t="shared" si="38"/>
        <v>3.5199528674891147</v>
      </c>
      <c r="I131" s="346"/>
      <c r="J131" s="343">
        <f t="shared" si="42"/>
        <v>9.350531077835722E-2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1"/>
        <v>13.759999999999998</v>
      </c>
      <c r="E132" s="338">
        <f t="shared" si="40"/>
        <v>0.47</v>
      </c>
      <c r="F132" s="342">
        <v>50</v>
      </c>
      <c r="G132" s="344">
        <v>50</v>
      </c>
      <c r="H132" s="345">
        <f t="shared" si="38"/>
        <v>3.4288671898467773</v>
      </c>
      <c r="I132" s="346"/>
      <c r="J132" s="343">
        <f t="shared" si="42"/>
        <v>9.1085677642337437E-2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1"/>
        <v>13.759999999999998</v>
      </c>
      <c r="E133" s="338">
        <f t="shared" si="40"/>
        <v>0.46</v>
      </c>
      <c r="F133" s="342">
        <v>55</v>
      </c>
      <c r="G133" s="344">
        <v>55</v>
      </c>
      <c r="H133" s="345">
        <f t="shared" si="38"/>
        <v>3.3401385325918982</v>
      </c>
      <c r="I133" s="346"/>
      <c r="J133" s="343">
        <f t="shared" si="42"/>
        <v>8.8728657254879106E-2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1"/>
        <v>13.759999999999998</v>
      </c>
      <c r="E134" s="338">
        <f t="shared" si="40"/>
        <v>0.45</v>
      </c>
      <c r="F134" s="342">
        <v>60</v>
      </c>
      <c r="G134" s="344">
        <v>60</v>
      </c>
      <c r="H134" s="345">
        <f t="shared" si="38"/>
        <v>3.2537059032034716</v>
      </c>
      <c r="I134" s="346"/>
      <c r="J134" s="343">
        <f t="shared" si="42"/>
        <v>8.6432629388426552E-2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1"/>
        <v>13.759999999999998</v>
      </c>
      <c r="E135" s="338">
        <f t="shared" si="40"/>
        <v>0.44</v>
      </c>
      <c r="F135" s="342">
        <v>75</v>
      </c>
      <c r="G135" s="344">
        <v>75</v>
      </c>
      <c r="H135" s="345">
        <f t="shared" si="38"/>
        <v>3.1695098874614858</v>
      </c>
      <c r="I135" s="346"/>
      <c r="J135" s="343">
        <f t="shared" si="42"/>
        <v>8.4196015741985875E-2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1"/>
        <v>13.759999999999998</v>
      </c>
      <c r="E136" s="338">
        <f t="shared" si="40"/>
        <v>0.43</v>
      </c>
      <c r="F136" s="342">
        <v>90</v>
      </c>
      <c r="G136" s="344">
        <v>90</v>
      </c>
      <c r="H136" s="345">
        <f t="shared" si="38"/>
        <v>3.0874926086052907</v>
      </c>
      <c r="I136" s="346"/>
      <c r="J136" s="343">
        <f t="shared" si="42"/>
        <v>8.2017278856195031E-2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1"/>
        <v>13.759999999999998</v>
      </c>
      <c r="E137" s="338">
        <f t="shared" si="40"/>
        <v>0.42</v>
      </c>
      <c r="F137" s="342">
        <v>105</v>
      </c>
      <c r="G137" s="344">
        <v>105</v>
      </c>
      <c r="H137" s="345">
        <f t="shared" si="38"/>
        <v>3.0075976875488246</v>
      </c>
      <c r="I137" s="346"/>
      <c r="J137" s="343">
        <f t="shared" si="42"/>
        <v>7.9894921056466117E-2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1"/>
        <v>13.759999999999998</v>
      </c>
      <c r="E138" s="338">
        <f t="shared" si="40"/>
        <v>0.39</v>
      </c>
      <c r="F138" s="342">
        <v>120</v>
      </c>
      <c r="G138" s="344">
        <v>120</v>
      </c>
      <c r="H138" s="345">
        <f t="shared" si="38"/>
        <v>2.7801049385696022</v>
      </c>
      <c r="I138" s="346"/>
      <c r="J138" s="343">
        <f t="shared" si="42"/>
        <v>0.22749274897922245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4">C138-A$138</f>
        <v>36</v>
      </c>
      <c r="D139" s="336">
        <f t="shared" si="41"/>
        <v>13.759999999999998</v>
      </c>
      <c r="E139" s="338">
        <f t="shared" si="40"/>
        <v>0.36</v>
      </c>
      <c r="F139" s="339"/>
      <c r="G139" s="331">
        <v>150</v>
      </c>
      <c r="H139" s="340">
        <f t="shared" si="38"/>
        <v>2.5698195943747284</v>
      </c>
      <c r="I139" s="341"/>
      <c r="J139" s="343">
        <f t="shared" si="42"/>
        <v>0.21028534419487377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1"/>
        <v>13.759999999999998</v>
      </c>
      <c r="E140" s="338">
        <f t="shared" si="40"/>
        <v>0.38</v>
      </c>
      <c r="F140" s="342">
        <v>180</v>
      </c>
      <c r="G140" s="344">
        <v>180</v>
      </c>
      <c r="H140" s="345">
        <f t="shared" si="38"/>
        <v>2.7081642757882127</v>
      </c>
      <c r="I140" s="346"/>
      <c r="J140" s="343">
        <f t="shared" si="42"/>
        <v>-0.13834468141348433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4"/>
        <v>35</v>
      </c>
      <c r="D141" s="336">
        <f t="shared" si="41"/>
        <v>13.759999999999998</v>
      </c>
      <c r="E141" s="338">
        <f t="shared" si="40"/>
        <v>0.35</v>
      </c>
      <c r="F141" s="339"/>
      <c r="G141" s="331">
        <v>210</v>
      </c>
      <c r="H141" s="340">
        <f t="shared" si="38"/>
        <v>2.5033204769194568</v>
      </c>
      <c r="I141" s="341"/>
      <c r="J141" s="343">
        <f t="shared" si="42"/>
        <v>0.20484379886875592</v>
      </c>
      <c r="AA141" s="56"/>
      <c r="AB141" s="94"/>
    </row>
    <row r="142" spans="1:28" s="51" customFormat="1" ht="17.25" customHeight="1">
      <c r="A142" s="331"/>
      <c r="B142" s="331"/>
      <c r="C142" s="331">
        <f t="shared" si="44"/>
        <v>32</v>
      </c>
      <c r="D142" s="336">
        <f t="shared" si="41"/>
        <v>13.759999999999998</v>
      </c>
      <c r="E142" s="338">
        <f>C142/100</f>
        <v>0.32</v>
      </c>
      <c r="F142" s="342">
        <v>240</v>
      </c>
      <c r="G142" s="344">
        <v>240</v>
      </c>
      <c r="H142" s="345">
        <f t="shared" si="38"/>
        <v>2.3139709308588219</v>
      </c>
      <c r="I142" s="346"/>
      <c r="J142" s="343">
        <f t="shared" si="42"/>
        <v>0.18934954606063492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4"/>
        <v>29</v>
      </c>
      <c r="D143" s="336">
        <f t="shared" si="41"/>
        <v>13.759999999999998</v>
      </c>
      <c r="E143" s="338">
        <f>C143/100</f>
        <v>0.28999999999999998</v>
      </c>
      <c r="F143" s="339"/>
      <c r="G143" s="331">
        <v>270</v>
      </c>
      <c r="H143" s="340">
        <f t="shared" si="38"/>
        <v>2.1389436623187579</v>
      </c>
      <c r="I143" s="341"/>
      <c r="J143" s="343">
        <f t="shared" si="42"/>
        <v>0.17502726854006401</v>
      </c>
      <c r="AA143" s="56"/>
      <c r="AB143" s="94"/>
    </row>
    <row r="144" spans="1:28" s="51" customFormat="1" ht="17.25" customHeight="1">
      <c r="A144" s="331"/>
      <c r="B144" s="331"/>
      <c r="C144" s="331">
        <f t="shared" si="44"/>
        <v>26</v>
      </c>
      <c r="D144" s="336">
        <f t="shared" si="41"/>
        <v>13.759999999999998</v>
      </c>
      <c r="E144" s="338">
        <f>C144/100</f>
        <v>0.26</v>
      </c>
      <c r="F144" s="342">
        <v>300</v>
      </c>
      <c r="G144" s="344">
        <v>300</v>
      </c>
      <c r="H144" s="345">
        <f t="shared" si="38"/>
        <v>1.9771553434664608</v>
      </c>
      <c r="I144" s="346"/>
      <c r="J144" s="343">
        <f t="shared" si="42"/>
        <v>0.16178831885229705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4"/>
        <v>23</v>
      </c>
      <c r="D145" s="336">
        <f t="shared" si="41"/>
        <v>13.759999999999998</v>
      </c>
      <c r="E145" s="338">
        <f>C145/100</f>
        <v>0.23</v>
      </c>
      <c r="F145" s="339"/>
      <c r="G145" s="331">
        <v>330</v>
      </c>
      <c r="H145" s="340">
        <f t="shared" si="38"/>
        <v>1.8276045886875798</v>
      </c>
      <c r="I145" s="341"/>
      <c r="J145" s="343">
        <f t="shared" si="42"/>
        <v>0.14955075477888102</v>
      </c>
      <c r="AA145" s="56"/>
      <c r="AB145" s="94"/>
    </row>
    <row r="146" spans="1:28" s="51" customFormat="1" ht="17.25" customHeight="1">
      <c r="A146" s="331"/>
      <c r="B146" s="331"/>
      <c r="C146" s="331">
        <f t="shared" si="44"/>
        <v>20</v>
      </c>
      <c r="D146" s="336">
        <f t="shared" si="41"/>
        <v>13.759999999999998</v>
      </c>
      <c r="E146" s="338">
        <f>C146/100</f>
        <v>0.2</v>
      </c>
      <c r="F146" s="342">
        <v>360</v>
      </c>
      <c r="G146" s="344">
        <v>360</v>
      </c>
      <c r="H146" s="345">
        <f t="shared" si="38"/>
        <v>1.6893657565296705</v>
      </c>
      <c r="I146" s="346"/>
      <c r="J146" s="343">
        <f t="shared" si="42"/>
        <v>0.13823883215790933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7.4999999999999997E-2</v>
      </c>
      <c r="B18" s="113"/>
      <c r="C18" s="114"/>
    </row>
    <row r="19" spans="1:3">
      <c r="A19" s="113">
        <f>Input!M44/2/1000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92</v>
      </c>
      <c r="C24" s="114"/>
    </row>
    <row r="25" spans="1:3">
      <c r="A25" s="115">
        <f>StepTest!D31</f>
        <v>120</v>
      </c>
      <c r="B25" s="115">
        <f>Input!D4</f>
        <v>117</v>
      </c>
      <c r="C25" s="114"/>
    </row>
    <row r="26" spans="1:3">
      <c r="A26" s="115">
        <f>StepTest!D36</f>
        <v>240</v>
      </c>
      <c r="B26" s="115">
        <f>Input!D5</f>
        <v>142.79999999999998</v>
      </c>
      <c r="C26" s="114"/>
    </row>
    <row r="27" spans="1:3">
      <c r="A27" s="115">
        <f>StepTest!D41</f>
        <v>360</v>
      </c>
      <c r="B27" s="115">
        <f>Input!D6</f>
        <v>168</v>
      </c>
      <c r="C27" s="114"/>
    </row>
    <row r="28" spans="1:3">
      <c r="A28" s="115">
        <f>StepTest!D46</f>
        <v>480</v>
      </c>
      <c r="B28" s="115">
        <f>Input!D7</f>
        <v>193.2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1.69</v>
      </c>
      <c r="C36" s="115">
        <v>1</v>
      </c>
    </row>
    <row r="37" spans="1:3">
      <c r="A37" s="113">
        <f>Sheet1!A3</f>
        <v>3</v>
      </c>
      <c r="B37" s="114">
        <f>Sheet1!B3</f>
        <v>2.09</v>
      </c>
      <c r="C37" s="115">
        <v>1</v>
      </c>
    </row>
    <row r="38" spans="1:3">
      <c r="A38" s="113">
        <f>Sheet1!A4</f>
        <v>4</v>
      </c>
      <c r="B38" s="114">
        <f>Sheet1!B4</f>
        <v>2.37</v>
      </c>
      <c r="C38" s="115">
        <v>1</v>
      </c>
    </row>
    <row r="39" spans="1:3">
      <c r="A39" s="113">
        <f>Sheet1!A5</f>
        <v>5</v>
      </c>
      <c r="B39" s="114">
        <f>Sheet1!B5</f>
        <v>2.6</v>
      </c>
      <c r="C39" s="115">
        <v>1</v>
      </c>
    </row>
    <row r="40" spans="1:3">
      <c r="A40" s="113">
        <f>Sheet1!A6</f>
        <v>10</v>
      </c>
      <c r="B40" s="114">
        <f>Sheet1!B6</f>
        <v>3.28</v>
      </c>
      <c r="C40" s="115">
        <v>1</v>
      </c>
    </row>
    <row r="41" spans="1:3">
      <c r="A41" s="113">
        <f>Sheet1!A7</f>
        <v>15</v>
      </c>
      <c r="B41" s="114">
        <f>Sheet1!B7</f>
        <v>3.68</v>
      </c>
      <c r="C41" s="115">
        <v>1</v>
      </c>
    </row>
    <row r="42" spans="1:3">
      <c r="A42" s="113">
        <f>Sheet1!A8</f>
        <v>20</v>
      </c>
      <c r="B42" s="114">
        <f>Sheet1!B8</f>
        <v>3.97</v>
      </c>
      <c r="C42" s="115">
        <v>1</v>
      </c>
    </row>
    <row r="43" spans="1:3">
      <c r="A43" s="113">
        <f>Sheet1!A9</f>
        <v>25</v>
      </c>
      <c r="B43" s="114">
        <f>Sheet1!B9</f>
        <v>4.1900000000000004</v>
      </c>
      <c r="C43" s="115">
        <v>1</v>
      </c>
    </row>
    <row r="44" spans="1:3">
      <c r="A44" s="113">
        <f>Sheet1!A10</f>
        <v>30</v>
      </c>
      <c r="B44" s="114">
        <f>Sheet1!B10</f>
        <v>4.37</v>
      </c>
      <c r="C44" s="115">
        <v>1</v>
      </c>
    </row>
    <row r="45" spans="1:3">
      <c r="A45" s="113">
        <f>Sheet1!A11</f>
        <v>35</v>
      </c>
      <c r="B45" s="114">
        <f>Sheet1!B11</f>
        <v>4.5199999999999996</v>
      </c>
      <c r="C45" s="115">
        <v>1</v>
      </c>
    </row>
    <row r="46" spans="1:3">
      <c r="A46" s="113">
        <f>Sheet1!A12</f>
        <v>40</v>
      </c>
      <c r="B46" s="114">
        <f>Sheet1!B12</f>
        <v>4.66</v>
      </c>
      <c r="C46" s="115">
        <v>1</v>
      </c>
    </row>
    <row r="47" spans="1:3">
      <c r="A47" s="113">
        <f>Sheet1!A13</f>
        <v>45</v>
      </c>
      <c r="B47" s="114">
        <f>Sheet1!B13</f>
        <v>4.7699999999999996</v>
      </c>
      <c r="C47" s="115">
        <v>1</v>
      </c>
    </row>
    <row r="48" spans="1:3">
      <c r="A48" s="113">
        <f>Sheet1!A14</f>
        <v>50</v>
      </c>
      <c r="B48" s="114">
        <f>Sheet1!B14</f>
        <v>4.88</v>
      </c>
      <c r="C48" s="115">
        <v>1</v>
      </c>
    </row>
    <row r="49" spans="1:3">
      <c r="A49" s="113">
        <f>Sheet1!A15</f>
        <v>55</v>
      </c>
      <c r="B49" s="114">
        <f>Sheet1!B15</f>
        <v>4.97</v>
      </c>
      <c r="C49" s="115">
        <v>1</v>
      </c>
    </row>
    <row r="50" spans="1:3">
      <c r="A50" s="113">
        <f>Sheet1!A16</f>
        <v>60</v>
      </c>
      <c r="B50" s="114">
        <f>Sheet1!B16</f>
        <v>5.0599999999999996</v>
      </c>
      <c r="C50" s="115">
        <v>1</v>
      </c>
    </row>
    <row r="51" spans="1:3">
      <c r="A51" s="113">
        <f>Sheet1!A17</f>
        <v>75</v>
      </c>
      <c r="B51" s="114">
        <f>Sheet1!B17</f>
        <v>5.28</v>
      </c>
      <c r="C51" s="115">
        <v>1</v>
      </c>
    </row>
    <row r="52" spans="1:3">
      <c r="A52" s="113">
        <f>Sheet1!A18</f>
        <v>90</v>
      </c>
      <c r="B52" s="114">
        <f>Sheet1!B18</f>
        <v>5.46</v>
      </c>
      <c r="C52" s="115">
        <v>1</v>
      </c>
    </row>
    <row r="53" spans="1:3">
      <c r="A53" s="113">
        <f>Sheet1!A19</f>
        <v>105</v>
      </c>
      <c r="B53" s="114">
        <f>Sheet1!B19</f>
        <v>5.61</v>
      </c>
      <c r="C53" s="115">
        <v>1</v>
      </c>
    </row>
    <row r="54" spans="1:3">
      <c r="A54" s="113">
        <f>Sheet1!A20</f>
        <v>120</v>
      </c>
      <c r="B54" s="114">
        <f>Sheet1!B20</f>
        <v>5.75</v>
      </c>
      <c r="C54" s="115">
        <v>1</v>
      </c>
    </row>
    <row r="55" spans="1:3">
      <c r="A55" s="113">
        <f>Sheet1!A21</f>
        <v>121</v>
      </c>
      <c r="B55" s="114">
        <f>Sheet1!B21</f>
        <v>5.91</v>
      </c>
      <c r="C55" s="115">
        <v>1</v>
      </c>
    </row>
    <row r="56" spans="1:3">
      <c r="A56" s="113">
        <f>Sheet1!A22</f>
        <v>122</v>
      </c>
      <c r="B56" s="114">
        <f>Sheet1!B22</f>
        <v>6.0600000000000005</v>
      </c>
      <c r="C56" s="115">
        <v>1</v>
      </c>
    </row>
    <row r="57" spans="1:3">
      <c r="A57" s="113">
        <f>Sheet1!A23</f>
        <v>123</v>
      </c>
      <c r="B57" s="114">
        <f>Sheet1!B23</f>
        <v>6.2</v>
      </c>
      <c r="C57" s="115">
        <v>1</v>
      </c>
    </row>
    <row r="58" spans="1:3">
      <c r="A58" s="113">
        <f>Sheet1!A24</f>
        <v>124</v>
      </c>
      <c r="B58" s="114">
        <f>Sheet1!B24</f>
        <v>6.33</v>
      </c>
      <c r="C58" s="115">
        <v>1</v>
      </c>
    </row>
    <row r="59" spans="1:3">
      <c r="A59" s="113">
        <f>Sheet1!A25</f>
        <v>125</v>
      </c>
      <c r="B59" s="114">
        <f>Sheet1!B25</f>
        <v>6.46</v>
      </c>
      <c r="C59" s="115">
        <v>1</v>
      </c>
    </row>
    <row r="60" spans="1:3">
      <c r="A60" s="113">
        <f>Sheet1!A26</f>
        <v>130</v>
      </c>
      <c r="B60" s="114">
        <f>Sheet1!B26</f>
        <v>6.9</v>
      </c>
      <c r="C60" s="115">
        <v>1</v>
      </c>
    </row>
    <row r="61" spans="1:3">
      <c r="A61" s="113">
        <f>Sheet1!A27</f>
        <v>135</v>
      </c>
      <c r="B61" s="114">
        <f>Sheet1!B27</f>
        <v>7.0100000000000007</v>
      </c>
      <c r="C61" s="115">
        <v>1</v>
      </c>
    </row>
    <row r="62" spans="1:3">
      <c r="A62" s="113">
        <f>Sheet1!A28</f>
        <v>140</v>
      </c>
      <c r="B62" s="114">
        <f>Sheet1!B28</f>
        <v>7.09</v>
      </c>
      <c r="C62" s="115">
        <v>1</v>
      </c>
    </row>
    <row r="63" spans="1:3">
      <c r="A63" s="113">
        <f>Sheet1!A29</f>
        <v>145</v>
      </c>
      <c r="B63" s="114">
        <f>Sheet1!B29</f>
        <v>7.1899999999999995</v>
      </c>
      <c r="C63" s="115">
        <v>1</v>
      </c>
    </row>
    <row r="64" spans="1:3">
      <c r="A64" s="113">
        <f>Sheet1!A30</f>
        <v>150</v>
      </c>
      <c r="B64" s="114">
        <f>Sheet1!B30</f>
        <v>7.28</v>
      </c>
      <c r="C64" s="115">
        <v>1</v>
      </c>
    </row>
    <row r="65" spans="1:3">
      <c r="A65" s="113">
        <f>Sheet1!A31</f>
        <v>155</v>
      </c>
      <c r="B65" s="114">
        <f>Sheet1!B31</f>
        <v>7.34</v>
      </c>
      <c r="C65" s="115">
        <v>1</v>
      </c>
    </row>
    <row r="66" spans="1:3">
      <c r="A66" s="113">
        <f>Sheet1!A32</f>
        <v>160</v>
      </c>
      <c r="B66" s="114">
        <f>Sheet1!B32</f>
        <v>7.39</v>
      </c>
      <c r="C66" s="115">
        <v>1</v>
      </c>
    </row>
    <row r="67" spans="1:3">
      <c r="A67" s="113">
        <f>Sheet1!A33</f>
        <v>165</v>
      </c>
      <c r="B67" s="114">
        <f>Sheet1!B33</f>
        <v>7.43</v>
      </c>
      <c r="C67" s="115">
        <v>1</v>
      </c>
    </row>
    <row r="68" spans="1:3">
      <c r="A68" s="113">
        <f>Sheet1!A34</f>
        <v>170</v>
      </c>
      <c r="B68" s="114">
        <f>Sheet1!B34</f>
        <v>7.46</v>
      </c>
      <c r="C68" s="115">
        <v>1</v>
      </c>
    </row>
    <row r="69" spans="1:3">
      <c r="A69" s="113">
        <f>Sheet1!A35</f>
        <v>175</v>
      </c>
      <c r="B69" s="114">
        <f>Sheet1!B35</f>
        <v>7.4799999999999995</v>
      </c>
      <c r="C69" s="115">
        <v>1</v>
      </c>
    </row>
    <row r="70" spans="1:3">
      <c r="A70" s="113">
        <f>Sheet1!A36</f>
        <v>180</v>
      </c>
      <c r="B70" s="114">
        <f>Sheet1!B36</f>
        <v>7.47</v>
      </c>
      <c r="C70" s="115">
        <v>1</v>
      </c>
    </row>
    <row r="71" spans="1:3">
      <c r="A71" s="113">
        <f>Sheet1!A37</f>
        <v>195</v>
      </c>
      <c r="B71" s="114">
        <f>Sheet1!B37</f>
        <v>7.54</v>
      </c>
      <c r="C71" s="115">
        <v>1</v>
      </c>
    </row>
    <row r="72" spans="1:3">
      <c r="A72" s="113">
        <f>Sheet1!A38</f>
        <v>210</v>
      </c>
      <c r="B72" s="114">
        <f>Sheet1!B38</f>
        <v>7.6</v>
      </c>
      <c r="C72" s="115">
        <v>1</v>
      </c>
    </row>
    <row r="73" spans="1:3">
      <c r="A73" s="113">
        <f>Sheet1!A39</f>
        <v>225</v>
      </c>
      <c r="B73" s="114">
        <f>Sheet1!B39</f>
        <v>7.6499999999999995</v>
      </c>
      <c r="C73" s="115">
        <v>1</v>
      </c>
    </row>
    <row r="74" spans="1:3">
      <c r="A74" s="113">
        <f>Sheet1!A40</f>
        <v>240</v>
      </c>
      <c r="B74" s="114">
        <f>Sheet1!B40</f>
        <v>7.67</v>
      </c>
      <c r="C74" s="115">
        <v>1</v>
      </c>
    </row>
    <row r="75" spans="1:3">
      <c r="A75" s="113">
        <f>Sheet1!A41</f>
        <v>241</v>
      </c>
      <c r="B75" s="114">
        <f>Sheet1!B41</f>
        <v>7.85</v>
      </c>
      <c r="C75" s="115">
        <v>1</v>
      </c>
    </row>
    <row r="76" spans="1:3">
      <c r="A76" s="113">
        <f>Sheet1!A42</f>
        <v>242</v>
      </c>
      <c r="B76" s="114">
        <f>Sheet1!B42</f>
        <v>8.01</v>
      </c>
      <c r="C76" s="115">
        <v>1</v>
      </c>
    </row>
    <row r="77" spans="1:3">
      <c r="A77" s="113">
        <f>Sheet1!A43</f>
        <v>243</v>
      </c>
      <c r="B77" s="114">
        <f>Sheet1!B43</f>
        <v>8.16</v>
      </c>
      <c r="C77" s="115">
        <v>1</v>
      </c>
    </row>
    <row r="78" spans="1:3">
      <c r="A78" s="113">
        <f>Sheet1!A44</f>
        <v>244</v>
      </c>
      <c r="B78" s="114">
        <f>Sheet1!B44</f>
        <v>8.3000000000000007</v>
      </c>
      <c r="C78" s="115">
        <v>1</v>
      </c>
    </row>
    <row r="79" spans="1:3">
      <c r="A79" s="113">
        <f>Sheet1!A45</f>
        <v>245</v>
      </c>
      <c r="B79" s="114">
        <f>Sheet1!B45</f>
        <v>8.4300000000000015</v>
      </c>
      <c r="C79" s="115">
        <v>1</v>
      </c>
    </row>
    <row r="80" spans="1:3">
      <c r="A80" s="113">
        <f>Sheet1!A46</f>
        <v>250</v>
      </c>
      <c r="B80" s="114">
        <f>Sheet1!B46</f>
        <v>8.9600000000000009</v>
      </c>
      <c r="C80" s="115">
        <v>1</v>
      </c>
    </row>
    <row r="81" spans="1:3">
      <c r="A81" s="113">
        <f>Sheet1!A47</f>
        <v>255</v>
      </c>
      <c r="B81" s="114">
        <f>Sheet1!B47</f>
        <v>9.07</v>
      </c>
      <c r="C81" s="115">
        <v>1</v>
      </c>
    </row>
    <row r="82" spans="1:3">
      <c r="A82" s="113">
        <f>Sheet1!A48</f>
        <v>260</v>
      </c>
      <c r="B82" s="114">
        <f>Sheet1!B48</f>
        <v>9.18</v>
      </c>
      <c r="C82" s="115">
        <v>1</v>
      </c>
    </row>
    <row r="83" spans="1:3">
      <c r="A83" s="113">
        <f>Sheet1!A49</f>
        <v>265</v>
      </c>
      <c r="B83" s="114">
        <f>Sheet1!B49</f>
        <v>9.2899999999999991</v>
      </c>
      <c r="C83" s="115">
        <v>1</v>
      </c>
    </row>
    <row r="84" spans="1:3">
      <c r="A84" s="113">
        <f>Sheet1!A50</f>
        <v>270</v>
      </c>
      <c r="B84" s="114">
        <f>Sheet1!B50</f>
        <v>9.39</v>
      </c>
      <c r="C84" s="115">
        <v>1</v>
      </c>
    </row>
    <row r="85" spans="1:3">
      <c r="A85" s="113">
        <f>Sheet1!A51</f>
        <v>275</v>
      </c>
      <c r="B85" s="114">
        <f>Sheet1!B51</f>
        <v>9.4600000000000009</v>
      </c>
      <c r="C85" s="115">
        <v>1</v>
      </c>
    </row>
    <row r="86" spans="1:3">
      <c r="A86" s="113">
        <f>Sheet1!A52</f>
        <v>280</v>
      </c>
      <c r="B86" s="114">
        <f>Sheet1!B52</f>
        <v>9.5100000000000016</v>
      </c>
      <c r="C86" s="115">
        <v>1</v>
      </c>
    </row>
    <row r="87" spans="1:3">
      <c r="A87" s="113">
        <f>Sheet1!A53</f>
        <v>285</v>
      </c>
      <c r="B87" s="114">
        <f>Sheet1!B53</f>
        <v>9.5500000000000007</v>
      </c>
      <c r="C87" s="115">
        <v>1</v>
      </c>
    </row>
    <row r="88" spans="1:3">
      <c r="A88" s="113">
        <f>Sheet1!A54</f>
        <v>290</v>
      </c>
      <c r="B88" s="114">
        <f>Sheet1!B54</f>
        <v>9.58</v>
      </c>
      <c r="C88" s="115">
        <v>1</v>
      </c>
    </row>
    <row r="89" spans="1:3">
      <c r="A89" s="113">
        <f>Sheet1!A55</f>
        <v>295</v>
      </c>
      <c r="B89" s="114">
        <f>Sheet1!B55</f>
        <v>9.6</v>
      </c>
      <c r="C89" s="115">
        <v>1</v>
      </c>
    </row>
    <row r="90" spans="1:3">
      <c r="A90" s="113">
        <f>Sheet1!A56</f>
        <v>300</v>
      </c>
      <c r="B90" s="114">
        <f>Sheet1!B56</f>
        <v>9.61</v>
      </c>
      <c r="C90" s="115">
        <v>1</v>
      </c>
    </row>
    <row r="91" spans="1:3">
      <c r="A91" s="113">
        <f>Sheet1!A57</f>
        <v>315</v>
      </c>
      <c r="B91" s="114">
        <f>Sheet1!B57</f>
        <v>9.69</v>
      </c>
      <c r="C91" s="115">
        <v>1</v>
      </c>
    </row>
    <row r="92" spans="1:3">
      <c r="A92" s="113">
        <f>Sheet1!A58</f>
        <v>330</v>
      </c>
      <c r="B92" s="114">
        <f>Sheet1!B58</f>
        <v>9.75</v>
      </c>
      <c r="C92" s="115">
        <v>1</v>
      </c>
    </row>
    <row r="93" spans="1:3">
      <c r="A93" s="113">
        <f>Sheet1!A59</f>
        <v>345</v>
      </c>
      <c r="B93" s="114">
        <f>Sheet1!B59</f>
        <v>9.8000000000000007</v>
      </c>
      <c r="C93" s="115">
        <v>1</v>
      </c>
    </row>
    <row r="94" spans="1:3">
      <c r="A94" s="113">
        <f>Sheet1!A60</f>
        <v>360</v>
      </c>
      <c r="B94" s="114">
        <f>Sheet1!B60</f>
        <v>9.83</v>
      </c>
      <c r="C94" s="115">
        <v>1</v>
      </c>
    </row>
    <row r="95" spans="1:3">
      <c r="A95" s="113">
        <f>Sheet1!A61</f>
        <v>361</v>
      </c>
      <c r="B95" s="114">
        <f>Sheet1!B61</f>
        <v>10.02</v>
      </c>
      <c r="C95" s="115">
        <v>1</v>
      </c>
    </row>
    <row r="96" spans="1:3">
      <c r="A96" s="113">
        <f>Sheet1!A62</f>
        <v>362</v>
      </c>
      <c r="B96" s="114">
        <f>Sheet1!B62</f>
        <v>10.19</v>
      </c>
      <c r="C96" s="115">
        <v>1</v>
      </c>
    </row>
    <row r="97" spans="1:3">
      <c r="A97" s="113">
        <f>Sheet1!A63</f>
        <v>363</v>
      </c>
      <c r="B97" s="114">
        <f>Sheet1!B63</f>
        <v>10.35</v>
      </c>
      <c r="C97" s="115">
        <v>1</v>
      </c>
    </row>
    <row r="98" spans="1:3">
      <c r="A98" s="113">
        <f>Sheet1!A64</f>
        <v>364</v>
      </c>
      <c r="B98" s="114">
        <f>Sheet1!B64</f>
        <v>10.5</v>
      </c>
      <c r="C98" s="115">
        <v>1</v>
      </c>
    </row>
    <row r="99" spans="1:3">
      <c r="A99" s="113">
        <f>Sheet1!A65</f>
        <v>365</v>
      </c>
      <c r="B99" s="114">
        <f>Sheet1!B65</f>
        <v>10.64</v>
      </c>
      <c r="C99" s="115">
        <v>1</v>
      </c>
    </row>
    <row r="100" spans="1:3">
      <c r="A100" s="113">
        <f>Sheet1!A66</f>
        <v>370</v>
      </c>
      <c r="B100" s="114">
        <f>Sheet1!B66</f>
        <v>11.27</v>
      </c>
      <c r="C100" s="115">
        <v>1</v>
      </c>
    </row>
    <row r="101" spans="1:3">
      <c r="A101" s="113">
        <f>Sheet1!A67</f>
        <v>375</v>
      </c>
      <c r="B101" s="114">
        <f>Sheet1!B67</f>
        <v>11.389999999999999</v>
      </c>
      <c r="C101" s="115">
        <v>1</v>
      </c>
    </row>
    <row r="102" spans="1:3">
      <c r="A102" s="113">
        <f>Sheet1!A68</f>
        <v>380</v>
      </c>
      <c r="B102" s="114">
        <f>Sheet1!B68</f>
        <v>11.51</v>
      </c>
      <c r="C102" s="115">
        <v>1</v>
      </c>
    </row>
    <row r="103" spans="1:3">
      <c r="A103" s="113">
        <f>Sheet1!A69</f>
        <v>385</v>
      </c>
      <c r="B103" s="114">
        <f>Sheet1!B69</f>
        <v>11.629999999999999</v>
      </c>
      <c r="C103" s="115">
        <v>1</v>
      </c>
    </row>
    <row r="104" spans="1:3">
      <c r="A104" s="113">
        <f>Sheet1!A70</f>
        <v>390</v>
      </c>
      <c r="B104" s="114">
        <f>Sheet1!B70</f>
        <v>11.75</v>
      </c>
      <c r="C104" s="115">
        <v>1</v>
      </c>
    </row>
    <row r="105" spans="1:3">
      <c r="A105" s="113">
        <f>Sheet1!A71</f>
        <v>395</v>
      </c>
      <c r="B105" s="114">
        <f>Sheet1!B71</f>
        <v>11.82</v>
      </c>
      <c r="C105" s="115">
        <v>1</v>
      </c>
    </row>
    <row r="106" spans="1:3">
      <c r="A106" s="113">
        <f>Sheet1!A72</f>
        <v>400</v>
      </c>
      <c r="B106" s="114">
        <f>Sheet1!B72</f>
        <v>11.870000000000001</v>
      </c>
      <c r="C106" s="115">
        <v>1</v>
      </c>
    </row>
    <row r="107" spans="1:3">
      <c r="A107" s="113">
        <f>Sheet1!A73</f>
        <v>405</v>
      </c>
      <c r="B107" s="114">
        <f>Sheet1!B73</f>
        <v>11.91</v>
      </c>
      <c r="C107" s="115">
        <v>1</v>
      </c>
    </row>
    <row r="108" spans="1:3">
      <c r="A108" s="113">
        <f>Sheet1!A74</f>
        <v>410</v>
      </c>
      <c r="B108" s="114">
        <f>Sheet1!B74</f>
        <v>11.94</v>
      </c>
      <c r="C108" s="115">
        <v>1</v>
      </c>
    </row>
    <row r="109" spans="1:3">
      <c r="A109" s="113">
        <f>Sheet1!A75</f>
        <v>415</v>
      </c>
      <c r="B109" s="114">
        <f>Sheet1!B75</f>
        <v>11.969999999999999</v>
      </c>
      <c r="C109" s="115">
        <v>1</v>
      </c>
    </row>
    <row r="110" spans="1:3">
      <c r="A110" s="113">
        <f>Sheet1!A76</f>
        <v>420</v>
      </c>
      <c r="B110" s="114">
        <f>Sheet1!B76</f>
        <v>11.99</v>
      </c>
      <c r="C110" s="115">
        <v>1</v>
      </c>
    </row>
    <row r="111" spans="1:3">
      <c r="A111" s="113">
        <f>Sheet1!A77</f>
        <v>435</v>
      </c>
      <c r="B111" s="114">
        <f>Sheet1!B77</f>
        <v>12.08</v>
      </c>
      <c r="C111" s="115">
        <v>1</v>
      </c>
    </row>
    <row r="112" spans="1:3">
      <c r="A112" s="113">
        <f>Sheet1!A78</f>
        <v>450</v>
      </c>
      <c r="B112" s="114">
        <f>Sheet1!B78</f>
        <v>12.15</v>
      </c>
      <c r="C112" s="115">
        <v>1</v>
      </c>
    </row>
    <row r="113" spans="1:3">
      <c r="A113" s="113">
        <f>Sheet1!A79</f>
        <v>465</v>
      </c>
      <c r="B113" s="114">
        <f>Sheet1!B79</f>
        <v>12.200000000000001</v>
      </c>
      <c r="C113" s="115">
        <v>1</v>
      </c>
    </row>
    <row r="114" spans="1:3">
      <c r="A114" s="113">
        <f>Sheet1!A80</f>
        <v>480</v>
      </c>
      <c r="B114" s="114">
        <f>Sheet1!B80</f>
        <v>12.24</v>
      </c>
      <c r="C114" s="115">
        <v>1</v>
      </c>
    </row>
    <row r="115" spans="1:3">
      <c r="A115" s="113">
        <f>Sheet1!A81</f>
        <v>481</v>
      </c>
      <c r="B115" s="114">
        <f>Sheet1!B81</f>
        <v>12.450000000000001</v>
      </c>
      <c r="C115" s="115">
        <v>1</v>
      </c>
    </row>
    <row r="116" spans="1:3">
      <c r="A116" s="113">
        <f>Sheet1!A82</f>
        <v>482</v>
      </c>
      <c r="B116" s="114">
        <f>Sheet1!B82</f>
        <v>12.64</v>
      </c>
      <c r="C116" s="115">
        <v>1</v>
      </c>
    </row>
    <row r="117" spans="1:3">
      <c r="A117" s="113">
        <f>Sheet1!A83</f>
        <v>483</v>
      </c>
      <c r="B117" s="114">
        <f>Sheet1!B83</f>
        <v>12.81</v>
      </c>
      <c r="C117" s="115">
        <v>1</v>
      </c>
    </row>
    <row r="118" spans="1:3">
      <c r="A118" s="113">
        <f>Sheet1!A84</f>
        <v>484</v>
      </c>
      <c r="B118" s="114">
        <f>Sheet1!B84</f>
        <v>12.97</v>
      </c>
      <c r="C118" s="115">
        <v>1</v>
      </c>
    </row>
    <row r="119" spans="1:3">
      <c r="A119" s="113">
        <f>Sheet1!A85</f>
        <v>485</v>
      </c>
      <c r="B119" s="114">
        <f>Sheet1!B85</f>
        <v>13.110000000000001</v>
      </c>
      <c r="C119" s="115">
        <v>1</v>
      </c>
    </row>
    <row r="120" spans="1:3">
      <c r="A120" s="113">
        <f>Sheet1!A86</f>
        <v>490</v>
      </c>
      <c r="B120" s="114">
        <f>Sheet1!B86</f>
        <v>13.7</v>
      </c>
      <c r="C120" s="115">
        <v>1</v>
      </c>
    </row>
    <row r="121" spans="1:3">
      <c r="A121" s="113">
        <f>Sheet1!A87</f>
        <v>495</v>
      </c>
      <c r="B121" s="114">
        <f>Sheet1!B87</f>
        <v>14.01</v>
      </c>
      <c r="C121" s="115">
        <v>1</v>
      </c>
    </row>
    <row r="122" spans="1:3">
      <c r="A122" s="113">
        <f>Sheet1!A88</f>
        <v>500</v>
      </c>
      <c r="B122" s="114">
        <f>Sheet1!B88</f>
        <v>14.25</v>
      </c>
      <c r="C122" s="115">
        <v>1</v>
      </c>
    </row>
    <row r="123" spans="1:3">
      <c r="A123" s="113">
        <f>Sheet1!A89</f>
        <v>505</v>
      </c>
      <c r="B123" s="114">
        <f>Sheet1!B89</f>
        <v>14.55</v>
      </c>
      <c r="C123" s="115">
        <v>1</v>
      </c>
    </row>
    <row r="124" spans="1:3">
      <c r="A124" s="113">
        <f>Sheet1!A90</f>
        <v>510</v>
      </c>
      <c r="B124" s="114">
        <f>Sheet1!B90</f>
        <v>14.8</v>
      </c>
      <c r="C124" s="115">
        <v>1</v>
      </c>
    </row>
    <row r="125" spans="1:3">
      <c r="A125" s="113">
        <f>Sheet1!A91</f>
        <v>515</v>
      </c>
      <c r="B125" s="114">
        <f>Sheet1!B91</f>
        <v>14.950000000000001</v>
      </c>
      <c r="C125" s="115">
        <v>1</v>
      </c>
    </row>
    <row r="126" spans="1:3">
      <c r="A126" s="113">
        <f>Sheet1!A92</f>
        <v>520</v>
      </c>
      <c r="B126" s="114">
        <f>Sheet1!B92</f>
        <v>15.080000000000002</v>
      </c>
      <c r="C126" s="115">
        <v>1</v>
      </c>
    </row>
    <row r="127" spans="1:3">
      <c r="A127" s="113">
        <f>Sheet1!A93</f>
        <v>525</v>
      </c>
      <c r="B127" s="114">
        <f>Sheet1!B93</f>
        <v>15.190000000000001</v>
      </c>
      <c r="C127" s="115">
        <v>1</v>
      </c>
    </row>
    <row r="128" spans="1:3">
      <c r="A128" s="113">
        <f>Sheet1!A94</f>
        <v>530</v>
      </c>
      <c r="B128" s="114">
        <f>Sheet1!B94</f>
        <v>15.270000000000001</v>
      </c>
      <c r="C128" s="115">
        <v>1</v>
      </c>
    </row>
    <row r="129" spans="1:3">
      <c r="A129" s="113">
        <f>Sheet1!A95</f>
        <v>535</v>
      </c>
      <c r="B129" s="114">
        <f>Sheet1!B95</f>
        <v>15.340000000000002</v>
      </c>
      <c r="C129" s="115">
        <v>1</v>
      </c>
    </row>
    <row r="130" spans="1:3">
      <c r="A130" s="113">
        <f>Sheet1!A96</f>
        <v>540</v>
      </c>
      <c r="B130" s="114">
        <f>Sheet1!B96</f>
        <v>15.35</v>
      </c>
      <c r="C130" s="115">
        <v>1</v>
      </c>
    </row>
    <row r="131" spans="1:3">
      <c r="A131" s="113">
        <f>Sheet1!A97</f>
        <v>555</v>
      </c>
      <c r="B131" s="114">
        <f>Sheet1!B97</f>
        <v>15.54</v>
      </c>
      <c r="C131" s="115">
        <v>1</v>
      </c>
    </row>
    <row r="132" spans="1:3">
      <c r="A132" s="113">
        <f>Sheet1!A98</f>
        <v>570</v>
      </c>
      <c r="B132" s="114">
        <f>Sheet1!B98</f>
        <v>15.7</v>
      </c>
      <c r="C132" s="115">
        <v>1</v>
      </c>
    </row>
    <row r="133" spans="1:3">
      <c r="A133" s="113">
        <f>Sheet1!A99</f>
        <v>585</v>
      </c>
      <c r="B133" s="114">
        <f>Sheet1!B99</f>
        <v>15.84</v>
      </c>
      <c r="C133" s="115">
        <v>1</v>
      </c>
    </row>
    <row r="134" spans="1:3">
      <c r="A134" s="113">
        <f>Sheet1!A100</f>
        <v>600</v>
      </c>
      <c r="B134" s="114">
        <f>Sheet1!B100</f>
        <v>15.91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88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0.71199999999999997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5.778394899008843</v>
      </c>
      <c r="C31" s="115">
        <v>1</v>
      </c>
    </row>
    <row r="32" spans="1:3">
      <c r="A32" s="113">
        <f>LongTest!D11</f>
        <v>2</v>
      </c>
      <c r="B32" s="117">
        <f>LongTest!G11</f>
        <v>6.6091777325675274</v>
      </c>
      <c r="C32" s="115">
        <v>1</v>
      </c>
    </row>
    <row r="33" spans="1:3">
      <c r="A33" s="113">
        <f>LongTest!D12</f>
        <v>3</v>
      </c>
      <c r="B33" s="117">
        <f>LongTest!G12</f>
        <v>7.0951545364422248</v>
      </c>
      <c r="C33" s="115">
        <v>1</v>
      </c>
    </row>
    <row r="34" spans="1:3">
      <c r="A34" s="113">
        <f>LongTest!D13</f>
        <v>4</v>
      </c>
      <c r="B34" s="117">
        <f>LongTest!G13</f>
        <v>7.4399605661262136</v>
      </c>
      <c r="C34" s="115">
        <v>1</v>
      </c>
    </row>
    <row r="35" spans="1:3">
      <c r="A35" s="113">
        <f>LongTest!D14</f>
        <v>5</v>
      </c>
      <c r="B35" s="117">
        <f>LongTest!G14</f>
        <v>7.7074129009988859</v>
      </c>
      <c r="C35" s="115">
        <v>1</v>
      </c>
    </row>
    <row r="36" spans="1:3">
      <c r="A36" s="113">
        <f>LongTest!D15</f>
        <v>10</v>
      </c>
      <c r="B36" s="117">
        <f>LongTest!G15</f>
        <v>8.5381957345575703</v>
      </c>
      <c r="C36" s="115">
        <v>1</v>
      </c>
    </row>
    <row r="37" spans="1:3">
      <c r="A37" s="113">
        <f>LongTest!D16</f>
        <v>15</v>
      </c>
      <c r="B37" s="117">
        <f>LongTest!G16</f>
        <v>9.0241725384322677</v>
      </c>
      <c r="C37" s="115">
        <v>1</v>
      </c>
    </row>
    <row r="38" spans="1:3">
      <c r="A38" s="113">
        <f>LongTest!D17</f>
        <v>20</v>
      </c>
      <c r="B38" s="117">
        <f>LongTest!G17</f>
        <v>9.3689785681162565</v>
      </c>
      <c r="C38" s="115">
        <v>1</v>
      </c>
    </row>
    <row r="39" spans="1:3">
      <c r="A39" s="113">
        <f>LongTest!D18</f>
        <v>25</v>
      </c>
      <c r="B39" s="117">
        <f>LongTest!G18</f>
        <v>9.6364309029889288</v>
      </c>
      <c r="C39" s="115">
        <v>1</v>
      </c>
    </row>
    <row r="40" spans="1:3">
      <c r="A40" s="113">
        <f>LongTest!D19</f>
        <v>30</v>
      </c>
      <c r="B40" s="117">
        <f>LongTest!G19</f>
        <v>9.8549553719909539</v>
      </c>
      <c r="C40" s="115">
        <v>1</v>
      </c>
    </row>
    <row r="41" spans="1:3">
      <c r="A41" s="113">
        <f>LongTest!D20</f>
        <v>35</v>
      </c>
      <c r="B41" s="117">
        <f>LongTest!G20</f>
        <v>10.039715177950825</v>
      </c>
      <c r="C41" s="115">
        <v>1</v>
      </c>
    </row>
    <row r="42" spans="1:3">
      <c r="A42" s="113">
        <f>LongTest!D21</f>
        <v>40</v>
      </c>
      <c r="B42" s="117">
        <f>LongTest!G21</f>
        <v>10.199761401674943</v>
      </c>
      <c r="C42" s="115">
        <v>1</v>
      </c>
    </row>
    <row r="43" spans="1:3">
      <c r="A43" s="113">
        <f>LongTest!D22</f>
        <v>45</v>
      </c>
      <c r="B43" s="117">
        <f>LongTest!G22</f>
        <v>10.340932175865651</v>
      </c>
      <c r="C43" s="115">
        <v>1</v>
      </c>
    </row>
    <row r="44" spans="1:3">
      <c r="A44" s="113">
        <f>LongTest!D23</f>
        <v>50</v>
      </c>
      <c r="B44" s="117">
        <f>LongTest!G23</f>
        <v>10.467213736547615</v>
      </c>
      <c r="C44" s="115">
        <v>1</v>
      </c>
    </row>
    <row r="45" spans="1:3">
      <c r="A45" s="113">
        <f>LongTest!D24</f>
        <v>55</v>
      </c>
      <c r="B45" s="117">
        <f>LongTest!G24</f>
        <v>10.58144930363289</v>
      </c>
      <c r="C45" s="115">
        <v>1</v>
      </c>
    </row>
    <row r="46" spans="1:3">
      <c r="A46" s="113">
        <f>LongTest!D25</f>
        <v>60</v>
      </c>
      <c r="B46" s="117">
        <f>LongTest!G25</f>
        <v>10.68573820554964</v>
      </c>
      <c r="C46" s="115">
        <v>1</v>
      </c>
    </row>
    <row r="47" spans="1:3">
      <c r="A47" s="113">
        <f>LongTest!D26</f>
        <v>75</v>
      </c>
      <c r="B47" s="117">
        <f>LongTest!G26</f>
        <v>10.953190540422311</v>
      </c>
      <c r="C47" s="115">
        <v>1</v>
      </c>
    </row>
    <row r="48" spans="1:3">
      <c r="A48" s="113">
        <f>LongTest!D27</f>
        <v>90</v>
      </c>
      <c r="B48" s="117">
        <f>LongTest!G27</f>
        <v>11.171715009424336</v>
      </c>
      <c r="C48" s="115">
        <v>1</v>
      </c>
    </row>
    <row r="49" spans="1:3">
      <c r="A49" s="113">
        <f>LongTest!D28</f>
        <v>105</v>
      </c>
      <c r="B49" s="117">
        <f>LongTest!G28</f>
        <v>11.356474815384207</v>
      </c>
      <c r="C49" s="115">
        <v>1</v>
      </c>
    </row>
    <row r="50" spans="1:3">
      <c r="A50" s="113">
        <f>LongTest!D29</f>
        <v>120</v>
      </c>
      <c r="B50" s="117">
        <f>LongTest!G29</f>
        <v>11.516521039108325</v>
      </c>
      <c r="C50" s="115">
        <v>1</v>
      </c>
    </row>
    <row r="51" spans="1:3">
      <c r="A51" s="113">
        <f>LongTest!D30</f>
        <v>140</v>
      </c>
      <c r="B51" s="117">
        <f>LongTest!G30</f>
        <v>11.701280845068196</v>
      </c>
      <c r="C51" s="115">
        <v>1</v>
      </c>
    </row>
    <row r="52" spans="1:3">
      <c r="A52" s="113">
        <f>LongTest!D31</f>
        <v>160</v>
      </c>
      <c r="B52" s="117">
        <f>LongTest!G31</f>
        <v>11.861327068792313</v>
      </c>
      <c r="C52" s="115">
        <v>1</v>
      </c>
    </row>
    <row r="53" spans="1:3">
      <c r="A53" s="113">
        <f>LongTest!D32</f>
        <v>180</v>
      </c>
      <c r="B53" s="117">
        <f>LongTest!G32</f>
        <v>12.002497842983018</v>
      </c>
      <c r="C53" s="115">
        <v>1</v>
      </c>
    </row>
    <row r="54" spans="1:3">
      <c r="A54" s="113">
        <f>LongTest!D33</f>
        <v>240</v>
      </c>
      <c r="B54" s="117">
        <f>LongTest!G33</f>
        <v>12.347303872667009</v>
      </c>
      <c r="C54" s="115">
        <v>1</v>
      </c>
    </row>
    <row r="55" spans="1:3">
      <c r="A55" s="113">
        <f>LongTest!D34</f>
        <v>300</v>
      </c>
      <c r="B55" s="117">
        <f>LongTest!G34</f>
        <v>12.614756207539681</v>
      </c>
      <c r="C55" s="115">
        <v>1</v>
      </c>
    </row>
    <row r="56" spans="1:3">
      <c r="A56" s="113">
        <f>LongTest!D35</f>
        <v>360</v>
      </c>
      <c r="B56" s="117">
        <f>LongTest!G35</f>
        <v>12.833280676541705</v>
      </c>
      <c r="C56" s="115">
        <v>1</v>
      </c>
    </row>
    <row r="57" spans="1:3">
      <c r="A57" s="113">
        <f>LongTest!D36</f>
        <v>420</v>
      </c>
      <c r="B57" s="117">
        <f>LongTest!G36</f>
        <v>13.018040482501579</v>
      </c>
      <c r="C57" s="115">
        <v>1</v>
      </c>
    </row>
    <row r="58" spans="1:3">
      <c r="A58" s="113">
        <f>LongTest!D37</f>
        <v>480</v>
      </c>
      <c r="B58" s="117">
        <f>LongTest!G37</f>
        <v>13.178086706225695</v>
      </c>
      <c r="C58" s="115">
        <v>1</v>
      </c>
    </row>
    <row r="59" spans="1:3">
      <c r="A59" s="113">
        <f>LongTest!D38</f>
        <v>540</v>
      </c>
      <c r="B59" s="117">
        <f>LongTest!G38</f>
        <v>13.319257480416404</v>
      </c>
      <c r="C59" s="115">
        <v>1</v>
      </c>
    </row>
    <row r="60" spans="1:3">
      <c r="A60" s="113">
        <f>LongTest!D39</f>
        <v>600</v>
      </c>
      <c r="B60" s="117">
        <f>LongTest!G39</f>
        <v>13.445539041098368</v>
      </c>
      <c r="C60" s="115">
        <v>1</v>
      </c>
    </row>
    <row r="61" spans="1:3">
      <c r="A61" s="113">
        <f>LongTest!D40</f>
        <v>660</v>
      </c>
      <c r="B61" s="117">
        <f>LongTest!G40</f>
        <v>13.559774608183641</v>
      </c>
      <c r="C61" s="115">
        <v>1</v>
      </c>
    </row>
    <row r="62" spans="1:3">
      <c r="A62" s="113">
        <f>LongTest!D41</f>
        <v>720</v>
      </c>
      <c r="B62" s="117">
        <f>LongTest!G41</f>
        <v>13.664063510100391</v>
      </c>
      <c r="C62" s="115">
        <v>1</v>
      </c>
    </row>
    <row r="63" spans="1:3">
      <c r="A63" s="113">
        <f>LongTest!D42</f>
        <v>780</v>
      </c>
      <c r="B63" s="117">
        <f>LongTest!G42</f>
        <v>13.759999999999998</v>
      </c>
      <c r="C63" s="115">
        <v>1</v>
      </c>
    </row>
    <row r="64" spans="1:3">
      <c r="A64" s="113">
        <f>LongTest!D43</f>
        <v>840</v>
      </c>
      <c r="B64" s="117">
        <f>LongTest!G43</f>
        <v>13.759999999999998</v>
      </c>
      <c r="C64" s="115">
        <v>1</v>
      </c>
    </row>
    <row r="65" spans="1:3">
      <c r="A65" s="113">
        <f>LongTest!D44</f>
        <v>900</v>
      </c>
      <c r="B65" s="117">
        <f>LongTest!G44</f>
        <v>13.759999999999998</v>
      </c>
      <c r="C65" s="115">
        <v>1</v>
      </c>
    </row>
    <row r="66" spans="1:3">
      <c r="A66" s="113">
        <f>LongTest!D45</f>
        <v>960</v>
      </c>
      <c r="B66" s="117">
        <f>LongTest!G45</f>
        <v>13.759999999999998</v>
      </c>
      <c r="C66" s="115">
        <v>1</v>
      </c>
    </row>
    <row r="67" spans="1:3">
      <c r="A67" s="113">
        <f>LongTest!D46</f>
        <v>1020</v>
      </c>
      <c r="B67" s="117">
        <f>LongTest!G46</f>
        <v>13.759999999999998</v>
      </c>
      <c r="C67" s="115">
        <v>1</v>
      </c>
    </row>
    <row r="68" spans="1:3">
      <c r="A68" s="113">
        <f>LongTest!D47</f>
        <v>1080</v>
      </c>
      <c r="B68" s="117">
        <f>LongTest!G47</f>
        <v>13.759999999999998</v>
      </c>
      <c r="C68" s="115">
        <v>1</v>
      </c>
    </row>
    <row r="69" spans="1:3">
      <c r="A69" s="113">
        <f>LongTest!D48</f>
        <v>1140</v>
      </c>
      <c r="B69" s="117">
        <f>LongTest!G48</f>
        <v>13.759999999999998</v>
      </c>
      <c r="C69" s="115">
        <v>1</v>
      </c>
    </row>
    <row r="70" spans="1:3">
      <c r="A70" s="113">
        <f>LongTest!D49</f>
        <v>1200</v>
      </c>
      <c r="B70" s="117">
        <f>LongTest!G49</f>
        <v>13.759999999999998</v>
      </c>
      <c r="C70" s="115">
        <v>1</v>
      </c>
    </row>
    <row r="71" spans="1:3">
      <c r="A71" s="113">
        <f>LongTest!D50</f>
        <v>1260</v>
      </c>
      <c r="B71" s="117">
        <f>LongTest!G50</f>
        <v>13.759999999999998</v>
      </c>
      <c r="C71" s="115">
        <v>1</v>
      </c>
    </row>
    <row r="72" spans="1:3">
      <c r="A72" s="113">
        <f>LongTest!D51</f>
        <v>1320</v>
      </c>
      <c r="B72" s="117">
        <f>LongTest!G51</f>
        <v>13.759999999999998</v>
      </c>
      <c r="C72" s="115">
        <v>1</v>
      </c>
    </row>
    <row r="73" spans="1:3">
      <c r="A73" s="113">
        <f>LongTest!D52</f>
        <v>1380</v>
      </c>
      <c r="B73" s="117">
        <f>LongTest!G52</f>
        <v>13.759999999999998</v>
      </c>
      <c r="C73" s="115">
        <v>1</v>
      </c>
    </row>
    <row r="74" spans="1:3">
      <c r="A74" s="113">
        <f>LongTest!D53</f>
        <v>1440</v>
      </c>
      <c r="B74" s="117">
        <f>LongTest!G53</f>
        <v>13.759999999999998</v>
      </c>
      <c r="C74" s="115">
        <v>1</v>
      </c>
    </row>
    <row r="75" spans="1:3">
      <c r="A75" s="113">
        <f>LongTest!D54</f>
        <v>1500</v>
      </c>
      <c r="B75" s="117">
        <f>LongTest!G54</f>
        <v>13.759999999999998</v>
      </c>
      <c r="C75" s="115">
        <v>1</v>
      </c>
    </row>
    <row r="76" spans="1:3">
      <c r="A76" s="113">
        <f>LongTest!D55</f>
        <v>1560</v>
      </c>
      <c r="B76" s="117">
        <f>LongTest!G55</f>
        <v>13.759999999999998</v>
      </c>
      <c r="C76" s="115">
        <v>1</v>
      </c>
    </row>
    <row r="77" spans="1:3">
      <c r="A77" s="113">
        <f>LongTest!D56</f>
        <v>1620</v>
      </c>
      <c r="B77" s="117">
        <f>LongTest!G56</f>
        <v>13.759999999999998</v>
      </c>
      <c r="C77" s="115">
        <v>1</v>
      </c>
    </row>
    <row r="78" spans="1:3">
      <c r="A78" s="113">
        <f>LongTest!D57</f>
        <v>1680</v>
      </c>
      <c r="B78" s="117">
        <f>LongTest!G57</f>
        <v>13.759999999999998</v>
      </c>
      <c r="C78" s="115">
        <v>1</v>
      </c>
    </row>
    <row r="79" spans="1:3">
      <c r="A79" s="113">
        <f>LongTest!D58</f>
        <v>1740</v>
      </c>
      <c r="B79" s="117">
        <f>LongTest!G58</f>
        <v>13.759999999999998</v>
      </c>
      <c r="C79" s="115">
        <v>1</v>
      </c>
    </row>
    <row r="80" spans="1:3">
      <c r="A80" s="113">
        <f>LongTest!D59</f>
        <v>1800</v>
      </c>
      <c r="B80" s="117">
        <f>LongTest!G59</f>
        <v>13.759999999999998</v>
      </c>
      <c r="C80" s="115">
        <v>1</v>
      </c>
    </row>
    <row r="81" spans="1:3">
      <c r="A81" s="113">
        <f>LongTest!D60</f>
        <v>1860</v>
      </c>
      <c r="B81" s="117">
        <f>LongTest!G60</f>
        <v>13.759999999999998</v>
      </c>
      <c r="C81" s="115">
        <v>1</v>
      </c>
    </row>
    <row r="82" spans="1:3">
      <c r="A82" s="113">
        <f>LongTest!D61</f>
        <v>1920</v>
      </c>
      <c r="B82" s="117">
        <f>LongTest!G61</f>
        <v>13.759999999999998</v>
      </c>
      <c r="C82" s="115">
        <v>1</v>
      </c>
    </row>
    <row r="83" spans="1:3">
      <c r="A83" s="113">
        <f>LongTest!D62</f>
        <v>1980</v>
      </c>
      <c r="B83" s="117">
        <f>LongTest!G62</f>
        <v>13.759999999999998</v>
      </c>
      <c r="C83" s="115">
        <v>1</v>
      </c>
    </row>
    <row r="84" spans="1:3">
      <c r="A84" s="113">
        <f>LongTest!D63</f>
        <v>2040</v>
      </c>
      <c r="B84" s="117">
        <f>LongTest!G63</f>
        <v>13.759999999999998</v>
      </c>
      <c r="C84" s="115">
        <v>1</v>
      </c>
    </row>
    <row r="85" spans="1:3">
      <c r="A85" s="113">
        <f>LongTest!D64</f>
        <v>2100</v>
      </c>
      <c r="B85" s="117">
        <f>LongTest!G64</f>
        <v>13.759999999999998</v>
      </c>
      <c r="C85" s="115">
        <v>1</v>
      </c>
    </row>
    <row r="86" spans="1:3">
      <c r="A86" s="113">
        <f>LongTest!D65</f>
        <v>2160</v>
      </c>
      <c r="B86" s="117">
        <f>LongTest!G65</f>
        <v>13.759999999999998</v>
      </c>
      <c r="C86" s="115">
        <v>1</v>
      </c>
    </row>
    <row r="87" spans="1:3">
      <c r="A87" s="113">
        <f>LongTest!D66</f>
        <v>2220</v>
      </c>
      <c r="B87" s="117">
        <f>LongTest!G66</f>
        <v>13.759999999999998</v>
      </c>
      <c r="C87" s="115">
        <v>1</v>
      </c>
    </row>
    <row r="88" spans="1:3">
      <c r="A88" s="113">
        <f>LongTest!D67</f>
        <v>2280</v>
      </c>
      <c r="B88" s="117">
        <f>LongTest!G67</f>
        <v>13.759999999999998</v>
      </c>
      <c r="C88" s="115">
        <v>1</v>
      </c>
    </row>
    <row r="89" spans="1:3">
      <c r="A89" s="113">
        <f>LongTest!D68</f>
        <v>2340</v>
      </c>
      <c r="B89" s="117">
        <f>LongTest!G68</f>
        <v>13.759999999999998</v>
      </c>
      <c r="C89" s="115">
        <v>1</v>
      </c>
    </row>
    <row r="90" spans="1:3">
      <c r="A90" s="113">
        <f>LongTest!D69</f>
        <v>2400</v>
      </c>
      <c r="B90" s="117">
        <f>LongTest!G69</f>
        <v>13.759999999999998</v>
      </c>
      <c r="C90" s="115">
        <v>1</v>
      </c>
    </row>
    <row r="91" spans="1:3">
      <c r="A91" s="113">
        <f>LongTest!D70</f>
        <v>2460</v>
      </c>
      <c r="B91" s="117">
        <f>LongTest!G70</f>
        <v>13.759999999999998</v>
      </c>
      <c r="C91" s="115">
        <v>1</v>
      </c>
    </row>
    <row r="92" spans="1:3">
      <c r="A92" s="113">
        <f>LongTest!D71</f>
        <v>2520</v>
      </c>
      <c r="B92" s="117">
        <f>LongTest!G71</f>
        <v>13.759999999999998</v>
      </c>
      <c r="C92" s="115">
        <v>1</v>
      </c>
    </row>
    <row r="93" spans="1:3">
      <c r="A93" s="113">
        <f>LongTest!D72</f>
        <v>2580</v>
      </c>
      <c r="B93" s="117">
        <f>LongTest!G72</f>
        <v>13.759999999999998</v>
      </c>
      <c r="C93" s="115">
        <v>1</v>
      </c>
    </row>
    <row r="94" spans="1:3">
      <c r="A94" s="113">
        <f>LongTest!D73</f>
        <v>2640</v>
      </c>
      <c r="B94" s="117">
        <f>LongTest!G73</f>
        <v>13.759999999999998</v>
      </c>
      <c r="C94" s="115">
        <v>1</v>
      </c>
    </row>
    <row r="95" spans="1:3">
      <c r="A95" s="113">
        <f>LongTest!D74</f>
        <v>2700</v>
      </c>
      <c r="B95" s="117">
        <f>LongTest!G74</f>
        <v>13.759999999999998</v>
      </c>
      <c r="C95" s="115">
        <v>1</v>
      </c>
    </row>
    <row r="96" spans="1:3">
      <c r="A96" s="113">
        <f>LongTest!D75</f>
        <v>2760</v>
      </c>
      <c r="B96" s="117">
        <f>LongTest!G75</f>
        <v>13.759999999999998</v>
      </c>
      <c r="C96" s="115">
        <v>1</v>
      </c>
    </row>
    <row r="97" spans="1:3">
      <c r="A97" s="113">
        <f>LongTest!D76</f>
        <v>2820</v>
      </c>
      <c r="B97" s="117">
        <f>LongTest!G76</f>
        <v>13.759999999999998</v>
      </c>
      <c r="C97" s="115">
        <v>1</v>
      </c>
    </row>
    <row r="98" spans="1:3">
      <c r="A98" s="113">
        <f>LongTest!D77</f>
        <v>2880</v>
      </c>
      <c r="B98" s="117">
        <f>LongTest!G77</f>
        <v>13.759999999999998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workbookViewId="0">
      <selection activeCell="M15" sqref="M15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3"/>
      <c r="M6" s="523"/>
      <c r="N6" s="523"/>
    </row>
    <row r="7" spans="1:14">
      <c r="A7" s="113">
        <f>Step.Select!A7</f>
        <v>88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7.4999999999999997E-2</v>
      </c>
      <c r="B18" s="113"/>
      <c r="C18" s="114"/>
    </row>
    <row r="19" spans="1:3">
      <c r="A19" s="113">
        <f>Step.Select!A19</f>
        <v>7.4999999999999997E-2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147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0.71199999999999997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13.759999999999998</v>
      </c>
      <c r="C32" s="115">
        <v>1</v>
      </c>
    </row>
    <row r="33" spans="1:3">
      <c r="A33" s="113">
        <f>$A$32+LongTest!D78</f>
        <v>2881</v>
      </c>
      <c r="B33" s="114">
        <f>LongTest!G78</f>
        <v>9.5326106081923019</v>
      </c>
      <c r="C33" s="115">
        <v>1</v>
      </c>
    </row>
    <row r="34" spans="1:3">
      <c r="A34" s="113">
        <f>$A$32+LongTest!D79</f>
        <v>2882</v>
      </c>
      <c r="B34" s="114">
        <f>LongTest!G79</f>
        <v>8.8115700909768595</v>
      </c>
      <c r="C34" s="115">
        <v>1</v>
      </c>
    </row>
    <row r="35" spans="1:3">
      <c r="A35" s="113">
        <f>$A$32+LongTest!D80</f>
        <v>2883</v>
      </c>
      <c r="B35" s="114">
        <f>LongTest!G80</f>
        <v>8.1450686133629677</v>
      </c>
      <c r="C35" s="115">
        <v>1</v>
      </c>
    </row>
    <row r="36" spans="1:3">
      <c r="A36" s="113">
        <f>$A$32+LongTest!D81</f>
        <v>2884</v>
      </c>
      <c r="B36" s="114">
        <f>LongTest!G81</f>
        <v>7.528980877576581</v>
      </c>
      <c r="C36" s="115">
        <v>1</v>
      </c>
    </row>
    <row r="37" spans="1:3">
      <c r="A37" s="113">
        <f>$A$32+LongTest!D82</f>
        <v>2885</v>
      </c>
      <c r="B37" s="114">
        <f>LongTest!G82</f>
        <v>6.9594936207061942</v>
      </c>
      <c r="C37" s="115">
        <v>1</v>
      </c>
    </row>
    <row r="38" spans="1:3">
      <c r="A38" s="113">
        <f>$A$32+LongTest!D83</f>
        <v>2890</v>
      </c>
      <c r="B38" s="114">
        <f>LongTest!G83</f>
        <v>5.496699334690387</v>
      </c>
      <c r="C38" s="115">
        <v>1</v>
      </c>
    </row>
    <row r="39" spans="1:3">
      <c r="A39" s="113">
        <f>$A$32+LongTest!D84</f>
        <v>2895</v>
      </c>
      <c r="B39" s="114">
        <f>LongTest!G84</f>
        <v>5.2159042865162419</v>
      </c>
      <c r="C39" s="115">
        <v>1</v>
      </c>
    </row>
    <row r="40" spans="1:3">
      <c r="A40" s="113">
        <f>$A$32+LongTest!D85</f>
        <v>2900</v>
      </c>
      <c r="B40" s="114">
        <f>LongTest!G85</f>
        <v>4.4566908311452735</v>
      </c>
      <c r="C40" s="115">
        <v>1</v>
      </c>
    </row>
    <row r="41" spans="1:3">
      <c r="A41" s="113">
        <f>$A$32+LongTest!D86</f>
        <v>2905</v>
      </c>
      <c r="B41" s="114">
        <f>LongTest!G86</f>
        <v>4.1195896115489692</v>
      </c>
      <c r="C41" s="115">
        <v>1</v>
      </c>
    </row>
    <row r="42" spans="1:3">
      <c r="A42" s="113">
        <f>$A$32+LongTest!D87</f>
        <v>2910</v>
      </c>
      <c r="B42" s="114">
        <f>LongTest!G87</f>
        <v>3.807986510749501</v>
      </c>
      <c r="C42" s="115">
        <v>1</v>
      </c>
    </row>
    <row r="43" spans="1:3">
      <c r="A43" s="113">
        <f>$A$32+LongTest!D88</f>
        <v>2915</v>
      </c>
      <c r="B43" s="114">
        <f>LongTest!G88</f>
        <v>3.7094473981982814</v>
      </c>
      <c r="C43" s="115">
        <v>1</v>
      </c>
    </row>
    <row r="44" spans="1:3">
      <c r="A44" s="113">
        <f>$A$32+LongTest!D89</f>
        <v>2920</v>
      </c>
      <c r="B44" s="114">
        <f>LongTest!G89</f>
        <v>3.613458178267472</v>
      </c>
      <c r="C44" s="115">
        <v>1</v>
      </c>
    </row>
    <row r="45" spans="1:3">
      <c r="A45" s="113">
        <f>$A$32+LongTest!D90</f>
        <v>2925</v>
      </c>
      <c r="B45" s="114">
        <f>LongTest!G90</f>
        <v>3.5199528674891147</v>
      </c>
      <c r="C45" s="115">
        <v>1</v>
      </c>
    </row>
    <row r="46" spans="1:3">
      <c r="A46" s="113">
        <f>$A$32+LongTest!D91</f>
        <v>2930</v>
      </c>
      <c r="B46" s="114">
        <f>LongTest!G91</f>
        <v>3.4288671898467773</v>
      </c>
      <c r="C46" s="115">
        <v>1</v>
      </c>
    </row>
    <row r="47" spans="1:3">
      <c r="A47" s="113">
        <f>$A$32+LongTest!D92</f>
        <v>2935</v>
      </c>
      <c r="B47" s="114">
        <f>LongTest!G92</f>
        <v>3.3401385325918982</v>
      </c>
      <c r="C47" s="115">
        <v>1</v>
      </c>
    </row>
    <row r="48" spans="1:3">
      <c r="A48" s="113">
        <f>$A$32+LongTest!D93</f>
        <v>2940</v>
      </c>
      <c r="B48" s="114">
        <f>LongTest!G93</f>
        <v>3.2537059032034716</v>
      </c>
      <c r="C48" s="115">
        <v>1</v>
      </c>
    </row>
    <row r="49" spans="1:3">
      <c r="A49" s="113">
        <f>$A$32+LongTest!D94</f>
        <v>2955</v>
      </c>
      <c r="B49" s="114">
        <f>LongTest!G94</f>
        <v>3.1695098874614858</v>
      </c>
      <c r="C49" s="115">
        <v>1</v>
      </c>
    </row>
    <row r="50" spans="1:3">
      <c r="A50" s="113">
        <f>$A$32+LongTest!D95</f>
        <v>2970</v>
      </c>
      <c r="B50" s="114">
        <f>LongTest!G95</f>
        <v>3.0874926086052907</v>
      </c>
      <c r="C50" s="115">
        <v>1</v>
      </c>
    </row>
    <row r="51" spans="1:3">
      <c r="A51" s="113">
        <f>$A$32+LongTest!D96</f>
        <v>2985</v>
      </c>
      <c r="B51" s="114">
        <f>LongTest!G96</f>
        <v>3.0075976875488246</v>
      </c>
      <c r="C51" s="115">
        <v>1</v>
      </c>
    </row>
    <row r="52" spans="1:3">
      <c r="A52" s="113">
        <f>$A$32+LongTest!D97</f>
        <v>3000</v>
      </c>
      <c r="B52" s="114">
        <f>LongTest!G97</f>
        <v>2.7801049385696022</v>
      </c>
      <c r="C52" s="115">
        <v>1</v>
      </c>
    </row>
    <row r="53" spans="1:3">
      <c r="A53" s="113">
        <f>$A$32+LongTest!D98</f>
        <v>3060</v>
      </c>
      <c r="B53" s="114">
        <f>LongTest!G98</f>
        <v>2.7081642757882127</v>
      </c>
      <c r="C53" s="115">
        <v>1</v>
      </c>
    </row>
    <row r="54" spans="1:3">
      <c r="A54" s="113">
        <f>$A$32+LongTest!D99</f>
        <v>3120</v>
      </c>
      <c r="B54" s="114">
        <f>LongTest!G99</f>
        <v>2.3139709308588219</v>
      </c>
      <c r="C54" s="115">
        <v>1</v>
      </c>
    </row>
    <row r="55" spans="1:3">
      <c r="A55" s="113">
        <f>$A$32+LongTest!D100</f>
        <v>3180</v>
      </c>
      <c r="B55" s="114">
        <f>LongTest!G100</f>
        <v>1.9771553434664608</v>
      </c>
      <c r="C55" s="115">
        <v>1</v>
      </c>
    </row>
    <row r="56" spans="1:3">
      <c r="A56" s="113">
        <f>$A$32+LongTest!D101</f>
        <v>3240</v>
      </c>
      <c r="B56" s="114">
        <f>LongTest!G101</f>
        <v>1.6893657565296705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91" zoomScaleNormal="130" zoomScaleSheetLayoutView="100" workbookViewId="0">
      <selection activeCell="O100" sqref="O100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319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LongTest!C10</f>
        <v>45490.458333333336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C103</f>
        <v>45492.708333333336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48">
        <v>1</v>
      </c>
      <c r="E12" s="548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48">
        <v>2</v>
      </c>
      <c r="E13" s="548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48">
        <v>3</v>
      </c>
      <c r="E14" s="548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48">
        <v>4</v>
      </c>
      <c r="E15" s="548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48">
        <v>5</v>
      </c>
      <c r="E16" s="548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48">
        <v>10</v>
      </c>
      <c r="E17" s="548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48">
        <v>15</v>
      </c>
      <c r="E18" s="548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48">
        <v>20</v>
      </c>
      <c r="E19" s="548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48">
        <v>25</v>
      </c>
      <c r="E20" s="548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48">
        <v>30</v>
      </c>
      <c r="E21" s="548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48">
        <v>35</v>
      </c>
      <c r="E22" s="548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48">
        <v>40</v>
      </c>
      <c r="E23" s="548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48">
        <v>45</v>
      </c>
      <c r="E24" s="548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48">
        <v>50</v>
      </c>
      <c r="E25" s="548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48">
        <v>55</v>
      </c>
      <c r="E26" s="548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48">
        <v>60</v>
      </c>
      <c r="E27" s="548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48">
        <v>75</v>
      </c>
      <c r="E28" s="548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48">
        <v>90</v>
      </c>
      <c r="E29" s="548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48">
        <v>105</v>
      </c>
      <c r="E30" s="548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48">
        <v>120</v>
      </c>
      <c r="E31" s="548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48">
        <v>140</v>
      </c>
      <c r="E32" s="548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48">
        <v>160</v>
      </c>
      <c r="E33" s="548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48">
        <v>180</v>
      </c>
      <c r="E34" s="548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48">
        <v>240</v>
      </c>
      <c r="E35" s="548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48">
        <v>300</v>
      </c>
      <c r="E36" s="548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48">
        <v>360</v>
      </c>
      <c r="E37" s="548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48">
        <v>420</v>
      </c>
      <c r="E38" s="548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48">
        <v>480</v>
      </c>
      <c r="E39" s="548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48">
        <v>540</v>
      </c>
      <c r="E40" s="548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48">
        <v>600</v>
      </c>
      <c r="E41" s="548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48">
        <v>660</v>
      </c>
      <c r="E42" s="548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48">
        <v>720</v>
      </c>
      <c r="E43" s="548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48">
        <v>780</v>
      </c>
      <c r="E44" s="548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48">
        <v>840</v>
      </c>
      <c r="E45" s="548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48">
        <v>900</v>
      </c>
      <c r="E46" s="548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48">
        <v>960</v>
      </c>
      <c r="E47" s="548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48">
        <v>1020</v>
      </c>
      <c r="E48" s="548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48">
        <v>1080</v>
      </c>
      <c r="E49" s="548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48">
        <v>1140</v>
      </c>
      <c r="E50" s="548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48">
        <v>1200</v>
      </c>
      <c r="E51" s="548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48">
        <v>1260</v>
      </c>
      <c r="E52" s="548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48">
        <v>1320</v>
      </c>
      <c r="E53" s="548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48">
        <v>1380</v>
      </c>
      <c r="E54" s="548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48">
        <v>1440</v>
      </c>
      <c r="E55" s="548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51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51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51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51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51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51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51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51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51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51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51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51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51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51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51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51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51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51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51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51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51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51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51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45492.458333333336</v>
      </c>
      <c r="D79" s="524">
        <v>2880</v>
      </c>
      <c r="E79" s="551"/>
      <c r="F79" s="426">
        <f>LongTest!F77</f>
        <v>16.989999999999998</v>
      </c>
      <c r="G79" s="426">
        <f>LongTest!G77</f>
        <v>13.759999999999998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45492.459027777782</v>
      </c>
      <c r="D80" s="524">
        <v>1</v>
      </c>
      <c r="E80" s="551"/>
      <c r="F80" s="431">
        <f>LongTest!F78</f>
        <v>12.762610608192302</v>
      </c>
      <c r="G80" s="431">
        <f>LongTest!G78</f>
        <v>9.5326106081923019</v>
      </c>
      <c r="H80" s="544" t="s">
        <v>191</v>
      </c>
      <c r="I80" s="553"/>
      <c r="J80" s="554"/>
    </row>
    <row r="81" spans="1:10" ht="24.95" customHeight="1">
      <c r="A81" s="453"/>
      <c r="B81" s="430"/>
      <c r="C81" s="430">
        <f t="shared" ref="C81:C103" si="6">$C$4+(D81+2880)/1440</f>
        <v>45492.459722222222</v>
      </c>
      <c r="D81" s="524">
        <v>2</v>
      </c>
      <c r="E81" s="551"/>
      <c r="F81" s="431">
        <f>LongTest!F79</f>
        <v>12.04157009097686</v>
      </c>
      <c r="G81" s="431">
        <f>LongTest!G79</f>
        <v>8.8115700909768595</v>
      </c>
      <c r="H81" s="524"/>
      <c r="I81" s="525"/>
      <c r="J81" s="526"/>
    </row>
    <row r="82" spans="1:10" ht="24.95" customHeight="1">
      <c r="A82" s="453"/>
      <c r="B82" s="430"/>
      <c r="C82" s="430">
        <f t="shared" si="6"/>
        <v>45492.460416666669</v>
      </c>
      <c r="D82" s="524">
        <v>3</v>
      </c>
      <c r="E82" s="551"/>
      <c r="F82" s="431">
        <f>LongTest!F80</f>
        <v>11.375068613362968</v>
      </c>
      <c r="G82" s="431">
        <f>LongTest!G80</f>
        <v>8.1450686133629677</v>
      </c>
      <c r="H82" s="524"/>
      <c r="I82" s="525"/>
      <c r="J82" s="526"/>
    </row>
    <row r="83" spans="1:10" ht="24.95" customHeight="1">
      <c r="A83" s="453"/>
      <c r="B83" s="430"/>
      <c r="C83" s="430">
        <f t="shared" si="6"/>
        <v>45492.461111111115</v>
      </c>
      <c r="D83" s="524">
        <v>4</v>
      </c>
      <c r="E83" s="551"/>
      <c r="F83" s="431">
        <f>LongTest!F81</f>
        <v>10.758980877576581</v>
      </c>
      <c r="G83" s="431">
        <f>LongTest!G81</f>
        <v>7.528980877576581</v>
      </c>
      <c r="H83" s="524"/>
      <c r="I83" s="525"/>
      <c r="J83" s="526"/>
    </row>
    <row r="84" spans="1:10" ht="24.95" customHeight="1">
      <c r="A84" s="453"/>
      <c r="B84" s="430"/>
      <c r="C84" s="430">
        <f t="shared" si="6"/>
        <v>45492.461805555555</v>
      </c>
      <c r="D84" s="524">
        <v>5</v>
      </c>
      <c r="E84" s="551"/>
      <c r="F84" s="431">
        <f>LongTest!F82</f>
        <v>10.189493620706195</v>
      </c>
      <c r="G84" s="431">
        <f>LongTest!G82</f>
        <v>6.9594936207061942</v>
      </c>
      <c r="H84" s="524"/>
      <c r="I84" s="525"/>
      <c r="J84" s="526"/>
    </row>
    <row r="85" spans="1:10" ht="24.95" customHeight="1">
      <c r="A85" s="453"/>
      <c r="B85" s="430"/>
      <c r="C85" s="430">
        <f t="shared" si="6"/>
        <v>45492.465277777781</v>
      </c>
      <c r="D85" s="524">
        <v>10</v>
      </c>
      <c r="E85" s="551"/>
      <c r="F85" s="431">
        <f>LongTest!F83</f>
        <v>8.7266993346903874</v>
      </c>
      <c r="G85" s="431">
        <f>LongTest!G83</f>
        <v>5.496699334690387</v>
      </c>
      <c r="H85" s="524"/>
      <c r="I85" s="525"/>
      <c r="J85" s="526"/>
    </row>
    <row r="86" spans="1:10" ht="24.95" customHeight="1">
      <c r="A86" s="453"/>
      <c r="B86" s="430"/>
      <c r="C86" s="430">
        <f t="shared" si="6"/>
        <v>45492.46875</v>
      </c>
      <c r="D86" s="524">
        <v>15</v>
      </c>
      <c r="E86" s="551"/>
      <c r="F86" s="431">
        <f>LongTest!F84</f>
        <v>8.4459042865162424</v>
      </c>
      <c r="G86" s="431">
        <f>LongTest!G84</f>
        <v>5.2159042865162419</v>
      </c>
      <c r="H86" s="524"/>
      <c r="I86" s="525"/>
      <c r="J86" s="526"/>
    </row>
    <row r="87" spans="1:10" ht="24.95" customHeight="1">
      <c r="A87" s="453"/>
      <c r="B87" s="430"/>
      <c r="C87" s="430">
        <f t="shared" si="6"/>
        <v>45492.472222222226</v>
      </c>
      <c r="D87" s="524">
        <v>20</v>
      </c>
      <c r="E87" s="551"/>
      <c r="F87" s="431">
        <f>LongTest!F85</f>
        <v>7.686690831145274</v>
      </c>
      <c r="G87" s="431">
        <f>LongTest!G85</f>
        <v>4.4566908311452735</v>
      </c>
      <c r="H87" s="524"/>
      <c r="I87" s="525"/>
      <c r="J87" s="526"/>
    </row>
    <row r="88" spans="1:10" ht="24.95" customHeight="1">
      <c r="A88" s="453"/>
      <c r="B88" s="430"/>
      <c r="C88" s="430">
        <f t="shared" si="6"/>
        <v>45492.475694444445</v>
      </c>
      <c r="D88" s="524">
        <v>25</v>
      </c>
      <c r="E88" s="551"/>
      <c r="F88" s="431">
        <f>LongTest!F86</f>
        <v>7.3495896115489696</v>
      </c>
      <c r="G88" s="431">
        <f>LongTest!G86</f>
        <v>4.1195896115489692</v>
      </c>
      <c r="H88" s="524"/>
      <c r="I88" s="525"/>
      <c r="J88" s="526"/>
    </row>
    <row r="89" spans="1:10" ht="24.95" customHeight="1">
      <c r="A89" s="453"/>
      <c r="B89" s="430"/>
      <c r="C89" s="430">
        <f t="shared" si="6"/>
        <v>45492.479166666672</v>
      </c>
      <c r="D89" s="524">
        <v>30</v>
      </c>
      <c r="E89" s="551"/>
      <c r="F89" s="431">
        <f>LongTest!F87</f>
        <v>7.0379865107495014</v>
      </c>
      <c r="G89" s="431">
        <f>LongTest!G87</f>
        <v>3.807986510749501</v>
      </c>
      <c r="H89" s="524"/>
      <c r="I89" s="525"/>
      <c r="J89" s="526"/>
    </row>
    <row r="90" spans="1:10" ht="24.95" customHeight="1">
      <c r="A90" s="453"/>
      <c r="B90" s="430"/>
      <c r="C90" s="430">
        <f t="shared" si="6"/>
        <v>45492.482638888891</v>
      </c>
      <c r="D90" s="524">
        <v>35</v>
      </c>
      <c r="E90" s="551"/>
      <c r="F90" s="431">
        <f>LongTest!F88</f>
        <v>6.9394473981982809</v>
      </c>
      <c r="G90" s="431">
        <f>LongTest!G88</f>
        <v>3.7094473981982814</v>
      </c>
      <c r="H90" s="524"/>
      <c r="I90" s="525"/>
      <c r="J90" s="526"/>
    </row>
    <row r="91" spans="1:10" ht="24.95" customHeight="1">
      <c r="A91" s="453"/>
      <c r="B91" s="430"/>
      <c r="C91" s="430">
        <f t="shared" si="6"/>
        <v>45492.486111111117</v>
      </c>
      <c r="D91" s="524">
        <v>40</v>
      </c>
      <c r="E91" s="551"/>
      <c r="F91" s="431">
        <f>LongTest!F89</f>
        <v>6.8434581782674719</v>
      </c>
      <c r="G91" s="431">
        <f>LongTest!G89</f>
        <v>3.613458178267472</v>
      </c>
      <c r="H91" s="524"/>
      <c r="I91" s="525"/>
      <c r="J91" s="526"/>
    </row>
    <row r="92" spans="1:10" ht="24.95" customHeight="1">
      <c r="A92" s="453"/>
      <c r="B92" s="430"/>
      <c r="C92" s="430">
        <f t="shared" si="6"/>
        <v>45492.489583333336</v>
      </c>
      <c r="D92" s="524">
        <v>45</v>
      </c>
      <c r="E92" s="551"/>
      <c r="F92" s="431">
        <f>LongTest!F90</f>
        <v>6.7499528674891147</v>
      </c>
      <c r="G92" s="431">
        <f>LongTest!G90</f>
        <v>3.5199528674891147</v>
      </c>
      <c r="H92" s="524"/>
      <c r="I92" s="525"/>
      <c r="J92" s="526"/>
    </row>
    <row r="93" spans="1:10" ht="24.95" customHeight="1">
      <c r="A93" s="453"/>
      <c r="B93" s="430"/>
      <c r="C93" s="430">
        <f t="shared" si="6"/>
        <v>45492.493055555555</v>
      </c>
      <c r="D93" s="524">
        <v>50</v>
      </c>
      <c r="E93" s="551"/>
      <c r="F93" s="431">
        <f>LongTest!F91</f>
        <v>6.6588671898467773</v>
      </c>
      <c r="G93" s="431">
        <f>LongTest!G91</f>
        <v>3.4288671898467773</v>
      </c>
      <c r="H93" s="524"/>
      <c r="I93" s="525"/>
      <c r="J93" s="526"/>
    </row>
    <row r="94" spans="1:10" ht="24.95" customHeight="1">
      <c r="A94" s="453"/>
      <c r="B94" s="430"/>
      <c r="C94" s="430">
        <f t="shared" si="6"/>
        <v>45492.496527777781</v>
      </c>
      <c r="D94" s="524">
        <v>55</v>
      </c>
      <c r="E94" s="551"/>
      <c r="F94" s="431">
        <f>LongTest!F92</f>
        <v>6.5701385325918977</v>
      </c>
      <c r="G94" s="431">
        <f>LongTest!G92</f>
        <v>3.3401385325918982</v>
      </c>
      <c r="H94" s="524"/>
      <c r="I94" s="525"/>
      <c r="J94" s="526"/>
    </row>
    <row r="95" spans="1:10" ht="24.95" customHeight="1">
      <c r="A95" s="453"/>
      <c r="B95" s="430"/>
      <c r="C95" s="430">
        <f t="shared" si="6"/>
        <v>45492.5</v>
      </c>
      <c r="D95" s="524">
        <v>60</v>
      </c>
      <c r="E95" s="551"/>
      <c r="F95" s="431">
        <f>LongTest!F93</f>
        <v>6.4837059032034716</v>
      </c>
      <c r="G95" s="431">
        <f>LongTest!G93</f>
        <v>3.2537059032034716</v>
      </c>
      <c r="H95" s="524"/>
      <c r="I95" s="525"/>
      <c r="J95" s="526"/>
    </row>
    <row r="96" spans="1:10" ht="24.95" customHeight="1">
      <c r="A96" s="453"/>
      <c r="B96" s="430"/>
      <c r="C96" s="430">
        <f t="shared" si="6"/>
        <v>45492.510416666672</v>
      </c>
      <c r="D96" s="524">
        <v>75</v>
      </c>
      <c r="E96" s="551"/>
      <c r="F96" s="431">
        <f>LongTest!F94</f>
        <v>6.3995098874614857</v>
      </c>
      <c r="G96" s="431">
        <f>LongTest!G94</f>
        <v>3.1695098874614858</v>
      </c>
      <c r="H96" s="524"/>
      <c r="I96" s="525"/>
      <c r="J96" s="526"/>
    </row>
    <row r="97" spans="1:10" ht="24.95" customHeight="1">
      <c r="A97" s="453"/>
      <c r="B97" s="430"/>
      <c r="C97" s="430">
        <f t="shared" si="6"/>
        <v>45492.520833333336</v>
      </c>
      <c r="D97" s="524">
        <v>90</v>
      </c>
      <c r="E97" s="551"/>
      <c r="F97" s="431">
        <f>LongTest!F95</f>
        <v>6.3174926086052903</v>
      </c>
      <c r="G97" s="431">
        <f>LongTest!G95</f>
        <v>3.0874926086052907</v>
      </c>
      <c r="H97" s="524"/>
      <c r="I97" s="525"/>
      <c r="J97" s="526"/>
    </row>
    <row r="98" spans="1:10" ht="24.95" customHeight="1">
      <c r="A98" s="453"/>
      <c r="B98" s="430"/>
      <c r="C98" s="430">
        <f t="shared" si="6"/>
        <v>45492.53125</v>
      </c>
      <c r="D98" s="524">
        <v>105</v>
      </c>
      <c r="E98" s="551"/>
      <c r="F98" s="431">
        <f>LongTest!F96</f>
        <v>6.2375976875488242</v>
      </c>
      <c r="G98" s="431">
        <f>LongTest!G96</f>
        <v>3.0075976875488246</v>
      </c>
      <c r="H98" s="524"/>
      <c r="I98" s="525"/>
      <c r="J98" s="526"/>
    </row>
    <row r="99" spans="1:10" ht="24.95" customHeight="1">
      <c r="A99" s="453"/>
      <c r="B99" s="430"/>
      <c r="C99" s="430">
        <f t="shared" si="6"/>
        <v>45492.541666666672</v>
      </c>
      <c r="D99" s="524">
        <v>120</v>
      </c>
      <c r="E99" s="551"/>
      <c r="F99" s="431">
        <f>LongTest!F97</f>
        <v>6.0101049385696026</v>
      </c>
      <c r="G99" s="431">
        <f>LongTest!G97</f>
        <v>2.7801049385696022</v>
      </c>
      <c r="H99" s="524"/>
      <c r="I99" s="525"/>
      <c r="J99" s="526"/>
    </row>
    <row r="100" spans="1:10" ht="24.95" customHeight="1">
      <c r="A100" s="453"/>
      <c r="B100" s="430"/>
      <c r="C100" s="430">
        <f t="shared" si="6"/>
        <v>45492.583333333336</v>
      </c>
      <c r="D100" s="524">
        <v>180</v>
      </c>
      <c r="E100" s="551"/>
      <c r="F100" s="431">
        <f>LongTest!F98</f>
        <v>5.9381642757882123</v>
      </c>
      <c r="G100" s="431">
        <f>LongTest!G98</f>
        <v>2.7081642757882127</v>
      </c>
      <c r="H100" s="524"/>
      <c r="I100" s="525"/>
      <c r="J100" s="526"/>
    </row>
    <row r="101" spans="1:10" ht="24.95" customHeight="1">
      <c r="A101" s="453"/>
      <c r="B101" s="430"/>
      <c r="C101" s="430">
        <f t="shared" si="6"/>
        <v>45492.625</v>
      </c>
      <c r="D101" s="524">
        <v>240</v>
      </c>
      <c r="E101" s="551"/>
      <c r="F101" s="431">
        <f>LongTest!F99</f>
        <v>5.5439709308588219</v>
      </c>
      <c r="G101" s="431">
        <f>LongTest!G99</f>
        <v>2.3139709308588219</v>
      </c>
      <c r="H101" s="524"/>
      <c r="I101" s="525"/>
      <c r="J101" s="526"/>
    </row>
    <row r="102" spans="1:10" ht="24.95" customHeight="1">
      <c r="A102" s="453"/>
      <c r="B102" s="430"/>
      <c r="C102" s="430">
        <f t="shared" si="6"/>
        <v>45492.666666666672</v>
      </c>
      <c r="D102" s="524">
        <v>300</v>
      </c>
      <c r="E102" s="551"/>
      <c r="F102" s="431">
        <f>LongTest!F100</f>
        <v>5.2071553434664608</v>
      </c>
      <c r="G102" s="431">
        <f>LongTest!G100</f>
        <v>1.9771553434664608</v>
      </c>
      <c r="H102" s="524"/>
      <c r="I102" s="525"/>
      <c r="J102" s="526"/>
    </row>
    <row r="103" spans="1:10" ht="24.95" customHeight="1" thickBot="1">
      <c r="A103" s="457"/>
      <c r="B103" s="458"/>
      <c r="C103" s="430">
        <f t="shared" si="6"/>
        <v>45492.708333333336</v>
      </c>
      <c r="D103" s="527">
        <v>360</v>
      </c>
      <c r="E103" s="552"/>
      <c r="F103" s="459">
        <f>LongTest!F101</f>
        <v>4.91936575652967</v>
      </c>
      <c r="G103" s="459">
        <f>LongTest!G101</f>
        <v>1.6893657565296705</v>
      </c>
      <c r="H103" s="527" t="s">
        <v>326</v>
      </c>
      <c r="I103" s="528"/>
      <c r="J103" s="52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319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LongTest!C10</f>
        <v>45490.458333333336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C77</f>
        <v>45491.541666666672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55" si="0">$C$4+D12/1440</f>
        <v>45490.459027777782</v>
      </c>
      <c r="D12" s="548">
        <v>1</v>
      </c>
      <c r="E12" s="548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48">
        <v>2</v>
      </c>
      <c r="E13" s="548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48">
        <v>3</v>
      </c>
      <c r="E14" s="548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48">
        <v>4</v>
      </c>
      <c r="E15" s="548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48">
        <v>5</v>
      </c>
      <c r="E16" s="548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48">
        <v>10</v>
      </c>
      <c r="E17" s="548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48">
        <v>15</v>
      </c>
      <c r="E18" s="548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48">
        <v>20</v>
      </c>
      <c r="E19" s="548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48">
        <v>25</v>
      </c>
      <c r="E20" s="548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48">
        <v>30</v>
      </c>
      <c r="E21" s="548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48">
        <v>35</v>
      </c>
      <c r="E22" s="548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48">
        <v>40</v>
      </c>
      <c r="E23" s="548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48">
        <v>45</v>
      </c>
      <c r="E24" s="548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48">
        <v>50</v>
      </c>
      <c r="E25" s="548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48">
        <v>55</v>
      </c>
      <c r="E26" s="548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48">
        <v>60</v>
      </c>
      <c r="E27" s="548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48">
        <v>75</v>
      </c>
      <c r="E28" s="548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48">
        <v>90</v>
      </c>
      <c r="E29" s="548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48">
        <v>105</v>
      </c>
      <c r="E30" s="548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48">
        <v>120</v>
      </c>
      <c r="E31" s="548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48">
        <v>140</v>
      </c>
      <c r="E32" s="548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48">
        <v>160</v>
      </c>
      <c r="E33" s="548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48">
        <v>180</v>
      </c>
      <c r="E34" s="548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48">
        <v>240</v>
      </c>
      <c r="E35" s="548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48">
        <v>300</v>
      </c>
      <c r="E36" s="548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48">
        <v>360</v>
      </c>
      <c r="E37" s="548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48">
        <v>420</v>
      </c>
      <c r="E38" s="548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48">
        <v>480</v>
      </c>
      <c r="E39" s="548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48">
        <v>540</v>
      </c>
      <c r="E40" s="548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48">
        <v>600</v>
      </c>
      <c r="E41" s="548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48">
        <v>660</v>
      </c>
      <c r="E42" s="548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48">
        <v>720</v>
      </c>
      <c r="E43" s="548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45491</v>
      </c>
      <c r="D44" s="548">
        <v>780</v>
      </c>
      <c r="E44" s="548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45491.041666666672</v>
      </c>
      <c r="D45" s="548">
        <v>840</v>
      </c>
      <c r="E45" s="548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45491.083333333336</v>
      </c>
      <c r="D46" s="548">
        <v>900</v>
      </c>
      <c r="E46" s="548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45491.125</v>
      </c>
      <c r="D47" s="548">
        <v>960</v>
      </c>
      <c r="E47" s="548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45491.166666666672</v>
      </c>
      <c r="D48" s="548">
        <v>1020</v>
      </c>
      <c r="E48" s="548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45491.208333333336</v>
      </c>
      <c r="D49" s="548">
        <v>1080</v>
      </c>
      <c r="E49" s="548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45491.25</v>
      </c>
      <c r="D50" s="548">
        <v>1140</v>
      </c>
      <c r="E50" s="548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45491.291666666672</v>
      </c>
      <c r="D51" s="548">
        <v>1200</v>
      </c>
      <c r="E51" s="548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45491.333333333336</v>
      </c>
      <c r="D52" s="548">
        <v>1260</v>
      </c>
      <c r="E52" s="548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45491.375</v>
      </c>
      <c r="D53" s="548">
        <v>1320</v>
      </c>
      <c r="E53" s="548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45491.416666666672</v>
      </c>
      <c r="D54" s="548">
        <v>1380</v>
      </c>
      <c r="E54" s="548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45491.458333333336</v>
      </c>
      <c r="D55" s="548">
        <v>1440</v>
      </c>
      <c r="E55" s="548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4"/>
      <c r="E56" s="551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4"/>
      <c r="E57" s="551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45491.459027777782</v>
      </c>
      <c r="D58" s="524">
        <v>1</v>
      </c>
      <c r="E58" s="551"/>
      <c r="F58" s="431">
        <f>LongTest!F78</f>
        <v>12.762610608192302</v>
      </c>
      <c r="G58" s="431">
        <f>LongTest!G78</f>
        <v>9.5326106081923019</v>
      </c>
      <c r="H58" s="544" t="s">
        <v>191</v>
      </c>
      <c r="I58" s="553"/>
      <c r="J58" s="554"/>
    </row>
    <row r="59" spans="1:10" ht="24.95" customHeight="1">
      <c r="A59" s="453"/>
      <c r="B59" s="430"/>
      <c r="C59" s="430">
        <f t="shared" ref="C59:C77" si="1">$C$4+(D59+1440)/1440</f>
        <v>45491.459722222222</v>
      </c>
      <c r="D59" s="524">
        <v>2</v>
      </c>
      <c r="E59" s="551"/>
      <c r="F59" s="431">
        <f>LongTest!F79</f>
        <v>12.04157009097686</v>
      </c>
      <c r="G59" s="431">
        <f>LongTest!G79</f>
        <v>8.8115700909768595</v>
      </c>
      <c r="H59" s="524"/>
      <c r="I59" s="525"/>
      <c r="J59" s="526"/>
    </row>
    <row r="60" spans="1:10" ht="24.95" customHeight="1">
      <c r="A60" s="453"/>
      <c r="B60" s="430"/>
      <c r="C60" s="430">
        <f t="shared" si="1"/>
        <v>45491.460416666669</v>
      </c>
      <c r="D60" s="524">
        <v>3</v>
      </c>
      <c r="E60" s="551"/>
      <c r="F60" s="431">
        <f>LongTest!F80</f>
        <v>11.375068613362968</v>
      </c>
      <c r="G60" s="431">
        <f>LongTest!G80</f>
        <v>8.1450686133629677</v>
      </c>
      <c r="H60" s="524"/>
      <c r="I60" s="525"/>
      <c r="J60" s="526"/>
    </row>
    <row r="61" spans="1:10" ht="24.95" customHeight="1">
      <c r="A61" s="453"/>
      <c r="B61" s="430"/>
      <c r="C61" s="430">
        <f t="shared" si="1"/>
        <v>45491.461111111115</v>
      </c>
      <c r="D61" s="524">
        <v>4</v>
      </c>
      <c r="E61" s="551"/>
      <c r="F61" s="431">
        <f>LongTest!F81</f>
        <v>10.758980877576581</v>
      </c>
      <c r="G61" s="431">
        <f>LongTest!G81</f>
        <v>7.528980877576581</v>
      </c>
      <c r="H61" s="524"/>
      <c r="I61" s="525"/>
      <c r="J61" s="526"/>
    </row>
    <row r="62" spans="1:10" ht="24.95" customHeight="1">
      <c r="A62" s="453"/>
      <c r="B62" s="430"/>
      <c r="C62" s="430">
        <f t="shared" si="1"/>
        <v>45491.461805555555</v>
      </c>
      <c r="D62" s="524">
        <v>5</v>
      </c>
      <c r="E62" s="551"/>
      <c r="F62" s="431">
        <f>LongTest!F82</f>
        <v>10.189493620706195</v>
      </c>
      <c r="G62" s="431">
        <f>LongTest!G82</f>
        <v>6.9594936207061942</v>
      </c>
      <c r="H62" s="524"/>
      <c r="I62" s="525"/>
      <c r="J62" s="526"/>
    </row>
    <row r="63" spans="1:10" ht="24.95" customHeight="1">
      <c r="A63" s="453"/>
      <c r="B63" s="430"/>
      <c r="C63" s="430">
        <f t="shared" si="1"/>
        <v>45491.465277777781</v>
      </c>
      <c r="D63" s="524">
        <v>10</v>
      </c>
      <c r="E63" s="551"/>
      <c r="F63" s="431">
        <f>LongTest!F83</f>
        <v>8.7266993346903874</v>
      </c>
      <c r="G63" s="431">
        <f>LongTest!G83</f>
        <v>5.496699334690387</v>
      </c>
      <c r="H63" s="524"/>
      <c r="I63" s="525"/>
      <c r="J63" s="526"/>
    </row>
    <row r="64" spans="1:10" ht="24.95" customHeight="1">
      <c r="A64" s="453"/>
      <c r="B64" s="430"/>
      <c r="C64" s="430">
        <f t="shared" si="1"/>
        <v>45491.46875</v>
      </c>
      <c r="D64" s="524">
        <v>15</v>
      </c>
      <c r="E64" s="551"/>
      <c r="F64" s="431">
        <f>LongTest!F84</f>
        <v>8.4459042865162424</v>
      </c>
      <c r="G64" s="431">
        <f>LongTest!G84</f>
        <v>5.2159042865162419</v>
      </c>
      <c r="H64" s="524"/>
      <c r="I64" s="525"/>
      <c r="J64" s="526"/>
    </row>
    <row r="65" spans="1:10" ht="24.95" customHeight="1">
      <c r="A65" s="453"/>
      <c r="B65" s="430"/>
      <c r="C65" s="430">
        <f t="shared" si="1"/>
        <v>45491.472222222226</v>
      </c>
      <c r="D65" s="524">
        <v>20</v>
      </c>
      <c r="E65" s="551"/>
      <c r="F65" s="431">
        <f>LongTest!F85</f>
        <v>7.686690831145274</v>
      </c>
      <c r="G65" s="431">
        <f>LongTest!G85</f>
        <v>4.4566908311452735</v>
      </c>
      <c r="H65" s="524"/>
      <c r="I65" s="525"/>
      <c r="J65" s="526"/>
    </row>
    <row r="66" spans="1:10" ht="24.95" customHeight="1">
      <c r="A66" s="453"/>
      <c r="B66" s="430"/>
      <c r="C66" s="430">
        <f t="shared" si="1"/>
        <v>45491.475694444445</v>
      </c>
      <c r="D66" s="524">
        <v>25</v>
      </c>
      <c r="E66" s="551"/>
      <c r="F66" s="431">
        <f>LongTest!F86</f>
        <v>7.3495896115489696</v>
      </c>
      <c r="G66" s="431">
        <f>LongTest!G86</f>
        <v>4.1195896115489692</v>
      </c>
      <c r="H66" s="524"/>
      <c r="I66" s="525"/>
      <c r="J66" s="526"/>
    </row>
    <row r="67" spans="1:10" ht="24.95" customHeight="1">
      <c r="A67" s="453"/>
      <c r="B67" s="430"/>
      <c r="C67" s="430">
        <f t="shared" si="1"/>
        <v>45491.479166666672</v>
      </c>
      <c r="D67" s="524">
        <v>30</v>
      </c>
      <c r="E67" s="551"/>
      <c r="F67" s="431">
        <f>LongTest!F87</f>
        <v>7.0379865107495014</v>
      </c>
      <c r="G67" s="431">
        <f>LongTest!G87</f>
        <v>3.807986510749501</v>
      </c>
      <c r="H67" s="524"/>
      <c r="I67" s="525"/>
      <c r="J67" s="526"/>
    </row>
    <row r="68" spans="1:10" ht="24.95" customHeight="1">
      <c r="A68" s="453"/>
      <c r="B68" s="430"/>
      <c r="C68" s="430">
        <f t="shared" si="1"/>
        <v>45491.482638888891</v>
      </c>
      <c r="D68" s="524">
        <v>35</v>
      </c>
      <c r="E68" s="551"/>
      <c r="F68" s="431">
        <f>LongTest!F88</f>
        <v>6.9394473981982809</v>
      </c>
      <c r="G68" s="431">
        <f>LongTest!G88</f>
        <v>3.7094473981982814</v>
      </c>
      <c r="H68" s="524"/>
      <c r="I68" s="525"/>
      <c r="J68" s="526"/>
    </row>
    <row r="69" spans="1:10" ht="24.95" customHeight="1">
      <c r="A69" s="453"/>
      <c r="B69" s="430"/>
      <c r="C69" s="430">
        <f t="shared" si="1"/>
        <v>45491.486111111117</v>
      </c>
      <c r="D69" s="524">
        <v>40</v>
      </c>
      <c r="E69" s="551"/>
      <c r="F69" s="431">
        <f>LongTest!F89</f>
        <v>6.8434581782674719</v>
      </c>
      <c r="G69" s="431">
        <f>LongTest!G89</f>
        <v>3.613458178267472</v>
      </c>
      <c r="H69" s="524"/>
      <c r="I69" s="525"/>
      <c r="J69" s="526"/>
    </row>
    <row r="70" spans="1:10" ht="24.95" customHeight="1">
      <c r="A70" s="453"/>
      <c r="B70" s="430"/>
      <c r="C70" s="430">
        <f t="shared" si="1"/>
        <v>45491.489583333336</v>
      </c>
      <c r="D70" s="524">
        <v>45</v>
      </c>
      <c r="E70" s="551"/>
      <c r="F70" s="431">
        <f>LongTest!F90</f>
        <v>6.7499528674891147</v>
      </c>
      <c r="G70" s="431">
        <f>LongTest!G90</f>
        <v>3.5199528674891147</v>
      </c>
      <c r="H70" s="524"/>
      <c r="I70" s="525"/>
      <c r="J70" s="526"/>
    </row>
    <row r="71" spans="1:10" ht="24.95" customHeight="1">
      <c r="A71" s="453"/>
      <c r="B71" s="430"/>
      <c r="C71" s="430">
        <f t="shared" si="1"/>
        <v>45491.493055555555</v>
      </c>
      <c r="D71" s="524">
        <v>50</v>
      </c>
      <c r="E71" s="551"/>
      <c r="F71" s="431">
        <f>LongTest!F91</f>
        <v>6.6588671898467773</v>
      </c>
      <c r="G71" s="431">
        <f>LongTest!G91</f>
        <v>3.4288671898467773</v>
      </c>
      <c r="H71" s="524"/>
      <c r="I71" s="525"/>
      <c r="J71" s="526"/>
    </row>
    <row r="72" spans="1:10" ht="24.95" customHeight="1">
      <c r="A72" s="453"/>
      <c r="B72" s="430"/>
      <c r="C72" s="430">
        <f t="shared" si="1"/>
        <v>45491.496527777781</v>
      </c>
      <c r="D72" s="524">
        <v>55</v>
      </c>
      <c r="E72" s="551"/>
      <c r="F72" s="431">
        <f>LongTest!F92</f>
        <v>6.5701385325918977</v>
      </c>
      <c r="G72" s="431">
        <f>LongTest!G92</f>
        <v>3.3401385325918982</v>
      </c>
      <c r="H72" s="524"/>
      <c r="I72" s="525"/>
      <c r="J72" s="526"/>
    </row>
    <row r="73" spans="1:10" ht="24.95" customHeight="1">
      <c r="A73" s="453"/>
      <c r="B73" s="430"/>
      <c r="C73" s="430">
        <f t="shared" si="1"/>
        <v>45491.5</v>
      </c>
      <c r="D73" s="524">
        <v>60</v>
      </c>
      <c r="E73" s="551"/>
      <c r="F73" s="431">
        <f>LongTest!F93</f>
        <v>6.4837059032034716</v>
      </c>
      <c r="G73" s="431">
        <f>LongTest!G93</f>
        <v>3.2537059032034716</v>
      </c>
      <c r="H73" s="524"/>
      <c r="I73" s="525"/>
      <c r="J73" s="526"/>
    </row>
    <row r="74" spans="1:10" ht="24.95" customHeight="1">
      <c r="A74" s="453"/>
      <c r="B74" s="430"/>
      <c r="C74" s="430">
        <f t="shared" si="1"/>
        <v>45491.510416666672</v>
      </c>
      <c r="D74" s="524">
        <v>75</v>
      </c>
      <c r="E74" s="551"/>
      <c r="F74" s="431">
        <f>LongTest!F94</f>
        <v>6.3995098874614857</v>
      </c>
      <c r="G74" s="431">
        <f>LongTest!G94</f>
        <v>3.1695098874614858</v>
      </c>
      <c r="H74" s="524"/>
      <c r="I74" s="525"/>
      <c r="J74" s="526"/>
    </row>
    <row r="75" spans="1:10" ht="24.95" customHeight="1">
      <c r="A75" s="453"/>
      <c r="B75" s="430"/>
      <c r="C75" s="430">
        <f t="shared" si="1"/>
        <v>45491.520833333336</v>
      </c>
      <c r="D75" s="524">
        <v>90</v>
      </c>
      <c r="E75" s="551"/>
      <c r="F75" s="431">
        <f>LongTest!F95</f>
        <v>6.3174926086052903</v>
      </c>
      <c r="G75" s="431">
        <f>LongTest!G95</f>
        <v>3.0874926086052907</v>
      </c>
      <c r="H75" s="524"/>
      <c r="I75" s="525"/>
      <c r="J75" s="526"/>
    </row>
    <row r="76" spans="1:10" ht="24.95" customHeight="1">
      <c r="A76" s="453"/>
      <c r="B76" s="430"/>
      <c r="C76" s="430">
        <f t="shared" si="1"/>
        <v>45491.53125</v>
      </c>
      <c r="D76" s="524">
        <v>105</v>
      </c>
      <c r="E76" s="551"/>
      <c r="F76" s="431">
        <f>LongTest!F96</f>
        <v>6.2375976875488242</v>
      </c>
      <c r="G76" s="431">
        <f>LongTest!G96</f>
        <v>3.0075976875488246</v>
      </c>
      <c r="H76" s="524"/>
      <c r="I76" s="525"/>
      <c r="J76" s="526"/>
    </row>
    <row r="77" spans="1:10" ht="24.95" customHeight="1">
      <c r="A77" s="453"/>
      <c r="B77" s="430"/>
      <c r="C77" s="430">
        <f t="shared" si="1"/>
        <v>45491.541666666672</v>
      </c>
      <c r="D77" s="524">
        <v>120</v>
      </c>
      <c r="E77" s="551"/>
      <c r="F77" s="431">
        <f>LongTest!F97</f>
        <v>6.0101049385696026</v>
      </c>
      <c r="G77" s="431">
        <f>LongTest!G97</f>
        <v>2.7801049385696022</v>
      </c>
      <c r="H77" s="524" t="s">
        <v>332</v>
      </c>
      <c r="I77" s="525"/>
      <c r="J77" s="526"/>
    </row>
    <row r="78" spans="1:10" ht="24.95" customHeight="1">
      <c r="A78" s="453"/>
      <c r="B78" s="430"/>
      <c r="C78" s="430"/>
      <c r="D78" s="524"/>
      <c r="E78" s="551"/>
      <c r="F78" s="431"/>
      <c r="G78" s="431"/>
      <c r="H78" s="524"/>
      <c r="I78" s="525"/>
      <c r="J78" s="526"/>
    </row>
    <row r="79" spans="1:10" ht="24.95" customHeight="1">
      <c r="A79" s="453"/>
      <c r="B79" s="430"/>
      <c r="C79" s="430"/>
      <c r="D79" s="524"/>
      <c r="E79" s="551"/>
      <c r="F79" s="431"/>
      <c r="G79" s="431"/>
      <c r="H79" s="524"/>
      <c r="I79" s="525"/>
      <c r="J79" s="526"/>
    </row>
    <row r="80" spans="1:10" ht="24.95" customHeight="1">
      <c r="A80" s="453"/>
      <c r="B80" s="430"/>
      <c r="C80" s="430"/>
      <c r="D80" s="524"/>
      <c r="E80" s="551"/>
      <c r="F80" s="431"/>
      <c r="G80" s="431"/>
      <c r="H80" s="524"/>
      <c r="I80" s="525"/>
      <c r="J80" s="526"/>
    </row>
    <row r="81" spans="1:10" ht="24.95" customHeight="1" thickBot="1">
      <c r="A81" s="457"/>
      <c r="B81" s="458"/>
      <c r="C81" s="458"/>
      <c r="D81" s="527"/>
      <c r="E81" s="552"/>
      <c r="F81" s="459"/>
      <c r="G81" s="459"/>
      <c r="H81" s="527"/>
      <c r="I81" s="528"/>
      <c r="J81" s="52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30" t="s">
        <v>323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1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1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1" ht="24.95" customHeight="1">
      <c r="A4" s="536" t="s">
        <v>300</v>
      </c>
      <c r="B4" s="537"/>
      <c r="C4" s="538">
        <f>StepTest!C12</f>
        <v>45489.458333333336</v>
      </c>
      <c r="D4" s="539"/>
      <c r="E4" s="539"/>
      <c r="F4" s="539"/>
      <c r="G4" s="539"/>
      <c r="H4" s="539"/>
      <c r="I4" s="539"/>
      <c r="J4" s="540"/>
    </row>
    <row r="5" spans="1:11" ht="24.95" customHeight="1">
      <c r="A5" s="536" t="s">
        <v>301</v>
      </c>
      <c r="B5" s="537"/>
      <c r="C5" s="538">
        <f>StepTest!C51</f>
        <v>45489.875</v>
      </c>
      <c r="D5" s="539"/>
      <c r="E5" s="539"/>
      <c r="F5" s="539"/>
      <c r="G5" s="539"/>
      <c r="H5" s="539"/>
      <c r="I5" s="539"/>
      <c r="J5" s="540"/>
    </row>
    <row r="6" spans="1:11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1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524"/>
      <c r="H7" s="525"/>
      <c r="I7" s="525"/>
      <c r="J7" s="526"/>
    </row>
    <row r="8" spans="1:11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331</v>
      </c>
      <c r="H8" s="544">
        <f>LongTest!G7</f>
        <v>100</v>
      </c>
      <c r="I8" s="537"/>
      <c r="J8" s="427" t="s">
        <v>304</v>
      </c>
    </row>
    <row r="9" spans="1:11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324</v>
      </c>
      <c r="H9" s="544">
        <f>Input!M51</f>
        <v>147</v>
      </c>
      <c r="I9" s="537"/>
      <c r="J9" s="427" t="s">
        <v>312</v>
      </c>
    </row>
    <row r="10" spans="1:11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1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  <c r="K11" s="460"/>
    </row>
    <row r="12" spans="1:11" ht="24.95" customHeight="1">
      <c r="A12" s="428">
        <v>1</v>
      </c>
      <c r="B12" s="429">
        <f>Input!D20</f>
        <v>92</v>
      </c>
      <c r="C12" s="430">
        <f t="shared" ref="C12:C51" si="0">$C$4+D12/1440</f>
        <v>45489.459027777782</v>
      </c>
      <c r="D12" s="548">
        <v>1</v>
      </c>
      <c r="E12" s="548"/>
      <c r="F12" s="431">
        <f>StepTest!F12</f>
        <v>4.2300000000000004</v>
      </c>
      <c r="G12" s="431">
        <f>StepTest!G12</f>
        <v>1</v>
      </c>
      <c r="H12" s="566"/>
      <c r="I12" s="567"/>
      <c r="J12" s="568"/>
    </row>
    <row r="13" spans="1:11" ht="24.95" customHeight="1">
      <c r="A13" s="428"/>
      <c r="B13" s="426"/>
      <c r="C13" s="430">
        <f t="shared" si="0"/>
        <v>45489.459722222222</v>
      </c>
      <c r="D13" s="548">
        <v>2</v>
      </c>
      <c r="E13" s="548"/>
      <c r="F13" s="431">
        <f>StepTest!F13</f>
        <v>4.92</v>
      </c>
      <c r="G13" s="431">
        <f>StepTest!G13</f>
        <v>1.69</v>
      </c>
      <c r="H13" s="566"/>
      <c r="I13" s="567"/>
      <c r="J13" s="568"/>
    </row>
    <row r="14" spans="1:11" ht="24.95" customHeight="1">
      <c r="A14" s="428"/>
      <c r="B14" s="426"/>
      <c r="C14" s="430">
        <f t="shared" si="0"/>
        <v>45489.460416666669</v>
      </c>
      <c r="D14" s="548">
        <v>3</v>
      </c>
      <c r="E14" s="548"/>
      <c r="F14" s="431">
        <f>StepTest!F14</f>
        <v>5.32</v>
      </c>
      <c r="G14" s="431">
        <f>StepTest!G14</f>
        <v>2.09</v>
      </c>
      <c r="H14" s="566"/>
      <c r="I14" s="567"/>
      <c r="J14" s="568"/>
    </row>
    <row r="15" spans="1:11" ht="24.95" customHeight="1">
      <c r="A15" s="428"/>
      <c r="B15" s="426"/>
      <c r="C15" s="430">
        <f t="shared" si="0"/>
        <v>45489.461111111115</v>
      </c>
      <c r="D15" s="548">
        <v>4</v>
      </c>
      <c r="E15" s="548"/>
      <c r="F15" s="431">
        <f>StepTest!F15</f>
        <v>5.6</v>
      </c>
      <c r="G15" s="431">
        <f>StepTest!G15</f>
        <v>2.37</v>
      </c>
      <c r="H15" s="566"/>
      <c r="I15" s="567"/>
      <c r="J15" s="568"/>
    </row>
    <row r="16" spans="1:11" ht="24.95" customHeight="1">
      <c r="A16" s="428"/>
      <c r="B16" s="426"/>
      <c r="C16" s="430">
        <f t="shared" si="0"/>
        <v>45489.461805555555</v>
      </c>
      <c r="D16" s="548">
        <v>5</v>
      </c>
      <c r="E16" s="548"/>
      <c r="F16" s="431">
        <f>StepTest!F16</f>
        <v>5.83</v>
      </c>
      <c r="G16" s="431">
        <f>StepTest!G16</f>
        <v>2.6</v>
      </c>
      <c r="H16" s="524"/>
      <c r="I16" s="525"/>
      <c r="J16" s="526"/>
    </row>
    <row r="17" spans="1:10" ht="24.95" customHeight="1">
      <c r="A17" s="428"/>
      <c r="B17" s="426"/>
      <c r="C17" s="430">
        <f t="shared" si="0"/>
        <v>45489.465277777781</v>
      </c>
      <c r="D17" s="548">
        <v>10</v>
      </c>
      <c r="E17" s="548"/>
      <c r="F17" s="431">
        <f>StepTest!F17</f>
        <v>6.51</v>
      </c>
      <c r="G17" s="431">
        <f>StepTest!G17</f>
        <v>3.28</v>
      </c>
      <c r="H17" s="524"/>
      <c r="I17" s="525"/>
      <c r="J17" s="526"/>
    </row>
    <row r="18" spans="1:10" ht="24.95" customHeight="1">
      <c r="A18" s="428"/>
      <c r="B18" s="426"/>
      <c r="C18" s="430">
        <f t="shared" si="0"/>
        <v>45489.46875</v>
      </c>
      <c r="D18" s="548">
        <v>15</v>
      </c>
      <c r="E18" s="548"/>
      <c r="F18" s="431">
        <f>StepTest!F18</f>
        <v>6.91</v>
      </c>
      <c r="G18" s="431">
        <f>StepTest!G18</f>
        <v>3.68</v>
      </c>
      <c r="H18" s="524"/>
      <c r="I18" s="525"/>
      <c r="J18" s="526"/>
    </row>
    <row r="19" spans="1:10" ht="24.95" customHeight="1">
      <c r="A19" s="428"/>
      <c r="B19" s="426"/>
      <c r="C19" s="430">
        <f t="shared" si="0"/>
        <v>45489.472222222226</v>
      </c>
      <c r="D19" s="548">
        <v>20</v>
      </c>
      <c r="E19" s="548"/>
      <c r="F19" s="431">
        <f>StepTest!F19</f>
        <v>7.2</v>
      </c>
      <c r="G19" s="431">
        <f>StepTest!G19</f>
        <v>3.97</v>
      </c>
      <c r="H19" s="524"/>
      <c r="I19" s="525"/>
      <c r="J19" s="526"/>
    </row>
    <row r="20" spans="1:10" ht="24.95" customHeight="1">
      <c r="A20" s="428"/>
      <c r="B20" s="426"/>
      <c r="C20" s="430">
        <f t="shared" si="0"/>
        <v>45489.475694444445</v>
      </c>
      <c r="D20" s="548">
        <v>25</v>
      </c>
      <c r="E20" s="548"/>
      <c r="F20" s="431">
        <f>StepTest!F20</f>
        <v>7.42</v>
      </c>
      <c r="G20" s="431">
        <f>StepTest!G20</f>
        <v>4.1900000000000004</v>
      </c>
      <c r="H20" s="524"/>
      <c r="I20" s="525"/>
      <c r="J20" s="526"/>
    </row>
    <row r="21" spans="1:10" ht="24.95" customHeight="1">
      <c r="A21" s="428"/>
      <c r="B21" s="426"/>
      <c r="C21" s="430">
        <f t="shared" si="0"/>
        <v>45489.479166666672</v>
      </c>
      <c r="D21" s="548">
        <v>30</v>
      </c>
      <c r="E21" s="548"/>
      <c r="F21" s="431">
        <f>StepTest!F21</f>
        <v>7.6</v>
      </c>
      <c r="G21" s="431">
        <f>StepTest!G21</f>
        <v>4.37</v>
      </c>
      <c r="H21" s="524"/>
      <c r="I21" s="525"/>
      <c r="J21" s="526"/>
    </row>
    <row r="22" spans="1:10" ht="24.95" customHeight="1">
      <c r="A22" s="428"/>
      <c r="B22" s="426"/>
      <c r="C22" s="430">
        <f t="shared" si="0"/>
        <v>45489.482638888891</v>
      </c>
      <c r="D22" s="548">
        <v>35</v>
      </c>
      <c r="E22" s="548"/>
      <c r="F22" s="431">
        <f>StepTest!F22</f>
        <v>7.75</v>
      </c>
      <c r="G22" s="431">
        <f>StepTest!G22</f>
        <v>4.5199999999999996</v>
      </c>
      <c r="H22" s="524"/>
      <c r="I22" s="525"/>
      <c r="J22" s="526"/>
    </row>
    <row r="23" spans="1:10" ht="24.95" customHeight="1">
      <c r="A23" s="428"/>
      <c r="B23" s="426"/>
      <c r="C23" s="430">
        <f t="shared" si="0"/>
        <v>45489.486111111117</v>
      </c>
      <c r="D23" s="548">
        <v>40</v>
      </c>
      <c r="E23" s="548"/>
      <c r="F23" s="431">
        <f>StepTest!F23</f>
        <v>7.8900000000000006</v>
      </c>
      <c r="G23" s="431">
        <f>StepTest!G23</f>
        <v>4.66</v>
      </c>
      <c r="H23" s="524"/>
      <c r="I23" s="525"/>
      <c r="J23" s="526"/>
    </row>
    <row r="24" spans="1:10" ht="24.95" customHeight="1">
      <c r="A24" s="428"/>
      <c r="B24" s="426"/>
      <c r="C24" s="430">
        <f t="shared" si="0"/>
        <v>45489.489583333336</v>
      </c>
      <c r="D24" s="548">
        <v>45</v>
      </c>
      <c r="E24" s="548"/>
      <c r="F24" s="431">
        <f>StepTest!F24</f>
        <v>8</v>
      </c>
      <c r="G24" s="431">
        <f>StepTest!G24</f>
        <v>4.7699999999999996</v>
      </c>
      <c r="H24" s="524"/>
      <c r="I24" s="525"/>
      <c r="J24" s="526"/>
    </row>
    <row r="25" spans="1:10" ht="24.95" customHeight="1">
      <c r="A25" s="428"/>
      <c r="B25" s="426"/>
      <c r="C25" s="430">
        <f t="shared" si="0"/>
        <v>45489.493055555555</v>
      </c>
      <c r="D25" s="548">
        <v>50</v>
      </c>
      <c r="E25" s="548"/>
      <c r="F25" s="431">
        <f>StepTest!F25</f>
        <v>8.11</v>
      </c>
      <c r="G25" s="431">
        <f>StepTest!G25</f>
        <v>4.88</v>
      </c>
      <c r="H25" s="524"/>
      <c r="I25" s="525"/>
      <c r="J25" s="526"/>
    </row>
    <row r="26" spans="1:10" ht="24.95" customHeight="1">
      <c r="A26" s="428"/>
      <c r="B26" s="426"/>
      <c r="C26" s="430">
        <f t="shared" si="0"/>
        <v>45489.496527777781</v>
      </c>
      <c r="D26" s="548">
        <v>55</v>
      </c>
      <c r="E26" s="548"/>
      <c r="F26" s="431">
        <f>StepTest!F26</f>
        <v>8.1999999999999993</v>
      </c>
      <c r="G26" s="431">
        <f>StepTest!G26</f>
        <v>4.97</v>
      </c>
      <c r="H26" s="524"/>
      <c r="I26" s="525"/>
      <c r="J26" s="526"/>
    </row>
    <row r="27" spans="1:10" ht="24.95" customHeight="1">
      <c r="A27" s="428"/>
      <c r="B27" s="426"/>
      <c r="C27" s="430">
        <f t="shared" si="0"/>
        <v>45489.5</v>
      </c>
      <c r="D27" s="548">
        <v>60</v>
      </c>
      <c r="E27" s="548"/>
      <c r="F27" s="431">
        <f>StepTest!F27</f>
        <v>8.2899999999999991</v>
      </c>
      <c r="G27" s="431">
        <f>StepTest!G27</f>
        <v>5.0599999999999996</v>
      </c>
      <c r="H27" s="524"/>
      <c r="I27" s="525"/>
      <c r="J27" s="526"/>
    </row>
    <row r="28" spans="1:10" ht="24.95" customHeight="1">
      <c r="A28" s="428"/>
      <c r="B28" s="426"/>
      <c r="C28" s="430">
        <f t="shared" si="0"/>
        <v>45489.510416666672</v>
      </c>
      <c r="D28" s="548">
        <v>75</v>
      </c>
      <c r="E28" s="548"/>
      <c r="F28" s="431">
        <f>StepTest!F28</f>
        <v>8.51</v>
      </c>
      <c r="G28" s="431">
        <f>StepTest!G28</f>
        <v>5.28</v>
      </c>
      <c r="H28" s="524"/>
      <c r="I28" s="525"/>
      <c r="J28" s="526"/>
    </row>
    <row r="29" spans="1:10" ht="24.95" customHeight="1">
      <c r="A29" s="428"/>
      <c r="B29" s="426"/>
      <c r="C29" s="430">
        <f t="shared" si="0"/>
        <v>45489.520833333336</v>
      </c>
      <c r="D29" s="548">
        <v>90</v>
      </c>
      <c r="E29" s="548"/>
      <c r="F29" s="431">
        <f>StepTest!F29</f>
        <v>8.69</v>
      </c>
      <c r="G29" s="431">
        <f>StepTest!G29</f>
        <v>5.46</v>
      </c>
      <c r="H29" s="524"/>
      <c r="I29" s="525"/>
      <c r="J29" s="526"/>
    </row>
    <row r="30" spans="1:10" ht="24.95" customHeight="1">
      <c r="A30" s="428"/>
      <c r="B30" s="426"/>
      <c r="C30" s="430">
        <f t="shared" si="0"/>
        <v>45489.53125</v>
      </c>
      <c r="D30" s="548">
        <v>105</v>
      </c>
      <c r="E30" s="548"/>
      <c r="F30" s="431">
        <f>StepTest!F30</f>
        <v>8.84</v>
      </c>
      <c r="G30" s="431">
        <f>StepTest!G30</f>
        <v>5.61</v>
      </c>
      <c r="H30" s="524"/>
      <c r="I30" s="525"/>
      <c r="J30" s="526"/>
    </row>
    <row r="31" spans="1:10" ht="24.95" customHeight="1">
      <c r="A31" s="428"/>
      <c r="B31" s="426"/>
      <c r="C31" s="430">
        <f t="shared" si="0"/>
        <v>45489.541666666672</v>
      </c>
      <c r="D31" s="548">
        <v>120</v>
      </c>
      <c r="E31" s="548"/>
      <c r="F31" s="431">
        <f>StepTest!F31</f>
        <v>8.98</v>
      </c>
      <c r="G31" s="431">
        <f>StepTest!G31</f>
        <v>5.75</v>
      </c>
      <c r="H31" s="524"/>
      <c r="I31" s="525"/>
      <c r="J31" s="526"/>
    </row>
    <row r="32" spans="1:10" ht="24.95" customHeight="1">
      <c r="A32" s="432">
        <v>2</v>
      </c>
      <c r="B32" s="429">
        <f>Input!D21</f>
        <v>117</v>
      </c>
      <c r="C32" s="430">
        <f t="shared" si="0"/>
        <v>45489.548611111117</v>
      </c>
      <c r="D32" s="548">
        <v>130</v>
      </c>
      <c r="E32" s="548"/>
      <c r="F32" s="431">
        <f>StepTest!F32</f>
        <v>10.130000000000001</v>
      </c>
      <c r="G32" s="431">
        <f>StepTest!G32</f>
        <v>6.9</v>
      </c>
      <c r="H32" s="524"/>
      <c r="I32" s="525"/>
      <c r="J32" s="526"/>
    </row>
    <row r="33" spans="1:10" ht="24.95" customHeight="1">
      <c r="A33" s="432"/>
      <c r="B33" s="429"/>
      <c r="C33" s="430">
        <f t="shared" si="0"/>
        <v>45489.555555555555</v>
      </c>
      <c r="D33" s="548">
        <v>140</v>
      </c>
      <c r="E33" s="548"/>
      <c r="F33" s="431">
        <f>StepTest!F33</f>
        <v>10.32</v>
      </c>
      <c r="G33" s="431">
        <f>StepTest!G33</f>
        <v>7.09</v>
      </c>
      <c r="H33" s="524"/>
      <c r="I33" s="525"/>
      <c r="J33" s="526"/>
    </row>
    <row r="34" spans="1:10" ht="24.95" customHeight="1">
      <c r="A34" s="432"/>
      <c r="B34" s="429"/>
      <c r="C34" s="430">
        <f t="shared" si="0"/>
        <v>45489.5625</v>
      </c>
      <c r="D34" s="548">
        <v>150</v>
      </c>
      <c r="E34" s="548"/>
      <c r="F34" s="431">
        <f>StepTest!F34</f>
        <v>10.51</v>
      </c>
      <c r="G34" s="431">
        <f>StepTest!G34</f>
        <v>7.28</v>
      </c>
      <c r="H34" s="524"/>
      <c r="I34" s="525"/>
      <c r="J34" s="526"/>
    </row>
    <row r="35" spans="1:10" ht="24.95" customHeight="1">
      <c r="A35" s="432"/>
      <c r="B35" s="429"/>
      <c r="C35" s="430">
        <f t="shared" si="0"/>
        <v>45489.583333333336</v>
      </c>
      <c r="D35" s="548">
        <v>180</v>
      </c>
      <c r="E35" s="548"/>
      <c r="F35" s="431">
        <f>StepTest!F35</f>
        <v>10.7</v>
      </c>
      <c r="G35" s="431">
        <f>StepTest!G35</f>
        <v>7.47</v>
      </c>
      <c r="H35" s="524"/>
      <c r="I35" s="525"/>
      <c r="J35" s="526"/>
    </row>
    <row r="36" spans="1:10" ht="24.95" customHeight="1">
      <c r="A36" s="432"/>
      <c r="B36" s="429"/>
      <c r="C36" s="430">
        <f t="shared" si="0"/>
        <v>45489.625</v>
      </c>
      <c r="D36" s="548">
        <v>240</v>
      </c>
      <c r="E36" s="548"/>
      <c r="F36" s="431">
        <f>StepTest!F36</f>
        <v>10.9</v>
      </c>
      <c r="G36" s="431">
        <f>StepTest!G36</f>
        <v>7.67</v>
      </c>
      <c r="H36" s="524"/>
      <c r="I36" s="525"/>
      <c r="J36" s="526"/>
    </row>
    <row r="37" spans="1:10" ht="24.95" customHeight="1">
      <c r="A37" s="432">
        <v>3</v>
      </c>
      <c r="B37" s="429">
        <f>Input!D22</f>
        <v>142.79999999999998</v>
      </c>
      <c r="C37" s="430">
        <f t="shared" si="0"/>
        <v>45489.631944444445</v>
      </c>
      <c r="D37" s="548">
        <v>250</v>
      </c>
      <c r="E37" s="548"/>
      <c r="F37" s="431">
        <f>StepTest!F37</f>
        <v>12.190000000000001</v>
      </c>
      <c r="G37" s="431">
        <f>StepTest!G37</f>
        <v>8.9600000000000009</v>
      </c>
      <c r="H37" s="524"/>
      <c r="I37" s="525"/>
      <c r="J37" s="526"/>
    </row>
    <row r="38" spans="1:10" ht="24.95" customHeight="1">
      <c r="A38" s="432"/>
      <c r="B38" s="429"/>
      <c r="C38" s="430">
        <f t="shared" si="0"/>
        <v>45489.638888888891</v>
      </c>
      <c r="D38" s="548">
        <v>260</v>
      </c>
      <c r="E38" s="548"/>
      <c r="F38" s="431">
        <f>StepTest!F38</f>
        <v>12.41</v>
      </c>
      <c r="G38" s="431">
        <f>StepTest!G38</f>
        <v>9.18</v>
      </c>
      <c r="H38" s="524"/>
      <c r="I38" s="525"/>
      <c r="J38" s="526"/>
    </row>
    <row r="39" spans="1:10" ht="24.95" customHeight="1">
      <c r="A39" s="432"/>
      <c r="B39" s="429"/>
      <c r="C39" s="430">
        <f t="shared" si="0"/>
        <v>45489.645833333336</v>
      </c>
      <c r="D39" s="548">
        <v>270</v>
      </c>
      <c r="E39" s="548"/>
      <c r="F39" s="431">
        <f>StepTest!F39</f>
        <v>12.620000000000001</v>
      </c>
      <c r="G39" s="431">
        <f>StepTest!G39</f>
        <v>9.39</v>
      </c>
      <c r="H39" s="524"/>
      <c r="I39" s="525"/>
      <c r="J39" s="526"/>
    </row>
    <row r="40" spans="1:10" ht="24.95" customHeight="1">
      <c r="A40" s="432"/>
      <c r="B40" s="429"/>
      <c r="C40" s="430">
        <f t="shared" si="0"/>
        <v>45489.666666666672</v>
      </c>
      <c r="D40" s="548">
        <v>300</v>
      </c>
      <c r="E40" s="548"/>
      <c r="F40" s="431">
        <f>StepTest!F40</f>
        <v>12.84</v>
      </c>
      <c r="G40" s="431">
        <f>StepTest!G40</f>
        <v>9.61</v>
      </c>
      <c r="H40" s="524"/>
      <c r="I40" s="525"/>
      <c r="J40" s="526"/>
    </row>
    <row r="41" spans="1:10" ht="24.95" customHeight="1">
      <c r="A41" s="432"/>
      <c r="B41" s="429"/>
      <c r="C41" s="430">
        <f t="shared" si="0"/>
        <v>45489.708333333336</v>
      </c>
      <c r="D41" s="548">
        <v>360</v>
      </c>
      <c r="E41" s="548"/>
      <c r="F41" s="431">
        <f>StepTest!F41</f>
        <v>13.06</v>
      </c>
      <c r="G41" s="431">
        <f>StepTest!G41</f>
        <v>9.83</v>
      </c>
      <c r="H41" s="524"/>
      <c r="I41" s="525"/>
      <c r="J41" s="526"/>
    </row>
    <row r="42" spans="1:10" ht="24.95" customHeight="1">
      <c r="A42" s="432">
        <v>4</v>
      </c>
      <c r="B42" s="429">
        <f>Input!D23</f>
        <v>168</v>
      </c>
      <c r="C42" s="430">
        <f t="shared" si="0"/>
        <v>45489.715277777781</v>
      </c>
      <c r="D42" s="544">
        <v>370</v>
      </c>
      <c r="E42" s="537"/>
      <c r="F42" s="431">
        <f>StepTest!F42</f>
        <v>14.5</v>
      </c>
      <c r="G42" s="431">
        <f>StepTest!G42</f>
        <v>11.27</v>
      </c>
      <c r="H42" s="524"/>
      <c r="I42" s="525"/>
      <c r="J42" s="526"/>
    </row>
    <row r="43" spans="1:10" ht="24.95" customHeight="1">
      <c r="A43" s="432"/>
      <c r="B43" s="429"/>
      <c r="C43" s="430">
        <f t="shared" si="0"/>
        <v>45489.722222222226</v>
      </c>
      <c r="D43" s="544">
        <v>380</v>
      </c>
      <c r="E43" s="537"/>
      <c r="F43" s="431">
        <f>StepTest!F43</f>
        <v>14.74</v>
      </c>
      <c r="G43" s="431">
        <f>StepTest!G43</f>
        <v>11.51</v>
      </c>
      <c r="H43" s="524"/>
      <c r="I43" s="525"/>
      <c r="J43" s="526"/>
    </row>
    <row r="44" spans="1:10" ht="24.95" customHeight="1">
      <c r="A44" s="432"/>
      <c r="B44" s="429"/>
      <c r="C44" s="430">
        <f t="shared" si="0"/>
        <v>45489.729166666672</v>
      </c>
      <c r="D44" s="544">
        <v>390</v>
      </c>
      <c r="E44" s="537"/>
      <c r="F44" s="431">
        <f>StepTest!F44</f>
        <v>14.98</v>
      </c>
      <c r="G44" s="431">
        <f>StepTest!G44</f>
        <v>11.75</v>
      </c>
      <c r="H44" s="524"/>
      <c r="I44" s="525"/>
      <c r="J44" s="526"/>
    </row>
    <row r="45" spans="1:10" ht="24.95" customHeight="1">
      <c r="A45" s="432"/>
      <c r="B45" s="429"/>
      <c r="C45" s="430">
        <f t="shared" si="0"/>
        <v>45489.75</v>
      </c>
      <c r="D45" s="544">
        <v>420</v>
      </c>
      <c r="E45" s="537"/>
      <c r="F45" s="431">
        <f>StepTest!F45</f>
        <v>15.22</v>
      </c>
      <c r="G45" s="431">
        <f>StepTest!G45</f>
        <v>11.99</v>
      </c>
      <c r="H45" s="524"/>
      <c r="I45" s="525"/>
      <c r="J45" s="526"/>
    </row>
    <row r="46" spans="1:10" ht="24.95" customHeight="1">
      <c r="A46" s="432"/>
      <c r="B46" s="429"/>
      <c r="C46" s="430">
        <f t="shared" si="0"/>
        <v>45489.791666666672</v>
      </c>
      <c r="D46" s="544">
        <v>480</v>
      </c>
      <c r="E46" s="537"/>
      <c r="F46" s="431">
        <f>StepTest!F46</f>
        <v>15.47</v>
      </c>
      <c r="G46" s="431">
        <f>StepTest!G46</f>
        <v>12.24</v>
      </c>
      <c r="H46" s="524"/>
      <c r="I46" s="525"/>
      <c r="J46" s="526"/>
    </row>
    <row r="47" spans="1:10" ht="24.95" customHeight="1">
      <c r="A47" s="432">
        <v>5</v>
      </c>
      <c r="B47" s="429">
        <f>Input!D24</f>
        <v>193.2</v>
      </c>
      <c r="C47" s="430">
        <f t="shared" si="0"/>
        <v>45489.798611111117</v>
      </c>
      <c r="D47" s="544">
        <v>490</v>
      </c>
      <c r="E47" s="537"/>
      <c r="F47" s="431">
        <f>StepTest!F47</f>
        <v>16.93</v>
      </c>
      <c r="G47" s="431">
        <f>StepTest!G47</f>
        <v>13.7</v>
      </c>
      <c r="H47" s="524"/>
      <c r="I47" s="525"/>
      <c r="J47" s="526"/>
    </row>
    <row r="48" spans="1:10" ht="24.95" customHeight="1">
      <c r="A48" s="432"/>
      <c r="B48" s="429"/>
      <c r="C48" s="430">
        <f t="shared" si="0"/>
        <v>45489.805555555555</v>
      </c>
      <c r="D48" s="544">
        <v>500</v>
      </c>
      <c r="E48" s="537"/>
      <c r="F48" s="431">
        <f>StepTest!F48</f>
        <v>17.48</v>
      </c>
      <c r="G48" s="431">
        <f>StepTest!G48</f>
        <v>14.25</v>
      </c>
      <c r="H48" s="524"/>
      <c r="I48" s="525"/>
      <c r="J48" s="526"/>
    </row>
    <row r="49" spans="1:10" ht="24.95" customHeight="1">
      <c r="A49" s="432"/>
      <c r="B49" s="429"/>
      <c r="C49" s="430">
        <f t="shared" si="0"/>
        <v>45489.8125</v>
      </c>
      <c r="D49" s="544">
        <v>510</v>
      </c>
      <c r="E49" s="537"/>
      <c r="F49" s="431">
        <f>StepTest!F49</f>
        <v>18.03</v>
      </c>
      <c r="G49" s="431">
        <f>StepTest!G49</f>
        <v>14.8</v>
      </c>
      <c r="H49" s="524"/>
      <c r="I49" s="525"/>
      <c r="J49" s="526"/>
    </row>
    <row r="50" spans="1:10" ht="24.95" customHeight="1">
      <c r="A50" s="432"/>
      <c r="B50" s="429"/>
      <c r="C50" s="430">
        <f t="shared" si="0"/>
        <v>45489.833333333336</v>
      </c>
      <c r="D50" s="544">
        <v>540</v>
      </c>
      <c r="E50" s="537"/>
      <c r="F50" s="431">
        <f>StepTest!F50</f>
        <v>18.579999999999998</v>
      </c>
      <c r="G50" s="431">
        <f>StepTest!G50</f>
        <v>15.35</v>
      </c>
      <c r="H50" s="524"/>
      <c r="I50" s="525"/>
      <c r="J50" s="526"/>
    </row>
    <row r="51" spans="1:10" ht="24.95" customHeight="1">
      <c r="A51" s="433"/>
      <c r="B51" s="434"/>
      <c r="C51" s="435">
        <f t="shared" si="0"/>
        <v>45489.875</v>
      </c>
      <c r="D51" s="569">
        <v>600</v>
      </c>
      <c r="E51" s="570"/>
      <c r="F51" s="436">
        <f>StepTest!F51</f>
        <v>19.14</v>
      </c>
      <c r="G51" s="436">
        <f>StepTest!G51</f>
        <v>15.91</v>
      </c>
      <c r="H51" s="563"/>
      <c r="I51" s="564"/>
      <c r="J51" s="565"/>
    </row>
    <row r="52" spans="1:10" ht="24.95" customHeight="1">
      <c r="A52" s="453"/>
      <c r="B52" s="461"/>
      <c r="C52" s="461"/>
      <c r="D52" s="555"/>
      <c r="E52" s="561"/>
      <c r="F52" s="461"/>
      <c r="G52" s="461"/>
      <c r="H52" s="555"/>
      <c r="I52" s="556"/>
      <c r="J52" s="557"/>
    </row>
    <row r="53" spans="1:10" ht="24.95" customHeight="1">
      <c r="A53" s="453"/>
      <c r="B53" s="461"/>
      <c r="C53" s="461"/>
      <c r="D53" s="555"/>
      <c r="E53" s="561"/>
      <c r="F53" s="461"/>
      <c r="G53" s="461"/>
      <c r="H53" s="555"/>
      <c r="I53" s="556"/>
      <c r="J53" s="557"/>
    </row>
    <row r="54" spans="1:10" ht="24.95" customHeight="1">
      <c r="A54" s="453"/>
      <c r="B54" s="461"/>
      <c r="C54" s="461"/>
      <c r="D54" s="555"/>
      <c r="E54" s="561"/>
      <c r="F54" s="461"/>
      <c r="G54" s="461"/>
      <c r="H54" s="555"/>
      <c r="I54" s="556"/>
      <c r="J54" s="557"/>
    </row>
    <row r="55" spans="1:10" ht="24.95" customHeight="1">
      <c r="A55" s="453"/>
      <c r="B55" s="461"/>
      <c r="C55" s="461"/>
      <c r="D55" s="555"/>
      <c r="E55" s="561"/>
      <c r="F55" s="461"/>
      <c r="G55" s="461"/>
      <c r="H55" s="555"/>
      <c r="I55" s="556"/>
      <c r="J55" s="557"/>
    </row>
    <row r="56" spans="1:10" ht="24.95" customHeight="1">
      <c r="A56" s="453"/>
      <c r="B56" s="461"/>
      <c r="C56" s="461"/>
      <c r="D56" s="555"/>
      <c r="E56" s="561"/>
      <c r="F56" s="461"/>
      <c r="G56" s="461"/>
      <c r="H56" s="555"/>
      <c r="I56" s="556"/>
      <c r="J56" s="557"/>
    </row>
    <row r="57" spans="1:10" ht="24.95" customHeight="1" thickBot="1">
      <c r="A57" s="457"/>
      <c r="B57" s="462"/>
      <c r="C57" s="462"/>
      <c r="D57" s="558"/>
      <c r="E57" s="562"/>
      <c r="F57" s="462"/>
      <c r="G57" s="462"/>
      <c r="H57" s="558"/>
      <c r="I57" s="559"/>
      <c r="J57" s="560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30" t="s">
        <v>322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LongTest!C10</f>
        <v>45490.458333333336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LongTest!C77</f>
        <v>45492.458333333336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8">
        <v>1</v>
      </c>
      <c r="B12" s="426">
        <v>173</v>
      </c>
      <c r="C12" s="430">
        <f t="shared" ref="C12:C43" si="0">$C$4+D12/1440</f>
        <v>45490.459027777782</v>
      </c>
      <c r="D12" s="548">
        <v>1</v>
      </c>
      <c r="E12" s="548"/>
      <c r="F12" s="431">
        <f>LongTest!F10</f>
        <v>9.0083948990088434</v>
      </c>
      <c r="G12" s="431">
        <f>LongTest!G10</f>
        <v>5.778394899008843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45490.459722222222</v>
      </c>
      <c r="D13" s="548">
        <v>2</v>
      </c>
      <c r="E13" s="548"/>
      <c r="F13" s="431">
        <f>LongTest!F11</f>
        <v>9.8391777325675278</v>
      </c>
      <c r="G13" s="431">
        <f>LongTest!G11</f>
        <v>6.6091777325675274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45490.460416666669</v>
      </c>
      <c r="D14" s="548">
        <v>3</v>
      </c>
      <c r="E14" s="548"/>
      <c r="F14" s="431">
        <f>LongTest!F12</f>
        <v>10.325154536442225</v>
      </c>
      <c r="G14" s="431">
        <f>LongTest!G12</f>
        <v>7.0951545364422248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45490.461111111115</v>
      </c>
      <c r="D15" s="548">
        <v>4</v>
      </c>
      <c r="E15" s="548"/>
      <c r="F15" s="431">
        <f>LongTest!F13</f>
        <v>10.669960566126214</v>
      </c>
      <c r="G15" s="431">
        <f>LongTest!G13</f>
        <v>7.4399605661262136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45490.461805555555</v>
      </c>
      <c r="D16" s="548">
        <v>5</v>
      </c>
      <c r="E16" s="548"/>
      <c r="F16" s="431">
        <f>LongTest!F14</f>
        <v>10.937412900998886</v>
      </c>
      <c r="G16" s="431">
        <f>LongTest!G14</f>
        <v>7.7074129009988859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45490.465277777781</v>
      </c>
      <c r="D17" s="548">
        <v>10</v>
      </c>
      <c r="E17" s="548"/>
      <c r="F17" s="431">
        <f>LongTest!F15</f>
        <v>11.768195734557571</v>
      </c>
      <c r="G17" s="431">
        <f>LongTest!G15</f>
        <v>8.5381957345575703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45490.46875</v>
      </c>
      <c r="D18" s="548">
        <v>15</v>
      </c>
      <c r="E18" s="548"/>
      <c r="F18" s="431">
        <f>LongTest!F16</f>
        <v>12.254172538432268</v>
      </c>
      <c r="G18" s="431">
        <f>LongTest!G16</f>
        <v>9.0241725384322677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45490.472222222226</v>
      </c>
      <c r="D19" s="548">
        <v>20</v>
      </c>
      <c r="E19" s="548"/>
      <c r="F19" s="431">
        <f>LongTest!F17</f>
        <v>12.598978568116257</v>
      </c>
      <c r="G19" s="431">
        <f>LongTest!G17</f>
        <v>9.3689785681162565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45490.475694444445</v>
      </c>
      <c r="D20" s="548">
        <v>25</v>
      </c>
      <c r="E20" s="548"/>
      <c r="F20" s="431">
        <f>LongTest!F18</f>
        <v>12.866430902988929</v>
      </c>
      <c r="G20" s="431">
        <f>LongTest!G18</f>
        <v>9.6364309029889288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45490.479166666672</v>
      </c>
      <c r="D21" s="548">
        <v>30</v>
      </c>
      <c r="E21" s="548"/>
      <c r="F21" s="431">
        <f>LongTest!F19</f>
        <v>13.084955371990954</v>
      </c>
      <c r="G21" s="431">
        <f>LongTest!G19</f>
        <v>9.8549553719909539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45490.482638888891</v>
      </c>
      <c r="D22" s="548">
        <v>35</v>
      </c>
      <c r="E22" s="548"/>
      <c r="F22" s="431">
        <f>LongTest!F20</f>
        <v>13.269715177950825</v>
      </c>
      <c r="G22" s="431">
        <f>LongTest!G20</f>
        <v>10.039715177950825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45490.486111111117</v>
      </c>
      <c r="D23" s="548">
        <v>40</v>
      </c>
      <c r="E23" s="548"/>
      <c r="F23" s="431">
        <f>LongTest!F21</f>
        <v>13.429761401674943</v>
      </c>
      <c r="G23" s="431">
        <f>LongTest!G21</f>
        <v>10.199761401674943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45490.489583333336</v>
      </c>
      <c r="D24" s="548">
        <v>45</v>
      </c>
      <c r="E24" s="548"/>
      <c r="F24" s="431">
        <f>LongTest!F22</f>
        <v>13.570932175865652</v>
      </c>
      <c r="G24" s="431">
        <f>LongTest!G22</f>
        <v>10.340932175865651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45490.493055555555</v>
      </c>
      <c r="D25" s="548">
        <v>50</v>
      </c>
      <c r="E25" s="548"/>
      <c r="F25" s="431">
        <f>LongTest!F23</f>
        <v>13.697213736547615</v>
      </c>
      <c r="G25" s="431">
        <f>LongTest!G23</f>
        <v>10.467213736547615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45490.496527777781</v>
      </c>
      <c r="D26" s="548">
        <v>55</v>
      </c>
      <c r="E26" s="548"/>
      <c r="F26" s="431">
        <f>LongTest!F24</f>
        <v>13.811449303632891</v>
      </c>
      <c r="G26" s="431">
        <f>LongTest!G24</f>
        <v>10.58144930363289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45490.5</v>
      </c>
      <c r="D27" s="548">
        <v>60</v>
      </c>
      <c r="E27" s="548"/>
      <c r="F27" s="431">
        <f>LongTest!F25</f>
        <v>13.915738205549641</v>
      </c>
      <c r="G27" s="431">
        <f>LongTest!G25</f>
        <v>10.68573820554964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45490.510416666672</v>
      </c>
      <c r="D28" s="548">
        <v>75</v>
      </c>
      <c r="E28" s="548"/>
      <c r="F28" s="431">
        <f>LongTest!F26</f>
        <v>14.183190540422311</v>
      </c>
      <c r="G28" s="431">
        <f>LongTest!G26</f>
        <v>10.953190540422311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45490.520833333336</v>
      </c>
      <c r="D29" s="548">
        <v>90</v>
      </c>
      <c r="E29" s="548"/>
      <c r="F29" s="431">
        <f>LongTest!F27</f>
        <v>14.401715009424336</v>
      </c>
      <c r="G29" s="431">
        <f>LongTest!G27</f>
        <v>11.171715009424336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45490.53125</v>
      </c>
      <c r="D30" s="548">
        <v>105</v>
      </c>
      <c r="E30" s="548"/>
      <c r="F30" s="431">
        <f>LongTest!F28</f>
        <v>14.586474815384207</v>
      </c>
      <c r="G30" s="431">
        <f>LongTest!G28</f>
        <v>11.356474815384207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45490.541666666672</v>
      </c>
      <c r="D31" s="548">
        <v>120</v>
      </c>
      <c r="E31" s="548"/>
      <c r="F31" s="431">
        <f>LongTest!F29</f>
        <v>14.746521039108325</v>
      </c>
      <c r="G31" s="431">
        <f>LongTest!G29</f>
        <v>11.516521039108325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45490.555555555555</v>
      </c>
      <c r="D32" s="548">
        <v>140</v>
      </c>
      <c r="E32" s="548"/>
      <c r="F32" s="431">
        <f>LongTest!F30</f>
        <v>14.931280845068196</v>
      </c>
      <c r="G32" s="431">
        <f>LongTest!G30</f>
        <v>11.701280845068196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45490.569444444445</v>
      </c>
      <c r="D33" s="548">
        <v>160</v>
      </c>
      <c r="E33" s="548"/>
      <c r="F33" s="431">
        <f>LongTest!F31</f>
        <v>15.091327068792314</v>
      </c>
      <c r="G33" s="431">
        <f>LongTest!G31</f>
        <v>11.861327068792313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45490.583333333336</v>
      </c>
      <c r="D34" s="548">
        <v>180</v>
      </c>
      <c r="E34" s="548"/>
      <c r="F34" s="431">
        <f>LongTest!F32</f>
        <v>15.232497842983019</v>
      </c>
      <c r="G34" s="431">
        <f>LongTest!G32</f>
        <v>12.002497842983018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45490.625</v>
      </c>
      <c r="D35" s="548">
        <v>240</v>
      </c>
      <c r="E35" s="548"/>
      <c r="F35" s="431">
        <f>LongTest!F33</f>
        <v>15.577303872667009</v>
      </c>
      <c r="G35" s="431">
        <f>LongTest!G33</f>
        <v>12.347303872667009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45490.666666666672</v>
      </c>
      <c r="D36" s="548">
        <v>300</v>
      </c>
      <c r="E36" s="548"/>
      <c r="F36" s="431">
        <f>LongTest!F34</f>
        <v>15.844756207539682</v>
      </c>
      <c r="G36" s="431">
        <f>LongTest!G34</f>
        <v>12.614756207539681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45490.708333333336</v>
      </c>
      <c r="D37" s="548">
        <v>360</v>
      </c>
      <c r="E37" s="548"/>
      <c r="F37" s="431">
        <f>LongTest!F35</f>
        <v>16.063280676541705</v>
      </c>
      <c r="G37" s="431">
        <f>LongTest!G35</f>
        <v>12.833280676541705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45490.75</v>
      </c>
      <c r="D38" s="548">
        <v>420</v>
      </c>
      <c r="E38" s="548"/>
      <c r="F38" s="431">
        <f>LongTest!F36</f>
        <v>16.24804048250158</v>
      </c>
      <c r="G38" s="431">
        <f>LongTest!G36</f>
        <v>13.018040482501579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45490.791666666672</v>
      </c>
      <c r="D39" s="548">
        <v>480</v>
      </c>
      <c r="E39" s="548"/>
      <c r="F39" s="431">
        <f>LongTest!F37</f>
        <v>16.408086706225696</v>
      </c>
      <c r="G39" s="431">
        <f>LongTest!G37</f>
        <v>13.178086706225695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45490.833333333336</v>
      </c>
      <c r="D40" s="548">
        <v>540</v>
      </c>
      <c r="E40" s="548"/>
      <c r="F40" s="431">
        <f>LongTest!F38</f>
        <v>16.549257480416404</v>
      </c>
      <c r="G40" s="431">
        <f>LongTest!G38</f>
        <v>13.319257480416404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45490.875</v>
      </c>
      <c r="D41" s="548">
        <v>600</v>
      </c>
      <c r="E41" s="548"/>
      <c r="F41" s="431">
        <f>LongTest!F39</f>
        <v>16.675539041098368</v>
      </c>
      <c r="G41" s="431">
        <f>LongTest!G39</f>
        <v>13.445539041098368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45490.916666666672</v>
      </c>
      <c r="D42" s="548">
        <v>660</v>
      </c>
      <c r="E42" s="548"/>
      <c r="F42" s="431">
        <f>LongTest!F40</f>
        <v>16.789774608183642</v>
      </c>
      <c r="G42" s="431">
        <f>LongTest!G40</f>
        <v>13.559774608183641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45490.958333333336</v>
      </c>
      <c r="D43" s="548">
        <v>720</v>
      </c>
      <c r="E43" s="548"/>
      <c r="F43" s="431">
        <f>LongTest!F41</f>
        <v>16.894063510100391</v>
      </c>
      <c r="G43" s="431">
        <f>LongTest!G41</f>
        <v>13.664063510100391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45491</v>
      </c>
      <c r="D44" s="548">
        <v>780</v>
      </c>
      <c r="E44" s="548"/>
      <c r="F44" s="426">
        <f>LongTest!F42</f>
        <v>16.989999999999998</v>
      </c>
      <c r="G44" s="426">
        <f>LongTest!G42</f>
        <v>13.759999999999998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45491.041666666672</v>
      </c>
      <c r="D45" s="548">
        <v>840</v>
      </c>
      <c r="E45" s="548"/>
      <c r="F45" s="426">
        <f>LongTest!F43</f>
        <v>16.989999999999998</v>
      </c>
      <c r="G45" s="426">
        <f>LongTest!G43</f>
        <v>13.759999999999998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45491.083333333336</v>
      </c>
      <c r="D46" s="548">
        <v>900</v>
      </c>
      <c r="E46" s="548"/>
      <c r="F46" s="426">
        <f>LongTest!F44</f>
        <v>16.989999999999998</v>
      </c>
      <c r="G46" s="426">
        <f>LongTest!G44</f>
        <v>13.759999999999998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45491.125</v>
      </c>
      <c r="D47" s="548">
        <v>960</v>
      </c>
      <c r="E47" s="548"/>
      <c r="F47" s="426">
        <f>LongTest!F45</f>
        <v>16.989999999999998</v>
      </c>
      <c r="G47" s="426">
        <f>LongTest!G45</f>
        <v>13.759999999999998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45491.166666666672</v>
      </c>
      <c r="D48" s="548">
        <v>1020</v>
      </c>
      <c r="E48" s="548"/>
      <c r="F48" s="426">
        <f>LongTest!F46</f>
        <v>16.989999999999998</v>
      </c>
      <c r="G48" s="426">
        <f>LongTest!G46</f>
        <v>13.759999999999998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45491.208333333336</v>
      </c>
      <c r="D49" s="548">
        <v>1080</v>
      </c>
      <c r="E49" s="548"/>
      <c r="F49" s="426">
        <f>LongTest!F47</f>
        <v>16.989999999999998</v>
      </c>
      <c r="G49" s="426">
        <f>LongTest!G47</f>
        <v>13.759999999999998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45491.25</v>
      </c>
      <c r="D50" s="548">
        <v>1140</v>
      </c>
      <c r="E50" s="548"/>
      <c r="F50" s="426">
        <f>LongTest!F48</f>
        <v>16.989999999999998</v>
      </c>
      <c r="G50" s="426">
        <f>LongTest!G48</f>
        <v>13.759999999999998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45491.291666666672</v>
      </c>
      <c r="D51" s="548">
        <v>1200</v>
      </c>
      <c r="E51" s="548"/>
      <c r="F51" s="426">
        <f>LongTest!F49</f>
        <v>16.989999999999998</v>
      </c>
      <c r="G51" s="426">
        <f>LongTest!G49</f>
        <v>13.759999999999998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45491.333333333336</v>
      </c>
      <c r="D52" s="548">
        <v>1260</v>
      </c>
      <c r="E52" s="548"/>
      <c r="F52" s="426">
        <f>LongTest!F50</f>
        <v>16.989999999999998</v>
      </c>
      <c r="G52" s="426">
        <f>LongTest!G50</f>
        <v>13.759999999999998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45491.375</v>
      </c>
      <c r="D53" s="548">
        <v>1320</v>
      </c>
      <c r="E53" s="548"/>
      <c r="F53" s="426">
        <f>LongTest!F51</f>
        <v>16.989999999999998</v>
      </c>
      <c r="G53" s="426">
        <f>LongTest!G51</f>
        <v>13.759999999999998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45491.416666666672</v>
      </c>
      <c r="D54" s="548">
        <v>1380</v>
      </c>
      <c r="E54" s="548"/>
      <c r="F54" s="426">
        <f>LongTest!F52</f>
        <v>16.989999999999998</v>
      </c>
      <c r="G54" s="426">
        <f>LongTest!G52</f>
        <v>13.759999999999998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45491.458333333336</v>
      </c>
      <c r="D55" s="548">
        <v>1440</v>
      </c>
      <c r="E55" s="548"/>
      <c r="F55" s="426">
        <f>LongTest!F53</f>
        <v>16.989999999999998</v>
      </c>
      <c r="G55" s="426">
        <f>LongTest!G53</f>
        <v>13.759999999999998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45491.5</v>
      </c>
      <c r="D56" s="524">
        <v>1500</v>
      </c>
      <c r="E56" s="551"/>
      <c r="F56" s="426">
        <f>LongTest!F54</f>
        <v>16.989999999999998</v>
      </c>
      <c r="G56" s="426">
        <f>LongTest!G54</f>
        <v>13.759999999999998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45491.541666666672</v>
      </c>
      <c r="D57" s="524">
        <v>1560</v>
      </c>
      <c r="E57" s="551"/>
      <c r="F57" s="426">
        <f>LongTest!F55</f>
        <v>16.989999999999998</v>
      </c>
      <c r="G57" s="426">
        <f>LongTest!G55</f>
        <v>13.759999999999998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45491.583333333336</v>
      </c>
      <c r="D58" s="524">
        <v>1620</v>
      </c>
      <c r="E58" s="551"/>
      <c r="F58" s="426">
        <f>LongTest!F56</f>
        <v>16.989999999999998</v>
      </c>
      <c r="G58" s="426">
        <f>LongTest!G56</f>
        <v>13.759999999999998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45491.625</v>
      </c>
      <c r="D59" s="524">
        <v>1680</v>
      </c>
      <c r="E59" s="551"/>
      <c r="F59" s="426">
        <f>LongTest!F57</f>
        <v>16.989999999999998</v>
      </c>
      <c r="G59" s="426">
        <f>LongTest!G57</f>
        <v>13.759999999999998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45491.666666666672</v>
      </c>
      <c r="D60" s="524">
        <v>1740</v>
      </c>
      <c r="E60" s="551"/>
      <c r="F60" s="426">
        <f>LongTest!F58</f>
        <v>16.989999999999998</v>
      </c>
      <c r="G60" s="426">
        <f>LongTest!G58</f>
        <v>13.759999999999998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45491.708333333336</v>
      </c>
      <c r="D61" s="524">
        <v>1800</v>
      </c>
      <c r="E61" s="551"/>
      <c r="F61" s="426">
        <f>LongTest!F59</f>
        <v>16.989999999999998</v>
      </c>
      <c r="G61" s="426">
        <f>LongTest!G59</f>
        <v>13.759999999999998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45491.75</v>
      </c>
      <c r="D62" s="524">
        <v>1860</v>
      </c>
      <c r="E62" s="551"/>
      <c r="F62" s="426">
        <f>LongTest!F60</f>
        <v>16.989999999999998</v>
      </c>
      <c r="G62" s="426">
        <f>LongTest!G60</f>
        <v>13.759999999999998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45491.791666666672</v>
      </c>
      <c r="D63" s="524">
        <v>1920</v>
      </c>
      <c r="E63" s="551"/>
      <c r="F63" s="426">
        <f>LongTest!F61</f>
        <v>16.989999999999998</v>
      </c>
      <c r="G63" s="426">
        <f>LongTest!G61</f>
        <v>13.759999999999998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45491.833333333336</v>
      </c>
      <c r="D64" s="524">
        <v>1980</v>
      </c>
      <c r="E64" s="551"/>
      <c r="F64" s="426">
        <f>LongTest!F62</f>
        <v>16.989999999999998</v>
      </c>
      <c r="G64" s="426">
        <f>LongTest!G62</f>
        <v>13.759999999999998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45491.875</v>
      </c>
      <c r="D65" s="524">
        <v>2040</v>
      </c>
      <c r="E65" s="551"/>
      <c r="F65" s="426">
        <f>LongTest!F63</f>
        <v>16.989999999999998</v>
      </c>
      <c r="G65" s="426">
        <f>LongTest!G63</f>
        <v>13.759999999999998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45491.916666666672</v>
      </c>
      <c r="D66" s="524">
        <v>2100</v>
      </c>
      <c r="E66" s="551"/>
      <c r="F66" s="426">
        <f>LongTest!F64</f>
        <v>16.989999999999998</v>
      </c>
      <c r="G66" s="426">
        <f>LongTest!G64</f>
        <v>13.759999999999998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45491.958333333336</v>
      </c>
      <c r="D67" s="524">
        <v>2160</v>
      </c>
      <c r="E67" s="551"/>
      <c r="F67" s="426">
        <f>LongTest!F65</f>
        <v>16.989999999999998</v>
      </c>
      <c r="G67" s="426">
        <f>LongTest!G65</f>
        <v>13.759999999999998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45492</v>
      </c>
      <c r="D68" s="524">
        <v>2220</v>
      </c>
      <c r="E68" s="551"/>
      <c r="F68" s="426">
        <f>LongTest!F66</f>
        <v>16.989999999999998</v>
      </c>
      <c r="G68" s="426">
        <f>LongTest!G66</f>
        <v>13.759999999999998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45492.041666666672</v>
      </c>
      <c r="D69" s="524">
        <v>2280</v>
      </c>
      <c r="E69" s="551"/>
      <c r="F69" s="426">
        <f>LongTest!F67</f>
        <v>16.989999999999998</v>
      </c>
      <c r="G69" s="426">
        <f>LongTest!G67</f>
        <v>13.759999999999998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45492.083333333336</v>
      </c>
      <c r="D70" s="524">
        <v>2340</v>
      </c>
      <c r="E70" s="551"/>
      <c r="F70" s="426">
        <f>LongTest!F68</f>
        <v>16.989999999999998</v>
      </c>
      <c r="G70" s="426">
        <f>LongTest!G68</f>
        <v>13.759999999999998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45492.125</v>
      </c>
      <c r="D71" s="524">
        <v>2400</v>
      </c>
      <c r="E71" s="551"/>
      <c r="F71" s="426">
        <f>LongTest!F69</f>
        <v>16.989999999999998</v>
      </c>
      <c r="G71" s="426">
        <f>LongTest!G69</f>
        <v>13.759999999999998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45492.166666666672</v>
      </c>
      <c r="D72" s="524">
        <v>2460</v>
      </c>
      <c r="E72" s="551"/>
      <c r="F72" s="426">
        <f>LongTest!F70</f>
        <v>16.989999999999998</v>
      </c>
      <c r="G72" s="426">
        <f>LongTest!G70</f>
        <v>13.759999999999998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45492.208333333336</v>
      </c>
      <c r="D73" s="524">
        <v>2520</v>
      </c>
      <c r="E73" s="551"/>
      <c r="F73" s="426">
        <f>LongTest!F71</f>
        <v>16.989999999999998</v>
      </c>
      <c r="G73" s="426">
        <f>LongTest!G71</f>
        <v>13.759999999999998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45492.25</v>
      </c>
      <c r="D74" s="524">
        <v>2580</v>
      </c>
      <c r="E74" s="551"/>
      <c r="F74" s="426">
        <f>LongTest!F72</f>
        <v>16.989999999999998</v>
      </c>
      <c r="G74" s="426">
        <f>LongTest!G72</f>
        <v>13.759999999999998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45492.291666666672</v>
      </c>
      <c r="D75" s="524">
        <v>2640</v>
      </c>
      <c r="E75" s="551"/>
      <c r="F75" s="426">
        <f>LongTest!F73</f>
        <v>16.989999999999998</v>
      </c>
      <c r="G75" s="426">
        <f>LongTest!G73</f>
        <v>13.759999999999998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45492.333333333336</v>
      </c>
      <c r="D76" s="524">
        <v>2700</v>
      </c>
      <c r="E76" s="551"/>
      <c r="F76" s="426">
        <f>LongTest!F74</f>
        <v>16.989999999999998</v>
      </c>
      <c r="G76" s="426">
        <f>LongTest!G74</f>
        <v>13.759999999999998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45492.375</v>
      </c>
      <c r="D77" s="524">
        <v>2760</v>
      </c>
      <c r="E77" s="551"/>
      <c r="F77" s="426">
        <f>LongTest!F75</f>
        <v>16.989999999999998</v>
      </c>
      <c r="G77" s="426">
        <f>LongTest!G75</f>
        <v>13.759999999999998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45492.416666666672</v>
      </c>
      <c r="D78" s="524">
        <v>2820</v>
      </c>
      <c r="E78" s="551"/>
      <c r="F78" s="426">
        <f>LongTest!F76</f>
        <v>16.989999999999998</v>
      </c>
      <c r="G78" s="426">
        <f>LongTest!G76</f>
        <v>13.759999999999998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45492.458333333336</v>
      </c>
      <c r="D79" s="563">
        <v>2880</v>
      </c>
      <c r="E79" s="574"/>
      <c r="F79" s="455">
        <f>LongTest!F77</f>
        <v>16.989999999999998</v>
      </c>
      <c r="G79" s="455">
        <f>LongTest!G77</f>
        <v>13.759999999999998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1" t="s">
        <v>327</v>
      </c>
      <c r="B80" s="572"/>
      <c r="C80" s="572"/>
      <c r="D80" s="572"/>
      <c r="E80" s="572"/>
      <c r="F80" s="572"/>
      <c r="G80" s="572"/>
      <c r="H80" s="572"/>
      <c r="I80" s="572"/>
      <c r="J80" s="573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339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장기28!C5</f>
        <v>45492.458333333336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LongTest!C101</f>
        <v>45492.708333333336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45492.459027777782</v>
      </c>
      <c r="D12" s="524">
        <v>1</v>
      </c>
      <c r="E12" s="551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45492.459722222222</v>
      </c>
      <c r="D13" s="524">
        <v>2</v>
      </c>
      <c r="E13" s="551"/>
      <c r="F13" s="431">
        <f>LongTest!F79</f>
        <v>12.04157009097686</v>
      </c>
      <c r="G13" s="431">
        <f>LongTest!G79</f>
        <v>8.8115700909768595</v>
      </c>
      <c r="H13" s="524"/>
      <c r="I13" s="525"/>
      <c r="J13" s="526"/>
    </row>
    <row r="14" spans="1:10" ht="24.95" customHeight="1">
      <c r="A14" s="453"/>
      <c r="B14" s="430"/>
      <c r="C14" s="430">
        <f t="shared" si="0"/>
        <v>45492.460416666669</v>
      </c>
      <c r="D14" s="524">
        <v>3</v>
      </c>
      <c r="E14" s="551"/>
      <c r="F14" s="431">
        <f>LongTest!F80</f>
        <v>11.375068613362968</v>
      </c>
      <c r="G14" s="431">
        <f>LongTest!G80</f>
        <v>8.1450686133629677</v>
      </c>
      <c r="H14" s="524"/>
      <c r="I14" s="525"/>
      <c r="J14" s="526"/>
    </row>
    <row r="15" spans="1:10" ht="24.95" customHeight="1">
      <c r="A15" s="453"/>
      <c r="B15" s="430"/>
      <c r="C15" s="430">
        <f t="shared" si="0"/>
        <v>45492.461111111115</v>
      </c>
      <c r="D15" s="524">
        <v>4</v>
      </c>
      <c r="E15" s="551"/>
      <c r="F15" s="431">
        <f>LongTest!F81</f>
        <v>10.758980877576581</v>
      </c>
      <c r="G15" s="431">
        <f>LongTest!G81</f>
        <v>7.528980877576581</v>
      </c>
      <c r="H15" s="524"/>
      <c r="I15" s="525"/>
      <c r="J15" s="526"/>
    </row>
    <row r="16" spans="1:10" ht="24.95" customHeight="1">
      <c r="A16" s="453"/>
      <c r="B16" s="430"/>
      <c r="C16" s="430">
        <f t="shared" si="0"/>
        <v>45492.461805555555</v>
      </c>
      <c r="D16" s="524">
        <v>5</v>
      </c>
      <c r="E16" s="551"/>
      <c r="F16" s="431">
        <f>LongTest!F82</f>
        <v>10.189493620706195</v>
      </c>
      <c r="G16" s="431">
        <f>LongTest!G82</f>
        <v>6.9594936207061942</v>
      </c>
      <c r="H16" s="524"/>
      <c r="I16" s="525"/>
      <c r="J16" s="526"/>
    </row>
    <row r="17" spans="1:10" ht="24.95" customHeight="1">
      <c r="A17" s="453"/>
      <c r="B17" s="430"/>
      <c r="C17" s="430">
        <f t="shared" si="0"/>
        <v>45492.465277777781</v>
      </c>
      <c r="D17" s="524">
        <v>10</v>
      </c>
      <c r="E17" s="551"/>
      <c r="F17" s="431">
        <f>LongTest!F83</f>
        <v>8.7266993346903874</v>
      </c>
      <c r="G17" s="431">
        <f>LongTest!G83</f>
        <v>5.496699334690387</v>
      </c>
      <c r="H17" s="524"/>
      <c r="I17" s="525"/>
      <c r="J17" s="526"/>
    </row>
    <row r="18" spans="1:10" ht="24.95" customHeight="1">
      <c r="A18" s="453"/>
      <c r="B18" s="430"/>
      <c r="C18" s="430">
        <f t="shared" si="0"/>
        <v>45492.46875</v>
      </c>
      <c r="D18" s="524">
        <v>15</v>
      </c>
      <c r="E18" s="551"/>
      <c r="F18" s="431">
        <f>LongTest!F84</f>
        <v>8.4459042865162424</v>
      </c>
      <c r="G18" s="431">
        <f>LongTest!G84</f>
        <v>5.2159042865162419</v>
      </c>
      <c r="H18" s="524"/>
      <c r="I18" s="525"/>
      <c r="J18" s="526"/>
    </row>
    <row r="19" spans="1:10" ht="24.95" customHeight="1">
      <c r="A19" s="453"/>
      <c r="B19" s="430"/>
      <c r="C19" s="430">
        <f t="shared" si="0"/>
        <v>45492.472222222226</v>
      </c>
      <c r="D19" s="524">
        <v>20</v>
      </c>
      <c r="E19" s="551"/>
      <c r="F19" s="431">
        <f>LongTest!F85</f>
        <v>7.686690831145274</v>
      </c>
      <c r="G19" s="431">
        <f>LongTest!G85</f>
        <v>4.4566908311452735</v>
      </c>
      <c r="H19" s="524"/>
      <c r="I19" s="525"/>
      <c r="J19" s="526"/>
    </row>
    <row r="20" spans="1:10" ht="24.95" customHeight="1">
      <c r="A20" s="453"/>
      <c r="B20" s="430"/>
      <c r="C20" s="430">
        <f t="shared" si="0"/>
        <v>45492.475694444445</v>
      </c>
      <c r="D20" s="524">
        <v>25</v>
      </c>
      <c r="E20" s="551"/>
      <c r="F20" s="431">
        <f>LongTest!F86</f>
        <v>7.3495896115489696</v>
      </c>
      <c r="G20" s="431">
        <f>LongTest!G86</f>
        <v>4.1195896115489692</v>
      </c>
      <c r="H20" s="524"/>
      <c r="I20" s="525"/>
      <c r="J20" s="526"/>
    </row>
    <row r="21" spans="1:10" ht="24.95" customHeight="1">
      <c r="A21" s="453"/>
      <c r="B21" s="430"/>
      <c r="C21" s="430">
        <f t="shared" si="0"/>
        <v>45492.479166666672</v>
      </c>
      <c r="D21" s="524">
        <v>30</v>
      </c>
      <c r="E21" s="551"/>
      <c r="F21" s="431">
        <f>LongTest!F87</f>
        <v>7.0379865107495014</v>
      </c>
      <c r="G21" s="431">
        <f>LongTest!G87</f>
        <v>3.807986510749501</v>
      </c>
      <c r="H21" s="524"/>
      <c r="I21" s="525"/>
      <c r="J21" s="526"/>
    </row>
    <row r="22" spans="1:10" ht="24.95" customHeight="1">
      <c r="A22" s="453"/>
      <c r="B22" s="430"/>
      <c r="C22" s="430">
        <f t="shared" si="0"/>
        <v>45492.482638888891</v>
      </c>
      <c r="D22" s="524">
        <v>35</v>
      </c>
      <c r="E22" s="551"/>
      <c r="F22" s="431">
        <f>LongTest!F88</f>
        <v>6.9394473981982809</v>
      </c>
      <c r="G22" s="431">
        <f>LongTest!G88</f>
        <v>3.7094473981982814</v>
      </c>
      <c r="H22" s="524"/>
      <c r="I22" s="525"/>
      <c r="J22" s="526"/>
    </row>
    <row r="23" spans="1:10" ht="24.95" customHeight="1">
      <c r="A23" s="453"/>
      <c r="B23" s="430"/>
      <c r="C23" s="430">
        <f t="shared" si="0"/>
        <v>45492.486111111117</v>
      </c>
      <c r="D23" s="524">
        <v>40</v>
      </c>
      <c r="E23" s="551"/>
      <c r="F23" s="431">
        <f>LongTest!F89</f>
        <v>6.8434581782674719</v>
      </c>
      <c r="G23" s="431">
        <f>LongTest!G89</f>
        <v>3.613458178267472</v>
      </c>
      <c r="H23" s="524"/>
      <c r="I23" s="525"/>
      <c r="J23" s="526"/>
    </row>
    <row r="24" spans="1:10" ht="24.95" customHeight="1">
      <c r="A24" s="453"/>
      <c r="B24" s="430"/>
      <c r="C24" s="430">
        <f t="shared" si="0"/>
        <v>45492.489583333336</v>
      </c>
      <c r="D24" s="524">
        <v>45</v>
      </c>
      <c r="E24" s="551"/>
      <c r="F24" s="431">
        <f>LongTest!F90</f>
        <v>6.7499528674891147</v>
      </c>
      <c r="G24" s="431">
        <f>LongTest!G90</f>
        <v>3.5199528674891147</v>
      </c>
      <c r="H24" s="524"/>
      <c r="I24" s="525"/>
      <c r="J24" s="526"/>
    </row>
    <row r="25" spans="1:10" ht="24.95" customHeight="1">
      <c r="A25" s="453"/>
      <c r="B25" s="430"/>
      <c r="C25" s="430">
        <f t="shared" si="0"/>
        <v>45492.493055555555</v>
      </c>
      <c r="D25" s="524">
        <v>50</v>
      </c>
      <c r="E25" s="551"/>
      <c r="F25" s="431">
        <f>LongTest!F91</f>
        <v>6.6588671898467773</v>
      </c>
      <c r="G25" s="431">
        <f>LongTest!G91</f>
        <v>3.4288671898467773</v>
      </c>
      <c r="H25" s="524"/>
      <c r="I25" s="525"/>
      <c r="J25" s="526"/>
    </row>
    <row r="26" spans="1:10" ht="24.95" customHeight="1">
      <c r="A26" s="453"/>
      <c r="B26" s="430"/>
      <c r="C26" s="430">
        <f t="shared" si="0"/>
        <v>45492.496527777781</v>
      </c>
      <c r="D26" s="524">
        <v>55</v>
      </c>
      <c r="E26" s="551"/>
      <c r="F26" s="431">
        <f>LongTest!F92</f>
        <v>6.5701385325918977</v>
      </c>
      <c r="G26" s="431">
        <f>LongTest!G92</f>
        <v>3.3401385325918982</v>
      </c>
      <c r="H26" s="524"/>
      <c r="I26" s="525"/>
      <c r="J26" s="526"/>
    </row>
    <row r="27" spans="1:10" ht="24.95" customHeight="1">
      <c r="A27" s="453"/>
      <c r="B27" s="430"/>
      <c r="C27" s="430">
        <f t="shared" si="0"/>
        <v>45492.5</v>
      </c>
      <c r="D27" s="524">
        <v>60</v>
      </c>
      <c r="E27" s="551"/>
      <c r="F27" s="431">
        <f>LongTest!F93</f>
        <v>6.4837059032034716</v>
      </c>
      <c r="G27" s="431">
        <f>LongTest!G93</f>
        <v>3.2537059032034716</v>
      </c>
      <c r="H27" s="524"/>
      <c r="I27" s="525"/>
      <c r="J27" s="526"/>
    </row>
    <row r="28" spans="1:10" ht="24.95" customHeight="1">
      <c r="A28" s="453"/>
      <c r="B28" s="430"/>
      <c r="C28" s="430">
        <f t="shared" si="0"/>
        <v>45492.510416666672</v>
      </c>
      <c r="D28" s="524">
        <v>75</v>
      </c>
      <c r="E28" s="551"/>
      <c r="F28" s="431">
        <f>LongTest!F94</f>
        <v>6.3995098874614857</v>
      </c>
      <c r="G28" s="431">
        <f>LongTest!G94</f>
        <v>3.1695098874614858</v>
      </c>
      <c r="H28" s="524"/>
      <c r="I28" s="525"/>
      <c r="J28" s="526"/>
    </row>
    <row r="29" spans="1:10" ht="24.95" customHeight="1">
      <c r="A29" s="453"/>
      <c r="B29" s="430"/>
      <c r="C29" s="430">
        <f t="shared" si="0"/>
        <v>45492.520833333336</v>
      </c>
      <c r="D29" s="524">
        <v>90</v>
      </c>
      <c r="E29" s="551"/>
      <c r="F29" s="431">
        <f>LongTest!F95</f>
        <v>6.3174926086052903</v>
      </c>
      <c r="G29" s="431">
        <f>LongTest!G95</f>
        <v>3.0874926086052907</v>
      </c>
      <c r="H29" s="524"/>
      <c r="I29" s="525"/>
      <c r="J29" s="526"/>
    </row>
    <row r="30" spans="1:10" ht="24.95" customHeight="1">
      <c r="A30" s="453"/>
      <c r="B30" s="430"/>
      <c r="C30" s="430">
        <f t="shared" si="0"/>
        <v>45492.53125</v>
      </c>
      <c r="D30" s="524">
        <v>105</v>
      </c>
      <c r="E30" s="551"/>
      <c r="F30" s="431">
        <f>LongTest!F96</f>
        <v>6.2375976875488242</v>
      </c>
      <c r="G30" s="431">
        <f>LongTest!G96</f>
        <v>3.0075976875488246</v>
      </c>
      <c r="H30" s="524"/>
      <c r="I30" s="525"/>
      <c r="J30" s="526"/>
    </row>
    <row r="31" spans="1:10" ht="24.95" customHeight="1">
      <c r="A31" s="453"/>
      <c r="B31" s="430"/>
      <c r="C31" s="430">
        <f t="shared" si="0"/>
        <v>45492.541666666672</v>
      </c>
      <c r="D31" s="524">
        <v>120</v>
      </c>
      <c r="E31" s="551"/>
      <c r="F31" s="431">
        <f>LongTest!F97</f>
        <v>6.0101049385696026</v>
      </c>
      <c r="G31" s="431">
        <f>LongTest!G97</f>
        <v>2.7801049385696022</v>
      </c>
      <c r="H31" s="524"/>
      <c r="I31" s="525"/>
      <c r="J31" s="526"/>
    </row>
    <row r="32" spans="1:10" ht="24.95" customHeight="1">
      <c r="A32" s="453"/>
      <c r="B32" s="430"/>
      <c r="C32" s="430">
        <f t="shared" si="0"/>
        <v>45492.583333333336</v>
      </c>
      <c r="D32" s="524">
        <v>180</v>
      </c>
      <c r="E32" s="551"/>
      <c r="F32" s="431">
        <f>LongTest!F98</f>
        <v>5.9381642757882123</v>
      </c>
      <c r="G32" s="431">
        <f>LongTest!G98</f>
        <v>2.7081642757882127</v>
      </c>
      <c r="H32" s="524"/>
      <c r="I32" s="525"/>
      <c r="J32" s="526"/>
    </row>
    <row r="33" spans="1:10" ht="24.95" customHeight="1">
      <c r="A33" s="453"/>
      <c r="B33" s="430"/>
      <c r="C33" s="430">
        <f t="shared" si="0"/>
        <v>45492.625</v>
      </c>
      <c r="D33" s="524">
        <v>240</v>
      </c>
      <c r="E33" s="551"/>
      <c r="F33" s="431">
        <f>LongTest!F99</f>
        <v>5.5439709308588219</v>
      </c>
      <c r="G33" s="431">
        <f>LongTest!G99</f>
        <v>2.3139709308588219</v>
      </c>
      <c r="H33" s="524"/>
      <c r="I33" s="525"/>
      <c r="J33" s="526"/>
    </row>
    <row r="34" spans="1:10" ht="24.95" customHeight="1">
      <c r="A34" s="453"/>
      <c r="B34" s="430"/>
      <c r="C34" s="430">
        <f t="shared" si="0"/>
        <v>45492.666666666672</v>
      </c>
      <c r="D34" s="524">
        <v>300</v>
      </c>
      <c r="E34" s="551"/>
      <c r="F34" s="431">
        <f>LongTest!F100</f>
        <v>5.2071553434664608</v>
      </c>
      <c r="G34" s="431">
        <f>LongTest!G100</f>
        <v>1.9771553434664608</v>
      </c>
      <c r="H34" s="524"/>
      <c r="I34" s="525"/>
      <c r="J34" s="526"/>
    </row>
    <row r="35" spans="1:10" ht="24.95" customHeight="1" thickBot="1">
      <c r="A35" s="457"/>
      <c r="B35" s="458"/>
      <c r="C35" s="458">
        <f t="shared" si="0"/>
        <v>45492.708333333336</v>
      </c>
      <c r="D35" s="527">
        <v>360</v>
      </c>
      <c r="E35" s="552"/>
      <c r="F35" s="431">
        <f>LongTest!F101</f>
        <v>4.91936575652967</v>
      </c>
      <c r="G35" s="431">
        <f>LongTest!G101</f>
        <v>1.6893657565296705</v>
      </c>
      <c r="H35" s="527" t="s">
        <v>326</v>
      </c>
      <c r="I35" s="528"/>
      <c r="J35" s="52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9" t="s">
        <v>322</v>
      </c>
      <c r="B1" s="589"/>
      <c r="C1" s="589"/>
      <c r="D1" s="589"/>
      <c r="E1" s="589"/>
      <c r="F1" s="589"/>
      <c r="G1" s="589"/>
      <c r="H1" s="589"/>
      <c r="I1" s="589"/>
      <c r="J1" s="589"/>
    </row>
    <row r="2" spans="1:10" ht="24.95" customHeight="1">
      <c r="A2" s="590" t="s">
        <v>298</v>
      </c>
      <c r="B2" s="591"/>
      <c r="C2" s="592" t="str">
        <f>LongTest!C2</f>
        <v>부여군 농업기술센터 지하수사후관리 및 영향조사 용역</v>
      </c>
      <c r="D2" s="593"/>
      <c r="E2" s="593"/>
      <c r="F2" s="593"/>
      <c r="G2" s="593"/>
      <c r="H2" s="593"/>
      <c r="I2" s="593"/>
      <c r="J2" s="594"/>
    </row>
    <row r="3" spans="1:10" ht="24.95" customHeight="1">
      <c r="A3" s="580" t="s">
        <v>299</v>
      </c>
      <c r="B3" s="581"/>
      <c r="C3" s="595" t="str">
        <f>LongTest!C4</f>
        <v>충청남도 부여군 규암면 노화리 284-1번지</v>
      </c>
      <c r="D3" s="596"/>
      <c r="E3" s="596"/>
      <c r="F3" s="596"/>
      <c r="G3" s="596"/>
      <c r="H3" s="597"/>
      <c r="I3" s="438" t="str">
        <f>Input!I54</f>
        <v>W-1</v>
      </c>
      <c r="J3" s="439" t="s">
        <v>325</v>
      </c>
    </row>
    <row r="4" spans="1:10" ht="24.95" customHeight="1">
      <c r="A4" s="580" t="s">
        <v>300</v>
      </c>
      <c r="B4" s="581"/>
      <c r="C4" s="583">
        <f>LongTest!C10</f>
        <v>45490.458333333336</v>
      </c>
      <c r="D4" s="584"/>
      <c r="E4" s="584"/>
      <c r="F4" s="584"/>
      <c r="G4" s="584"/>
      <c r="H4" s="584"/>
      <c r="I4" s="584"/>
      <c r="J4" s="585"/>
    </row>
    <row r="5" spans="1:10" ht="24.95" customHeight="1">
      <c r="A5" s="580" t="s">
        <v>301</v>
      </c>
      <c r="B5" s="581"/>
      <c r="C5" s="583">
        <f>C55</f>
        <v>45491.458333333336</v>
      </c>
      <c r="D5" s="584"/>
      <c r="E5" s="584"/>
      <c r="F5" s="584"/>
      <c r="G5" s="584"/>
      <c r="H5" s="584"/>
      <c r="I5" s="584"/>
      <c r="J5" s="585"/>
    </row>
    <row r="6" spans="1:10" ht="24.95" customHeight="1">
      <c r="A6" s="580" t="s">
        <v>297</v>
      </c>
      <c r="B6" s="581"/>
      <c r="C6" s="586" t="str">
        <f>LongTest!C5</f>
        <v>(합)청대개발</v>
      </c>
      <c r="D6" s="587"/>
      <c r="E6" s="587"/>
      <c r="F6" s="587"/>
      <c r="G6" s="587"/>
      <c r="H6" s="587"/>
      <c r="I6" s="587"/>
      <c r="J6" s="588"/>
    </row>
    <row r="7" spans="1:10" ht="24.95" customHeight="1">
      <c r="A7" s="580" t="s">
        <v>302</v>
      </c>
      <c r="B7" s="581"/>
      <c r="C7" s="582" t="s">
        <v>329</v>
      </c>
      <c r="D7" s="581"/>
      <c r="E7" s="440">
        <f>LongTest!C6</f>
        <v>1</v>
      </c>
      <c r="F7" s="440" t="s">
        <v>303</v>
      </c>
      <c r="G7" s="440" t="s">
        <v>331</v>
      </c>
      <c r="H7" s="582">
        <f>Input!I50</f>
        <v>50</v>
      </c>
      <c r="I7" s="581"/>
      <c r="J7" s="441" t="s">
        <v>304</v>
      </c>
    </row>
    <row r="8" spans="1:10" ht="24.95" customHeight="1">
      <c r="A8" s="580" t="s">
        <v>305</v>
      </c>
      <c r="B8" s="581"/>
      <c r="C8" s="582" t="s">
        <v>330</v>
      </c>
      <c r="D8" s="581"/>
      <c r="E8" s="440">
        <f>LongTest!D7</f>
        <v>150</v>
      </c>
      <c r="F8" s="440" t="s">
        <v>306</v>
      </c>
      <c r="G8" s="440" t="s">
        <v>307</v>
      </c>
      <c r="H8" s="582">
        <f>LongTest!G7</f>
        <v>100</v>
      </c>
      <c r="I8" s="581"/>
      <c r="J8" s="441" t="s">
        <v>304</v>
      </c>
    </row>
    <row r="9" spans="1:10" ht="24.95" customHeight="1">
      <c r="A9" s="580" t="s">
        <v>308</v>
      </c>
      <c r="B9" s="581"/>
      <c r="C9" s="582" t="s">
        <v>328</v>
      </c>
      <c r="D9" s="581"/>
      <c r="E9" s="440">
        <f>LongTest!D8</f>
        <v>3.23</v>
      </c>
      <c r="F9" s="440" t="s">
        <v>304</v>
      </c>
      <c r="G9" s="440" t="s">
        <v>309</v>
      </c>
      <c r="H9" s="582">
        <f>LongTest!G8</f>
        <v>16.989999999999998</v>
      </c>
      <c r="I9" s="581"/>
      <c r="J9" s="441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22">
        <v>1</v>
      </c>
      <c r="B12" s="440">
        <v>173</v>
      </c>
      <c r="C12" s="443">
        <f t="shared" ref="C12:C55" si="0">$C$4+D12/1440</f>
        <v>45490.459027777782</v>
      </c>
      <c r="D12" s="550">
        <v>1</v>
      </c>
      <c r="E12" s="550"/>
      <c r="F12" s="444">
        <f>LongTest!F10</f>
        <v>9.0083948990088434</v>
      </c>
      <c r="G12" s="444">
        <f>LongTest!G10</f>
        <v>5.778394899008843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45490.459722222222</v>
      </c>
      <c r="D13" s="550">
        <v>2</v>
      </c>
      <c r="E13" s="550"/>
      <c r="F13" s="444">
        <f>LongTest!F11</f>
        <v>9.8391777325675278</v>
      </c>
      <c r="G13" s="444">
        <f>LongTest!G11</f>
        <v>6.6091777325675274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45490.460416666669</v>
      </c>
      <c r="D14" s="550">
        <v>3</v>
      </c>
      <c r="E14" s="550"/>
      <c r="F14" s="444">
        <f>LongTest!F12</f>
        <v>10.325154536442225</v>
      </c>
      <c r="G14" s="444">
        <f>LongTest!G12</f>
        <v>7.0951545364422248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45490.461111111115</v>
      </c>
      <c r="D15" s="550">
        <v>4</v>
      </c>
      <c r="E15" s="550"/>
      <c r="F15" s="444">
        <f>LongTest!F13</f>
        <v>10.669960566126214</v>
      </c>
      <c r="G15" s="444">
        <f>LongTest!G13</f>
        <v>7.4399605661262136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45490.461805555555</v>
      </c>
      <c r="D16" s="550">
        <v>5</v>
      </c>
      <c r="E16" s="550"/>
      <c r="F16" s="444">
        <f>LongTest!F14</f>
        <v>10.937412900998886</v>
      </c>
      <c r="G16" s="444">
        <f>LongTest!G14</f>
        <v>7.7074129009988859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45490.465277777781</v>
      </c>
      <c r="D17" s="550">
        <v>10</v>
      </c>
      <c r="E17" s="550"/>
      <c r="F17" s="444">
        <f>LongTest!F15</f>
        <v>11.768195734557571</v>
      </c>
      <c r="G17" s="444">
        <f>LongTest!G15</f>
        <v>8.5381957345575703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45490.46875</v>
      </c>
      <c r="D18" s="550">
        <v>15</v>
      </c>
      <c r="E18" s="550"/>
      <c r="F18" s="444">
        <f>LongTest!F16</f>
        <v>12.254172538432268</v>
      </c>
      <c r="G18" s="444">
        <f>LongTest!G16</f>
        <v>9.0241725384322677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45490.472222222226</v>
      </c>
      <c r="D19" s="550">
        <v>20</v>
      </c>
      <c r="E19" s="550"/>
      <c r="F19" s="444">
        <f>LongTest!F17</f>
        <v>12.598978568116257</v>
      </c>
      <c r="G19" s="444">
        <f>LongTest!G17</f>
        <v>9.3689785681162565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45490.475694444445</v>
      </c>
      <c r="D20" s="550">
        <v>25</v>
      </c>
      <c r="E20" s="550"/>
      <c r="F20" s="444">
        <f>LongTest!F18</f>
        <v>12.866430902988929</v>
      </c>
      <c r="G20" s="444">
        <f>LongTest!G18</f>
        <v>9.6364309029889288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45490.479166666672</v>
      </c>
      <c r="D21" s="550">
        <v>30</v>
      </c>
      <c r="E21" s="550"/>
      <c r="F21" s="444">
        <f>LongTest!F19</f>
        <v>13.084955371990954</v>
      </c>
      <c r="G21" s="444">
        <f>LongTest!G19</f>
        <v>9.8549553719909539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45490.482638888891</v>
      </c>
      <c r="D22" s="550">
        <v>35</v>
      </c>
      <c r="E22" s="550"/>
      <c r="F22" s="444">
        <f>LongTest!F20</f>
        <v>13.269715177950825</v>
      </c>
      <c r="G22" s="444">
        <f>LongTest!G20</f>
        <v>10.039715177950825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45490.486111111117</v>
      </c>
      <c r="D23" s="550">
        <v>40</v>
      </c>
      <c r="E23" s="550"/>
      <c r="F23" s="444">
        <f>LongTest!F21</f>
        <v>13.429761401674943</v>
      </c>
      <c r="G23" s="444">
        <f>LongTest!G21</f>
        <v>10.199761401674943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45490.489583333336</v>
      </c>
      <c r="D24" s="550">
        <v>45</v>
      </c>
      <c r="E24" s="550"/>
      <c r="F24" s="444">
        <f>LongTest!F22</f>
        <v>13.570932175865652</v>
      </c>
      <c r="G24" s="444">
        <f>LongTest!G22</f>
        <v>10.340932175865651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45490.493055555555</v>
      </c>
      <c r="D25" s="550">
        <v>50</v>
      </c>
      <c r="E25" s="550"/>
      <c r="F25" s="444">
        <f>LongTest!F23</f>
        <v>13.697213736547615</v>
      </c>
      <c r="G25" s="444">
        <f>LongTest!G23</f>
        <v>10.467213736547615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45490.496527777781</v>
      </c>
      <c r="D26" s="550">
        <v>55</v>
      </c>
      <c r="E26" s="550"/>
      <c r="F26" s="444">
        <f>LongTest!F24</f>
        <v>13.811449303632891</v>
      </c>
      <c r="G26" s="444">
        <f>LongTest!G24</f>
        <v>10.58144930363289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45490.5</v>
      </c>
      <c r="D27" s="550">
        <v>60</v>
      </c>
      <c r="E27" s="550"/>
      <c r="F27" s="444">
        <f>LongTest!F25</f>
        <v>13.915738205549641</v>
      </c>
      <c r="G27" s="444">
        <f>LongTest!G25</f>
        <v>10.68573820554964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45490.510416666672</v>
      </c>
      <c r="D28" s="550">
        <v>75</v>
      </c>
      <c r="E28" s="550"/>
      <c r="F28" s="444">
        <f>LongTest!F26</f>
        <v>14.183190540422311</v>
      </c>
      <c r="G28" s="444">
        <f>LongTest!G26</f>
        <v>10.953190540422311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45490.520833333336</v>
      </c>
      <c r="D29" s="550">
        <v>90</v>
      </c>
      <c r="E29" s="550"/>
      <c r="F29" s="444">
        <f>LongTest!F27</f>
        <v>14.401715009424336</v>
      </c>
      <c r="G29" s="444">
        <f>LongTest!G27</f>
        <v>11.171715009424336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45490.53125</v>
      </c>
      <c r="D30" s="550">
        <v>105</v>
      </c>
      <c r="E30" s="550"/>
      <c r="F30" s="444">
        <f>LongTest!F28</f>
        <v>14.586474815384207</v>
      </c>
      <c r="G30" s="444">
        <f>LongTest!G28</f>
        <v>11.356474815384207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45490.541666666672</v>
      </c>
      <c r="D31" s="550">
        <v>120</v>
      </c>
      <c r="E31" s="550"/>
      <c r="F31" s="444">
        <f>LongTest!F29</f>
        <v>14.746521039108325</v>
      </c>
      <c r="G31" s="444">
        <f>LongTest!G29</f>
        <v>11.516521039108325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45490.555555555555</v>
      </c>
      <c r="D32" s="550">
        <v>140</v>
      </c>
      <c r="E32" s="550"/>
      <c r="F32" s="444">
        <f>LongTest!F30</f>
        <v>14.931280845068196</v>
      </c>
      <c r="G32" s="444">
        <f>LongTest!G30</f>
        <v>11.701280845068196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45490.569444444445</v>
      </c>
      <c r="D33" s="550">
        <v>160</v>
      </c>
      <c r="E33" s="550"/>
      <c r="F33" s="444">
        <f>LongTest!F31</f>
        <v>15.091327068792314</v>
      </c>
      <c r="G33" s="444">
        <f>LongTest!G31</f>
        <v>11.861327068792313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45490.583333333336</v>
      </c>
      <c r="D34" s="550">
        <v>180</v>
      </c>
      <c r="E34" s="550"/>
      <c r="F34" s="444">
        <f>LongTest!F32</f>
        <v>15.232497842983019</v>
      </c>
      <c r="G34" s="444">
        <f>LongTest!G32</f>
        <v>12.002497842983018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45490.625</v>
      </c>
      <c r="D35" s="550">
        <v>240</v>
      </c>
      <c r="E35" s="550"/>
      <c r="F35" s="444">
        <f>LongTest!F33</f>
        <v>15.577303872667009</v>
      </c>
      <c r="G35" s="444">
        <f>LongTest!G33</f>
        <v>12.347303872667009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45490.666666666672</v>
      </c>
      <c r="D36" s="550">
        <v>300</v>
      </c>
      <c r="E36" s="550"/>
      <c r="F36" s="444">
        <f>LongTest!F34</f>
        <v>15.844756207539682</v>
      </c>
      <c r="G36" s="444">
        <f>LongTest!G34</f>
        <v>12.614756207539681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45490.708333333336</v>
      </c>
      <c r="D37" s="550">
        <v>360</v>
      </c>
      <c r="E37" s="550"/>
      <c r="F37" s="444">
        <f>LongTest!F35</f>
        <v>16.063280676541705</v>
      </c>
      <c r="G37" s="444">
        <f>LongTest!G35</f>
        <v>12.833280676541705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45490.75</v>
      </c>
      <c r="D38" s="550">
        <v>420</v>
      </c>
      <c r="E38" s="550"/>
      <c r="F38" s="444">
        <f>LongTest!F36</f>
        <v>16.24804048250158</v>
      </c>
      <c r="G38" s="444">
        <f>LongTest!G36</f>
        <v>13.018040482501579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45490.791666666672</v>
      </c>
      <c r="D39" s="550">
        <v>480</v>
      </c>
      <c r="E39" s="550"/>
      <c r="F39" s="444">
        <f>LongTest!F37</f>
        <v>16.408086706225696</v>
      </c>
      <c r="G39" s="444">
        <f>LongTest!G37</f>
        <v>13.178086706225695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45490.833333333336</v>
      </c>
      <c r="D40" s="550">
        <v>540</v>
      </c>
      <c r="E40" s="550"/>
      <c r="F40" s="444">
        <f>LongTest!F38</f>
        <v>16.549257480416404</v>
      </c>
      <c r="G40" s="444">
        <f>LongTest!G38</f>
        <v>13.319257480416404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45490.875</v>
      </c>
      <c r="D41" s="550">
        <v>600</v>
      </c>
      <c r="E41" s="550"/>
      <c r="F41" s="444">
        <f>LongTest!F39</f>
        <v>16.675539041098368</v>
      </c>
      <c r="G41" s="444">
        <f>LongTest!G39</f>
        <v>13.445539041098368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45490.916666666672</v>
      </c>
      <c r="D42" s="550">
        <v>660</v>
      </c>
      <c r="E42" s="550"/>
      <c r="F42" s="444">
        <f>LongTest!F40</f>
        <v>16.789774608183642</v>
      </c>
      <c r="G42" s="444">
        <f>LongTest!G40</f>
        <v>13.559774608183641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45490.958333333336</v>
      </c>
      <c r="D43" s="550">
        <v>720</v>
      </c>
      <c r="E43" s="550"/>
      <c r="F43" s="444">
        <f>LongTest!F41</f>
        <v>16.894063510100391</v>
      </c>
      <c r="G43" s="444">
        <f>LongTest!G41</f>
        <v>13.664063510100391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45491</v>
      </c>
      <c r="D44" s="550">
        <v>780</v>
      </c>
      <c r="E44" s="550"/>
      <c r="F44" s="440">
        <f>LongTest!F42</f>
        <v>16.989999999999998</v>
      </c>
      <c r="G44" s="440">
        <f>LongTest!G42</f>
        <v>13.759999999999998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45491.041666666672</v>
      </c>
      <c r="D45" s="550">
        <v>840</v>
      </c>
      <c r="E45" s="550"/>
      <c r="F45" s="440">
        <f>LongTest!F43</f>
        <v>16.989999999999998</v>
      </c>
      <c r="G45" s="440">
        <f>LongTest!G43</f>
        <v>13.759999999999998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45491.083333333336</v>
      </c>
      <c r="D46" s="550">
        <v>900</v>
      </c>
      <c r="E46" s="550"/>
      <c r="F46" s="440">
        <f>LongTest!F44</f>
        <v>16.989999999999998</v>
      </c>
      <c r="G46" s="440">
        <f>LongTest!G44</f>
        <v>13.759999999999998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45491.125</v>
      </c>
      <c r="D47" s="550">
        <v>960</v>
      </c>
      <c r="E47" s="550"/>
      <c r="F47" s="440">
        <f>LongTest!F45</f>
        <v>16.989999999999998</v>
      </c>
      <c r="G47" s="440">
        <f>LongTest!G45</f>
        <v>13.759999999999998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45491.166666666672</v>
      </c>
      <c r="D48" s="550">
        <v>1020</v>
      </c>
      <c r="E48" s="550"/>
      <c r="F48" s="440">
        <f>LongTest!F46</f>
        <v>16.989999999999998</v>
      </c>
      <c r="G48" s="440">
        <f>LongTest!G46</f>
        <v>13.759999999999998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45491.208333333336</v>
      </c>
      <c r="D49" s="550">
        <v>1080</v>
      </c>
      <c r="E49" s="550"/>
      <c r="F49" s="440">
        <f>LongTest!F47</f>
        <v>16.989999999999998</v>
      </c>
      <c r="G49" s="440">
        <f>LongTest!G47</f>
        <v>13.759999999999998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45491.25</v>
      </c>
      <c r="D50" s="550">
        <v>1140</v>
      </c>
      <c r="E50" s="550"/>
      <c r="F50" s="440">
        <f>LongTest!F48</f>
        <v>16.989999999999998</v>
      </c>
      <c r="G50" s="440">
        <f>LongTest!G48</f>
        <v>13.759999999999998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45491.291666666672</v>
      </c>
      <c r="D51" s="550">
        <v>1200</v>
      </c>
      <c r="E51" s="550"/>
      <c r="F51" s="440">
        <f>LongTest!F49</f>
        <v>16.989999999999998</v>
      </c>
      <c r="G51" s="440">
        <f>LongTest!G49</f>
        <v>13.759999999999998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45491.333333333336</v>
      </c>
      <c r="D52" s="550">
        <v>1260</v>
      </c>
      <c r="E52" s="550"/>
      <c r="F52" s="440">
        <f>LongTest!F50</f>
        <v>16.989999999999998</v>
      </c>
      <c r="G52" s="440">
        <f>LongTest!G50</f>
        <v>13.759999999999998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45491.375</v>
      </c>
      <c r="D53" s="550">
        <v>1320</v>
      </c>
      <c r="E53" s="550"/>
      <c r="F53" s="440">
        <f>LongTest!F51</f>
        <v>16.989999999999998</v>
      </c>
      <c r="G53" s="440">
        <f>LongTest!G51</f>
        <v>13.759999999999998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45491.416666666672</v>
      </c>
      <c r="D54" s="550">
        <v>1380</v>
      </c>
      <c r="E54" s="550"/>
      <c r="F54" s="440">
        <f>LongTest!F52</f>
        <v>16.989999999999998</v>
      </c>
      <c r="G54" s="440">
        <f>LongTest!G52</f>
        <v>13.759999999999998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45491.458333333336</v>
      </c>
      <c r="D55" s="550">
        <v>1440</v>
      </c>
      <c r="E55" s="550"/>
      <c r="F55" s="440">
        <f>LongTest!F53</f>
        <v>16.989999999999998</v>
      </c>
      <c r="G55" s="440">
        <f>LongTest!G53</f>
        <v>13.759999999999998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578"/>
      <c r="E56" s="579"/>
      <c r="F56" s="440"/>
      <c r="G56" s="440"/>
      <c r="H56" s="440"/>
      <c r="I56" s="440"/>
      <c r="J56" s="441"/>
    </row>
    <row r="57" spans="1:10" ht="24.95" customHeight="1" thickBot="1">
      <c r="A57" s="575" t="s">
        <v>327</v>
      </c>
      <c r="B57" s="576"/>
      <c r="C57" s="576"/>
      <c r="D57" s="576"/>
      <c r="E57" s="576"/>
      <c r="F57" s="576"/>
      <c r="G57" s="576"/>
      <c r="H57" s="576"/>
      <c r="I57" s="576"/>
      <c r="J57" s="57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30" t="s">
        <v>339</v>
      </c>
      <c r="B1" s="530"/>
      <c r="C1" s="530"/>
      <c r="D1" s="530"/>
      <c r="E1" s="530"/>
      <c r="F1" s="530"/>
      <c r="G1" s="530"/>
      <c r="H1" s="530"/>
      <c r="I1" s="530"/>
      <c r="J1" s="530"/>
    </row>
    <row r="2" spans="1:10" ht="24.95" customHeight="1">
      <c r="A2" s="531" t="s">
        <v>298</v>
      </c>
      <c r="B2" s="532"/>
      <c r="C2" s="533" t="str">
        <f>LongTest!C2</f>
        <v>부여군 농업기술센터 지하수사후관리 및 영향조사 용역</v>
      </c>
      <c r="D2" s="534"/>
      <c r="E2" s="534"/>
      <c r="F2" s="534"/>
      <c r="G2" s="534"/>
      <c r="H2" s="534"/>
      <c r="I2" s="534"/>
      <c r="J2" s="535"/>
    </row>
    <row r="3" spans="1:10" ht="24.95" customHeight="1">
      <c r="A3" s="536" t="s">
        <v>299</v>
      </c>
      <c r="B3" s="537"/>
      <c r="C3" s="541" t="str">
        <f>LongTest!C4</f>
        <v>충청남도 부여군 규암면 노화리 284-1번지</v>
      </c>
      <c r="D3" s="542"/>
      <c r="E3" s="542"/>
      <c r="F3" s="542"/>
      <c r="G3" s="542"/>
      <c r="H3" s="543"/>
      <c r="I3" s="424" t="str">
        <f>Input!I54</f>
        <v>W-1</v>
      </c>
      <c r="J3" s="425" t="s">
        <v>325</v>
      </c>
    </row>
    <row r="4" spans="1:10" ht="24.95" customHeight="1">
      <c r="A4" s="536" t="s">
        <v>300</v>
      </c>
      <c r="B4" s="537"/>
      <c r="C4" s="538">
        <f>장기14!C55</f>
        <v>45491.458333333336</v>
      </c>
      <c r="D4" s="539"/>
      <c r="E4" s="539"/>
      <c r="F4" s="539"/>
      <c r="G4" s="539"/>
      <c r="H4" s="539"/>
      <c r="I4" s="539"/>
      <c r="J4" s="540"/>
    </row>
    <row r="5" spans="1:10" ht="24.95" customHeight="1">
      <c r="A5" s="536" t="s">
        <v>301</v>
      </c>
      <c r="B5" s="537"/>
      <c r="C5" s="538">
        <f>C31</f>
        <v>45491.541666666672</v>
      </c>
      <c r="D5" s="539"/>
      <c r="E5" s="539"/>
      <c r="F5" s="539"/>
      <c r="G5" s="539"/>
      <c r="H5" s="539"/>
      <c r="I5" s="539"/>
      <c r="J5" s="540"/>
    </row>
    <row r="6" spans="1:10" ht="24.95" customHeight="1">
      <c r="A6" s="536" t="s">
        <v>297</v>
      </c>
      <c r="B6" s="537"/>
      <c r="C6" s="545" t="str">
        <f>LongTest!C5</f>
        <v>(합)청대개발</v>
      </c>
      <c r="D6" s="546"/>
      <c r="E6" s="546"/>
      <c r="F6" s="546"/>
      <c r="G6" s="546"/>
      <c r="H6" s="546"/>
      <c r="I6" s="546"/>
      <c r="J6" s="547"/>
    </row>
    <row r="7" spans="1:10" ht="24.95" customHeight="1">
      <c r="A7" s="536" t="s">
        <v>302</v>
      </c>
      <c r="B7" s="537"/>
      <c r="C7" s="544" t="s">
        <v>329</v>
      </c>
      <c r="D7" s="537"/>
      <c r="E7" s="426">
        <f>LongTest!C6</f>
        <v>1</v>
      </c>
      <c r="F7" s="426" t="s">
        <v>303</v>
      </c>
      <c r="G7" s="426" t="s">
        <v>331</v>
      </c>
      <c r="H7" s="544">
        <f>Input!I50</f>
        <v>50</v>
      </c>
      <c r="I7" s="537"/>
      <c r="J7" s="427" t="s">
        <v>304</v>
      </c>
    </row>
    <row r="8" spans="1:10" ht="24.95" customHeight="1">
      <c r="A8" s="536" t="s">
        <v>305</v>
      </c>
      <c r="B8" s="537"/>
      <c r="C8" s="544" t="s">
        <v>330</v>
      </c>
      <c r="D8" s="537"/>
      <c r="E8" s="426">
        <f>LongTest!D7</f>
        <v>150</v>
      </c>
      <c r="F8" s="426" t="s">
        <v>306</v>
      </c>
      <c r="G8" s="426" t="s">
        <v>307</v>
      </c>
      <c r="H8" s="544">
        <f>LongTest!G7</f>
        <v>100</v>
      </c>
      <c r="I8" s="537"/>
      <c r="J8" s="427" t="s">
        <v>304</v>
      </c>
    </row>
    <row r="9" spans="1:10" ht="24.95" customHeight="1">
      <c r="A9" s="536" t="s">
        <v>308</v>
      </c>
      <c r="B9" s="537"/>
      <c r="C9" s="544" t="s">
        <v>328</v>
      </c>
      <c r="D9" s="537"/>
      <c r="E9" s="426">
        <f>LongTest!D8</f>
        <v>3.23</v>
      </c>
      <c r="F9" s="426" t="s">
        <v>304</v>
      </c>
      <c r="G9" s="426" t="s">
        <v>309</v>
      </c>
      <c r="H9" s="544">
        <f>LongTest!G8</f>
        <v>16.989999999999998</v>
      </c>
      <c r="I9" s="537"/>
      <c r="J9" s="427" t="s">
        <v>304</v>
      </c>
    </row>
    <row r="10" spans="1:10" ht="24.95" customHeight="1">
      <c r="A10" s="549" t="s">
        <v>310</v>
      </c>
      <c r="B10" s="440" t="s">
        <v>311</v>
      </c>
      <c r="C10" s="550" t="s">
        <v>190</v>
      </c>
      <c r="D10" s="550" t="s">
        <v>313</v>
      </c>
      <c r="E10" s="550"/>
      <c r="F10" s="440" t="s">
        <v>314</v>
      </c>
      <c r="G10" s="440" t="s">
        <v>316</v>
      </c>
      <c r="H10" s="440" t="s">
        <v>317</v>
      </c>
      <c r="I10" s="440" t="s">
        <v>318</v>
      </c>
      <c r="J10" s="441" t="s">
        <v>321</v>
      </c>
    </row>
    <row r="11" spans="1:10" ht="24.95" customHeight="1">
      <c r="A11" s="549"/>
      <c r="B11" s="440" t="s">
        <v>340</v>
      </c>
      <c r="C11" s="550"/>
      <c r="D11" s="550" t="s">
        <v>341</v>
      </c>
      <c r="E11" s="550"/>
      <c r="F11" s="440" t="s">
        <v>315</v>
      </c>
      <c r="G11" s="440" t="s">
        <v>315</v>
      </c>
      <c r="H11" s="440" t="s">
        <v>342</v>
      </c>
      <c r="I11" s="466" t="s">
        <v>343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45491.459027777782</v>
      </c>
      <c r="D12" s="524">
        <v>1</v>
      </c>
      <c r="E12" s="551"/>
      <c r="F12" s="431">
        <f>LongTest!F78</f>
        <v>12.762610608192302</v>
      </c>
      <c r="G12" s="431">
        <f>LongTest!G78</f>
        <v>9.5326106081923019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45491.459722222222</v>
      </c>
      <c r="D13" s="524">
        <v>2</v>
      </c>
      <c r="E13" s="551"/>
      <c r="F13" s="431">
        <f>LongTest!F79</f>
        <v>12.04157009097686</v>
      </c>
      <c r="G13" s="431">
        <f>LongTest!G79</f>
        <v>8.8115700909768595</v>
      </c>
      <c r="H13" s="524"/>
      <c r="I13" s="525"/>
      <c r="J13" s="526"/>
    </row>
    <row r="14" spans="1:10" ht="24.95" customHeight="1">
      <c r="A14" s="453"/>
      <c r="B14" s="430"/>
      <c r="C14" s="430">
        <f t="shared" si="0"/>
        <v>45491.460416666669</v>
      </c>
      <c r="D14" s="524">
        <v>3</v>
      </c>
      <c r="E14" s="551"/>
      <c r="F14" s="431">
        <f>LongTest!F80</f>
        <v>11.375068613362968</v>
      </c>
      <c r="G14" s="431">
        <f>LongTest!G80</f>
        <v>8.1450686133629677</v>
      </c>
      <c r="H14" s="524"/>
      <c r="I14" s="525"/>
      <c r="J14" s="526"/>
    </row>
    <row r="15" spans="1:10" ht="24.95" customHeight="1">
      <c r="A15" s="453"/>
      <c r="B15" s="430"/>
      <c r="C15" s="430">
        <f t="shared" si="0"/>
        <v>45491.461111111115</v>
      </c>
      <c r="D15" s="524">
        <v>4</v>
      </c>
      <c r="E15" s="551"/>
      <c r="F15" s="431">
        <f>LongTest!F81</f>
        <v>10.758980877576581</v>
      </c>
      <c r="G15" s="431">
        <f>LongTest!G81</f>
        <v>7.528980877576581</v>
      </c>
      <c r="H15" s="524"/>
      <c r="I15" s="525"/>
      <c r="J15" s="526"/>
    </row>
    <row r="16" spans="1:10" ht="24.95" customHeight="1">
      <c r="A16" s="453"/>
      <c r="B16" s="430"/>
      <c r="C16" s="430">
        <f t="shared" si="0"/>
        <v>45491.461805555555</v>
      </c>
      <c r="D16" s="524">
        <v>5</v>
      </c>
      <c r="E16" s="551"/>
      <c r="F16" s="431">
        <f>LongTest!F82</f>
        <v>10.189493620706195</v>
      </c>
      <c r="G16" s="431">
        <f>LongTest!G82</f>
        <v>6.9594936207061942</v>
      </c>
      <c r="H16" s="524"/>
      <c r="I16" s="525"/>
      <c r="J16" s="526"/>
    </row>
    <row r="17" spans="1:10" ht="24.95" customHeight="1">
      <c r="A17" s="453"/>
      <c r="B17" s="430"/>
      <c r="C17" s="430">
        <f t="shared" si="0"/>
        <v>45491.465277777781</v>
      </c>
      <c r="D17" s="524">
        <v>10</v>
      </c>
      <c r="E17" s="551"/>
      <c r="F17" s="431">
        <f>LongTest!F83</f>
        <v>8.7266993346903874</v>
      </c>
      <c r="G17" s="431">
        <f>LongTest!G83</f>
        <v>5.496699334690387</v>
      </c>
      <c r="H17" s="524"/>
      <c r="I17" s="525"/>
      <c r="J17" s="526"/>
    </row>
    <row r="18" spans="1:10" ht="24.95" customHeight="1">
      <c r="A18" s="453"/>
      <c r="B18" s="430"/>
      <c r="C18" s="430">
        <f t="shared" si="0"/>
        <v>45491.46875</v>
      </c>
      <c r="D18" s="524">
        <v>15</v>
      </c>
      <c r="E18" s="551"/>
      <c r="F18" s="431">
        <f>LongTest!F84</f>
        <v>8.4459042865162424</v>
      </c>
      <c r="G18" s="431">
        <f>LongTest!G84</f>
        <v>5.2159042865162419</v>
      </c>
      <c r="H18" s="524"/>
      <c r="I18" s="525"/>
      <c r="J18" s="526"/>
    </row>
    <row r="19" spans="1:10" ht="24.95" customHeight="1">
      <c r="A19" s="453"/>
      <c r="B19" s="430"/>
      <c r="C19" s="430">
        <f t="shared" si="0"/>
        <v>45491.472222222226</v>
      </c>
      <c r="D19" s="524">
        <v>20</v>
      </c>
      <c r="E19" s="551"/>
      <c r="F19" s="431">
        <f>LongTest!F85</f>
        <v>7.686690831145274</v>
      </c>
      <c r="G19" s="431">
        <f>LongTest!G85</f>
        <v>4.4566908311452735</v>
      </c>
      <c r="H19" s="524"/>
      <c r="I19" s="525"/>
      <c r="J19" s="526"/>
    </row>
    <row r="20" spans="1:10" ht="24.95" customHeight="1">
      <c r="A20" s="453"/>
      <c r="B20" s="430"/>
      <c r="C20" s="430">
        <f t="shared" si="0"/>
        <v>45491.475694444445</v>
      </c>
      <c r="D20" s="524">
        <v>25</v>
      </c>
      <c r="E20" s="551"/>
      <c r="F20" s="431">
        <f>LongTest!F86</f>
        <v>7.3495896115489696</v>
      </c>
      <c r="G20" s="431">
        <f>LongTest!G86</f>
        <v>4.1195896115489692</v>
      </c>
      <c r="H20" s="524"/>
      <c r="I20" s="525"/>
      <c r="J20" s="526"/>
    </row>
    <row r="21" spans="1:10" ht="24.95" customHeight="1">
      <c r="A21" s="453"/>
      <c r="B21" s="430"/>
      <c r="C21" s="430">
        <f t="shared" si="0"/>
        <v>45491.479166666672</v>
      </c>
      <c r="D21" s="524">
        <v>30</v>
      </c>
      <c r="E21" s="551"/>
      <c r="F21" s="431">
        <f>LongTest!F87</f>
        <v>7.0379865107495014</v>
      </c>
      <c r="G21" s="431">
        <f>LongTest!G87</f>
        <v>3.807986510749501</v>
      </c>
      <c r="H21" s="524"/>
      <c r="I21" s="525"/>
      <c r="J21" s="526"/>
    </row>
    <row r="22" spans="1:10" ht="24.95" customHeight="1">
      <c r="A22" s="453"/>
      <c r="B22" s="430"/>
      <c r="C22" s="430">
        <f t="shared" si="0"/>
        <v>45491.482638888891</v>
      </c>
      <c r="D22" s="524">
        <v>35</v>
      </c>
      <c r="E22" s="551"/>
      <c r="F22" s="431">
        <f>LongTest!F88</f>
        <v>6.9394473981982809</v>
      </c>
      <c r="G22" s="431">
        <f>LongTest!G88</f>
        <v>3.7094473981982814</v>
      </c>
      <c r="H22" s="524"/>
      <c r="I22" s="525"/>
      <c r="J22" s="526"/>
    </row>
    <row r="23" spans="1:10" ht="24.95" customHeight="1">
      <c r="A23" s="453"/>
      <c r="B23" s="430"/>
      <c r="C23" s="430">
        <f t="shared" si="0"/>
        <v>45491.486111111117</v>
      </c>
      <c r="D23" s="524">
        <v>40</v>
      </c>
      <c r="E23" s="551"/>
      <c r="F23" s="431">
        <f>LongTest!F89</f>
        <v>6.8434581782674719</v>
      </c>
      <c r="G23" s="431">
        <f>LongTest!G89</f>
        <v>3.613458178267472</v>
      </c>
      <c r="H23" s="524"/>
      <c r="I23" s="525"/>
      <c r="J23" s="526"/>
    </row>
    <row r="24" spans="1:10" ht="24.95" customHeight="1">
      <c r="A24" s="453"/>
      <c r="B24" s="430"/>
      <c r="C24" s="430">
        <f t="shared" si="0"/>
        <v>45491.489583333336</v>
      </c>
      <c r="D24" s="524">
        <v>45</v>
      </c>
      <c r="E24" s="551"/>
      <c r="F24" s="431">
        <f>LongTest!F90</f>
        <v>6.7499528674891147</v>
      </c>
      <c r="G24" s="431">
        <f>LongTest!G90</f>
        <v>3.5199528674891147</v>
      </c>
      <c r="H24" s="524"/>
      <c r="I24" s="525"/>
      <c r="J24" s="526"/>
    </row>
    <row r="25" spans="1:10" ht="24.95" customHeight="1">
      <c r="A25" s="453"/>
      <c r="B25" s="430"/>
      <c r="C25" s="430">
        <f t="shared" si="0"/>
        <v>45491.493055555555</v>
      </c>
      <c r="D25" s="524">
        <v>50</v>
      </c>
      <c r="E25" s="551"/>
      <c r="F25" s="431">
        <f>LongTest!F91</f>
        <v>6.6588671898467773</v>
      </c>
      <c r="G25" s="431">
        <f>LongTest!G91</f>
        <v>3.4288671898467773</v>
      </c>
      <c r="H25" s="524"/>
      <c r="I25" s="525"/>
      <c r="J25" s="526"/>
    </row>
    <row r="26" spans="1:10" ht="24.95" customHeight="1">
      <c r="A26" s="453"/>
      <c r="B26" s="430"/>
      <c r="C26" s="430">
        <f t="shared" si="0"/>
        <v>45491.496527777781</v>
      </c>
      <c r="D26" s="524">
        <v>55</v>
      </c>
      <c r="E26" s="551"/>
      <c r="F26" s="431">
        <f>LongTest!F92</f>
        <v>6.5701385325918977</v>
      </c>
      <c r="G26" s="431">
        <f>LongTest!G92</f>
        <v>3.3401385325918982</v>
      </c>
      <c r="H26" s="524"/>
      <c r="I26" s="525"/>
      <c r="J26" s="526"/>
    </row>
    <row r="27" spans="1:10" ht="24.95" customHeight="1">
      <c r="A27" s="453"/>
      <c r="B27" s="430"/>
      <c r="C27" s="430">
        <f t="shared" si="0"/>
        <v>45491.5</v>
      </c>
      <c r="D27" s="524">
        <v>60</v>
      </c>
      <c r="E27" s="551"/>
      <c r="F27" s="431">
        <f>LongTest!F93</f>
        <v>6.4837059032034716</v>
      </c>
      <c r="G27" s="431">
        <f>LongTest!G93</f>
        <v>3.2537059032034716</v>
      </c>
      <c r="H27" s="524"/>
      <c r="I27" s="525"/>
      <c r="J27" s="526"/>
    </row>
    <row r="28" spans="1:10" ht="24.95" customHeight="1">
      <c r="A28" s="453"/>
      <c r="B28" s="430"/>
      <c r="C28" s="430">
        <f t="shared" si="0"/>
        <v>45491.510416666672</v>
      </c>
      <c r="D28" s="524">
        <v>75</v>
      </c>
      <c r="E28" s="551"/>
      <c r="F28" s="431">
        <f>LongTest!F94</f>
        <v>6.3995098874614857</v>
      </c>
      <c r="G28" s="431">
        <f>LongTest!G94</f>
        <v>3.1695098874614858</v>
      </c>
      <c r="H28" s="524"/>
      <c r="I28" s="525"/>
      <c r="J28" s="526"/>
    </row>
    <row r="29" spans="1:10" ht="24.95" customHeight="1">
      <c r="A29" s="453"/>
      <c r="B29" s="430"/>
      <c r="C29" s="430">
        <f t="shared" si="0"/>
        <v>45491.520833333336</v>
      </c>
      <c r="D29" s="524">
        <v>90</v>
      </c>
      <c r="E29" s="551"/>
      <c r="F29" s="431">
        <f>LongTest!F95</f>
        <v>6.3174926086052903</v>
      </c>
      <c r="G29" s="431">
        <f>LongTest!G95</f>
        <v>3.0874926086052907</v>
      </c>
      <c r="H29" s="524"/>
      <c r="I29" s="525"/>
      <c r="J29" s="526"/>
    </row>
    <row r="30" spans="1:10" ht="24.95" customHeight="1">
      <c r="A30" s="453"/>
      <c r="B30" s="430"/>
      <c r="C30" s="430">
        <f t="shared" si="0"/>
        <v>45491.53125</v>
      </c>
      <c r="D30" s="524">
        <v>105</v>
      </c>
      <c r="E30" s="551"/>
      <c r="F30" s="431">
        <f>LongTest!F96</f>
        <v>6.2375976875488242</v>
      </c>
      <c r="G30" s="431">
        <f>LongTest!G96</f>
        <v>3.0075976875488246</v>
      </c>
      <c r="H30" s="524"/>
      <c r="I30" s="525"/>
      <c r="J30" s="526"/>
    </row>
    <row r="31" spans="1:10" ht="24.95" customHeight="1">
      <c r="A31" s="453"/>
      <c r="B31" s="430"/>
      <c r="C31" s="430">
        <f t="shared" si="0"/>
        <v>45491.541666666672</v>
      </c>
      <c r="D31" s="524">
        <v>120</v>
      </c>
      <c r="E31" s="551"/>
      <c r="F31" s="431">
        <f>LongTest!F97</f>
        <v>6.0101049385696026</v>
      </c>
      <c r="G31" s="431">
        <f>LongTest!G97</f>
        <v>2.7801049385696022</v>
      </c>
      <c r="H31" s="524" t="s">
        <v>332</v>
      </c>
      <c r="I31" s="525"/>
      <c r="J31" s="526"/>
    </row>
    <row r="32" spans="1:10" ht="24.95" customHeight="1">
      <c r="A32" s="453"/>
      <c r="B32" s="430"/>
      <c r="C32" s="430"/>
      <c r="D32" s="524"/>
      <c r="E32" s="551"/>
      <c r="F32" s="431"/>
      <c r="G32" s="431"/>
      <c r="H32" s="524"/>
      <c r="I32" s="525"/>
      <c r="J32" s="526"/>
    </row>
    <row r="33" spans="1:10" ht="24.95" customHeight="1">
      <c r="A33" s="453"/>
      <c r="B33" s="430"/>
      <c r="C33" s="430"/>
      <c r="D33" s="524"/>
      <c r="E33" s="551"/>
      <c r="F33" s="431"/>
      <c r="G33" s="431"/>
      <c r="H33" s="524"/>
      <c r="I33" s="525"/>
      <c r="J33" s="526"/>
    </row>
    <row r="34" spans="1:10" ht="24.95" customHeight="1">
      <c r="A34" s="453"/>
      <c r="B34" s="430"/>
      <c r="C34" s="430"/>
      <c r="D34" s="524"/>
      <c r="E34" s="551"/>
      <c r="F34" s="431"/>
      <c r="G34" s="431"/>
      <c r="H34" s="524"/>
      <c r="I34" s="525"/>
      <c r="J34" s="526"/>
    </row>
    <row r="35" spans="1:10" ht="24.95" customHeight="1" thickBot="1">
      <c r="A35" s="457"/>
      <c r="B35" s="458"/>
      <c r="C35" s="458"/>
      <c r="D35" s="527"/>
      <c r="E35" s="552"/>
      <c r="F35" s="459"/>
      <c r="G35" s="459"/>
      <c r="H35" s="527"/>
      <c r="I35" s="528"/>
      <c r="J35" s="52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45490.458333333336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0" t="s">
        <v>207</v>
      </c>
      <c r="C12" s="601"/>
      <c r="D12" s="600" t="str">
        <f>C4</f>
        <v>W-1</v>
      </c>
      <c r="E12" s="602"/>
      <c r="F12" s="601"/>
      <c r="H12" s="600" t="str">
        <f>C4</f>
        <v>W-1</v>
      </c>
      <c r="I12" s="602"/>
      <c r="J12" s="601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45490.461805555555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45490.479166666672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45490.5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45490.541666666672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45490.625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45490.791666666672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45491.458333333336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45491.625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45491.791666666672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45492.458333333336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3" t="s">
        <v>79</v>
      </c>
      <c r="C24" s="604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3" t="s">
        <v>212</v>
      </c>
      <c r="C25" s="604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598" t="s">
        <v>213</v>
      </c>
      <c r="C26" s="599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22</vt:i4>
      </vt:variant>
    </vt:vector>
  </HeadingPairs>
  <TitlesOfParts>
    <vt:vector size="40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2024-07-25T05:20:23Z</dcterms:modified>
</cp:coreProperties>
</file>