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98ADF0BE-86C5-4291-BD3E-9CC03A57359E}" xr6:coauthVersionLast="47" xr6:coauthVersionMax="47" xr10:uidLastSave="{00000000-0000-0000-0000-000000000000}"/>
  <bookViews>
    <workbookView xWindow="38280" yWindow="-120" windowWidth="38640" windowHeight="211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K60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<sst xmlns="http://schemas.openxmlformats.org/spreadsheetml/2006/main" count="1419" uniqueCount="348">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</sst>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76200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79880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0</xdr:rowOff>
    </xdr:from>
    <xdr:to>
      <xdr:col>18</xdr:col>
      <xdr:colOff>76201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12</xdr:col>
      <xdr:colOff>83560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V11" sqref="V1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347</v>
      </c>
      <c r="R16" s="510"/>
      <c r="S16" s="511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337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338</v>
      </c>
      <c r="J45" s="495"/>
      <c r="K45" s="496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336</v>
      </c>
      <c r="J46" s="491"/>
      <c r="K46" s="492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339</v>
      </c>
      <c r="J47" s="498"/>
      <c r="K47" s="499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45651.45208333333</v>
      </c>
      <c r="J49" s="524"/>
      <c r="K49" s="524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150</v>
      </c>
      <c r="P51" s="390"/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15.879999999999999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8.029E-2</v>
      </c>
      <c r="E58" s="522"/>
      <c r="F58" s="512"/>
      <c r="G58" s="513"/>
      <c r="H58" s="392" t="s">
        <v>68</v>
      </c>
      <c r="I58" s="404">
        <f>C62/M46</f>
        <v>4.8128915662650602E-2</v>
      </c>
      <c r="J58" s="392" t="s">
        <v>69</v>
      </c>
      <c r="K58" s="405">
        <f>SQRT(6*I57*I58*I60/I59)</f>
        <v>43.316495406239696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4.1534000000000004</v>
      </c>
      <c r="C59" s="500">
        <f>B59</f>
        <v>4.1534000000000004</v>
      </c>
      <c r="D59" s="502">
        <f>SkinFactor!I16</f>
        <v>9.165E-4</v>
      </c>
      <c r="E59" s="503"/>
      <c r="F59" s="504">
        <f>INT((D59+D60)/1*10000000)/10000000</f>
        <v>9.165E-4</v>
      </c>
      <c r="G59" s="505"/>
      <c r="H59" s="392" t="s">
        <v>32</v>
      </c>
      <c r="I59" s="392">
        <f>F62</f>
        <v>9.165E-4</v>
      </c>
      <c r="J59" s="392" t="s">
        <v>73</v>
      </c>
      <c r="K59" s="405">
        <f>3*SQRT((I57*I58*I60/I59))</f>
        <v>53.05165559544939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60.643288406922963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3.8359999999999999</v>
      </c>
      <c r="C61" s="485">
        <f>B61</f>
        <v>3.8359999999999999</v>
      </c>
      <c r="D61" s="512"/>
      <c r="E61" s="513"/>
      <c r="F61" s="512"/>
      <c r="G61" s="513"/>
      <c r="H61" s="392" t="s">
        <v>28</v>
      </c>
      <c r="I61" s="392">
        <f>C62</f>
        <v>3.9946999999999999</v>
      </c>
      <c r="J61" s="392" t="s">
        <v>77</v>
      </c>
      <c r="K61" s="405">
        <f>((K58+K59+K60)/3)</f>
        <v>52.337146469537345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3.9946999999999999</v>
      </c>
      <c r="D62" s="514"/>
      <c r="E62" s="515"/>
      <c r="F62" s="516">
        <f>F59</f>
        <v>9.165E-4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60.643288406922963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340</v>
      </c>
      <c r="R64" s="418" t="s">
        <v>341</v>
      </c>
      <c r="S64" s="418" t="s">
        <v>342</v>
      </c>
      <c r="T64" s="418" t="s">
        <v>343</v>
      </c>
      <c r="U64" s="418" t="s">
        <v>344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11.18848160450383</v>
      </c>
      <c r="D10" s="16" t="s">
        <v>235</v>
      </c>
      <c r="E10" s="423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4">
        <v>3.8359999999999999</v>
      </c>
      <c r="I13" s="426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5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20" sqref="K20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94</v>
      </c>
      <c r="S4" s="213">
        <f>$R$4</f>
        <v>94</v>
      </c>
      <c r="T4" s="475">
        <v>6.3520341974657759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59">
        <f t="shared" ref="AD5:AD16" si="8">INT((AC5-AE5)*100)/100</f>
        <v>1.82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59">
        <f t="shared" si="8"/>
        <v>2.2999999999999998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45651.45208333333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59">
        <f t="shared" si="8"/>
        <v>2.63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45651.45208333333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59">
        <f t="shared" si="8"/>
        <v>2.9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100</v>
      </c>
      <c r="H9" s="537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59">
        <f t="shared" si="8"/>
        <v>3.71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9.4499999999999993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59">
        <f t="shared" si="8"/>
        <v>4.1900000000000004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59">
        <f t="shared" si="8"/>
        <v>4.53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45491.468055555553</v>
      </c>
      <c r="D12" s="530">
        <v>1</v>
      </c>
      <c r="E12" s="530"/>
      <c r="F12" s="210">
        <f>G12+$D$10</f>
        <v>10.45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59">
        <f t="shared" si="8"/>
        <v>4.79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11.27</v>
      </c>
      <c r="G13" s="531">
        <f t="shared" ref="G13:G51" si="14">AD5</f>
        <v>1.82</v>
      </c>
      <c r="H13" s="531"/>
      <c r="I13" s="211"/>
      <c r="J13" s="474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59">
        <f t="shared" si="8"/>
        <v>5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11.75</v>
      </c>
      <c r="G14" s="531">
        <f t="shared" si="14"/>
        <v>2.2999999999999998</v>
      </c>
      <c r="H14" s="531"/>
      <c r="I14" s="211"/>
      <c r="J14" s="474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59">
        <f t="shared" si="8"/>
        <v>5.19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12.079999999999998</v>
      </c>
      <c r="G15" s="531">
        <f t="shared" si="14"/>
        <v>2.63</v>
      </c>
      <c r="H15" s="531"/>
      <c r="I15" s="211"/>
      <c r="J15" s="474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59">
        <f t="shared" si="8"/>
        <v>5.34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12.35</v>
      </c>
      <c r="G16" s="531">
        <f t="shared" si="14"/>
        <v>2.9</v>
      </c>
      <c r="H16" s="531"/>
      <c r="I16" s="211"/>
      <c r="J16" s="474">
        <f t="shared" si="15"/>
        <v>0.27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94</v>
      </c>
      <c r="T16" s="213">
        <f t="shared" si="10"/>
        <v>6.3520341974657759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59">
        <f t="shared" si="8"/>
        <v>5.48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13.16</v>
      </c>
      <c r="G17" s="531">
        <f t="shared" si="14"/>
        <v>3.71</v>
      </c>
      <c r="H17" s="531"/>
      <c r="I17" s="211"/>
      <c r="J17" s="474">
        <f t="shared" si="15"/>
        <v>0.81</v>
      </c>
      <c r="K17" s="462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3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59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13.64</v>
      </c>
      <c r="G18" s="531">
        <f t="shared" si="14"/>
        <v>4.1900000000000004</v>
      </c>
      <c r="H18" s="531"/>
      <c r="I18" s="211"/>
      <c r="J18" s="474">
        <f t="shared" si="15"/>
        <v>0.48000000000000043</v>
      </c>
      <c r="K18" s="462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3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59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13.98</v>
      </c>
      <c r="G19" s="531">
        <f t="shared" si="14"/>
        <v>4.53</v>
      </c>
      <c r="H19" s="531"/>
      <c r="I19" s="211"/>
      <c r="J19" s="474">
        <f t="shared" si="15"/>
        <v>0.33999999999999986</v>
      </c>
      <c r="K19" s="462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3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59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14.239999999999998</v>
      </c>
      <c r="G20" s="531">
        <f t="shared" si="14"/>
        <v>4.79</v>
      </c>
      <c r="H20" s="531"/>
      <c r="I20" s="211"/>
      <c r="J20" s="474">
        <f t="shared" si="15"/>
        <v>0.25999999999999979</v>
      </c>
      <c r="K20" s="462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3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59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14.45</v>
      </c>
      <c r="G21" s="531">
        <f t="shared" si="14"/>
        <v>5</v>
      </c>
      <c r="H21" s="531"/>
      <c r="I21" s="211"/>
      <c r="J21" s="474">
        <f t="shared" si="15"/>
        <v>0.20999999999999996</v>
      </c>
      <c r="K21" s="462">
        <f t="shared" si="18"/>
        <v>5</v>
      </c>
      <c r="L21" s="482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2">
        <f>INT(M21/N21*100)/100</f>
        <v>10.37</v>
      </c>
      <c r="P21" s="463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59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14.64</v>
      </c>
      <c r="G22" s="531">
        <f t="shared" si="14"/>
        <v>5.19</v>
      </c>
      <c r="H22" s="531"/>
      <c r="I22" s="185"/>
      <c r="J22" s="474">
        <f t="shared" si="15"/>
        <v>0.19000000000000039</v>
      </c>
      <c r="K22" s="462">
        <f t="shared" si="18"/>
        <v>10</v>
      </c>
      <c r="L22" s="482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2">
        <f t="shared" ref="O22:O30" si="21">INT(M22/N22*100)/100</f>
        <v>20.75</v>
      </c>
      <c r="P22" s="463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59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14.79</v>
      </c>
      <c r="G23" s="531">
        <f t="shared" si="14"/>
        <v>5.34</v>
      </c>
      <c r="H23" s="531"/>
      <c r="I23" s="185"/>
      <c r="J23" s="474">
        <f t="shared" si="15"/>
        <v>0.14999999999999947</v>
      </c>
      <c r="K23" s="462">
        <f t="shared" si="18"/>
        <v>15</v>
      </c>
      <c r="L23" s="482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2">
        <f t="shared" si="21"/>
        <v>31.13</v>
      </c>
      <c r="P23" s="463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59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14.93</v>
      </c>
      <c r="G24" s="531">
        <f t="shared" si="14"/>
        <v>5.48</v>
      </c>
      <c r="H24" s="531"/>
      <c r="I24" s="185"/>
      <c r="J24" s="474">
        <f t="shared" si="15"/>
        <v>0.14000000000000057</v>
      </c>
      <c r="K24" s="462">
        <f t="shared" si="18"/>
        <v>20</v>
      </c>
      <c r="L24" s="482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2">
        <f t="shared" si="21"/>
        <v>41.51</v>
      </c>
      <c r="P24" s="463">
        <f t="shared" si="22"/>
        <v>-36.979999999999997</v>
      </c>
      <c r="R24" s="427">
        <f>B32</f>
        <v>120</v>
      </c>
      <c r="S24" s="213">
        <f>$R$24</f>
        <v>120</v>
      </c>
      <c r="T24" s="213">
        <f t="shared" si="10"/>
        <v>6.3520341974657759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59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15.059999999999999</v>
      </c>
      <c r="G25" s="531">
        <f t="shared" si="14"/>
        <v>5.61</v>
      </c>
      <c r="H25" s="531"/>
      <c r="I25" s="185"/>
      <c r="J25" s="474">
        <f t="shared" si="15"/>
        <v>0.12999999999999989</v>
      </c>
      <c r="K25" s="462">
        <f t="shared" si="18"/>
        <v>25</v>
      </c>
      <c r="L25" s="482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2">
        <f t="shared" si="21"/>
        <v>51.89</v>
      </c>
      <c r="P25" s="463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59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15.169999999999998</v>
      </c>
      <c r="G26" s="531">
        <f t="shared" si="14"/>
        <v>5.72</v>
      </c>
      <c r="H26" s="531"/>
      <c r="I26" s="185"/>
      <c r="J26" s="474">
        <f t="shared" si="15"/>
        <v>0.10999999999999943</v>
      </c>
      <c r="K26" s="462">
        <f t="shared" si="18"/>
        <v>30</v>
      </c>
      <c r="L26" s="482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3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59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15.27</v>
      </c>
      <c r="G27" s="531">
        <f t="shared" si="14"/>
        <v>5.82</v>
      </c>
      <c r="H27" s="531"/>
      <c r="I27" s="185"/>
      <c r="J27" s="474">
        <f t="shared" si="15"/>
        <v>0.10000000000000053</v>
      </c>
      <c r="K27" s="462">
        <f t="shared" si="18"/>
        <v>35</v>
      </c>
      <c r="L27" s="482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3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59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15.53</v>
      </c>
      <c r="G28" s="531">
        <f t="shared" si="14"/>
        <v>6.08</v>
      </c>
      <c r="H28" s="531"/>
      <c r="I28" s="185"/>
      <c r="J28" s="474">
        <f t="shared" si="15"/>
        <v>0.25999999999999979</v>
      </c>
      <c r="K28" s="462">
        <f t="shared" si="18"/>
        <v>40</v>
      </c>
      <c r="L28" s="482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3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59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15.75</v>
      </c>
      <c r="G29" s="531">
        <f t="shared" si="14"/>
        <v>6.3</v>
      </c>
      <c r="H29" s="531"/>
      <c r="I29" s="185"/>
      <c r="J29" s="474">
        <f t="shared" si="15"/>
        <v>0.21999999999999975</v>
      </c>
      <c r="K29" s="462">
        <f t="shared" si="18"/>
        <v>45</v>
      </c>
      <c r="L29" s="482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3">
        <f t="shared" si="22"/>
        <v>-87.92</v>
      </c>
      <c r="R29" s="427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59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15.93</v>
      </c>
      <c r="G30" s="531">
        <f t="shared" si="14"/>
        <v>6.48</v>
      </c>
      <c r="H30" s="531"/>
      <c r="I30" s="185"/>
      <c r="J30" s="474">
        <f t="shared" si="15"/>
        <v>0.1800000000000006</v>
      </c>
      <c r="K30" s="462">
        <f t="shared" si="18"/>
        <v>50</v>
      </c>
      <c r="L30" s="482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3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59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16.09</v>
      </c>
      <c r="G31" s="531">
        <f t="shared" si="14"/>
        <v>6.64</v>
      </c>
      <c r="H31" s="531"/>
      <c r="I31" s="185"/>
      <c r="J31" s="474">
        <f t="shared" si="15"/>
        <v>0.15999999999999925</v>
      </c>
      <c r="K31" s="462">
        <f t="shared" si="18"/>
        <v>55</v>
      </c>
      <c r="L31" s="482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3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59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45491.558333333334</v>
      </c>
      <c r="D32" s="530">
        <v>130</v>
      </c>
      <c r="E32" s="530"/>
      <c r="F32" s="210">
        <f t="shared" si="13"/>
        <v>17.419999999999998</v>
      </c>
      <c r="G32" s="531">
        <f t="shared" si="14"/>
        <v>7.97</v>
      </c>
      <c r="H32" s="531"/>
      <c r="I32" s="185"/>
      <c r="J32" s="474">
        <f t="shared" si="15"/>
        <v>1.33</v>
      </c>
      <c r="K32" s="464">
        <f t="shared" si="18"/>
        <v>60</v>
      </c>
      <c r="L32" s="483">
        <f t="shared" si="20"/>
        <v>6.5199999999999994E-2</v>
      </c>
      <c r="M32" s="465">
        <f t="shared" si="17"/>
        <v>3.9119999999999995</v>
      </c>
      <c r="N32" s="465">
        <f t="shared" si="19"/>
        <v>3.141E-2</v>
      </c>
      <c r="O32" s="465">
        <f>INT(M32/N32*100)/100</f>
        <v>124.54</v>
      </c>
      <c r="P32" s="466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59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17.64</v>
      </c>
      <c r="G33" s="531">
        <f t="shared" si="14"/>
        <v>8.19</v>
      </c>
      <c r="H33" s="531"/>
      <c r="I33" s="185"/>
      <c r="J33" s="474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59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17.86</v>
      </c>
      <c r="G34" s="531">
        <f t="shared" si="14"/>
        <v>8.41</v>
      </c>
      <c r="H34" s="531"/>
      <c r="I34" s="185"/>
      <c r="J34" s="474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59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18.079999999999998</v>
      </c>
      <c r="G35" s="531">
        <f t="shared" si="14"/>
        <v>8.6300000000000008</v>
      </c>
      <c r="H35" s="531"/>
      <c r="I35" s="185"/>
      <c r="J35" s="474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59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18.309999999999999</v>
      </c>
      <c r="G36" s="531">
        <f t="shared" si="14"/>
        <v>8.86</v>
      </c>
      <c r="H36" s="531"/>
      <c r="I36" s="185"/>
      <c r="J36" s="474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59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45491.641666666663</v>
      </c>
      <c r="D37" s="530">
        <v>250</v>
      </c>
      <c r="E37" s="530"/>
      <c r="F37" s="210">
        <f t="shared" si="13"/>
        <v>19.799999999999997</v>
      </c>
      <c r="G37" s="531">
        <f t="shared" si="14"/>
        <v>10.35</v>
      </c>
      <c r="H37" s="531"/>
      <c r="I37" s="185"/>
      <c r="J37" s="474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59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20.049999999999997</v>
      </c>
      <c r="G38" s="531">
        <f t="shared" si="14"/>
        <v>10.6</v>
      </c>
      <c r="H38" s="531"/>
      <c r="I38" s="185"/>
      <c r="J38" s="474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59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20.299999999999997</v>
      </c>
      <c r="G39" s="531">
        <f t="shared" si="14"/>
        <v>10.85</v>
      </c>
      <c r="H39" s="531"/>
      <c r="I39" s="185"/>
      <c r="J39" s="474">
        <f t="shared" si="15"/>
        <v>0.25</v>
      </c>
      <c r="K39" s="46" t="s">
        <v>21</v>
      </c>
      <c r="L39" s="50" t="s">
        <v>21</v>
      </c>
      <c r="R39" s="427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59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20.549999999999997</v>
      </c>
      <c r="G40" s="531">
        <f t="shared" si="14"/>
        <v>11.1</v>
      </c>
      <c r="H40" s="531"/>
      <c r="I40" s="185"/>
      <c r="J40" s="474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59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20.799999999999997</v>
      </c>
      <c r="G41" s="531">
        <f t="shared" si="14"/>
        <v>11.35</v>
      </c>
      <c r="H41" s="531"/>
      <c r="I41" s="185"/>
      <c r="J41" s="474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59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45491.724999999999</v>
      </c>
      <c r="D42" s="530">
        <v>370</v>
      </c>
      <c r="E42" s="530"/>
      <c r="F42" s="210">
        <f t="shared" si="13"/>
        <v>22.46</v>
      </c>
      <c r="G42" s="531">
        <f t="shared" si="14"/>
        <v>13.01</v>
      </c>
      <c r="H42" s="531"/>
      <c r="I42" s="185"/>
      <c r="J42" s="474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59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22.74</v>
      </c>
      <c r="G43" s="531">
        <f t="shared" si="14"/>
        <v>13.29</v>
      </c>
      <c r="H43" s="531"/>
      <c r="I43" s="185"/>
      <c r="J43" s="474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59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23.02</v>
      </c>
      <c r="G44" s="531">
        <f t="shared" si="14"/>
        <v>13.57</v>
      </c>
      <c r="H44" s="531"/>
      <c r="I44" s="185"/>
      <c r="J44" s="474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23.299999999999997</v>
      </c>
      <c r="G45" s="531">
        <f t="shared" si="14"/>
        <v>13.85</v>
      </c>
      <c r="H45" s="531"/>
      <c r="I45" s="185"/>
      <c r="J45" s="474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23.58</v>
      </c>
      <c r="G46" s="531">
        <f t="shared" si="14"/>
        <v>14.13</v>
      </c>
      <c r="H46" s="531"/>
      <c r="I46" s="185"/>
      <c r="J46" s="474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25.27</v>
      </c>
      <c r="G47" s="531">
        <f t="shared" si="14"/>
        <v>15.82</v>
      </c>
      <c r="H47" s="531"/>
      <c r="I47" s="185"/>
      <c r="J47" s="474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25.9</v>
      </c>
      <c r="G48" s="531">
        <f t="shared" si="14"/>
        <v>16.45</v>
      </c>
      <c r="H48" s="531"/>
      <c r="I48" s="185"/>
      <c r="J48" s="474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26.54</v>
      </c>
      <c r="G49" s="531">
        <f t="shared" si="14"/>
        <v>17.09</v>
      </c>
      <c r="H49" s="531"/>
      <c r="I49" s="185"/>
      <c r="J49" s="474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27.169999999999998</v>
      </c>
      <c r="G50" s="531">
        <f t="shared" si="14"/>
        <v>17.72</v>
      </c>
      <c r="H50" s="531"/>
      <c r="I50" s="185"/>
      <c r="J50" s="474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27.81</v>
      </c>
      <c r="G51" s="531">
        <f t="shared" si="14"/>
        <v>18.36</v>
      </c>
      <c r="H51" s="531"/>
      <c r="I51" s="185" t="s">
        <v>180</v>
      </c>
      <c r="J51" s="474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P30" sqref="P3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4" t="s">
        <v>183</v>
      </c>
      <c r="O1" s="544"/>
      <c r="P1" s="441">
        <f>StepTest!G41</f>
        <v>11.35</v>
      </c>
      <c r="Q1" s="442" t="s">
        <v>184</v>
      </c>
      <c r="R1" s="443">
        <f>G35</f>
        <v>15.070280992763216</v>
      </c>
      <c r="S1" s="444">
        <f>D7/2000</f>
        <v>0.1</v>
      </c>
      <c r="T1" s="445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25.330000000000002</v>
      </c>
      <c r="Q2" s="213"/>
      <c r="R2" s="213"/>
      <c r="S2" s="213"/>
      <c r="T2" s="213">
        <v>44</v>
      </c>
      <c r="U2" s="427">
        <f>B10</f>
        <v>150</v>
      </c>
      <c r="V2" s="427">
        <f>U2</f>
        <v>150</v>
      </c>
      <c r="W2" s="475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28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7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28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7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28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7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28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7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17.529722669789603</v>
      </c>
      <c r="AC6" s="223">
        <f t="shared" si="5"/>
        <v>17.529722669789603</v>
      </c>
      <c r="AD6" s="213"/>
      <c r="AE6" s="428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7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18.913946455482773</v>
      </c>
      <c r="AC7" s="223">
        <f t="shared" si="5"/>
        <v>18.913946455482773</v>
      </c>
      <c r="AD7" s="213"/>
      <c r="AE7" s="428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48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7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19.723665462719559</v>
      </c>
      <c r="AC8" s="223">
        <f t="shared" si="5"/>
        <v>19.723665462719559</v>
      </c>
      <c r="AD8" s="213"/>
      <c r="AE8" s="428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15.880000000000003</v>
      </c>
      <c r="M9" s="45">
        <f t="shared" si="2"/>
        <v>-40.99</v>
      </c>
      <c r="N9" s="56"/>
      <c r="O9" s="179"/>
      <c r="P9" s="179"/>
      <c r="V9" s="427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20.298170241175949</v>
      </c>
      <c r="AC9" s="223">
        <f t="shared" si="5"/>
        <v>20.298170241175949</v>
      </c>
      <c r="AD9" s="213"/>
      <c r="AE9" s="428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45651.45208333333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7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20.743790767401922</v>
      </c>
      <c r="AC10" s="223">
        <f t="shared" si="5"/>
        <v>20.743790767401922</v>
      </c>
      <c r="AD10" s="213"/>
      <c r="AE10" s="428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7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21.107889248412732</v>
      </c>
      <c r="AC11" s="223">
        <f t="shared" si="5"/>
        <v>21.107889248412732</v>
      </c>
      <c r="AD11" s="213"/>
      <c r="AE11" s="428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45651.454166666663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7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21.415730127784542</v>
      </c>
      <c r="AC12" s="223">
        <f t="shared" si="5"/>
        <v>21.415730127784542</v>
      </c>
      <c r="AD12" s="213"/>
      <c r="AE12" s="428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7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21.682394026869122</v>
      </c>
      <c r="AC13" s="223">
        <f t="shared" si="5"/>
        <v>21.682394026869122</v>
      </c>
      <c r="AD13" s="213"/>
      <c r="AE13" s="428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7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21.917608255649519</v>
      </c>
      <c r="AC14" s="223">
        <f t="shared" si="5"/>
        <v>21.917608255649519</v>
      </c>
      <c r="AD14" s="213"/>
      <c r="AE14" s="428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7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22.128014553095095</v>
      </c>
      <c r="AC15" s="223">
        <f t="shared" si="5"/>
        <v>22.128014553095095</v>
      </c>
      <c r="AD15" s="213"/>
      <c r="AE15" s="428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22.318350201286385</v>
      </c>
      <c r="AC16" s="223">
        <f t="shared" si="5"/>
        <v>22.318350201286385</v>
      </c>
      <c r="AD16" s="213"/>
      <c r="AE16" s="428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7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68">
        <f>INT((G10-P17)*100)/100</f>
        <v>0</v>
      </c>
      <c r="V17" s="427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22.492113034105905</v>
      </c>
      <c r="AC17" s="223">
        <f t="shared" si="5"/>
        <v>22.492113034105905</v>
      </c>
      <c r="AD17" s="213"/>
      <c r="AE17" s="428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7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68">
        <f t="shared" ref="Q18:Q27" si="17">INT((G11-P18)*100)/100</f>
        <v>-1.93</v>
      </c>
      <c r="V18" s="427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22.937733560331882</v>
      </c>
      <c r="AC18" s="223">
        <f t="shared" si="5"/>
        <v>22.937733560331882</v>
      </c>
      <c r="AD18" s="213"/>
      <c r="AE18" s="428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7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68">
        <f t="shared" si="17"/>
        <v>-4.4400000000000004</v>
      </c>
      <c r="V19" s="427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23.301832041342692</v>
      </c>
      <c r="AC19" s="223">
        <f t="shared" si="5"/>
        <v>23.301832041342692</v>
      </c>
      <c r="AD19" s="213"/>
      <c r="AE19" s="428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7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68">
        <f t="shared" si="17"/>
        <v>-7.17</v>
      </c>
      <c r="V20" s="427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23.609672920714498</v>
      </c>
      <c r="AC20" s="223">
        <f t="shared" si="5"/>
        <v>23.609672920714498</v>
      </c>
      <c r="AD20" s="213"/>
      <c r="AE20" s="428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7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68">
        <f t="shared" si="17"/>
        <v>-10.050000000000001</v>
      </c>
      <c r="V21" s="427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23.876336819799079</v>
      </c>
      <c r="AC21" s="223">
        <f t="shared" si="5"/>
        <v>23.876336819799079</v>
      </c>
      <c r="AD21" s="213"/>
      <c r="AE21" s="428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7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68">
        <f t="shared" si="17"/>
        <v>-25.23</v>
      </c>
      <c r="V22" s="427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24.184177699170888</v>
      </c>
      <c r="AC22" s="223">
        <f t="shared" si="5"/>
        <v>24.184177699170888</v>
      </c>
      <c r="AD22" s="213"/>
      <c r="AE22" s="428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7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68">
        <f t="shared" si="17"/>
        <v>-40.99</v>
      </c>
      <c r="V23" s="427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24.450841598255469</v>
      </c>
      <c r="AC23" s="223">
        <f t="shared" si="5"/>
        <v>24.450841598255469</v>
      </c>
      <c r="AD23" s="213"/>
      <c r="AE23" s="428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7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68">
        <f t="shared" si="17"/>
        <v>-56.99</v>
      </c>
      <c r="V24" s="427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24.686055827035865</v>
      </c>
      <c r="AC24" s="223">
        <f t="shared" si="5"/>
        <v>24.686055827035865</v>
      </c>
      <c r="AD24" s="213"/>
      <c r="AE24" s="428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45651.493749999994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7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68">
        <f t="shared" si="17"/>
        <v>-73.11</v>
      </c>
      <c r="V25" s="427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25.260560605492255</v>
      </c>
      <c r="AC25" s="223">
        <f t="shared" si="5"/>
        <v>25.260560605492255</v>
      </c>
      <c r="AD25" s="213"/>
      <c r="AE25" s="428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7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68">
        <f t="shared" si="17"/>
        <v>-89.32</v>
      </c>
      <c r="V26" s="427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25.706181131718228</v>
      </c>
      <c r="AC26" s="223">
        <f t="shared" si="5"/>
        <v>25.706181131718228</v>
      </c>
      <c r="AD26" s="213"/>
      <c r="AE26" s="428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7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68">
        <f t="shared" si="17"/>
        <v>-105.58</v>
      </c>
      <c r="V27" s="427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26.070279612729038</v>
      </c>
      <c r="AC27" s="223">
        <f t="shared" si="5"/>
        <v>26.070279612729038</v>
      </c>
      <c r="AD27" s="213"/>
      <c r="AE27" s="428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7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68">
        <f>INT((G21-P28)*100)/100</f>
        <v>-121.88</v>
      </c>
      <c r="S28"/>
      <c r="V28" s="427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26.378120492100848</v>
      </c>
      <c r="AC28" s="223">
        <f t="shared" si="5"/>
        <v>26.378120492100848</v>
      </c>
      <c r="AD28" s="213"/>
      <c r="AE28" s="428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7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68">
        <f>INT((G22-P29)*100)/100</f>
        <v>-138.22999999999999</v>
      </c>
      <c r="V29" s="427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26.644784391185429</v>
      </c>
      <c r="AC29" s="223">
        <f t="shared" si="5"/>
        <v>26.644784391185429</v>
      </c>
      <c r="AD29" s="213"/>
      <c r="AE29" s="428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7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68">
        <f>INT((G23-P30)*100)/100</f>
        <v>-154.59</v>
      </c>
      <c r="V30" s="427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26.879998619965825</v>
      </c>
      <c r="AC30" s="223">
        <f t="shared" si="5"/>
        <v>26.879998619965825</v>
      </c>
      <c r="AD30" s="213"/>
      <c r="AE30" s="428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69">
        <f t="shared" si="16"/>
        <v>55</v>
      </c>
      <c r="M31" s="470">
        <f t="shared" si="21"/>
        <v>0.1041</v>
      </c>
      <c r="N31" s="470">
        <f>L31*M31</f>
        <v>5.7255000000000003</v>
      </c>
      <c r="O31" s="470">
        <f t="shared" si="19"/>
        <v>3.141E-2</v>
      </c>
      <c r="P31" s="470">
        <f>INT(N31/O31*100)/100</f>
        <v>182.28</v>
      </c>
      <c r="Q31" s="471">
        <f>INT((G24-P31)*100)/100</f>
        <v>-170.97</v>
      </c>
      <c r="V31" s="427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26.879998619965825</v>
      </c>
      <c r="AC31" s="223">
        <f t="shared" ref="AC31:AC34" si="23">AC30</f>
        <v>26.879998619965825</v>
      </c>
      <c r="AD31" s="213"/>
      <c r="AE31" s="428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7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26.879998619965825</v>
      </c>
      <c r="AC32" s="223">
        <f t="shared" si="23"/>
        <v>26.879998619965825</v>
      </c>
      <c r="AD32" s="213"/>
      <c r="AE32" s="428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45651.618749999994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7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26.879998619965825</v>
      </c>
      <c r="AC33" s="223">
        <f t="shared" si="23"/>
        <v>26.879998619965825</v>
      </c>
      <c r="AD33" s="213"/>
      <c r="AE33" s="428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7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26.879998619965825</v>
      </c>
      <c r="AC34" s="223">
        <f t="shared" si="23"/>
        <v>26.879998619965825</v>
      </c>
      <c r="AD34" s="213"/>
      <c r="AE34" s="428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7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26.879998619965825</v>
      </c>
      <c r="AC35" s="223">
        <f t="shared" ref="AC35:AC38" si="25">AC34</f>
        <v>26.879998619965825</v>
      </c>
      <c r="AD35" s="213"/>
      <c r="AE35" s="428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7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26.879998619965825</v>
      </c>
      <c r="AC36" s="223">
        <f t="shared" si="25"/>
        <v>26.879998619965825</v>
      </c>
      <c r="AD36" s="213"/>
      <c r="AE36" s="428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7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26.879998619965825</v>
      </c>
      <c r="AC37" s="223">
        <f t="shared" si="25"/>
        <v>26.879998619965825</v>
      </c>
      <c r="AD37" s="213">
        <v>37</v>
      </c>
      <c r="AE37" s="428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7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26.879998619965825</v>
      </c>
      <c r="AC38" s="223">
        <f t="shared" si="25"/>
        <v>26.879998619965825</v>
      </c>
      <c r="AD38" s="214" t="s">
        <v>40</v>
      </c>
      <c r="AE38" s="428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45651.868749999994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28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26.879998619965825</v>
      </c>
      <c r="AC40" s="223">
        <f t="shared" si="26"/>
        <v>26.879998619965825</v>
      </c>
      <c r="AD40" s="60">
        <v>40</v>
      </c>
      <c r="AE40" s="428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150</v>
      </c>
      <c r="W41" s="432">
        <f t="shared" si="9"/>
        <v>4.1534103653503527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28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26.879998619965825</v>
      </c>
      <c r="AC42" s="223">
        <f t="shared" si="27"/>
        <v>26.879998619965825</v>
      </c>
      <c r="AD42" s="60">
        <v>42</v>
      </c>
      <c r="AE42" s="428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150</v>
      </c>
      <c r="W43" s="432">
        <f t="shared" si="9"/>
        <v>4.1534103653503527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26.879998619965825</v>
      </c>
      <c r="AC43" s="223">
        <f t="shared" si="27"/>
        <v>26.879998619965825</v>
      </c>
      <c r="AD43" s="61">
        <v>43</v>
      </c>
      <c r="AE43" s="428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26.879998619965825</v>
      </c>
      <c r="AC44" s="223">
        <f t="shared" si="27"/>
        <v>26.879998619965825</v>
      </c>
      <c r="AD44" s="60">
        <v>44</v>
      </c>
      <c r="AE44" s="428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45652.118749999994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150</v>
      </c>
      <c r="W45" s="432">
        <f t="shared" si="9"/>
        <v>4.1534103653503527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26.879998619965825</v>
      </c>
      <c r="AC45" s="223">
        <f t="shared" si="27"/>
        <v>26.879998619965825</v>
      </c>
      <c r="AD45" s="61">
        <v>45</v>
      </c>
      <c r="AE45" s="428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26.879998619965825</v>
      </c>
      <c r="AC46" s="223">
        <f t="shared" si="27"/>
        <v>26.879998619965825</v>
      </c>
      <c r="AD46" s="60">
        <v>46</v>
      </c>
      <c r="AE46" s="435">
        <f t="shared" si="6"/>
        <v>1500</v>
      </c>
      <c r="AF46" s="437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26.879998619965825</v>
      </c>
      <c r="AC47" s="223">
        <f t="shared" ref="AC47:AC69" si="28">AC46</f>
        <v>26.879998619965825</v>
      </c>
      <c r="AD47" s="213"/>
      <c r="AE47" s="428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26.879998619965825</v>
      </c>
      <c r="AC48" s="223">
        <f t="shared" si="28"/>
        <v>26.879998619965825</v>
      </c>
      <c r="AD48" s="213"/>
      <c r="AE48" s="428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26.879998619965825</v>
      </c>
      <c r="AC49" s="223">
        <f t="shared" si="28"/>
        <v>26.879998619965825</v>
      </c>
      <c r="AD49" s="213"/>
      <c r="AE49" s="428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26.879998619965825</v>
      </c>
      <c r="AC50" s="223">
        <f t="shared" si="28"/>
        <v>26.879998619965825</v>
      </c>
      <c r="AD50" s="213"/>
      <c r="AE50" s="428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45652.368749999994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26.879998619965825</v>
      </c>
      <c r="AC51" s="223">
        <f t="shared" si="28"/>
        <v>26.879998619965825</v>
      </c>
      <c r="AD51" s="213"/>
      <c r="AE51" s="428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26.879998619965825</v>
      </c>
      <c r="AC52" s="223">
        <f t="shared" si="28"/>
        <v>26.879998619965825</v>
      </c>
      <c r="AD52" s="213"/>
      <c r="AE52" s="428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26.879998619965825</v>
      </c>
      <c r="AC53" s="223">
        <f t="shared" si="28"/>
        <v>26.879998619965825</v>
      </c>
      <c r="AD53" s="213"/>
      <c r="AE53" s="428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26.879998619965825</v>
      </c>
      <c r="AC54" s="223">
        <f t="shared" si="28"/>
        <v>26.879998619965825</v>
      </c>
      <c r="AD54" s="213"/>
      <c r="AE54" s="428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26.879998619965825</v>
      </c>
      <c r="AC55" s="223">
        <f t="shared" si="28"/>
        <v>26.879998619965825</v>
      </c>
      <c r="AD55" s="213"/>
      <c r="AE55" s="428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45652.57708333333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26.879998619965825</v>
      </c>
      <c r="AC56" s="223">
        <f t="shared" si="28"/>
        <v>26.879998619965825</v>
      </c>
      <c r="AD56" s="213"/>
      <c r="AE56" s="428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26.879998619965825</v>
      </c>
      <c r="AC57" s="223">
        <f t="shared" si="28"/>
        <v>26.879998619965825</v>
      </c>
      <c r="AD57" s="213"/>
      <c r="AE57" s="428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26.879998619965825</v>
      </c>
      <c r="AC58" s="223">
        <f t="shared" si="28"/>
        <v>26.879998619965825</v>
      </c>
      <c r="AD58" s="213"/>
      <c r="AE58" s="428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26.879998619965825</v>
      </c>
      <c r="AC59" s="223">
        <f t="shared" si="28"/>
        <v>26.879998619965825</v>
      </c>
      <c r="AD59" s="213"/>
      <c r="AE59" s="428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26.879998619965825</v>
      </c>
      <c r="AC60" s="223">
        <f t="shared" si="28"/>
        <v>26.879998619965825</v>
      </c>
      <c r="AD60" s="213"/>
      <c r="AE60" s="428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45652.785416666666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26.879998619965825</v>
      </c>
      <c r="AC61" s="223">
        <f t="shared" si="28"/>
        <v>26.879998619965825</v>
      </c>
      <c r="AD61" s="213"/>
      <c r="AE61" s="428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26.879998619965825</v>
      </c>
      <c r="AC62" s="223">
        <f t="shared" si="28"/>
        <v>26.879998619965825</v>
      </c>
      <c r="AD62" s="213"/>
      <c r="AE62" s="428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26.879998619965825</v>
      </c>
      <c r="AC63" s="223">
        <f t="shared" si="28"/>
        <v>26.879998619965825</v>
      </c>
      <c r="AD63" s="213"/>
      <c r="AE63" s="428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26.879998619965825</v>
      </c>
      <c r="AC64" s="223">
        <f t="shared" si="28"/>
        <v>26.879998619965825</v>
      </c>
      <c r="AD64" s="213"/>
      <c r="AE64" s="428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26.879998619965825</v>
      </c>
      <c r="AC65" s="223">
        <f t="shared" si="28"/>
        <v>26.879998619965825</v>
      </c>
      <c r="AD65" s="213"/>
      <c r="AE65" s="428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45652.993749999994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26.879998619965825</v>
      </c>
      <c r="AC66" s="223">
        <f t="shared" si="28"/>
        <v>26.879998619965825</v>
      </c>
      <c r="AD66" s="213"/>
      <c r="AE66" s="428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26.879998619965825</v>
      </c>
      <c r="AC67" s="223">
        <f t="shared" si="28"/>
        <v>26.879998619965825</v>
      </c>
      <c r="AD67" s="213"/>
      <c r="AE67" s="428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7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26.879998619965825</v>
      </c>
      <c r="AC68" s="223">
        <f t="shared" si="28"/>
        <v>26.879998619965825</v>
      </c>
      <c r="AD68" s="213"/>
      <c r="AE68" s="428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7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26.879998619965825</v>
      </c>
      <c r="AC69" s="223">
        <f t="shared" si="28"/>
        <v>26.879998619965825</v>
      </c>
      <c r="AD69" s="213"/>
      <c r="AE69" s="428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45653.20208333333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45653.45208333333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45653.452777777777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45653.493749999994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45653.535416666666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45653.618749999994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45653.70208333333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45653.70208333333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50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50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50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50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50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50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50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50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50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50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50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50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50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50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50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50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50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50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50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50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50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50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50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45653.45208333333</v>
      </c>
      <c r="D79" s="549">
        <v>2880</v>
      </c>
      <c r="E79" s="550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45653.452777777777</v>
      </c>
      <c r="D80" s="549">
        <v>1</v>
      </c>
      <c r="E80" s="550"/>
      <c r="F80" s="286">
        <f>LongTest!F78</f>
        <v>20.232796980712919</v>
      </c>
      <c r="G80" s="286">
        <f>LongTest!G78</f>
        <v>10.782796980712918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45653.453472222216</v>
      </c>
      <c r="D81" s="549">
        <v>2</v>
      </c>
      <c r="E81" s="550"/>
      <c r="F81" s="286">
        <f>LongTest!F79</f>
        <v>19.374437782107812</v>
      </c>
      <c r="G81" s="286">
        <f>LongTest!G79</f>
        <v>9.9244377821078142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45653.454166666663</v>
      </c>
      <c r="D82" s="549">
        <v>3</v>
      </c>
      <c r="E82" s="550"/>
      <c r="F82" s="286">
        <f>LongTest!F80</f>
        <v>18.58440784122201</v>
      </c>
      <c r="G82" s="286">
        <f>LongTest!G80</f>
        <v>9.1344078412220089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45653.454861111109</v>
      </c>
      <c r="D83" s="549">
        <v>4</v>
      </c>
      <c r="E83" s="550"/>
      <c r="F83" s="286">
        <f>LongTest!F81</f>
        <v>17.857267841429007</v>
      </c>
      <c r="G83" s="286">
        <f>LongTest!G81</f>
        <v>8.4072678414290092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45653.455555555549</v>
      </c>
      <c r="D84" s="549">
        <v>5</v>
      </c>
      <c r="E84" s="550"/>
      <c r="F84" s="286">
        <f>LongTest!F82</f>
        <v>17.188011460201068</v>
      </c>
      <c r="G84" s="286">
        <f>LongTest!G82</f>
        <v>7.7380114602010686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45653.459027777775</v>
      </c>
      <c r="D85" s="549">
        <v>10</v>
      </c>
      <c r="E85" s="550"/>
      <c r="F85" s="286">
        <f>LongTest!F83</f>
        <v>15.483270868618019</v>
      </c>
      <c r="G85" s="286">
        <f>LongTest!G83</f>
        <v>6.0332708686180201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45653.462499999994</v>
      </c>
      <c r="D86" s="549">
        <v>15</v>
      </c>
      <c r="E86" s="550"/>
      <c r="F86" s="286">
        <f>LongTest!F84</f>
        <v>15.158681504824028</v>
      </c>
      <c r="G86" s="286">
        <f>LongTest!G84</f>
        <v>5.7086815048240274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45653.46597222222</v>
      </c>
      <c r="D87" s="549">
        <v>20</v>
      </c>
      <c r="E87" s="550"/>
      <c r="F87" s="286">
        <f>LongTest!F85</f>
        <v>14.285983204912011</v>
      </c>
      <c r="G87" s="286">
        <f>LongTest!G85</f>
        <v>4.8359832049120115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45653.469444444439</v>
      </c>
      <c r="D88" s="549">
        <v>25</v>
      </c>
      <c r="E88" s="550"/>
      <c r="F88" s="286">
        <f>LongTest!F86</f>
        <v>13.901017163572192</v>
      </c>
      <c r="G88" s="286">
        <f>LongTest!G86</f>
        <v>4.4510171635721916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45653.472916666666</v>
      </c>
      <c r="D89" s="549">
        <v>30</v>
      </c>
      <c r="E89" s="550"/>
      <c r="F89" s="286">
        <f>LongTest!F87</f>
        <v>13.54669615276811</v>
      </c>
      <c r="G89" s="286">
        <f>LongTest!G87</f>
        <v>4.0966961527681098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45653.476388888885</v>
      </c>
      <c r="D90" s="549">
        <v>35</v>
      </c>
      <c r="E90" s="550"/>
      <c r="F90" s="286">
        <f>LongTest!F88</f>
        <v>13.434971769034254</v>
      </c>
      <c r="G90" s="286">
        <f>LongTest!G88</f>
        <v>3.9849717690342552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45653.479861111111</v>
      </c>
      <c r="D91" s="549">
        <v>40</v>
      </c>
      <c r="E91" s="550"/>
      <c r="F91" s="286">
        <f>LongTest!F89</f>
        <v>13.326294313228475</v>
      </c>
      <c r="G91" s="286">
        <f>LongTest!G89</f>
        <v>3.8762943132284762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45653.48333333333</v>
      </c>
      <c r="D92" s="549">
        <v>45</v>
      </c>
      <c r="E92" s="550"/>
      <c r="F92" s="286">
        <f>LongTest!F90</f>
        <v>13.220580690063166</v>
      </c>
      <c r="G92" s="286">
        <f>LongTest!G90</f>
        <v>3.7705806900631673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45653.486805555549</v>
      </c>
      <c r="D93" s="549">
        <v>50</v>
      </c>
      <c r="E93" s="550"/>
      <c r="F93" s="286">
        <f>LongTest!F91</f>
        <v>13.11775007041093</v>
      </c>
      <c r="G93" s="286">
        <f>LongTest!G91</f>
        <v>3.6677500704109298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45653.490277777775</v>
      </c>
      <c r="D94" s="549">
        <v>55</v>
      </c>
      <c r="E94" s="550"/>
      <c r="F94" s="286">
        <f>LongTest!F92</f>
        <v>13.017723829502245</v>
      </c>
      <c r="G94" s="286">
        <f>LongTest!G92</f>
        <v>3.5677238295022455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45653.493749999994</v>
      </c>
      <c r="D95" s="549">
        <v>60</v>
      </c>
      <c r="E95" s="550"/>
      <c r="F95" s="286">
        <f>LongTest!F93</f>
        <v>12.920425486808609</v>
      </c>
      <c r="G95" s="286">
        <f>LongTest!G93</f>
        <v>3.4704254868086104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45653.504166666666</v>
      </c>
      <c r="D96" s="549">
        <v>75</v>
      </c>
      <c r="E96" s="550"/>
      <c r="F96" s="286">
        <f>LongTest!F94</f>
        <v>12.825780647565169</v>
      </c>
      <c r="G96" s="286">
        <f>LongTest!G94</f>
        <v>3.3757806475651706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45653.51458333333</v>
      </c>
      <c r="D97" s="549">
        <v>90</v>
      </c>
      <c r="E97" s="550"/>
      <c r="F97" s="286">
        <f>LongTest!F95</f>
        <v>12.733716945888137</v>
      </c>
      <c r="G97" s="286">
        <f>LongTest!G95</f>
        <v>3.2837169458881377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45653.524999999994</v>
      </c>
      <c r="D98" s="549">
        <v>105</v>
      </c>
      <c r="E98" s="550"/>
      <c r="F98" s="286">
        <f>LongTest!F96</f>
        <v>12.644163989443497</v>
      </c>
      <c r="G98" s="286">
        <f>LongTest!G96</f>
        <v>3.194163989443497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45653.535416666666</v>
      </c>
      <c r="D99" s="549">
        <v>120</v>
      </c>
      <c r="E99" s="550"/>
      <c r="F99" s="286">
        <f>LongTest!F97</f>
        <v>12.389894151376794</v>
      </c>
      <c r="G99" s="286">
        <f>LongTest!G97</f>
        <v>2.9398941513767949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45653.57708333333</v>
      </c>
      <c r="D100" s="549">
        <v>180</v>
      </c>
      <c r="E100" s="550"/>
      <c r="F100" s="286">
        <f>LongTest!F98</f>
        <v>12.309717870281746</v>
      </c>
      <c r="G100" s="286">
        <f>LongTest!G98</f>
        <v>2.859717870281747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45653.618749999994</v>
      </c>
      <c r="D101" s="549">
        <v>240</v>
      </c>
      <c r="E101" s="550"/>
      <c r="F101" s="286">
        <f>LongTest!F99</f>
        <v>11.872546708864883</v>
      </c>
      <c r="G101" s="286">
        <f>LongTest!G99</f>
        <v>2.4225467088648833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45653.660416666666</v>
      </c>
      <c r="D102" s="549">
        <v>300</v>
      </c>
      <c r="E102" s="550"/>
      <c r="F102" s="286">
        <f>LongTest!F100</f>
        <v>11.502206833974805</v>
      </c>
      <c r="G102" s="286">
        <f>LongTest!G100</f>
        <v>2.0522068339748056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45653.70208333333</v>
      </c>
      <c r="D103" s="556">
        <v>360</v>
      </c>
      <c r="E103" s="557"/>
      <c r="F103" s="314">
        <f>LongTest!F101</f>
        <v>11.18848160450383</v>
      </c>
      <c r="G103" s="314">
        <f>LongTest!G101</f>
        <v>1.7384816045038303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45652.535416666666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45652.452777777777</v>
      </c>
      <c r="D58" s="549">
        <v>1</v>
      </c>
      <c r="E58" s="550"/>
      <c r="F58" s="286">
        <f>LongTest!F78</f>
        <v>20.232796980712919</v>
      </c>
      <c r="G58" s="286">
        <f>LongTest!G78</f>
        <v>10.782796980712918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45652.453472222216</v>
      </c>
      <c r="D59" s="549">
        <v>2</v>
      </c>
      <c r="E59" s="550"/>
      <c r="F59" s="286">
        <f>LongTest!F79</f>
        <v>19.374437782107812</v>
      </c>
      <c r="G59" s="286">
        <f>LongTest!G79</f>
        <v>9.9244377821078142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45652.454166666663</v>
      </c>
      <c r="D60" s="549">
        <v>3</v>
      </c>
      <c r="E60" s="550"/>
      <c r="F60" s="286">
        <f>LongTest!F80</f>
        <v>18.58440784122201</v>
      </c>
      <c r="G60" s="286">
        <f>LongTest!G80</f>
        <v>9.1344078412220089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45652.454861111109</v>
      </c>
      <c r="D61" s="549">
        <v>4</v>
      </c>
      <c r="E61" s="550"/>
      <c r="F61" s="286">
        <f>LongTest!F81</f>
        <v>17.857267841429007</v>
      </c>
      <c r="G61" s="286">
        <f>LongTest!G81</f>
        <v>8.4072678414290092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45652.455555555549</v>
      </c>
      <c r="D62" s="549">
        <v>5</v>
      </c>
      <c r="E62" s="550"/>
      <c r="F62" s="286">
        <f>LongTest!F82</f>
        <v>17.188011460201068</v>
      </c>
      <c r="G62" s="286">
        <f>LongTest!G82</f>
        <v>7.7380114602010686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45652.459027777775</v>
      </c>
      <c r="D63" s="549">
        <v>10</v>
      </c>
      <c r="E63" s="550"/>
      <c r="F63" s="286">
        <f>LongTest!F83</f>
        <v>15.483270868618019</v>
      </c>
      <c r="G63" s="286">
        <f>LongTest!G83</f>
        <v>6.0332708686180201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45652.462499999994</v>
      </c>
      <c r="D64" s="549">
        <v>15</v>
      </c>
      <c r="E64" s="550"/>
      <c r="F64" s="286">
        <f>LongTest!F84</f>
        <v>15.158681504824028</v>
      </c>
      <c r="G64" s="286">
        <f>LongTest!G84</f>
        <v>5.7086815048240274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45652.46597222222</v>
      </c>
      <c r="D65" s="549">
        <v>20</v>
      </c>
      <c r="E65" s="550"/>
      <c r="F65" s="286">
        <f>LongTest!F85</f>
        <v>14.285983204912011</v>
      </c>
      <c r="G65" s="286">
        <f>LongTest!G85</f>
        <v>4.8359832049120115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45652.469444444439</v>
      </c>
      <c r="D66" s="549">
        <v>25</v>
      </c>
      <c r="E66" s="550"/>
      <c r="F66" s="286">
        <f>LongTest!F86</f>
        <v>13.901017163572192</v>
      </c>
      <c r="G66" s="286">
        <f>LongTest!G86</f>
        <v>4.4510171635721916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45652.472916666666</v>
      </c>
      <c r="D67" s="549">
        <v>30</v>
      </c>
      <c r="E67" s="550"/>
      <c r="F67" s="286">
        <f>LongTest!F87</f>
        <v>13.54669615276811</v>
      </c>
      <c r="G67" s="286">
        <f>LongTest!G87</f>
        <v>4.0966961527681098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45652.476388888885</v>
      </c>
      <c r="D68" s="549">
        <v>35</v>
      </c>
      <c r="E68" s="550"/>
      <c r="F68" s="286">
        <f>LongTest!F88</f>
        <v>13.434971769034254</v>
      </c>
      <c r="G68" s="286">
        <f>LongTest!G88</f>
        <v>3.9849717690342552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45652.479861111111</v>
      </c>
      <c r="D69" s="549">
        <v>40</v>
      </c>
      <c r="E69" s="550"/>
      <c r="F69" s="286">
        <f>LongTest!F89</f>
        <v>13.326294313228475</v>
      </c>
      <c r="G69" s="286">
        <f>LongTest!G89</f>
        <v>3.8762943132284762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45652.48333333333</v>
      </c>
      <c r="D70" s="549">
        <v>45</v>
      </c>
      <c r="E70" s="550"/>
      <c r="F70" s="286">
        <f>LongTest!F90</f>
        <v>13.220580690063166</v>
      </c>
      <c r="G70" s="286">
        <f>LongTest!G90</f>
        <v>3.7705806900631673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45652.486805555549</v>
      </c>
      <c r="D71" s="549">
        <v>50</v>
      </c>
      <c r="E71" s="550"/>
      <c r="F71" s="286">
        <f>LongTest!F91</f>
        <v>13.11775007041093</v>
      </c>
      <c r="G71" s="286">
        <f>LongTest!G91</f>
        <v>3.6677500704109298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45652.490277777775</v>
      </c>
      <c r="D72" s="549">
        <v>55</v>
      </c>
      <c r="E72" s="550"/>
      <c r="F72" s="286">
        <f>LongTest!F92</f>
        <v>13.017723829502245</v>
      </c>
      <c r="G72" s="286">
        <f>LongTest!G92</f>
        <v>3.5677238295022455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45652.493749999994</v>
      </c>
      <c r="D73" s="549">
        <v>60</v>
      </c>
      <c r="E73" s="550"/>
      <c r="F73" s="286">
        <f>LongTest!F93</f>
        <v>12.920425486808609</v>
      </c>
      <c r="G73" s="286">
        <f>LongTest!G93</f>
        <v>3.4704254868086104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45652.504166666666</v>
      </c>
      <c r="D74" s="549">
        <v>75</v>
      </c>
      <c r="E74" s="550"/>
      <c r="F74" s="286">
        <f>LongTest!F94</f>
        <v>12.825780647565169</v>
      </c>
      <c r="G74" s="286">
        <f>LongTest!G94</f>
        <v>3.3757806475651706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45652.51458333333</v>
      </c>
      <c r="D75" s="549">
        <v>90</v>
      </c>
      <c r="E75" s="550"/>
      <c r="F75" s="286">
        <f>LongTest!F95</f>
        <v>12.733716945888137</v>
      </c>
      <c r="G75" s="286">
        <f>LongTest!G95</f>
        <v>3.2837169458881377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45652.524999999994</v>
      </c>
      <c r="D76" s="549">
        <v>105</v>
      </c>
      <c r="E76" s="550"/>
      <c r="F76" s="286">
        <f>LongTest!F96</f>
        <v>12.644163989443497</v>
      </c>
      <c r="G76" s="286">
        <f>LongTest!G96</f>
        <v>3.194163989443497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45652.535416666666</v>
      </c>
      <c r="D77" s="549">
        <v>120</v>
      </c>
      <c r="E77" s="550"/>
      <c r="F77" s="286">
        <f>LongTest!F97</f>
        <v>12.389894151376794</v>
      </c>
      <c r="G77" s="286">
        <f>LongTest!G97</f>
        <v>2.9398941513767949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100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319</v>
      </c>
      <c r="H9" s="551">
        <f>Input!M51</f>
        <v>150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10.45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11.27</v>
      </c>
      <c r="G13" s="286">
        <f>StepTest!G13</f>
        <v>1.82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11.75</v>
      </c>
      <c r="G14" s="286">
        <f>StepTest!G14</f>
        <v>2.2999999999999998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12.079999999999998</v>
      </c>
      <c r="G15" s="286">
        <f>StepTest!G15</f>
        <v>2.63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12.35</v>
      </c>
      <c r="G16" s="286">
        <f>StepTest!G16</f>
        <v>2.9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13.16</v>
      </c>
      <c r="G17" s="286">
        <f>StepTest!G17</f>
        <v>3.71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13.64</v>
      </c>
      <c r="G18" s="286">
        <f>StepTest!G18</f>
        <v>4.1900000000000004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13.98</v>
      </c>
      <c r="G19" s="286">
        <f>StepTest!G19</f>
        <v>4.53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14.239999999999998</v>
      </c>
      <c r="G20" s="286">
        <f>StepTest!G20</f>
        <v>4.79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14.45</v>
      </c>
      <c r="G21" s="286">
        <f>StepTest!G21</f>
        <v>5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14.64</v>
      </c>
      <c r="G22" s="286">
        <f>StepTest!G22</f>
        <v>5.19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14.79</v>
      </c>
      <c r="G23" s="286">
        <f>StepTest!G23</f>
        <v>5.34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14.93</v>
      </c>
      <c r="G24" s="286">
        <f>StepTest!G24</f>
        <v>5.48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15.059999999999999</v>
      </c>
      <c r="G25" s="286">
        <f>StepTest!G25</f>
        <v>5.61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15.169999999999998</v>
      </c>
      <c r="G26" s="286">
        <f>StepTest!G26</f>
        <v>5.72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15.27</v>
      </c>
      <c r="G27" s="286">
        <f>StepTest!G27</f>
        <v>5.82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15.53</v>
      </c>
      <c r="G28" s="286">
        <f>StepTest!G28</f>
        <v>6.08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15.75</v>
      </c>
      <c r="G29" s="286">
        <f>StepTest!G29</f>
        <v>6.3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15.93</v>
      </c>
      <c r="G30" s="286">
        <f>StepTest!G30</f>
        <v>6.48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16.09</v>
      </c>
      <c r="G31" s="286">
        <f>StepTest!G31</f>
        <v>6.64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45491.558333333334</v>
      </c>
      <c r="D32" s="558">
        <v>130</v>
      </c>
      <c r="E32" s="558"/>
      <c r="F32" s="286">
        <f>StepTest!F32</f>
        <v>17.419999999999998</v>
      </c>
      <c r="G32" s="286">
        <f>StepTest!G32</f>
        <v>7.97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17.64</v>
      </c>
      <c r="G33" s="286">
        <f>StepTest!G33</f>
        <v>8.19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17.86</v>
      </c>
      <c r="G34" s="286">
        <f>StepTest!G34</f>
        <v>8.41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18.079999999999998</v>
      </c>
      <c r="G35" s="286">
        <f>StepTest!G35</f>
        <v>8.6300000000000008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18.309999999999999</v>
      </c>
      <c r="G36" s="286">
        <f>StepTest!G36</f>
        <v>8.86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45491.641666666663</v>
      </c>
      <c r="D37" s="558">
        <v>250</v>
      </c>
      <c r="E37" s="558"/>
      <c r="F37" s="286">
        <f>StepTest!F37</f>
        <v>19.799999999999997</v>
      </c>
      <c r="G37" s="286">
        <f>StepTest!G37</f>
        <v>10.35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20.049999999999997</v>
      </c>
      <c r="G38" s="286">
        <f>StepTest!G38</f>
        <v>10.6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20.299999999999997</v>
      </c>
      <c r="G39" s="286">
        <f>StepTest!G39</f>
        <v>10.85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20.549999999999997</v>
      </c>
      <c r="G40" s="286">
        <f>StepTest!G40</f>
        <v>11.1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20.799999999999997</v>
      </c>
      <c r="G41" s="286">
        <f>StepTest!G41</f>
        <v>11.35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45491.724999999999</v>
      </c>
      <c r="D42" s="551">
        <v>370</v>
      </c>
      <c r="E42" s="568"/>
      <c r="F42" s="286">
        <f>StepTest!F42</f>
        <v>22.46</v>
      </c>
      <c r="G42" s="286">
        <f>StepTest!G42</f>
        <v>13.01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22.74</v>
      </c>
      <c r="G43" s="286">
        <f>StepTest!G43</f>
        <v>13.29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23.02</v>
      </c>
      <c r="G44" s="286">
        <f>StepTest!G44</f>
        <v>13.57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23.299999999999997</v>
      </c>
      <c r="G45" s="286">
        <f>StepTest!G45</f>
        <v>13.85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23.58</v>
      </c>
      <c r="G46" s="286">
        <f>StepTest!G46</f>
        <v>14.13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45491.808333333334</v>
      </c>
      <c r="D47" s="551">
        <v>490</v>
      </c>
      <c r="E47" s="568"/>
      <c r="F47" s="286">
        <f>StepTest!F47</f>
        <v>25.27</v>
      </c>
      <c r="G47" s="286">
        <f>StepTest!G47</f>
        <v>15.82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25.9</v>
      </c>
      <c r="G48" s="286">
        <f>StepTest!G48</f>
        <v>16.45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26.54</v>
      </c>
      <c r="G49" s="286">
        <f>StepTest!G49</f>
        <v>17.09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27.169999999999998</v>
      </c>
      <c r="G50" s="286">
        <f>StepTest!G50</f>
        <v>17.72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45651.45208333333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45653.45208333333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58">
        <v>1</v>
      </c>
      <c r="E12" s="558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58">
        <v>2</v>
      </c>
      <c r="E13" s="558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58">
        <v>3</v>
      </c>
      <c r="E14" s="558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58">
        <v>4</v>
      </c>
      <c r="E15" s="558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58">
        <v>5</v>
      </c>
      <c r="E16" s="558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58">
        <v>10</v>
      </c>
      <c r="E17" s="558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58">
        <v>15</v>
      </c>
      <c r="E18" s="558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58">
        <v>20</v>
      </c>
      <c r="E19" s="558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58">
        <v>25</v>
      </c>
      <c r="E20" s="558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58">
        <v>30</v>
      </c>
      <c r="E21" s="558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58">
        <v>35</v>
      </c>
      <c r="E22" s="558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58">
        <v>40</v>
      </c>
      <c r="E23" s="558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58">
        <v>45</v>
      </c>
      <c r="E24" s="558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58">
        <v>50</v>
      </c>
      <c r="E25" s="558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58">
        <v>55</v>
      </c>
      <c r="E26" s="558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58">
        <v>60</v>
      </c>
      <c r="E27" s="558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58">
        <v>75</v>
      </c>
      <c r="E28" s="558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58">
        <v>90</v>
      </c>
      <c r="E29" s="558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58">
        <v>105</v>
      </c>
      <c r="E30" s="558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58">
        <v>120</v>
      </c>
      <c r="E31" s="558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58">
        <v>140</v>
      </c>
      <c r="E32" s="558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58">
        <v>160</v>
      </c>
      <c r="E33" s="558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58">
        <v>180</v>
      </c>
      <c r="E34" s="558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58">
        <v>240</v>
      </c>
      <c r="E35" s="558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58">
        <v>300</v>
      </c>
      <c r="E36" s="558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58">
        <v>360</v>
      </c>
      <c r="E37" s="558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58">
        <v>420</v>
      </c>
      <c r="E38" s="558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58">
        <v>480</v>
      </c>
      <c r="E39" s="558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58">
        <v>540</v>
      </c>
      <c r="E40" s="558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58">
        <v>600</v>
      </c>
      <c r="E41" s="558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58">
        <v>660</v>
      </c>
      <c r="E42" s="558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58">
        <v>720</v>
      </c>
      <c r="E43" s="558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58">
        <v>780</v>
      </c>
      <c r="E44" s="558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58">
        <v>840</v>
      </c>
      <c r="E45" s="558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58">
        <v>900</v>
      </c>
      <c r="E46" s="558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58">
        <v>960</v>
      </c>
      <c r="E47" s="558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58">
        <v>1020</v>
      </c>
      <c r="E48" s="558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58">
        <v>1080</v>
      </c>
      <c r="E49" s="558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58">
        <v>1140</v>
      </c>
      <c r="E50" s="558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58">
        <v>1200</v>
      </c>
      <c r="E51" s="558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58">
        <v>1260</v>
      </c>
      <c r="E52" s="558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58">
        <v>1320</v>
      </c>
      <c r="E53" s="558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58">
        <v>1380</v>
      </c>
      <c r="E54" s="558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58">
        <v>1440</v>
      </c>
      <c r="E55" s="558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50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50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50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50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50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50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50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50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50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50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50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50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50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50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50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50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50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50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50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50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50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50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50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45653.45208333333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45653.45208333333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45653.70208333333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45653.452777777777</v>
      </c>
      <c r="D12" s="549">
        <v>1</v>
      </c>
      <c r="E12" s="550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45653.453472222216</v>
      </c>
      <c r="D13" s="549">
        <v>2</v>
      </c>
      <c r="E13" s="550"/>
      <c r="F13" s="286">
        <f>LongTest!F79</f>
        <v>19.374437782107812</v>
      </c>
      <c r="G13" s="286">
        <f>LongTest!G79</f>
        <v>9.9244377821078142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45653.454166666663</v>
      </c>
      <c r="D14" s="549">
        <v>3</v>
      </c>
      <c r="E14" s="550"/>
      <c r="F14" s="286">
        <f>LongTest!F80</f>
        <v>18.58440784122201</v>
      </c>
      <c r="G14" s="286">
        <f>LongTest!G80</f>
        <v>9.1344078412220089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45653.454861111109</v>
      </c>
      <c r="D15" s="549">
        <v>4</v>
      </c>
      <c r="E15" s="550"/>
      <c r="F15" s="286">
        <f>LongTest!F81</f>
        <v>17.857267841429007</v>
      </c>
      <c r="G15" s="286">
        <f>LongTest!G81</f>
        <v>8.4072678414290092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45653.455555555549</v>
      </c>
      <c r="D16" s="549">
        <v>5</v>
      </c>
      <c r="E16" s="550"/>
      <c r="F16" s="286">
        <f>LongTest!F82</f>
        <v>17.188011460201068</v>
      </c>
      <c r="G16" s="286">
        <f>LongTest!G82</f>
        <v>7.7380114602010686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45653.459027777775</v>
      </c>
      <c r="D17" s="549">
        <v>10</v>
      </c>
      <c r="E17" s="550"/>
      <c r="F17" s="286">
        <f>LongTest!F83</f>
        <v>15.483270868618019</v>
      </c>
      <c r="G17" s="286">
        <f>LongTest!G83</f>
        <v>6.0332708686180201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45653.462499999994</v>
      </c>
      <c r="D18" s="549">
        <v>15</v>
      </c>
      <c r="E18" s="550"/>
      <c r="F18" s="286">
        <f>LongTest!F84</f>
        <v>15.158681504824028</v>
      </c>
      <c r="G18" s="286">
        <f>LongTest!G84</f>
        <v>5.7086815048240274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45653.46597222222</v>
      </c>
      <c r="D19" s="549">
        <v>20</v>
      </c>
      <c r="E19" s="550"/>
      <c r="F19" s="286">
        <f>LongTest!F85</f>
        <v>14.285983204912011</v>
      </c>
      <c r="G19" s="286">
        <f>LongTest!G85</f>
        <v>4.8359832049120115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45653.469444444439</v>
      </c>
      <c r="D20" s="549">
        <v>25</v>
      </c>
      <c r="E20" s="550"/>
      <c r="F20" s="286">
        <f>LongTest!F86</f>
        <v>13.901017163572192</v>
      </c>
      <c r="G20" s="286">
        <f>LongTest!G86</f>
        <v>4.4510171635721916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45653.472916666666</v>
      </c>
      <c r="D21" s="549">
        <v>30</v>
      </c>
      <c r="E21" s="550"/>
      <c r="F21" s="286">
        <f>LongTest!F87</f>
        <v>13.54669615276811</v>
      </c>
      <c r="G21" s="286">
        <f>LongTest!G87</f>
        <v>4.0966961527681098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45653.476388888885</v>
      </c>
      <c r="D22" s="549">
        <v>35</v>
      </c>
      <c r="E22" s="550"/>
      <c r="F22" s="286">
        <f>LongTest!F88</f>
        <v>13.434971769034254</v>
      </c>
      <c r="G22" s="286">
        <f>LongTest!G88</f>
        <v>3.9849717690342552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45653.479861111111</v>
      </c>
      <c r="D23" s="549">
        <v>40</v>
      </c>
      <c r="E23" s="550"/>
      <c r="F23" s="286">
        <f>LongTest!F89</f>
        <v>13.326294313228475</v>
      </c>
      <c r="G23" s="286">
        <f>LongTest!G89</f>
        <v>3.8762943132284762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45653.48333333333</v>
      </c>
      <c r="D24" s="549">
        <v>45</v>
      </c>
      <c r="E24" s="550"/>
      <c r="F24" s="286">
        <f>LongTest!F90</f>
        <v>13.220580690063166</v>
      </c>
      <c r="G24" s="286">
        <f>LongTest!G90</f>
        <v>3.7705806900631673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45653.486805555549</v>
      </c>
      <c r="D25" s="549">
        <v>50</v>
      </c>
      <c r="E25" s="550"/>
      <c r="F25" s="286">
        <f>LongTest!F91</f>
        <v>13.11775007041093</v>
      </c>
      <c r="G25" s="286">
        <f>LongTest!G91</f>
        <v>3.6677500704109298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45653.490277777775</v>
      </c>
      <c r="D26" s="549">
        <v>55</v>
      </c>
      <c r="E26" s="550"/>
      <c r="F26" s="286">
        <f>LongTest!F92</f>
        <v>13.017723829502245</v>
      </c>
      <c r="G26" s="286">
        <f>LongTest!G92</f>
        <v>3.5677238295022455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45653.493749999994</v>
      </c>
      <c r="D27" s="549">
        <v>60</v>
      </c>
      <c r="E27" s="550"/>
      <c r="F27" s="286">
        <f>LongTest!F93</f>
        <v>12.920425486808609</v>
      </c>
      <c r="G27" s="286">
        <f>LongTest!G93</f>
        <v>3.4704254868086104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45653.504166666666</v>
      </c>
      <c r="D28" s="549">
        <v>75</v>
      </c>
      <c r="E28" s="550"/>
      <c r="F28" s="286">
        <f>LongTest!F94</f>
        <v>12.825780647565169</v>
      </c>
      <c r="G28" s="286">
        <f>LongTest!G94</f>
        <v>3.3757806475651706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45653.51458333333</v>
      </c>
      <c r="D29" s="549">
        <v>90</v>
      </c>
      <c r="E29" s="550"/>
      <c r="F29" s="286">
        <f>LongTest!F95</f>
        <v>12.733716945888137</v>
      </c>
      <c r="G29" s="286">
        <f>LongTest!G95</f>
        <v>3.2837169458881377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45653.524999999994</v>
      </c>
      <c r="D30" s="549">
        <v>105</v>
      </c>
      <c r="E30" s="550"/>
      <c r="F30" s="286">
        <f>LongTest!F96</f>
        <v>12.644163989443497</v>
      </c>
      <c r="G30" s="286">
        <f>LongTest!G96</f>
        <v>3.194163989443497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45653.535416666666</v>
      </c>
      <c r="D31" s="549">
        <v>120</v>
      </c>
      <c r="E31" s="550"/>
      <c r="F31" s="286">
        <f>LongTest!F97</f>
        <v>12.389894151376794</v>
      </c>
      <c r="G31" s="286">
        <f>LongTest!G97</f>
        <v>2.9398941513767949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45653.57708333333</v>
      </c>
      <c r="D32" s="549">
        <v>180</v>
      </c>
      <c r="E32" s="550"/>
      <c r="F32" s="286">
        <f>LongTest!F98</f>
        <v>12.309717870281746</v>
      </c>
      <c r="G32" s="286">
        <f>LongTest!G98</f>
        <v>2.859717870281747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45653.618749999994</v>
      </c>
      <c r="D33" s="549">
        <v>240</v>
      </c>
      <c r="E33" s="550"/>
      <c r="F33" s="286">
        <f>LongTest!F99</f>
        <v>11.872546708864883</v>
      </c>
      <c r="G33" s="286">
        <f>LongTest!G99</f>
        <v>2.4225467088648833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45653.660416666666</v>
      </c>
      <c r="D34" s="549">
        <v>300</v>
      </c>
      <c r="E34" s="550"/>
      <c r="F34" s="286">
        <f>LongTest!F100</f>
        <v>11.502206833974805</v>
      </c>
      <c r="G34" s="286">
        <f>LongTest!G100</f>
        <v>2.0522068339748056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45653.70208333333</v>
      </c>
      <c r="D35" s="556">
        <v>360</v>
      </c>
      <c r="E35" s="557"/>
      <c r="F35" s="314">
        <f>LongTest!F101</f>
        <v>11.18848160450383</v>
      </c>
      <c r="G35" s="314">
        <f>LongTest!G101</f>
        <v>1.7384816045038303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순성중명아파트 이용허가 유효기간의 연장을 위한 지하수영향조사보고서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충청남도 당진시 순성면 순성로 453-30번지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45651.45208333333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45652.45208333333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100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9.4499999999999993</v>
      </c>
      <c r="F9" s="295" t="s">
        <v>299</v>
      </c>
      <c r="G9" s="295" t="s">
        <v>304</v>
      </c>
      <c r="H9" s="622">
        <f>LongTest!G8</f>
        <v>25.330000000000002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45651.452777777777</v>
      </c>
      <c r="D12" s="560">
        <v>1</v>
      </c>
      <c r="E12" s="560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45651.453472222216</v>
      </c>
      <c r="D13" s="560">
        <v>2</v>
      </c>
      <c r="E13" s="560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45651.454166666663</v>
      </c>
      <c r="D14" s="560">
        <v>3</v>
      </c>
      <c r="E14" s="560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45651.454861111109</v>
      </c>
      <c r="D15" s="560">
        <v>4</v>
      </c>
      <c r="E15" s="560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45651.455555555549</v>
      </c>
      <c r="D16" s="560">
        <v>5</v>
      </c>
      <c r="E16" s="560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45651.459027777775</v>
      </c>
      <c r="D17" s="560">
        <v>10</v>
      </c>
      <c r="E17" s="560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45651.462499999994</v>
      </c>
      <c r="D18" s="560">
        <v>15</v>
      </c>
      <c r="E18" s="560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45651.46597222222</v>
      </c>
      <c r="D19" s="560">
        <v>20</v>
      </c>
      <c r="E19" s="560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45651.469444444439</v>
      </c>
      <c r="D20" s="560">
        <v>25</v>
      </c>
      <c r="E20" s="560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45651.472916666666</v>
      </c>
      <c r="D21" s="560">
        <v>30</v>
      </c>
      <c r="E21" s="560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45651.476388888885</v>
      </c>
      <c r="D22" s="560">
        <v>35</v>
      </c>
      <c r="E22" s="560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45651.479861111111</v>
      </c>
      <c r="D23" s="560">
        <v>40</v>
      </c>
      <c r="E23" s="560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45651.48333333333</v>
      </c>
      <c r="D24" s="560">
        <v>45</v>
      </c>
      <c r="E24" s="560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45651.486805555549</v>
      </c>
      <c r="D25" s="560">
        <v>50</v>
      </c>
      <c r="E25" s="560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45651.490277777775</v>
      </c>
      <c r="D26" s="560">
        <v>55</v>
      </c>
      <c r="E26" s="560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45651.493749999994</v>
      </c>
      <c r="D27" s="560">
        <v>60</v>
      </c>
      <c r="E27" s="560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45651.504166666666</v>
      </c>
      <c r="D28" s="560">
        <v>75</v>
      </c>
      <c r="E28" s="560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45651.51458333333</v>
      </c>
      <c r="D29" s="560">
        <v>90</v>
      </c>
      <c r="E29" s="560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45651.524999999994</v>
      </c>
      <c r="D30" s="560">
        <v>105</v>
      </c>
      <c r="E30" s="560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45651.535416666666</v>
      </c>
      <c r="D31" s="560">
        <v>120</v>
      </c>
      <c r="E31" s="560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45651.549305555549</v>
      </c>
      <c r="D32" s="560">
        <v>140</v>
      </c>
      <c r="E32" s="560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45651.563194444439</v>
      </c>
      <c r="D33" s="560">
        <v>160</v>
      </c>
      <c r="E33" s="560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45651.57708333333</v>
      </c>
      <c r="D34" s="560">
        <v>180</v>
      </c>
      <c r="E34" s="560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45651.618749999994</v>
      </c>
      <c r="D35" s="560">
        <v>240</v>
      </c>
      <c r="E35" s="560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45651.660416666666</v>
      </c>
      <c r="D36" s="560">
        <v>300</v>
      </c>
      <c r="E36" s="560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45651.70208333333</v>
      </c>
      <c r="D37" s="560">
        <v>360</v>
      </c>
      <c r="E37" s="560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45651.743749999994</v>
      </c>
      <c r="D38" s="560">
        <v>420</v>
      </c>
      <c r="E38" s="560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45651.785416666666</v>
      </c>
      <c r="D39" s="560">
        <v>480</v>
      </c>
      <c r="E39" s="560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45651.82708333333</v>
      </c>
      <c r="D40" s="560">
        <v>540</v>
      </c>
      <c r="E40" s="560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45651.868749999994</v>
      </c>
      <c r="D41" s="560">
        <v>600</v>
      </c>
      <c r="E41" s="560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45651.910416666666</v>
      </c>
      <c r="D42" s="560">
        <v>660</v>
      </c>
      <c r="E42" s="560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45651.95208333333</v>
      </c>
      <c r="D43" s="560">
        <v>720</v>
      </c>
      <c r="E43" s="560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45651.993749999994</v>
      </c>
      <c r="D44" s="560">
        <v>780</v>
      </c>
      <c r="E44" s="560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45652.035416666666</v>
      </c>
      <c r="D45" s="560">
        <v>840</v>
      </c>
      <c r="E45" s="560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45652.07708333333</v>
      </c>
      <c r="D46" s="560">
        <v>900</v>
      </c>
      <c r="E46" s="560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45652.118749999994</v>
      </c>
      <c r="D47" s="560">
        <v>960</v>
      </c>
      <c r="E47" s="560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45652.160416666666</v>
      </c>
      <c r="D48" s="560">
        <v>1020</v>
      </c>
      <c r="E48" s="560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45652.20208333333</v>
      </c>
      <c r="D49" s="560">
        <v>1080</v>
      </c>
      <c r="E49" s="560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45652.243749999994</v>
      </c>
      <c r="D50" s="560">
        <v>1140</v>
      </c>
      <c r="E50" s="560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45652.285416666666</v>
      </c>
      <c r="D51" s="560">
        <v>1200</v>
      </c>
      <c r="E51" s="560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45652.32708333333</v>
      </c>
      <c r="D52" s="560">
        <v>1260</v>
      </c>
      <c r="E52" s="560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45652.368749999994</v>
      </c>
      <c r="D53" s="560">
        <v>1320</v>
      </c>
      <c r="E53" s="560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45652.410416666666</v>
      </c>
      <c r="D54" s="560">
        <v>1380</v>
      </c>
      <c r="E54" s="560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45652.45208333333</v>
      </c>
      <c r="D55" s="560">
        <v>1440</v>
      </c>
      <c r="E55" s="560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순성중명아파트 이용허가 유효기간의 연장을 위한 지하수영향조사보고서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충청남도 당진시 순성면 순성로 453-30번지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45652.45208333333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45652.535416666666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100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9.4499999999999993</v>
      </c>
      <c r="F9" s="281" t="s">
        <v>299</v>
      </c>
      <c r="G9" s="281" t="s">
        <v>304</v>
      </c>
      <c r="H9" s="551">
        <f>LongTest!G8</f>
        <v>25.330000000000002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45652.452777777777</v>
      </c>
      <c r="D12" s="549">
        <v>1</v>
      </c>
      <c r="E12" s="550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45652.453472222216</v>
      </c>
      <c r="D13" s="549">
        <v>2</v>
      </c>
      <c r="E13" s="550"/>
      <c r="F13" s="286">
        <f>LongTest!F79</f>
        <v>19.374437782107812</v>
      </c>
      <c r="G13" s="286">
        <f>LongTest!G79</f>
        <v>9.9244377821078142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45652.454166666663</v>
      </c>
      <c r="D14" s="549">
        <v>3</v>
      </c>
      <c r="E14" s="550"/>
      <c r="F14" s="286">
        <f>LongTest!F80</f>
        <v>18.58440784122201</v>
      </c>
      <c r="G14" s="286">
        <f>LongTest!G80</f>
        <v>9.1344078412220089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45652.454861111109</v>
      </c>
      <c r="D15" s="549">
        <v>4</v>
      </c>
      <c r="E15" s="550"/>
      <c r="F15" s="286">
        <f>LongTest!F81</f>
        <v>17.857267841429007</v>
      </c>
      <c r="G15" s="286">
        <f>LongTest!G81</f>
        <v>8.4072678414290092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45652.455555555549</v>
      </c>
      <c r="D16" s="549">
        <v>5</v>
      </c>
      <c r="E16" s="550"/>
      <c r="F16" s="286">
        <f>LongTest!F82</f>
        <v>17.188011460201068</v>
      </c>
      <c r="G16" s="286">
        <f>LongTest!G82</f>
        <v>7.7380114602010686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45652.459027777775</v>
      </c>
      <c r="D17" s="549">
        <v>10</v>
      </c>
      <c r="E17" s="550"/>
      <c r="F17" s="286">
        <f>LongTest!F83</f>
        <v>15.483270868618019</v>
      </c>
      <c r="G17" s="286">
        <f>LongTest!G83</f>
        <v>6.0332708686180201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45652.462499999994</v>
      </c>
      <c r="D18" s="549">
        <v>15</v>
      </c>
      <c r="E18" s="550"/>
      <c r="F18" s="286">
        <f>LongTest!F84</f>
        <v>15.158681504824028</v>
      </c>
      <c r="G18" s="286">
        <f>LongTest!G84</f>
        <v>5.7086815048240274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45652.46597222222</v>
      </c>
      <c r="D19" s="549">
        <v>20</v>
      </c>
      <c r="E19" s="550"/>
      <c r="F19" s="286">
        <f>LongTest!F85</f>
        <v>14.285983204912011</v>
      </c>
      <c r="G19" s="286">
        <f>LongTest!G85</f>
        <v>4.8359832049120115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45652.469444444439</v>
      </c>
      <c r="D20" s="549">
        <v>25</v>
      </c>
      <c r="E20" s="550"/>
      <c r="F20" s="286">
        <f>LongTest!F86</f>
        <v>13.901017163572192</v>
      </c>
      <c r="G20" s="286">
        <f>LongTest!G86</f>
        <v>4.4510171635721916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45652.472916666666</v>
      </c>
      <c r="D21" s="549">
        <v>30</v>
      </c>
      <c r="E21" s="550"/>
      <c r="F21" s="286">
        <f>LongTest!F87</f>
        <v>13.54669615276811</v>
      </c>
      <c r="G21" s="286">
        <f>LongTest!G87</f>
        <v>4.0966961527681098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45652.476388888885</v>
      </c>
      <c r="D22" s="549">
        <v>35</v>
      </c>
      <c r="E22" s="550"/>
      <c r="F22" s="286">
        <f>LongTest!F88</f>
        <v>13.434971769034254</v>
      </c>
      <c r="G22" s="286">
        <f>LongTest!G88</f>
        <v>3.9849717690342552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45652.479861111111</v>
      </c>
      <c r="D23" s="549">
        <v>40</v>
      </c>
      <c r="E23" s="550"/>
      <c r="F23" s="286">
        <f>LongTest!F89</f>
        <v>13.326294313228475</v>
      </c>
      <c r="G23" s="286">
        <f>LongTest!G89</f>
        <v>3.8762943132284762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45652.48333333333</v>
      </c>
      <c r="D24" s="549">
        <v>45</v>
      </c>
      <c r="E24" s="550"/>
      <c r="F24" s="286">
        <f>LongTest!F90</f>
        <v>13.220580690063166</v>
      </c>
      <c r="G24" s="286">
        <f>LongTest!G90</f>
        <v>3.7705806900631673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45652.486805555549</v>
      </c>
      <c r="D25" s="549">
        <v>50</v>
      </c>
      <c r="E25" s="550"/>
      <c r="F25" s="286">
        <f>LongTest!F91</f>
        <v>13.11775007041093</v>
      </c>
      <c r="G25" s="286">
        <f>LongTest!G91</f>
        <v>3.6677500704109298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45652.490277777775</v>
      </c>
      <c r="D26" s="549">
        <v>55</v>
      </c>
      <c r="E26" s="550"/>
      <c r="F26" s="286">
        <f>LongTest!F92</f>
        <v>13.017723829502245</v>
      </c>
      <c r="G26" s="286">
        <f>LongTest!G92</f>
        <v>3.5677238295022455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45652.493749999994</v>
      </c>
      <c r="D27" s="549">
        <v>60</v>
      </c>
      <c r="E27" s="550"/>
      <c r="F27" s="286">
        <f>LongTest!F93</f>
        <v>12.920425486808609</v>
      </c>
      <c r="G27" s="286">
        <f>LongTest!G93</f>
        <v>3.4704254868086104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45652.504166666666</v>
      </c>
      <c r="D28" s="549">
        <v>75</v>
      </c>
      <c r="E28" s="550"/>
      <c r="F28" s="286">
        <f>LongTest!F94</f>
        <v>12.825780647565169</v>
      </c>
      <c r="G28" s="286">
        <f>LongTest!G94</f>
        <v>3.3757806475651706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45652.51458333333</v>
      </c>
      <c r="D29" s="549">
        <v>90</v>
      </c>
      <c r="E29" s="550"/>
      <c r="F29" s="286">
        <f>LongTest!F95</f>
        <v>12.733716945888137</v>
      </c>
      <c r="G29" s="286">
        <f>LongTest!G95</f>
        <v>3.2837169458881377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45652.524999999994</v>
      </c>
      <c r="D30" s="549">
        <v>105</v>
      </c>
      <c r="E30" s="550"/>
      <c r="F30" s="286">
        <f>LongTest!F96</f>
        <v>12.644163989443497</v>
      </c>
      <c r="G30" s="286">
        <f>LongTest!G96</f>
        <v>3.194163989443497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45652.535416666666</v>
      </c>
      <c r="D31" s="549">
        <v>120</v>
      </c>
      <c r="E31" s="550"/>
      <c r="F31" s="286">
        <f>LongTest!F97</f>
        <v>12.389894151376794</v>
      </c>
      <c r="G31" s="286">
        <f>LongTest!G97</f>
        <v>2.9398941513767949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45651.45208333333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45651.455555555549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45651.472916666666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45651.493749999994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45651.535416666666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45651.618749999994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45651.785416666666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45652.45208333333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45652.618749999994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45652.785416666666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45653.45208333333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2024-12-29T02:09:51Z</dcterms:modified>
</cp:coreProperties>
</file>