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comments5.xml" ContentType="application/vnd.openxmlformats-officedocument.spreadsheetml.comments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9_hardRain\09_ihanseol - 2024\11_농업용 - 부여, 4개공 ,농업용 대형관정 사후관리 및 연장허가 - 부여지하수개발\01_반교리 574\04_양수시험\"/>
    </mc:Choice>
  </mc:AlternateContent>
  <xr:revisionPtr revIDLastSave="0" documentId="13_ncr:1_{55EEE763-A55A-4273-BAA5-348DEEF45AED}" xr6:coauthVersionLast="47" xr6:coauthVersionMax="47" xr10:uidLastSave="{00000000-0000-0000-0000-000000000000}"/>
  <bookViews>
    <workbookView xWindow="5505" yWindow="450" windowWidth="30615" windowHeight="19800" tabRatio="557" firstSheet="2" activeTab="10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  <sheet name="out" sheetId="13" r:id="rId12"/>
  </sheets>
  <functionGroups builtInGroupCount="19"/>
  <definedNames>
    <definedName name="baseTemp" localSheetId="10">'w1'!$C$7</definedName>
    <definedName name="EffectiveRadius">SkinFactor!$H$10</definedName>
    <definedName name="GoalSeekTarget" localSheetId="11">out!#REF!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11">out!$A$1:$I$101</definedName>
    <definedName name="_xlnm.Print_Area" localSheetId="5">StepTest!$A$1:$I$51</definedName>
    <definedName name="_xlnm.Print_Titles" localSheetId="6">LongTest!$1:$9</definedName>
    <definedName name="_xlnm.Print_Titles" localSheetId="11">out!$1:$9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 localSheetId="11">out!$A$1:$I$101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8" i="10" l="1"/>
  <c r="A27" i="9"/>
  <c r="C6" i="11"/>
  <c r="O52" i="2"/>
  <c r="O51" i="2"/>
  <c r="P51" i="2" s="1"/>
  <c r="C29" i="4"/>
  <c r="C59" i="2"/>
  <c r="F59" i="2"/>
  <c r="F62" i="2" s="1"/>
  <c r="I59" i="2" s="1"/>
  <c r="C61" i="2"/>
  <c r="E20" i="2"/>
  <c r="C62" i="2" l="1"/>
  <c r="I61" i="2" s="1"/>
  <c r="C4" i="11" l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W12" i="6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W34" i="6" l="1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AC34" i="7" s="1"/>
  <c r="W77" i="7"/>
  <c r="W66" i="7"/>
  <c r="W50" i="7"/>
  <c r="W45" i="7"/>
  <c r="W29" i="7"/>
  <c r="AC29" i="7" s="1"/>
  <c r="W26" i="7"/>
  <c r="W73" i="7"/>
  <c r="W55" i="7"/>
  <c r="W41" i="7"/>
  <c r="W60" i="7"/>
  <c r="W49" i="7"/>
  <c r="W37" i="7"/>
  <c r="W33" i="7"/>
  <c r="AC33" i="7" s="1"/>
  <c r="W81" i="7"/>
  <c r="W78" i="7"/>
  <c r="W65" i="7"/>
  <c r="W54" i="7"/>
  <c r="W40" i="7"/>
  <c r="W36" i="7"/>
  <c r="W32" i="7"/>
  <c r="AC32" i="7" s="1"/>
  <c r="W27" i="7"/>
  <c r="AC27" i="7" s="1"/>
  <c r="W5" i="7"/>
  <c r="W64" i="7"/>
  <c r="W72" i="7"/>
  <c r="W57" i="7"/>
  <c r="W44" i="7"/>
  <c r="W28" i="7"/>
  <c r="AC28" i="7" s="1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AC30" i="7" s="1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AC31" i="7" s="1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A7" i="10" l="1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N19" i="7" l="1"/>
  <c r="P17" i="7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58" i="9" l="1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C35" i="7" s="1"/>
  <c r="AC36" i="7" s="1"/>
  <c r="AC37" i="7" s="1"/>
  <c r="AC38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10" authorId="0" shapeId="0" xr:uid="{18FCE714-FA87-4899-91F0-0E1F6245E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C46" authorId="0" shapeId="0" xr:uid="{5A486F4B-250F-415D-9EB0-439CB814287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<sst xmlns="http://schemas.openxmlformats.org/spreadsheetml/2006/main" count="1195" uniqueCount="313">
  <si>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</si>
  <si>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</si>
  <si>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</si>
  <si>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</si>
  <si>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</si>
  <si>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</si>
  <si>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</si>
  <si>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</si>
  <si>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</si>
  <si>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</si>
  <si>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</si>
  <si>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</si>
  <si>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</si>
  <si>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</si>
  <si>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</si>
  <si>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</si>
  <si>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</si>
  <si>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</si>
  <si>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</si>
  <si>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</si>
  <si>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</si>
  <si>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</si>
  <si>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</si>
  <si>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</si>
  <si>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</si>
  <si>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</si>
  <si>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</si>
  <si>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</si>
  <si>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</si>
  <si>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</si>
  <si>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</si>
  <si>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</si>
  <si>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</si>
  <si>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</si>
  <si>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</si>
  <si>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</si>
  <si>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</si>
  <si>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</si>
  <si>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</si>
  <si>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</si>
  <si>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</si>
  <si>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</si>
  <si>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</si>
  <si>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</si>
  <si>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</si>
  <si>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</si>
  <si>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</si>
  <si>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</si>
  <si>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</si>
  <si>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</si>
  <si>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</si>
  <si>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</si>
  <si>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</si>
  <si>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</si>
  <si>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</si>
  <si>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</si>
  <si>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</si>
  <si>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</si>
  <si>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</si>
  <si>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</si>
  <si>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</si>
  <si>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</si>
  <si>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</si>
  <si>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</si>
  <si>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</si>
  <si>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</si>
  <si>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</si>
  <si>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</si>
  <si>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</si>
  <si>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</si>
  <si>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</si>
  <si>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</si>
  <si>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</si>
  <si>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</si>
  <si>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</si>
  <si>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</si>
  <si>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</si>
  <si>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</si>
  <si>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</si>
  <si>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</si>
  <si>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</si>
  <si>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</si>
  <si>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</si>
  <si>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</si>
  <si>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</si>
  <si>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</si>
  <si>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</si>
  <si>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</si>
  <si>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</si>
  <si>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</si>
  <si>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</si>
  <si>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</si>
  <si>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</si>
  <si>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</si>
  <si>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</si>
  <si>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</si>
  <si>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</si>
  <si>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</si>
  <si>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</si>
  <si>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</si>
  <si>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</si>
  <si>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</si>
  <si>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</si>
  <si>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</si>
  <si>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</si>
  <si>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</si>
  <si>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</si>
  <si>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</si>
  <si>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</si>
  <si>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</si>
  <si>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</si>
  <si>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</si>
  <si>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</si>
  <si>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</si>
  <si>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</si>
  <si>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</si>
  <si>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</si>
  <si>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</si>
  <si>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</si>
  <si>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</si>
  <si>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</si>
  <si>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</si>
  <si>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</si>
  <si>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</si>
  <si>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</si>
  <si>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</si>
  <si>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</si>
  <si>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</si>
  <si>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</si>
  <si>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</si>
  <si>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</si>
  <si>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</si>
  <si>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</si>
  <si>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</si>
  <si>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</si>
  <si>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</si>
  <si>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</si>
  <si>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</si>
  <si>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</si>
  <si>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</si>
  <si>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</si>
  <si>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</si>
  <si>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</si>
  <si>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</si>
  <si>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</si>
  <si>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</si>
  <si>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</si>
  <si>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</si>
  <si>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</si>
  <si>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</si>
  <si>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</si>
  <si>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</si>
  <si>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</si>
  <si>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</si>
  <si>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</si>
  <si>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</si>
  <si>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</si>
  <si>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</si>
  <si>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</si>
  <si>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</si>
  <si>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</si>
  <si>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</si>
  <si>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</si>
  <si>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</si>
  <si>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</si>
  <si>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</si>
  <si>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</si>
  <si>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</si>
  <si>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</si>
  <si>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</si>
  <si>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</si>
  <si>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</si>
  <si>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</si>
  <si>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</si>
  <si>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</si>
  <si>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</si>
  <si>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</si>
  <si>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</si>
  <si>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</si>
  <si>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</si>
  <si>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</si>
  <si>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</si>
  <si>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</si>
  <si>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</si>
  <si>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</si>
  <si>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</si>
  <si>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</si>
  <si>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</si>
  <si>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</si>
  <si>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</si>
  <si>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</si>
  <si>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</si>
  <si>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</si>
  <si>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</si>
  <si>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</si>
  <si>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</si>
  <si>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</si>
  <si>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</si>
  <si>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</si>
  <si>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</si>
  <si>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</si>
  <si>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</si>
  <si>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</si>
  <si>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</si>
  <si>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</si>
  <si>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</si>
  <si>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</si>
  <si>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</si>
  <si>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</si>
  <si>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</si>
  <si>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</si>
  <si>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</si>
  <si>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</si>
  <si>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</si>
  <si>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</si>
  <si>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</si>
  <si>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</si>
  <si>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</si>
  <si>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</si>
  <si>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</si>
  <si>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</si>
  <si>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</si>
  <si>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</si>
  <si>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</si>
  <si>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</si>
  <si>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</si>
  <si>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</si>
  <si>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</si>
  <si>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</si>
  <si>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</si>
  <si>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</si>
  <si>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</si>
  <si>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</si>
  <si>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</si>
  <si>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</si>
  <si>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</si>
  <si>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</si>
  <si>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</si>
  <si>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</si>
  <si>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</si>
  <si>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</si>
  <si>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</si>
  <si>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</si>
  <si>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</si>
  <si>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</si>
  <si>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</si>
  <si>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</si>
  <si>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</si>
  <si>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</si>
  <si>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</si>
  <si>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</si>
  <si>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</si>
  <si>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</si>
  <si>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</si>
  <si>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</si>
  <si>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</si>
  <si>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</si>
  <si>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</si>
  <si>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</si>
  <si>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</si>
  <si>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</si>
  <si>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</si>
  <si>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</si>
  <si>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</si>
  <si>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</si>
  <si>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</si>
  <si>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</si>
  <si>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</si>
  <si>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</si>
  <si>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</si>
  <si>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</si>
  <si>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</si>
  <si>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</si>
  <si>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</si>
  <si>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</si>
  <si>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</si>
  <si>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</si>
  <si>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</si>
  <si>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</si>
  <si>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</si>
  <si>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</si>
  <si>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</si>
  <si>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</si>
  <si>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</si>
  <si>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</si>
  <si>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</si>
  <si>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</si>
  <si>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</si>
  <si>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</si>
  <si>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</si>
  <si>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</si>
  <si>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</si>
  <si>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</si>
  <si>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</si>
  <si>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</si>
  <si>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</si>
  <si>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</si>
  <si>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</si>
  <si>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공  번 : W - 1</t>
  </si>
  <si>
    <t>충청남도 부여군 외산면 반교리 574</t>
    <phoneticPr fontId="7" type="noConversion"/>
  </si>
  <si>
    <t>농업용 대형관정 사후관리 및 연장허가 용역 (외산,내산지구)</t>
    <phoneticPr fontId="7" type="noConversion"/>
  </si>
  <si>
    <t>외산지구</t>
    <phoneticPr fontId="7" type="noConversion"/>
  </si>
  <si>
    <t>조 사 명</t>
  </si>
  <si>
    <t>농업용 대형관정 사후관리 및 연장허가 용역 (외산,내산지구)</t>
  </si>
  <si>
    <t>지 구 명</t>
  </si>
  <si>
    <t>외산지구</t>
  </si>
  <si>
    <t>위    치</t>
  </si>
  <si>
    <t>충청남도 부여군 외산면 반교리 574</t>
  </si>
  <si>
    <t>조 사 자</t>
  </si>
  <si>
    <t>직     경</t>
  </si>
  <si>
    <t>온도( ℃ )</t>
  </si>
  <si>
    <t>EC (μs/㎝)</t>
  </si>
  <si>
    <t>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</si>
</sst>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1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486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97" fontId="14" fillId="14" borderId="29" xfId="5" applyNumberFormat="1" applyFont="1" applyFill="1" applyBorder="1" applyAlignment="1">
      <alignment horizontal="center" vertical="center"/>
    </xf>
    <xf numFmtId="197" fontId="58" fillId="14" borderId="29" xfId="5" applyNumberFormat="1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5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49" xfId="5" applyFont="1" applyFill="1" applyBorder="1" applyAlignment="1">
      <alignment horizontal="center" vertical="center"/>
    </xf>
    <xf numFmtId="193" fontId="17" fillId="14" borderId="50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56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0" xfId="5" applyFont="1" applyFill="1" applyBorder="1" applyAlignment="1">
      <alignment horizontal="center" vertical="center"/>
    </xf>
    <xf numFmtId="194" fontId="17" fillId="14" borderId="50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187" fontId="16" fillId="27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0" fontId="13" fillId="20" borderId="51" xfId="2" applyFont="1" applyFill="1" applyBorder="1" applyAlignment="1">
      <alignment horizontal="center" vertical="center"/>
    </xf>
    <xf numFmtId="0" fontId="13" fillId="20" borderId="49" xfId="2" applyFont="1" applyFill="1" applyBorder="1" applyAlignment="1">
      <alignment horizontal="center" vertical="center"/>
    </xf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47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48" xfId="2" applyNumberFormat="1" applyFont="1" applyBorder="1" applyAlignment="1">
      <alignment horizontal="center" vertical="center"/>
    </xf>
    <xf numFmtId="0" fontId="13" fillId="25" borderId="53" xfId="2" applyFont="1" applyFill="1" applyBorder="1" applyAlignment="1">
      <alignment horizontal="center" vertical="center"/>
    </xf>
    <xf numFmtId="0" fontId="13" fillId="25" borderId="54" xfId="2" applyFont="1" applyFill="1" applyBorder="1" applyAlignment="1">
      <alignment horizontal="center" vertical="center"/>
    </xf>
    <xf numFmtId="179" fontId="13" fillId="25" borderId="53" xfId="2" applyNumberFormat="1" applyFont="1" applyFill="1" applyBorder="1" applyAlignment="1">
      <alignment horizontal="center" vertical="center"/>
    </xf>
    <xf numFmtId="179" fontId="13" fillId="25" borderId="54" xfId="2" applyNumberFormat="1" applyFont="1" applyFill="1" applyBorder="1" applyAlignment="1">
      <alignment horizontal="center" vertical="center"/>
    </xf>
    <xf numFmtId="0" fontId="13" fillId="20" borderId="52" xfId="2" applyFont="1" applyFill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horizontal="center" vertical="center"/>
    </xf>
    <xf numFmtId="0" fontId="14" fillId="0" borderId="0" xfId="2" applyFont="1" applyFill="1" applyAlignment="1">
      <alignment vertical="center"/>
    </xf>
    <xf numFmtId="0" fontId="14" fillId="0" borderId="0" xfId="2" applyFont="1" applyFill="1" applyAlignment="1">
      <alignment horizontal="center" vertical="center"/>
    </xf>
    <xf numFmtId="0" fontId="14" fillId="0" borderId="0" xfId="2" applyFont="1" applyFill="1" applyAlignment="1">
      <alignment horizontal="left" vertical="center"/>
    </xf>
    <xf numFmtId="0" fontId="45" fillId="0" borderId="0" xfId="2" applyFont="1" applyFill="1" applyAlignment="1">
      <alignment horizontal="center" vertical="center"/>
    </xf>
    <xf numFmtId="0" fontId="46" fillId="0" borderId="0" xfId="2" applyFont="1" applyFill="1" applyAlignment="1">
      <alignment horizontal="center" vertical="center"/>
    </xf>
    <xf numFmtId="0" fontId="46" fillId="0" borderId="0" xfId="2" applyFont="1" applyFill="1" applyAlignment="1">
      <alignment vertical="center"/>
    </xf>
    <xf numFmtId="0" fontId="14" fillId="0" borderId="12" xfId="2" applyFont="1" applyFill="1" applyBorder="1" applyAlignment="1">
      <alignment horizontal="center" vertical="center"/>
    </xf>
    <xf numFmtId="215" fontId="14" fillId="0" borderId="32" xfId="2" applyNumberFormat="1" applyFont="1" applyFill="1" applyBorder="1" applyAlignment="1">
      <alignment horizontal="center" vertical="center"/>
    </xf>
    <xf numFmtId="215" fontId="14" fillId="0" borderId="0" xfId="2" applyNumberFormat="1" applyFont="1" applyFill="1" applyAlignment="1">
      <alignment horizontal="center" vertical="center"/>
    </xf>
    <xf numFmtId="0" fontId="14" fillId="0" borderId="14" xfId="2" applyFont="1" applyFill="1" applyBorder="1" applyAlignment="1">
      <alignment horizontal="center" vertical="center"/>
    </xf>
    <xf numFmtId="216" fontId="14" fillId="0" borderId="33" xfId="2" applyNumberFormat="1" applyFont="1" applyFill="1" applyBorder="1" applyAlignment="1">
      <alignment horizontal="center" vertical="center"/>
    </xf>
    <xf numFmtId="0" fontId="14" fillId="0" borderId="34" xfId="2" applyFont="1" applyFill="1" applyBorder="1" applyAlignment="1">
      <alignment horizontal="center" vertical="center"/>
    </xf>
    <xf numFmtId="40" fontId="14" fillId="0" borderId="35" xfId="2" applyNumberFormat="1" applyFont="1" applyFill="1" applyBorder="1" applyAlignment="1">
      <alignment horizontal="center" vertical="center"/>
    </xf>
    <xf numFmtId="216" fontId="14" fillId="0" borderId="0" xfId="2" applyNumberFormat="1" applyFont="1" applyFill="1" applyAlignment="1">
      <alignment horizontal="center" vertical="center"/>
    </xf>
    <xf numFmtId="0" fontId="0" fillId="0" borderId="0" xfId="0" applyFill="1">
      <alignment vertical="center"/>
    </xf>
    <xf numFmtId="0" fontId="17" fillId="0" borderId="59" xfId="2" applyFont="1" applyFill="1" applyBorder="1" applyAlignment="1">
      <alignment horizontal="center" vertical="center"/>
    </xf>
    <xf numFmtId="0" fontId="17" fillId="0" borderId="61" xfId="2" applyFont="1" applyFill="1" applyBorder="1" applyAlignment="1">
      <alignment horizontal="center" vertical="center"/>
    </xf>
    <xf numFmtId="0" fontId="17" fillId="0" borderId="60" xfId="2" applyFont="1" applyFill="1" applyBorder="1" applyAlignment="1">
      <alignment horizontal="center" vertical="center"/>
    </xf>
    <xf numFmtId="0" fontId="14" fillId="0" borderId="36" xfId="2" applyFont="1" applyFill="1" applyBorder="1" applyAlignment="1">
      <alignment horizontal="center" vertical="center"/>
    </xf>
    <xf numFmtId="0" fontId="14" fillId="0" borderId="37" xfId="2" applyFont="1" applyFill="1" applyBorder="1" applyAlignment="1">
      <alignment horizontal="center" vertical="center"/>
    </xf>
    <xf numFmtId="0" fontId="14" fillId="0" borderId="38" xfId="2" applyFont="1" applyFill="1" applyBorder="1" applyAlignment="1">
      <alignment horizontal="center" vertical="center"/>
    </xf>
    <xf numFmtId="0" fontId="14" fillId="0" borderId="3" xfId="2" applyFont="1" applyFill="1" applyBorder="1" applyAlignment="1">
      <alignment horizontal="center" vertical="center"/>
    </xf>
    <xf numFmtId="217" fontId="14" fillId="0" borderId="39" xfId="2" applyNumberFormat="1" applyFont="1" applyFill="1" applyBorder="1" applyAlignment="1">
      <alignment horizontal="center" vertical="center"/>
    </xf>
    <xf numFmtId="0" fontId="14" fillId="0" borderId="40" xfId="2" applyFont="1" applyFill="1" applyBorder="1" applyAlignment="1">
      <alignment horizontal="center" vertical="center"/>
    </xf>
    <xf numFmtId="182" fontId="14" fillId="0" borderId="41" xfId="2" applyNumberFormat="1" applyFont="1" applyFill="1" applyBorder="1" applyAlignment="1">
      <alignment horizontal="center" vertical="center"/>
    </xf>
    <xf numFmtId="38" fontId="14" fillId="0" borderId="42" xfId="2" applyNumberFormat="1" applyFont="1" applyFill="1" applyBorder="1" applyAlignment="1">
      <alignment horizontal="center" vertical="center"/>
    </xf>
    <xf numFmtId="218" fontId="14" fillId="0" borderId="40" xfId="2" applyNumberFormat="1" applyFont="1" applyFill="1" applyBorder="1" applyAlignment="1">
      <alignment horizontal="center" vertical="center"/>
    </xf>
    <xf numFmtId="217" fontId="14" fillId="0" borderId="36" xfId="2" applyNumberFormat="1" applyFont="1" applyFill="1" applyBorder="1" applyAlignment="1">
      <alignment horizontal="center" vertical="center"/>
    </xf>
    <xf numFmtId="182" fontId="14" fillId="0" borderId="38" xfId="2" applyNumberFormat="1" applyFont="1" applyFill="1" applyBorder="1" applyAlignment="1">
      <alignment horizontal="center" vertical="center"/>
    </xf>
    <xf numFmtId="38" fontId="14" fillId="0" borderId="3" xfId="2" applyNumberFormat="1" applyFont="1" applyFill="1" applyBorder="1" applyAlignment="1">
      <alignment horizontal="center" vertical="center"/>
    </xf>
    <xf numFmtId="218" fontId="14" fillId="0" borderId="37" xfId="2" applyNumberFormat="1" applyFont="1" applyFill="1" applyBorder="1" applyAlignment="1">
      <alignment horizontal="center" vertical="center"/>
    </xf>
    <xf numFmtId="0" fontId="14" fillId="0" borderId="43" xfId="2" applyFont="1" applyFill="1" applyBorder="1" applyAlignment="1">
      <alignment horizontal="center" vertical="center"/>
    </xf>
    <xf numFmtId="0" fontId="14" fillId="0" borderId="44" xfId="2" applyFont="1" applyFill="1" applyBorder="1" applyAlignment="1">
      <alignment horizontal="center" vertical="center"/>
    </xf>
    <xf numFmtId="0" fontId="14" fillId="0" borderId="45" xfId="2" applyFont="1" applyFill="1" applyBorder="1" applyAlignment="1">
      <alignment horizontal="center" vertical="center"/>
    </xf>
    <xf numFmtId="0" fontId="14" fillId="0" borderId="57" xfId="2" applyFont="1" applyFill="1" applyBorder="1" applyAlignment="1">
      <alignment horizontal="center" vertical="center"/>
    </xf>
    <xf numFmtId="0" fontId="14" fillId="0" borderId="58" xfId="2" applyFont="1" applyFill="1" applyBorder="1" applyAlignment="1">
      <alignment horizontal="center" vertical="center"/>
    </xf>
    <xf numFmtId="0" fontId="2" fillId="0" borderId="0" xfId="2" applyFill="1"/>
    <xf numFmtId="0" fontId="14" fillId="0" borderId="62" xfId="2" applyFont="1" applyFill="1" applyBorder="1" applyAlignment="1">
      <alignment horizontal="center" vertical="center"/>
    </xf>
    <xf numFmtId="0" fontId="14" fillId="0" borderId="63" xfId="2" applyFont="1" applyFill="1" applyBorder="1" applyAlignment="1">
      <alignment horizontal="center" vertical="center"/>
    </xf>
    <xf numFmtId="0" fontId="14" fillId="0" borderId="46" xfId="2" applyFont="1" applyFill="1" applyBorder="1" applyAlignment="1">
      <alignment horizontal="center" vertical="center"/>
    </xf>
    <xf numFmtId="0" fontId="14" fillId="0" borderId="0" xfId="2" applyFont="1" applyFill="1" applyAlignment="1">
      <alignment horizontal="center"/>
    </xf>
    <xf numFmtId="0" fontId="14" fillId="0" borderId="0" xfId="2" applyFont="1" applyFill="1"/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1.45</c:v>
                </c:pt>
                <c:pt idx="1">
                  <c:v>2.78</c:v>
                </c:pt>
                <c:pt idx="2">
                  <c:v>3.83</c:v>
                </c:pt>
                <c:pt idx="3">
                  <c:v>4.57</c:v>
                </c:pt>
                <c:pt idx="4">
                  <c:v>5.14</c:v>
                </c:pt>
                <c:pt idx="5">
                  <c:v>6.92</c:v>
                </c:pt>
                <c:pt idx="6">
                  <c:v>7.96</c:v>
                </c:pt>
                <c:pt idx="7">
                  <c:v>8.6999999999999993</c:v>
                </c:pt>
                <c:pt idx="8">
                  <c:v>9.27</c:v>
                </c:pt>
                <c:pt idx="9">
                  <c:v>9.74</c:v>
                </c:pt>
                <c:pt idx="10">
                  <c:v>10.14</c:v>
                </c:pt>
                <c:pt idx="11">
                  <c:v>10.48</c:v>
                </c:pt>
                <c:pt idx="12">
                  <c:v>10.78</c:v>
                </c:pt>
                <c:pt idx="13">
                  <c:v>11.06</c:v>
                </c:pt>
                <c:pt idx="14">
                  <c:v>11.3</c:v>
                </c:pt>
                <c:pt idx="15">
                  <c:v>11.52</c:v>
                </c:pt>
                <c:pt idx="16">
                  <c:v>12.1</c:v>
                </c:pt>
                <c:pt idx="17">
                  <c:v>12.57</c:v>
                </c:pt>
                <c:pt idx="18">
                  <c:v>12.96</c:v>
                </c:pt>
                <c:pt idx="19">
                  <c:v>13.31</c:v>
                </c:pt>
                <c:pt idx="20" formatCode="\ 0.00\ ">
                  <c:v>13.47</c:v>
                </c:pt>
                <c:pt idx="21" formatCode="\ 0.00\ ">
                  <c:v>13.620000000000001</c:v>
                </c:pt>
                <c:pt idx="22" formatCode="\ 0.00\ ">
                  <c:v>13.760000000000002</c:v>
                </c:pt>
                <c:pt idx="23" formatCode="\ 0.00\ ">
                  <c:v>13.890000000000002</c:v>
                </c:pt>
                <c:pt idx="24" formatCode="\ 0.00\ ">
                  <c:v>14.020000000000003</c:v>
                </c:pt>
                <c:pt idx="25">
                  <c:v>15.96</c:v>
                </c:pt>
                <c:pt idx="26" formatCode="\ 0.00\ ">
                  <c:v>16.07</c:v>
                </c:pt>
                <c:pt idx="27">
                  <c:v>16.41</c:v>
                </c:pt>
                <c:pt idx="28" formatCode="\ 0.00\ ">
                  <c:v>16.510000000000002</c:v>
                </c:pt>
                <c:pt idx="29">
                  <c:v>16.850000000000001</c:v>
                </c:pt>
                <c:pt idx="30" formatCode="\ 0.00\ ">
                  <c:v>16.91</c:v>
                </c:pt>
                <c:pt idx="31" formatCode="\ 0.00\ ">
                  <c:v>16.96</c:v>
                </c:pt>
                <c:pt idx="32" formatCode="\ 0.00\ ">
                  <c:v>17</c:v>
                </c:pt>
                <c:pt idx="33" formatCode="\ 0.00\ ">
                  <c:v>17.03</c:v>
                </c:pt>
                <c:pt idx="34" formatCode="\ 0.00\ ">
                  <c:v>17.05</c:v>
                </c:pt>
                <c:pt idx="35">
                  <c:v>17.29</c:v>
                </c:pt>
                <c:pt idx="36" formatCode="\ 0.00\ ">
                  <c:v>17.36</c:v>
                </c:pt>
                <c:pt idx="37" formatCode="\ 0.00\ ">
                  <c:v>17.419999999999998</c:v>
                </c:pt>
                <c:pt idx="38" formatCode="\ 0.00\ ">
                  <c:v>17.47</c:v>
                </c:pt>
                <c:pt idx="39">
                  <c:v>17.739999999999998</c:v>
                </c:pt>
                <c:pt idx="40" formatCode="\ 0.00\ ">
                  <c:v>17.919999999999998</c:v>
                </c:pt>
                <c:pt idx="41" formatCode="\ 0.00\ ">
                  <c:v>18.079999999999998</c:v>
                </c:pt>
                <c:pt idx="42" formatCode="\ 0.00\ ">
                  <c:v>18.229999999999997</c:v>
                </c:pt>
                <c:pt idx="43" formatCode="\ 0.00\ ">
                  <c:v>18.369999999999997</c:v>
                </c:pt>
                <c:pt idx="44" formatCode="\ 0.00\ ">
                  <c:v>18.499999999999996</c:v>
                </c:pt>
                <c:pt idx="45">
                  <c:v>20.74</c:v>
                </c:pt>
                <c:pt idx="46" formatCode="\ 0.00\ ">
                  <c:v>20.849999999999998</c:v>
                </c:pt>
                <c:pt idx="47">
                  <c:v>21.24</c:v>
                </c:pt>
                <c:pt idx="48" formatCode="\ 0.00\ ">
                  <c:v>21.349999999999998</c:v>
                </c:pt>
                <c:pt idx="49">
                  <c:v>21.74</c:v>
                </c:pt>
                <c:pt idx="50" formatCode="\ 0.00\ ">
                  <c:v>21.81</c:v>
                </c:pt>
                <c:pt idx="51" formatCode="\ 0.00\ ">
                  <c:v>21.86</c:v>
                </c:pt>
                <c:pt idx="52" formatCode="\ 0.00\ ">
                  <c:v>21.9</c:v>
                </c:pt>
                <c:pt idx="53" formatCode="\ 0.00\ ">
                  <c:v>21.93</c:v>
                </c:pt>
                <c:pt idx="54" formatCode="\ 0.00\ ">
                  <c:v>21.95</c:v>
                </c:pt>
                <c:pt idx="55">
                  <c:v>22.24</c:v>
                </c:pt>
                <c:pt idx="56" formatCode="\ 0.00\ ">
                  <c:v>22.319999999999997</c:v>
                </c:pt>
                <c:pt idx="57" formatCode="\ 0.00\ ">
                  <c:v>22.379999999999995</c:v>
                </c:pt>
                <c:pt idx="58" formatCode="\ 0.00\ ">
                  <c:v>22.429999999999996</c:v>
                </c:pt>
                <c:pt idx="59">
                  <c:v>22.74</c:v>
                </c:pt>
                <c:pt idx="60" formatCode="\ 0.00\ ">
                  <c:v>22.93</c:v>
                </c:pt>
                <c:pt idx="61" formatCode="\ 0.00\ ">
                  <c:v>23.1</c:v>
                </c:pt>
                <c:pt idx="62" formatCode="\ 0.00\ ">
                  <c:v>23.26</c:v>
                </c:pt>
                <c:pt idx="63" formatCode="\ 0.00\ ">
                  <c:v>23.41</c:v>
                </c:pt>
                <c:pt idx="64" formatCode="\ 0.00\ ">
                  <c:v>23.55</c:v>
                </c:pt>
                <c:pt idx="65">
                  <c:v>26.07</c:v>
                </c:pt>
                <c:pt idx="66" formatCode="\ 0.00\ ">
                  <c:v>26.19</c:v>
                </c:pt>
                <c:pt idx="67" formatCode="\ 0.00\ ">
                  <c:v>26.63</c:v>
                </c:pt>
                <c:pt idx="68" formatCode="\ 0.00\ ">
                  <c:v>26.75</c:v>
                </c:pt>
                <c:pt idx="69" formatCode="\ 0.00\ ">
                  <c:v>27.18</c:v>
                </c:pt>
                <c:pt idx="70" formatCode="\ 0.00\ ">
                  <c:v>27.25</c:v>
                </c:pt>
                <c:pt idx="71" formatCode="\ 0.00\ ">
                  <c:v>27.3</c:v>
                </c:pt>
                <c:pt idx="72" formatCode="\ 0.00\ ">
                  <c:v>27.34</c:v>
                </c:pt>
                <c:pt idx="73" formatCode="\ 0.00\ ">
                  <c:v>27.37</c:v>
                </c:pt>
                <c:pt idx="74" formatCode="\ 0.00\ ">
                  <c:v>27.400000000000002</c:v>
                </c:pt>
                <c:pt idx="75" formatCode="\ 0.00\ ">
                  <c:v>27.74</c:v>
                </c:pt>
                <c:pt idx="76" formatCode="\ 0.00\ ">
                  <c:v>27.83</c:v>
                </c:pt>
                <c:pt idx="77" formatCode="\ 0.00\ ">
                  <c:v>27.9</c:v>
                </c:pt>
                <c:pt idx="78" formatCode="\ 0.00\ ">
                  <c:v>27.95</c:v>
                </c:pt>
                <c:pt idx="79" formatCode="\ 0.00\ ">
                  <c:v>28.3</c:v>
                </c:pt>
                <c:pt idx="80" formatCode="\ 0.00\ ">
                  <c:v>28.51</c:v>
                </c:pt>
                <c:pt idx="81" formatCode="\ 0.00\ ">
                  <c:v>28.700000000000003</c:v>
                </c:pt>
                <c:pt idx="82" formatCode="\ 0.00\ ">
                  <c:v>28.870000000000005</c:v>
                </c:pt>
                <c:pt idx="83" formatCode="\ 0.00\ ">
                  <c:v>29.030000000000005</c:v>
                </c:pt>
                <c:pt idx="84" formatCode="\ 0.00\ ">
                  <c:v>29.170000000000005</c:v>
                </c:pt>
                <c:pt idx="85" formatCode="\ 0.00\ ">
                  <c:v>31.69</c:v>
                </c:pt>
                <c:pt idx="86" formatCode="\ 0.00\ ">
                  <c:v>32</c:v>
                </c:pt>
                <c:pt idx="87" formatCode="\ 0.00\ ">
                  <c:v>32.96</c:v>
                </c:pt>
                <c:pt idx="88" formatCode="\ 0.00\ ">
                  <c:v>33.26</c:v>
                </c:pt>
                <c:pt idx="89" formatCode="\ 0.00\ ">
                  <c:v>34.24</c:v>
                </c:pt>
                <c:pt idx="90" formatCode="\ 0.00\ ">
                  <c:v>34.39</c:v>
                </c:pt>
                <c:pt idx="91" formatCode="\ 0.00\ ">
                  <c:v>34.520000000000003</c:v>
                </c:pt>
                <c:pt idx="92" formatCode="\ 0.00\ ">
                  <c:v>34.630000000000003</c:v>
                </c:pt>
                <c:pt idx="93" formatCode="\ 0.00\ ">
                  <c:v>34.71</c:v>
                </c:pt>
                <c:pt idx="94" formatCode="\ 0.00\ ">
                  <c:v>34.78</c:v>
                </c:pt>
                <c:pt idx="95" formatCode="\ 0.00\ ">
                  <c:v>35.51</c:v>
                </c:pt>
                <c:pt idx="96" formatCode="\ 0.00\ ">
                  <c:v>35.699999999999996</c:v>
                </c:pt>
                <c:pt idx="97" formatCode="\ 0.00\ ">
                  <c:v>35.859999999999992</c:v>
                </c:pt>
                <c:pt idx="98" formatCode="\ 0.00\ ">
                  <c:v>35.999999999999993</c:v>
                </c:pt>
                <c:pt idx="99" formatCode="\ 0.00\ ">
                  <c:v>36.79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0.14159574468085107</c:v>
                </c:pt>
                <c:pt idx="1">
                  <c:v>0.14783333333333332</c:v>
                </c:pt>
                <c:pt idx="2">
                  <c:v>0.15554035567715457</c:v>
                </c:pt>
                <c:pt idx="3">
                  <c:v>0.16453488372093023</c:v>
                </c:pt>
                <c:pt idx="4">
                  <c:v>0.18599595551061679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20079602578720537"/>
          <c:min val="0.12679567440426248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8500087845735723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80.379028114114405</c:v>
                </c:pt>
                <c:pt idx="2">
                  <c:v>76.241351035856098</c:v>
                </c:pt>
                <c:pt idx="3">
                  <c:v>72.481513827717038</c:v>
                </c:pt>
                <c:pt idx="4">
                  <c:v>69.124678796608833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13.31</c:v>
                </c:pt>
                <c:pt idx="1">
                  <c:v>17.739999999999998</c:v>
                </c:pt>
                <c:pt idx="2">
                  <c:v>22.74</c:v>
                </c:pt>
                <c:pt idx="3">
                  <c:v>28.3</c:v>
                </c:pt>
                <c:pt idx="4">
                  <c:v>36.79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0.14159574468085107</c:v>
                </c:pt>
                <c:pt idx="2">
                  <c:v>0.14783333333333332</c:v>
                </c:pt>
                <c:pt idx="3">
                  <c:v>0.15554035567715457</c:v>
                </c:pt>
                <c:pt idx="4">
                  <c:v>0.16453488372093023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20079602578720537"/>
          <c:min val="0.12679567440426248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8500087845735723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1.45</c:v>
                </c:pt>
                <c:pt idx="1">
                  <c:v>2.78</c:v>
                </c:pt>
                <c:pt idx="2">
                  <c:v>3.83</c:v>
                </c:pt>
                <c:pt idx="3">
                  <c:v>4.57</c:v>
                </c:pt>
                <c:pt idx="4">
                  <c:v>5.14</c:v>
                </c:pt>
                <c:pt idx="5">
                  <c:v>6.92</c:v>
                </c:pt>
                <c:pt idx="6">
                  <c:v>7.96</c:v>
                </c:pt>
                <c:pt idx="7">
                  <c:v>8.6999999999999993</c:v>
                </c:pt>
                <c:pt idx="8">
                  <c:v>9.27</c:v>
                </c:pt>
                <c:pt idx="9">
                  <c:v>9.74</c:v>
                </c:pt>
                <c:pt idx="10">
                  <c:v>10.14</c:v>
                </c:pt>
                <c:pt idx="11">
                  <c:v>10.48</c:v>
                </c:pt>
                <c:pt idx="12">
                  <c:v>10.78</c:v>
                </c:pt>
                <c:pt idx="13">
                  <c:v>11.06</c:v>
                </c:pt>
                <c:pt idx="14">
                  <c:v>11.3</c:v>
                </c:pt>
                <c:pt idx="15">
                  <c:v>11.52</c:v>
                </c:pt>
                <c:pt idx="16">
                  <c:v>12.1</c:v>
                </c:pt>
                <c:pt idx="17">
                  <c:v>12.57</c:v>
                </c:pt>
                <c:pt idx="18">
                  <c:v>12.96</c:v>
                </c:pt>
                <c:pt idx="19">
                  <c:v>13.31</c:v>
                </c:pt>
                <c:pt idx="20">
                  <c:v>15.96</c:v>
                </c:pt>
                <c:pt idx="21">
                  <c:v>16.41</c:v>
                </c:pt>
                <c:pt idx="22">
                  <c:v>16.850000000000001</c:v>
                </c:pt>
                <c:pt idx="23">
                  <c:v>17.29</c:v>
                </c:pt>
                <c:pt idx="24">
                  <c:v>17.739999999999998</c:v>
                </c:pt>
                <c:pt idx="25">
                  <c:v>20.74</c:v>
                </c:pt>
                <c:pt idx="26">
                  <c:v>21.24</c:v>
                </c:pt>
                <c:pt idx="27">
                  <c:v>21.74</c:v>
                </c:pt>
                <c:pt idx="28">
                  <c:v>22.24</c:v>
                </c:pt>
                <c:pt idx="29">
                  <c:v>22.74</c:v>
                </c:pt>
                <c:pt idx="30">
                  <c:v>26.07</c:v>
                </c:pt>
                <c:pt idx="31">
                  <c:v>26.63</c:v>
                </c:pt>
                <c:pt idx="32">
                  <c:v>27.18</c:v>
                </c:pt>
                <c:pt idx="33">
                  <c:v>27.74</c:v>
                </c:pt>
                <c:pt idx="34">
                  <c:v>28.3</c:v>
                </c:pt>
                <c:pt idx="35">
                  <c:v>31.69</c:v>
                </c:pt>
                <c:pt idx="36">
                  <c:v>32.96</c:v>
                </c:pt>
                <c:pt idx="37">
                  <c:v>34.24</c:v>
                </c:pt>
                <c:pt idx="38">
                  <c:v>35.51</c:v>
                </c:pt>
                <c:pt idx="39">
                  <c:v>36.79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1.0079586564666716</c:v>
                </c:pt>
                <c:pt idx="1">
                  <c:v>2.7890845007583298</c:v>
                </c:pt>
                <c:pt idx="2">
                  <c:v>3.8309763287342573</c:v>
                </c:pt>
                <c:pt idx="3">
                  <c:v>4.570210345049988</c:v>
                </c:pt>
                <c:pt idx="4">
                  <c:v>5.1436047948574473</c:v>
                </c:pt>
                <c:pt idx="5">
                  <c:v>6.9247306391491019</c:v>
                </c:pt>
                <c:pt idx="6">
                  <c:v>7.9666224671250294</c:v>
                </c:pt>
                <c:pt idx="7">
                  <c:v>8.7058564834407601</c:v>
                </c:pt>
                <c:pt idx="8">
                  <c:v>9.2792509332482194</c:v>
                </c:pt>
                <c:pt idx="9">
                  <c:v>9.7477483114166841</c:v>
                </c:pt>
                <c:pt idx="10">
                  <c:v>10.143857200633635</c:v>
                </c:pt>
                <c:pt idx="11">
                  <c:v>10.486982327732418</c:v>
                </c:pt>
                <c:pt idx="12">
                  <c:v>10.789640139392615</c:v>
                </c:pt>
                <c:pt idx="13">
                  <c:v>11.060376777539874</c:v>
                </c:pt>
                <c:pt idx="14">
                  <c:v>11.305287857372052</c:v>
                </c:pt>
                <c:pt idx="15">
                  <c:v>11.528874155708342</c:v>
                </c:pt>
                <c:pt idx="16">
                  <c:v>12.102268605515805</c:v>
                </c:pt>
                <c:pt idx="17">
                  <c:v>12.57076598368427</c:v>
                </c:pt>
                <c:pt idx="18">
                  <c:v>12.966874872901224</c:v>
                </c:pt>
                <c:pt idx="19">
                  <c:v>13.31</c:v>
                </c:pt>
                <c:pt idx="20">
                  <c:v>15.728791845210903</c:v>
                </c:pt>
                <c:pt idx="21">
                  <c:v>15.971893248840797</c:v>
                </c:pt>
                <c:pt idx="22">
                  <c:v>16.198215241084004</c:v>
                </c:pt>
                <c:pt idx="23">
                  <c:v>16.796297000448003</c:v>
                </c:pt>
                <c:pt idx="24">
                  <c:v>17.739999999999998</c:v>
                </c:pt>
                <c:pt idx="25">
                  <c:v>21.282674113016373</c:v>
                </c:pt>
                <c:pt idx="26">
                  <c:v>21.439422885869465</c:v>
                </c:pt>
                <c:pt idx="27">
                  <c:v>21.590255178879151</c:v>
                </c:pt>
                <c:pt idx="28">
                  <c:v>22.011337056508193</c:v>
                </c:pt>
                <c:pt idx="29">
                  <c:v>22.74</c:v>
                </c:pt>
                <c:pt idx="30">
                  <c:v>27.076185187784926</c:v>
                </c:pt>
                <c:pt idx="31">
                  <c:v>27.201575564696373</c:v>
                </c:pt>
                <c:pt idx="32">
                  <c:v>27.323708677552585</c:v>
                </c:pt>
                <c:pt idx="33">
                  <c:v>27.672154022755418</c:v>
                </c:pt>
                <c:pt idx="34">
                  <c:v>28.3</c:v>
                </c:pt>
                <c:pt idx="35">
                  <c:v>35.694923042287847</c:v>
                </c:pt>
                <c:pt idx="36">
                  <c:v>35.804161899981672</c:v>
                </c:pt>
                <c:pt idx="37">
                  <c:v>35.911237469170125</c:v>
                </c:pt>
                <c:pt idx="38">
                  <c:v>36.220300989090141</c:v>
                </c:pt>
                <c:pt idx="39">
                  <c:v>36.79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1.45</c:v>
                </c:pt>
                <c:pt idx="1">
                  <c:v>2.78</c:v>
                </c:pt>
                <c:pt idx="2">
                  <c:v>3.83</c:v>
                </c:pt>
                <c:pt idx="3">
                  <c:v>4.57</c:v>
                </c:pt>
                <c:pt idx="4">
                  <c:v>5.14</c:v>
                </c:pt>
                <c:pt idx="5">
                  <c:v>6.92</c:v>
                </c:pt>
                <c:pt idx="6">
                  <c:v>7.96</c:v>
                </c:pt>
                <c:pt idx="7">
                  <c:v>8.6999999999999993</c:v>
                </c:pt>
                <c:pt idx="8">
                  <c:v>9.27</c:v>
                </c:pt>
                <c:pt idx="9">
                  <c:v>9.74</c:v>
                </c:pt>
                <c:pt idx="10">
                  <c:v>10.14</c:v>
                </c:pt>
                <c:pt idx="11">
                  <c:v>10.48</c:v>
                </c:pt>
                <c:pt idx="12">
                  <c:v>10.78</c:v>
                </c:pt>
                <c:pt idx="13">
                  <c:v>11.06</c:v>
                </c:pt>
                <c:pt idx="14">
                  <c:v>11.3</c:v>
                </c:pt>
                <c:pt idx="15">
                  <c:v>11.52</c:v>
                </c:pt>
                <c:pt idx="16">
                  <c:v>12.1</c:v>
                </c:pt>
                <c:pt idx="17">
                  <c:v>12.57</c:v>
                </c:pt>
                <c:pt idx="18">
                  <c:v>12.96</c:v>
                </c:pt>
                <c:pt idx="19">
                  <c:v>13.31</c:v>
                </c:pt>
                <c:pt idx="20">
                  <c:v>15.96</c:v>
                </c:pt>
                <c:pt idx="21">
                  <c:v>16.41</c:v>
                </c:pt>
                <c:pt idx="22">
                  <c:v>16.850000000000001</c:v>
                </c:pt>
                <c:pt idx="23">
                  <c:v>17.29</c:v>
                </c:pt>
                <c:pt idx="24">
                  <c:v>17.739999999999998</c:v>
                </c:pt>
                <c:pt idx="25">
                  <c:v>20.74</c:v>
                </c:pt>
                <c:pt idx="26">
                  <c:v>21.24</c:v>
                </c:pt>
                <c:pt idx="27">
                  <c:v>21.74</c:v>
                </c:pt>
                <c:pt idx="28">
                  <c:v>22.24</c:v>
                </c:pt>
                <c:pt idx="29">
                  <c:v>22.74</c:v>
                </c:pt>
                <c:pt idx="30">
                  <c:v>26.07</c:v>
                </c:pt>
                <c:pt idx="31">
                  <c:v>26.63</c:v>
                </c:pt>
                <c:pt idx="32">
                  <c:v>27.18</c:v>
                </c:pt>
                <c:pt idx="33">
                  <c:v>27.74</c:v>
                </c:pt>
                <c:pt idx="34">
                  <c:v>28.3</c:v>
                </c:pt>
                <c:pt idx="35">
                  <c:v>31.69</c:v>
                </c:pt>
                <c:pt idx="36">
                  <c:v>32.96</c:v>
                </c:pt>
                <c:pt idx="37">
                  <c:v>34.24</c:v>
                </c:pt>
                <c:pt idx="38">
                  <c:v>35.51</c:v>
                </c:pt>
                <c:pt idx="39">
                  <c:v>36.79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2.7078799527896127</c:v>
                </c:pt>
                <c:pt idx="1">
                  <c:v>5.2157599055792261</c:v>
                </c:pt>
                <c:pt idx="2">
                  <c:v>7.0224505981116963</c:v>
                </c:pt>
                <c:pt idx="3">
                  <c:v>8.3043180444430647</c:v>
                </c:pt>
                <c:pt idx="4">
                  <c:v>9.298611682036352</c:v>
                </c:pt>
                <c:pt idx="5">
                  <c:v>12.387169820900191</c:v>
                </c:pt>
                <c:pt idx="6">
                  <c:v>14.193860513432661</c:v>
                </c:pt>
                <c:pt idx="7">
                  <c:v>15.475727959764022</c:v>
                </c:pt>
                <c:pt idx="8">
                  <c:v>16.470021597357317</c:v>
                </c:pt>
                <c:pt idx="9">
                  <c:v>17.282418652296492</c:v>
                </c:pt>
                <c:pt idx="10">
                  <c:v>17.969290575236819</c:v>
                </c:pt>
                <c:pt idx="11">
                  <c:v>18.564286098627854</c:v>
                </c:pt>
                <c:pt idx="12">
                  <c:v>19.089109344828962</c:v>
                </c:pt>
                <c:pt idx="13">
                  <c:v>19.558579736221155</c:v>
                </c:pt>
                <c:pt idx="14">
                  <c:v>19.983267363621465</c:v>
                </c:pt>
                <c:pt idx="15">
                  <c:v>20.370976791160324</c:v>
                </c:pt>
                <c:pt idx="16">
                  <c:v>21.365270428753625</c:v>
                </c:pt>
                <c:pt idx="17">
                  <c:v>22.177667483692794</c:v>
                </c:pt>
                <c:pt idx="18">
                  <c:v>22.864539406633114</c:v>
                </c:pt>
                <c:pt idx="19">
                  <c:v>23.459534930024162</c:v>
                </c:pt>
                <c:pt idx="20">
                  <c:v>24.146406852964482</c:v>
                </c:pt>
                <c:pt idx="21">
                  <c:v>24.741402376355531</c:v>
                </c:pt>
                <c:pt idx="22">
                  <c:v>25.266225622556632</c:v>
                </c:pt>
                <c:pt idx="23">
                  <c:v>26.548093068888001</c:v>
                </c:pt>
                <c:pt idx="24">
                  <c:v>27.542386706481288</c:v>
                </c:pt>
                <c:pt idx="25">
                  <c:v>28.354783761420471</c:v>
                </c:pt>
                <c:pt idx="26">
                  <c:v>29.041655684360791</c:v>
                </c:pt>
                <c:pt idx="27">
                  <c:v>29.636651207751832</c:v>
                </c:pt>
                <c:pt idx="28">
                  <c:v>30.161474453952941</c:v>
                </c:pt>
                <c:pt idx="29">
                  <c:v>30.630944845345127</c:v>
                </c:pt>
                <c:pt idx="30">
                  <c:v>31.055632472745444</c:v>
                </c:pt>
                <c:pt idx="31">
                  <c:v>31.443341900284302</c:v>
                </c:pt>
                <c:pt idx="32">
                  <c:v>31.799999999999997</c:v>
                </c:pt>
                <c:pt idx="33">
                  <c:v>31.799999999999997</c:v>
                </c:pt>
                <c:pt idx="34">
                  <c:v>31.799999999999997</c:v>
                </c:pt>
                <c:pt idx="35">
                  <c:v>31.799999999999997</c:v>
                </c:pt>
                <c:pt idx="36">
                  <c:v>31.799999999999997</c:v>
                </c:pt>
                <c:pt idx="37">
                  <c:v>31.799999999999997</c:v>
                </c:pt>
                <c:pt idx="38">
                  <c:v>31.799999999999997</c:v>
                </c:pt>
                <c:pt idx="39">
                  <c:v>31.799999999999997</c:v>
                </c:pt>
                <c:pt idx="40">
                  <c:v>31.799999999999997</c:v>
                </c:pt>
                <c:pt idx="41">
                  <c:v>31.799999999999997</c:v>
                </c:pt>
                <c:pt idx="42">
                  <c:v>31.799999999999997</c:v>
                </c:pt>
                <c:pt idx="43">
                  <c:v>31.799999999999997</c:v>
                </c:pt>
                <c:pt idx="44">
                  <c:v>31.799999999999997</c:v>
                </c:pt>
                <c:pt idx="45">
                  <c:v>31.799999999999997</c:v>
                </c:pt>
                <c:pt idx="46">
                  <c:v>31.799999999999997</c:v>
                </c:pt>
                <c:pt idx="47">
                  <c:v>31.799999999999997</c:v>
                </c:pt>
                <c:pt idx="48">
                  <c:v>31.799999999999997</c:v>
                </c:pt>
                <c:pt idx="49">
                  <c:v>31.799999999999997</c:v>
                </c:pt>
                <c:pt idx="50">
                  <c:v>31.799999999999997</c:v>
                </c:pt>
                <c:pt idx="51">
                  <c:v>31.799999999999997</c:v>
                </c:pt>
                <c:pt idx="52">
                  <c:v>31.799999999999997</c:v>
                </c:pt>
                <c:pt idx="53">
                  <c:v>31.799999999999997</c:v>
                </c:pt>
                <c:pt idx="54">
                  <c:v>31.799999999999997</c:v>
                </c:pt>
                <c:pt idx="55">
                  <c:v>31.799999999999997</c:v>
                </c:pt>
                <c:pt idx="56">
                  <c:v>31.799999999999997</c:v>
                </c:pt>
                <c:pt idx="57">
                  <c:v>31.799999999999997</c:v>
                </c:pt>
                <c:pt idx="58">
                  <c:v>31.799999999999997</c:v>
                </c:pt>
                <c:pt idx="59">
                  <c:v>31.799999999999997</c:v>
                </c:pt>
                <c:pt idx="60">
                  <c:v>31.799999999999997</c:v>
                </c:pt>
                <c:pt idx="61">
                  <c:v>31.799999999999997</c:v>
                </c:pt>
                <c:pt idx="62">
                  <c:v>31.799999999999997</c:v>
                </c:pt>
                <c:pt idx="63">
                  <c:v>31.799999999999997</c:v>
                </c:pt>
                <c:pt idx="64">
                  <c:v>31.799999999999997</c:v>
                </c:pt>
                <c:pt idx="65">
                  <c:v>31.799999999999997</c:v>
                </c:pt>
                <c:pt idx="66">
                  <c:v>31.799999999999997</c:v>
                </c:pt>
                <c:pt idx="67">
                  <c:v>31.799999999999997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2.7078799527896127</c:v>
                </c:pt>
                <c:pt idx="1">
                  <c:v>5.2157599055792261</c:v>
                </c:pt>
                <c:pt idx="2">
                  <c:v>7.0224505981116963</c:v>
                </c:pt>
                <c:pt idx="3">
                  <c:v>8.3043180444430647</c:v>
                </c:pt>
                <c:pt idx="4">
                  <c:v>9.298611682036352</c:v>
                </c:pt>
                <c:pt idx="5">
                  <c:v>12.387169820900191</c:v>
                </c:pt>
                <c:pt idx="6">
                  <c:v>14.193860513432661</c:v>
                </c:pt>
                <c:pt idx="7">
                  <c:v>15.475727959764022</c:v>
                </c:pt>
                <c:pt idx="8">
                  <c:v>16.470021597357317</c:v>
                </c:pt>
                <c:pt idx="9">
                  <c:v>17.282418652296492</c:v>
                </c:pt>
                <c:pt idx="10">
                  <c:v>17.969290575236819</c:v>
                </c:pt>
                <c:pt idx="11">
                  <c:v>18.564286098627854</c:v>
                </c:pt>
                <c:pt idx="12">
                  <c:v>19.089109344828962</c:v>
                </c:pt>
                <c:pt idx="13">
                  <c:v>19.558579736221155</c:v>
                </c:pt>
                <c:pt idx="14">
                  <c:v>19.983267363621465</c:v>
                </c:pt>
                <c:pt idx="15">
                  <c:v>20.370976791160324</c:v>
                </c:pt>
                <c:pt idx="16">
                  <c:v>21.365270428753625</c:v>
                </c:pt>
                <c:pt idx="17">
                  <c:v>22.177667483692794</c:v>
                </c:pt>
                <c:pt idx="18">
                  <c:v>22.864539406633114</c:v>
                </c:pt>
                <c:pt idx="19">
                  <c:v>23.459534930024162</c:v>
                </c:pt>
                <c:pt idx="20">
                  <c:v>24.146406852964482</c:v>
                </c:pt>
                <c:pt idx="21">
                  <c:v>24.741402376355531</c:v>
                </c:pt>
                <c:pt idx="22">
                  <c:v>25.266225622556632</c:v>
                </c:pt>
                <c:pt idx="23">
                  <c:v>26.548093068888001</c:v>
                </c:pt>
                <c:pt idx="24">
                  <c:v>27.542386706481288</c:v>
                </c:pt>
                <c:pt idx="25">
                  <c:v>28.354783761420471</c:v>
                </c:pt>
                <c:pt idx="26">
                  <c:v>29.041655684360791</c:v>
                </c:pt>
                <c:pt idx="27">
                  <c:v>29.636651207751832</c:v>
                </c:pt>
                <c:pt idx="28">
                  <c:v>30.161474453952941</c:v>
                </c:pt>
                <c:pt idx="29">
                  <c:v>30.630944845345127</c:v>
                </c:pt>
                <c:pt idx="30">
                  <c:v>31.055632472745444</c:v>
                </c:pt>
                <c:pt idx="31">
                  <c:v>31.443341900284302</c:v>
                </c:pt>
                <c:pt idx="32">
                  <c:v>31.799999999999997</c:v>
                </c:pt>
                <c:pt idx="33">
                  <c:v>31.799999999999997</c:v>
                </c:pt>
                <c:pt idx="34">
                  <c:v>31.799999999999997</c:v>
                </c:pt>
                <c:pt idx="35">
                  <c:v>31.799999999999997</c:v>
                </c:pt>
                <c:pt idx="36">
                  <c:v>31.799999999999997</c:v>
                </c:pt>
                <c:pt idx="37">
                  <c:v>31.799999999999997</c:v>
                </c:pt>
                <c:pt idx="38">
                  <c:v>31.799999999999997</c:v>
                </c:pt>
                <c:pt idx="39">
                  <c:v>31.799999999999997</c:v>
                </c:pt>
                <c:pt idx="40">
                  <c:v>31.799999999999997</c:v>
                </c:pt>
                <c:pt idx="41">
                  <c:v>31.799999999999997</c:v>
                </c:pt>
                <c:pt idx="42">
                  <c:v>31.799999999999997</c:v>
                </c:pt>
                <c:pt idx="43">
                  <c:v>31.799999999999997</c:v>
                </c:pt>
                <c:pt idx="44">
                  <c:v>31.799999999999997</c:v>
                </c:pt>
                <c:pt idx="45">
                  <c:v>31.799999999999997</c:v>
                </c:pt>
                <c:pt idx="46">
                  <c:v>31.799999999999997</c:v>
                </c:pt>
                <c:pt idx="47">
                  <c:v>31.799999999999997</c:v>
                </c:pt>
                <c:pt idx="48">
                  <c:v>31.799999999999997</c:v>
                </c:pt>
                <c:pt idx="49">
                  <c:v>31.799999999999997</c:v>
                </c:pt>
                <c:pt idx="50">
                  <c:v>31.799999999999997</c:v>
                </c:pt>
                <c:pt idx="51">
                  <c:v>31.799999999999997</c:v>
                </c:pt>
                <c:pt idx="52">
                  <c:v>31.799999999999997</c:v>
                </c:pt>
                <c:pt idx="53">
                  <c:v>31.799999999999997</c:v>
                </c:pt>
                <c:pt idx="54">
                  <c:v>31.799999999999997</c:v>
                </c:pt>
                <c:pt idx="55">
                  <c:v>31.799999999999997</c:v>
                </c:pt>
                <c:pt idx="56">
                  <c:v>31.799999999999997</c:v>
                </c:pt>
                <c:pt idx="57">
                  <c:v>31.799999999999997</c:v>
                </c:pt>
                <c:pt idx="58">
                  <c:v>31.799999999999997</c:v>
                </c:pt>
                <c:pt idx="59">
                  <c:v>31.799999999999997</c:v>
                </c:pt>
                <c:pt idx="60">
                  <c:v>31.799999999999997</c:v>
                </c:pt>
                <c:pt idx="61">
                  <c:v>31.799999999999997</c:v>
                </c:pt>
                <c:pt idx="62">
                  <c:v>31.799999999999997</c:v>
                </c:pt>
                <c:pt idx="63">
                  <c:v>31.799999999999997</c:v>
                </c:pt>
                <c:pt idx="64">
                  <c:v>31.799999999999997</c:v>
                </c:pt>
                <c:pt idx="65">
                  <c:v>31.799999999999997</c:v>
                </c:pt>
                <c:pt idx="66">
                  <c:v>31.799999999999997</c:v>
                </c:pt>
                <c:pt idx="67">
                  <c:v>31.799999999999997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19.592385761778836</c:v>
                </c:pt>
                <c:pt idx="1">
                  <c:v>17.660968242164142</c:v>
                </c:pt>
                <c:pt idx="2">
                  <c:v>15.919949874568585</c:v>
                </c:pt>
                <c:pt idx="3">
                  <c:v>14.350561109310942</c:v>
                </c:pt>
                <c:pt idx="4">
                  <c:v>12.935882699043253</c:v>
                </c:pt>
                <c:pt idx="5">
                  <c:v>9.4749652968574445</c:v>
                </c:pt>
                <c:pt idx="6">
                  <c:v>8.8415638097987674</c:v>
                </c:pt>
                <c:pt idx="7">
                  <c:v>7.1842834444076562</c:v>
                </c:pt>
                <c:pt idx="8">
                  <c:v>6.4760567343417499</c:v>
                </c:pt>
                <c:pt idx="9">
                  <c:v>5.8376470180974334</c:v>
                </c:pt>
                <c:pt idx="10">
                  <c:v>5.6391488719486738</c:v>
                </c:pt>
                <c:pt idx="11">
                  <c:v>5.4474002798415233</c:v>
                </c:pt>
                <c:pt idx="12">
                  <c:v>5.2621717359561835</c:v>
                </c:pt>
                <c:pt idx="13">
                  <c:v>5.0832415383841942</c:v>
                </c:pt>
                <c:pt idx="14">
                  <c:v>4.9103955237711903</c:v>
                </c:pt>
                <c:pt idx="15">
                  <c:v>4.7434268109826219</c:v>
                </c:pt>
                <c:pt idx="16">
                  <c:v>4.5821355534856503</c:v>
                </c:pt>
                <c:pt idx="17">
                  <c:v>4.4263287001508189</c:v>
                </c:pt>
                <c:pt idx="18">
                  <c:v>4.275819764187208</c:v>
                </c:pt>
                <c:pt idx="19">
                  <c:v>3.8543094231966499</c:v>
                </c:pt>
                <c:pt idx="20">
                  <c:v>3.7232509208897429</c:v>
                </c:pt>
                <c:pt idx="21">
                  <c:v>3.0253573378816734</c:v>
                </c:pt>
                <c:pt idx="22">
                  <c:v>2.4582783208409844</c:v>
                </c:pt>
                <c:pt idx="23">
                  <c:v>1.9974937264594714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out!$C$10:$C$77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out!$D$10:$D$77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1D-4E98-8B23-488C12912146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out!$C$10:$C$77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out!$F$10:$F$77</c:f>
              <c:numCache>
                <c:formatCode>\ 0.00</c:formatCode>
                <c:ptCount val="68"/>
                <c:pt idx="0">
                  <c:v>2.7078799527896127</c:v>
                </c:pt>
                <c:pt idx="1">
                  <c:v>5.2157599055792261</c:v>
                </c:pt>
                <c:pt idx="2">
                  <c:v>7.0224505981116963</c:v>
                </c:pt>
                <c:pt idx="3">
                  <c:v>8.3043180444430647</c:v>
                </c:pt>
                <c:pt idx="4">
                  <c:v>9.298611682036352</c:v>
                </c:pt>
                <c:pt idx="5">
                  <c:v>12.387169820900191</c:v>
                </c:pt>
                <c:pt idx="6">
                  <c:v>14.193860513432661</c:v>
                </c:pt>
                <c:pt idx="7">
                  <c:v>15.475727959764022</c:v>
                </c:pt>
                <c:pt idx="8">
                  <c:v>16.470021597357317</c:v>
                </c:pt>
                <c:pt idx="9">
                  <c:v>17.282418652296492</c:v>
                </c:pt>
                <c:pt idx="10">
                  <c:v>17.969290575236819</c:v>
                </c:pt>
                <c:pt idx="11">
                  <c:v>18.564286098627854</c:v>
                </c:pt>
                <c:pt idx="12">
                  <c:v>19.089109344828962</c:v>
                </c:pt>
                <c:pt idx="13">
                  <c:v>19.558579736221155</c:v>
                </c:pt>
                <c:pt idx="14">
                  <c:v>19.983267363621465</c:v>
                </c:pt>
                <c:pt idx="15">
                  <c:v>20.370976791160324</c:v>
                </c:pt>
                <c:pt idx="16">
                  <c:v>21.365270428753625</c:v>
                </c:pt>
                <c:pt idx="17">
                  <c:v>22.177667483692794</c:v>
                </c:pt>
                <c:pt idx="18">
                  <c:v>22.864539406633114</c:v>
                </c:pt>
                <c:pt idx="19">
                  <c:v>23.459534930024162</c:v>
                </c:pt>
                <c:pt idx="20">
                  <c:v>24.146406852964482</c:v>
                </c:pt>
                <c:pt idx="21">
                  <c:v>24.741402376355531</c:v>
                </c:pt>
                <c:pt idx="22">
                  <c:v>25.266225622556632</c:v>
                </c:pt>
                <c:pt idx="23">
                  <c:v>26.548093068888001</c:v>
                </c:pt>
                <c:pt idx="24">
                  <c:v>27.542386706481288</c:v>
                </c:pt>
                <c:pt idx="25">
                  <c:v>28.354783761420471</c:v>
                </c:pt>
                <c:pt idx="26">
                  <c:v>29.041655684360791</c:v>
                </c:pt>
                <c:pt idx="27">
                  <c:v>29.636651207751832</c:v>
                </c:pt>
                <c:pt idx="28">
                  <c:v>30.161474453952941</c:v>
                </c:pt>
                <c:pt idx="29">
                  <c:v>30.630944845345127</c:v>
                </c:pt>
                <c:pt idx="30">
                  <c:v>31.055632472745444</c:v>
                </c:pt>
                <c:pt idx="31">
                  <c:v>31.443341900284302</c:v>
                </c:pt>
                <c:pt idx="32">
                  <c:v>31.799999999999997</c:v>
                </c:pt>
                <c:pt idx="33">
                  <c:v>31.799999999999997</c:v>
                </c:pt>
                <c:pt idx="34">
                  <c:v>31.799999999999997</c:v>
                </c:pt>
                <c:pt idx="35">
                  <c:v>31.799999999999997</c:v>
                </c:pt>
                <c:pt idx="36">
                  <c:v>31.799999999999997</c:v>
                </c:pt>
                <c:pt idx="37">
                  <c:v>31.799999999999997</c:v>
                </c:pt>
                <c:pt idx="38">
                  <c:v>31.799999999999997</c:v>
                </c:pt>
                <c:pt idx="39">
                  <c:v>31.799999999999997</c:v>
                </c:pt>
                <c:pt idx="40">
                  <c:v>31.799999999999997</c:v>
                </c:pt>
                <c:pt idx="41">
                  <c:v>31.799999999999997</c:v>
                </c:pt>
                <c:pt idx="42">
                  <c:v>31.799999999999997</c:v>
                </c:pt>
                <c:pt idx="43">
                  <c:v>31.799999999999997</c:v>
                </c:pt>
                <c:pt idx="44">
                  <c:v>31.799999999999997</c:v>
                </c:pt>
                <c:pt idx="45">
                  <c:v>31.799999999999997</c:v>
                </c:pt>
                <c:pt idx="46">
                  <c:v>31.799999999999997</c:v>
                </c:pt>
                <c:pt idx="47">
                  <c:v>31.799999999999997</c:v>
                </c:pt>
                <c:pt idx="48">
                  <c:v>31.799999999999997</c:v>
                </c:pt>
                <c:pt idx="49">
                  <c:v>31.799999999999997</c:v>
                </c:pt>
                <c:pt idx="50">
                  <c:v>31.799999999999997</c:v>
                </c:pt>
                <c:pt idx="51">
                  <c:v>31.799999999999997</c:v>
                </c:pt>
                <c:pt idx="52">
                  <c:v>31.799999999999997</c:v>
                </c:pt>
                <c:pt idx="53">
                  <c:v>31.799999999999997</c:v>
                </c:pt>
                <c:pt idx="54">
                  <c:v>31.799999999999997</c:v>
                </c:pt>
                <c:pt idx="55">
                  <c:v>31.799999999999997</c:v>
                </c:pt>
                <c:pt idx="56">
                  <c:v>31.799999999999997</c:v>
                </c:pt>
                <c:pt idx="57">
                  <c:v>31.799999999999997</c:v>
                </c:pt>
                <c:pt idx="58">
                  <c:v>31.799999999999997</c:v>
                </c:pt>
                <c:pt idx="59">
                  <c:v>31.799999999999997</c:v>
                </c:pt>
                <c:pt idx="60">
                  <c:v>31.799999999999997</c:v>
                </c:pt>
                <c:pt idx="61">
                  <c:v>31.799999999999997</c:v>
                </c:pt>
                <c:pt idx="62">
                  <c:v>31.799999999999997</c:v>
                </c:pt>
                <c:pt idx="63">
                  <c:v>31.799999999999997</c:v>
                </c:pt>
                <c:pt idx="64">
                  <c:v>31.799999999999997</c:v>
                </c:pt>
                <c:pt idx="65">
                  <c:v>31.799999999999997</c:v>
                </c:pt>
                <c:pt idx="66">
                  <c:v>31.799999999999997</c:v>
                </c:pt>
                <c:pt idx="67">
                  <c:v>31.799999999999997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1D-4E98-8B23-488C12912146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out!$C$10:$C$77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out!$G$10:$G$77</c:f>
              <c:numCache>
                <c:formatCode>General</c:formatCode>
                <c:ptCount val="68"/>
                <c:pt idx="4">
                  <c:v>14.9</c:v>
                </c:pt>
                <c:pt idx="9">
                  <c:v>15.299999999999999</c:v>
                </c:pt>
                <c:pt idx="15">
                  <c:v>15.4</c:v>
                </c:pt>
                <c:pt idx="19">
                  <c:v>14.9</c:v>
                </c:pt>
                <c:pt idx="23">
                  <c:v>15</c:v>
                </c:pt>
                <c:pt idx="27">
                  <c:v>15.4</c:v>
                </c:pt>
                <c:pt idx="43">
                  <c:v>15.299999999999999</c:v>
                </c:pt>
                <c:pt idx="47">
                  <c:v>15.299999999999999</c:v>
                </c:pt>
                <c:pt idx="51">
                  <c:v>15.299999999999999</c:v>
                </c:pt>
                <c:pt idx="67">
                  <c:v>15.299999999999999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D1D-4E98-8B23-488C12912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4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142875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647700</xdr:colOff>
      <xdr:row>0</xdr:row>
      <xdr:rowOff>0</xdr:rowOff>
    </xdr:from>
    <xdr:to>
      <xdr:col>61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23" sqref="M23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1.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3" spans="3:10" ht="18" customHeight="1">
      <c r="C3" s="9" t="s">
        <v>43</v>
      </c>
      <c r="D3" s="9" t="s">
        <v>58</v>
      </c>
      <c r="E3" s="9" t="s">
        <v>80</v>
      </c>
      <c r="F3" s="9" t="s">
        <v>30</v>
      </c>
      <c r="G3" s="10" t="s">
        <v>81</v>
      </c>
      <c r="H3" s="11" t="s">
        <v>82</v>
      </c>
      <c r="J3" s="10" t="s">
        <v>222</v>
      </c>
    </row>
    <row r="4" spans="3:10" ht="18" customHeight="1">
      <c r="C4" s="10">
        <v>1</v>
      </c>
      <c r="D4" s="12" t="s">
        <v>83</v>
      </c>
      <c r="E4" s="10" t="s">
        <v>59</v>
      </c>
      <c r="F4" s="10">
        <v>150</v>
      </c>
      <c r="G4" s="10">
        <v>5.0000000000000001E-4</v>
      </c>
      <c r="H4" s="10" t="s">
        <v>84</v>
      </c>
      <c r="J4" s="10" t="s">
        <v>218</v>
      </c>
    </row>
    <row r="5" spans="3:10" ht="18" customHeight="1">
      <c r="C5" s="10">
        <v>2</v>
      </c>
      <c r="D5" s="10" t="s">
        <v>85</v>
      </c>
      <c r="E5" s="10" t="s">
        <v>86</v>
      </c>
      <c r="F5" s="10">
        <v>200</v>
      </c>
      <c r="G5" s="10">
        <v>0.1</v>
      </c>
      <c r="H5" s="13" t="s">
        <v>87</v>
      </c>
      <c r="J5" s="10" t="s">
        <v>223</v>
      </c>
    </row>
    <row r="6" spans="3:10" ht="18" customHeight="1">
      <c r="C6" s="10">
        <v>3</v>
      </c>
      <c r="D6" s="10" t="s">
        <v>88</v>
      </c>
      <c r="E6" s="10" t="s">
        <v>89</v>
      </c>
      <c r="F6" s="10">
        <v>250</v>
      </c>
      <c r="H6" s="13" t="s">
        <v>90</v>
      </c>
      <c r="J6" s="10" t="s">
        <v>232</v>
      </c>
    </row>
    <row r="7" spans="3:10" ht="18" customHeight="1">
      <c r="C7" s="10">
        <v>5</v>
      </c>
      <c r="D7" s="10" t="s">
        <v>91</v>
      </c>
      <c r="E7" s="10" t="s">
        <v>92</v>
      </c>
      <c r="H7" s="13" t="s">
        <v>93</v>
      </c>
      <c r="J7" s="10" t="s">
        <v>231</v>
      </c>
    </row>
    <row r="8" spans="3:10" ht="18" customHeight="1">
      <c r="C8" s="10">
        <v>7.5</v>
      </c>
      <c r="D8" s="10" t="s">
        <v>94</v>
      </c>
      <c r="E8" s="10" t="s">
        <v>95</v>
      </c>
      <c r="H8" s="12"/>
      <c r="J8" s="10" t="s">
        <v>225</v>
      </c>
    </row>
    <row r="9" spans="3:10" ht="18" customHeight="1">
      <c r="C9" s="10">
        <v>10</v>
      </c>
      <c r="D9" s="12" t="s">
        <v>96</v>
      </c>
      <c r="E9" s="10" t="s">
        <v>97</v>
      </c>
      <c r="H9" s="12"/>
      <c r="J9" s="10" t="s">
        <v>230</v>
      </c>
    </row>
    <row r="10" spans="3:10" ht="18" customHeight="1">
      <c r="C10" s="10">
        <v>15</v>
      </c>
      <c r="D10" s="12" t="s">
        <v>98</v>
      </c>
      <c r="E10" s="10" t="s">
        <v>99</v>
      </c>
      <c r="H10" s="12"/>
      <c r="J10" s="10" t="s">
        <v>226</v>
      </c>
    </row>
    <row r="11" spans="3:10" ht="18" customHeight="1">
      <c r="C11" s="10">
        <v>20</v>
      </c>
      <c r="D11" s="10" t="s">
        <v>100</v>
      </c>
      <c r="E11" s="10" t="s">
        <v>101</v>
      </c>
      <c r="H11" s="12"/>
      <c r="J11" s="10" t="s">
        <v>229</v>
      </c>
    </row>
    <row r="12" spans="3:10" ht="18" customHeight="1">
      <c r="C12" s="10">
        <v>25</v>
      </c>
      <c r="D12" s="12" t="s">
        <v>102</v>
      </c>
      <c r="E12" s="10" t="s">
        <v>103</v>
      </c>
      <c r="H12" s="12"/>
      <c r="J12" s="10" t="s">
        <v>224</v>
      </c>
    </row>
    <row r="13" spans="3:10" ht="18" customHeight="1">
      <c r="C13" s="10">
        <v>30</v>
      </c>
      <c r="D13" s="12" t="s">
        <v>104</v>
      </c>
      <c r="E13" s="10" t="s">
        <v>105</v>
      </c>
      <c r="H13" s="12"/>
      <c r="J13" s="10" t="s">
        <v>228</v>
      </c>
    </row>
    <row r="14" spans="3:10" ht="18" customHeight="1">
      <c r="D14" s="12" t="s">
        <v>106</v>
      </c>
      <c r="E14" s="10" t="s">
        <v>107</v>
      </c>
      <c r="H14" s="12"/>
      <c r="J14" s="10" t="s">
        <v>227</v>
      </c>
    </row>
    <row r="15" spans="3:10" ht="18" customHeight="1">
      <c r="D15" s="12" t="s">
        <v>108</v>
      </c>
      <c r="E15" s="10" t="s">
        <v>109</v>
      </c>
      <c r="J15" s="10" t="s">
        <v>252</v>
      </c>
    </row>
    <row r="16" spans="3:10" ht="18" customHeight="1">
      <c r="D16" s="12" t="s">
        <v>110</v>
      </c>
      <c r="E16" s="10" t="s">
        <v>111</v>
      </c>
      <c r="J16" s="10" t="s">
        <v>253</v>
      </c>
    </row>
    <row r="17" spans="4:10" ht="18" customHeight="1">
      <c r="D17" s="12" t="s">
        <v>112</v>
      </c>
      <c r="E17" s="10" t="s">
        <v>113</v>
      </c>
      <c r="J17" s="11" t="s">
        <v>259</v>
      </c>
    </row>
    <row r="18" spans="4:10" ht="18" customHeight="1">
      <c r="D18" s="12" t="s">
        <v>114</v>
      </c>
      <c r="E18" s="10" t="s">
        <v>115</v>
      </c>
      <c r="J18" s="10" t="s">
        <v>260</v>
      </c>
    </row>
    <row r="19" spans="4:10" ht="18" customHeight="1">
      <c r="D19" s="12" t="s">
        <v>261</v>
      </c>
      <c r="E19" s="10" t="s">
        <v>279</v>
      </c>
      <c r="J19" s="10" t="s">
        <v>297</v>
      </c>
    </row>
    <row r="20" spans="4:10" ht="18" customHeight="1">
      <c r="D20" s="10" t="s">
        <v>262</v>
      </c>
      <c r="E20" s="10" t="s">
        <v>280</v>
      </c>
    </row>
    <row r="21" spans="4:10" ht="18" customHeight="1">
      <c r="D21" s="10" t="s">
        <v>263</v>
      </c>
      <c r="E21" s="10" t="s">
        <v>281</v>
      </c>
    </row>
    <row r="22" spans="4:10" ht="18" customHeight="1">
      <c r="D22" s="10" t="s">
        <v>264</v>
      </c>
      <c r="E22" s="10" t="s">
        <v>282</v>
      </c>
    </row>
    <row r="23" spans="4:10" ht="18" customHeight="1">
      <c r="D23" s="10" t="s">
        <v>265</v>
      </c>
      <c r="E23" s="10" t="s">
        <v>283</v>
      </c>
    </row>
    <row r="24" spans="4:10" ht="18" customHeight="1">
      <c r="D24" s="10" t="s">
        <v>266</v>
      </c>
      <c r="E24" s="10" t="s">
        <v>284</v>
      </c>
    </row>
    <row r="25" spans="4:10" ht="18" customHeight="1">
      <c r="D25" s="10" t="s">
        <v>267</v>
      </c>
      <c r="E25" s="10" t="s">
        <v>285</v>
      </c>
    </row>
    <row r="26" spans="4:10" ht="18" customHeight="1">
      <c r="D26" s="10" t="s">
        <v>268</v>
      </c>
      <c r="E26" s="10" t="s">
        <v>286</v>
      </c>
    </row>
    <row r="27" spans="4:10" ht="18" customHeight="1">
      <c r="D27" s="10" t="s">
        <v>269</v>
      </c>
      <c r="E27" s="10" t="s">
        <v>287</v>
      </c>
    </row>
    <row r="28" spans="4:10" ht="18" customHeight="1">
      <c r="D28" s="10" t="s">
        <v>270</v>
      </c>
      <c r="E28" s="10" t="s">
        <v>288</v>
      </c>
    </row>
    <row r="29" spans="4:10" ht="18" customHeight="1">
      <c r="D29" s="10" t="s">
        <v>271</v>
      </c>
      <c r="E29" s="10" t="s">
        <v>289</v>
      </c>
    </row>
    <row r="30" spans="4:10" ht="18" customHeight="1">
      <c r="D30" s="10" t="s">
        <v>272</v>
      </c>
      <c r="E30" s="10" t="s">
        <v>290</v>
      </c>
    </row>
    <row r="31" spans="4:10" ht="18" customHeight="1">
      <c r="D31" s="10" t="s">
        <v>273</v>
      </c>
      <c r="E31" s="10" t="s">
        <v>291</v>
      </c>
    </row>
    <row r="32" spans="4:10" ht="18" customHeight="1">
      <c r="D32" s="10" t="s">
        <v>274</v>
      </c>
      <c r="E32" s="10" t="s">
        <v>292</v>
      </c>
    </row>
    <row r="33" spans="4:5" ht="18" customHeight="1">
      <c r="D33" s="10" t="s">
        <v>275</v>
      </c>
      <c r="E33" s="10" t="s">
        <v>293</v>
      </c>
    </row>
    <row r="34" spans="4:5" ht="18" customHeight="1">
      <c r="D34" s="10" t="s">
        <v>276</v>
      </c>
      <c r="E34" s="10" t="s">
        <v>294</v>
      </c>
    </row>
    <row r="35" spans="4:5" ht="18" customHeight="1">
      <c r="D35" s="10" t="s">
        <v>277</v>
      </c>
      <c r="E35" s="10" t="s">
        <v>295</v>
      </c>
    </row>
    <row r="36" spans="4:5" ht="18" customHeight="1">
      <c r="D36" s="10" t="s">
        <v>278</v>
      </c>
      <c r="E36" s="10" t="s">
        <v>296</v>
      </c>
    </row>
  </sheetData>
  <phoneticPr fontId="4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00">
        <v>1</v>
      </c>
      <c r="B1" s="6">
        <f>F1</f>
        <v>1.45</v>
      </c>
      <c r="E1" s="6">
        <v>1</v>
      </c>
      <c r="F1" s="6">
        <f>StepTest!G12</f>
        <v>1.45</v>
      </c>
    </row>
    <row r="2" spans="1:6">
      <c r="A2" s="100">
        <v>2</v>
      </c>
      <c r="B2" s="6">
        <f t="shared" ref="B2:B20" si="0">F2</f>
        <v>2.78</v>
      </c>
      <c r="E2" s="6">
        <v>2</v>
      </c>
      <c r="F2" s="6">
        <f>StepTest!G13</f>
        <v>2.78</v>
      </c>
    </row>
    <row r="3" spans="1:6">
      <c r="A3" s="100">
        <v>3</v>
      </c>
      <c r="B3" s="6">
        <f t="shared" si="0"/>
        <v>3.83</v>
      </c>
      <c r="E3" s="6">
        <v>3</v>
      </c>
      <c r="F3" s="6">
        <f>StepTest!G14</f>
        <v>3.83</v>
      </c>
    </row>
    <row r="4" spans="1:6">
      <c r="A4" s="100">
        <v>4</v>
      </c>
      <c r="B4" s="6">
        <f t="shared" si="0"/>
        <v>4.57</v>
      </c>
      <c r="E4" s="6">
        <v>4</v>
      </c>
      <c r="F4" s="6">
        <f>StepTest!G15</f>
        <v>4.57</v>
      </c>
    </row>
    <row r="5" spans="1:6">
      <c r="A5" s="100">
        <v>5</v>
      </c>
      <c r="B5" s="6">
        <f t="shared" si="0"/>
        <v>5.14</v>
      </c>
      <c r="E5" s="6">
        <v>5</v>
      </c>
      <c r="F5" s="6">
        <f>StepTest!G16</f>
        <v>5.14</v>
      </c>
    </row>
    <row r="6" spans="1:6">
      <c r="A6" s="100">
        <v>10</v>
      </c>
      <c r="B6" s="6">
        <f t="shared" si="0"/>
        <v>6.92</v>
      </c>
      <c r="E6" s="6">
        <v>10</v>
      </c>
      <c r="F6" s="6">
        <f>StepTest!G17</f>
        <v>6.92</v>
      </c>
    </row>
    <row r="7" spans="1:6">
      <c r="A7" s="100">
        <v>15</v>
      </c>
      <c r="B7" s="6">
        <f t="shared" si="0"/>
        <v>7.96</v>
      </c>
      <c r="E7" s="6">
        <v>15</v>
      </c>
      <c r="F7" s="6">
        <f>StepTest!G18</f>
        <v>7.96</v>
      </c>
    </row>
    <row r="8" spans="1:6">
      <c r="A8" s="100">
        <v>20</v>
      </c>
      <c r="B8" s="6">
        <f t="shared" si="0"/>
        <v>8.6999999999999993</v>
      </c>
      <c r="E8" s="6">
        <v>20</v>
      </c>
      <c r="F8" s="6">
        <f>StepTest!G19</f>
        <v>8.6999999999999993</v>
      </c>
    </row>
    <row r="9" spans="1:6">
      <c r="A9" s="100">
        <v>25</v>
      </c>
      <c r="B9" s="6">
        <f t="shared" si="0"/>
        <v>9.27</v>
      </c>
      <c r="E9" s="6">
        <v>25</v>
      </c>
      <c r="F9" s="6">
        <f>StepTest!G20</f>
        <v>9.27</v>
      </c>
    </row>
    <row r="10" spans="1:6">
      <c r="A10" s="100">
        <v>30</v>
      </c>
      <c r="B10" s="6">
        <f t="shared" si="0"/>
        <v>9.74</v>
      </c>
      <c r="E10" s="6">
        <v>30</v>
      </c>
      <c r="F10" s="6">
        <f>StepTest!G21</f>
        <v>9.74</v>
      </c>
    </row>
    <row r="11" spans="1:6">
      <c r="A11" s="100">
        <v>35</v>
      </c>
      <c r="B11" s="6">
        <f t="shared" si="0"/>
        <v>10.14</v>
      </c>
      <c r="E11" s="6">
        <v>35</v>
      </c>
      <c r="F11" s="6">
        <f>StepTest!G22</f>
        <v>10.14</v>
      </c>
    </row>
    <row r="12" spans="1:6">
      <c r="A12" s="100">
        <v>40</v>
      </c>
      <c r="B12" s="6">
        <f t="shared" si="0"/>
        <v>10.48</v>
      </c>
      <c r="E12" s="6">
        <v>40</v>
      </c>
      <c r="F12" s="6">
        <f>StepTest!G23</f>
        <v>10.48</v>
      </c>
    </row>
    <row r="13" spans="1:6">
      <c r="A13" s="100">
        <v>45</v>
      </c>
      <c r="B13" s="6">
        <f t="shared" si="0"/>
        <v>10.78</v>
      </c>
      <c r="E13" s="6">
        <v>45</v>
      </c>
      <c r="F13" s="6">
        <f>StepTest!G24</f>
        <v>10.78</v>
      </c>
    </row>
    <row r="14" spans="1:6">
      <c r="A14" s="100">
        <v>50</v>
      </c>
      <c r="B14" s="6">
        <f t="shared" si="0"/>
        <v>11.06</v>
      </c>
      <c r="E14" s="6">
        <v>50</v>
      </c>
      <c r="F14" s="6">
        <f>StepTest!G25</f>
        <v>11.06</v>
      </c>
    </row>
    <row r="15" spans="1:6">
      <c r="A15" s="100">
        <v>55</v>
      </c>
      <c r="B15" s="6">
        <f t="shared" si="0"/>
        <v>11.3</v>
      </c>
      <c r="E15" s="6">
        <v>55</v>
      </c>
      <c r="F15" s="6">
        <f>StepTest!G26</f>
        <v>11.3</v>
      </c>
    </row>
    <row r="16" spans="1:6">
      <c r="A16" s="100">
        <v>60</v>
      </c>
      <c r="B16" s="6">
        <f t="shared" si="0"/>
        <v>11.52</v>
      </c>
      <c r="E16" s="6">
        <v>60</v>
      </c>
      <c r="F16" s="6">
        <f>StepTest!G27</f>
        <v>11.52</v>
      </c>
    </row>
    <row r="17" spans="1:6">
      <c r="A17" s="100">
        <v>75</v>
      </c>
      <c r="B17" s="6">
        <f t="shared" si="0"/>
        <v>12.1</v>
      </c>
      <c r="E17" s="6">
        <v>75</v>
      </c>
      <c r="F17" s="6">
        <f>StepTest!G28</f>
        <v>12.1</v>
      </c>
    </row>
    <row r="18" spans="1:6">
      <c r="A18" s="100">
        <v>90</v>
      </c>
      <c r="B18" s="6">
        <f t="shared" si="0"/>
        <v>12.57</v>
      </c>
      <c r="E18" s="6">
        <v>90</v>
      </c>
      <c r="F18" s="6">
        <f>StepTest!G29</f>
        <v>12.57</v>
      </c>
    </row>
    <row r="19" spans="1:6">
      <c r="A19" s="100">
        <v>105</v>
      </c>
      <c r="B19" s="6">
        <f t="shared" si="0"/>
        <v>12.96</v>
      </c>
      <c r="E19" s="6">
        <v>105</v>
      </c>
      <c r="F19" s="6">
        <f>StepTest!G30</f>
        <v>12.96</v>
      </c>
    </row>
    <row r="20" spans="1:6">
      <c r="A20" s="101">
        <v>120</v>
      </c>
      <c r="B20" s="102">
        <f t="shared" si="0"/>
        <v>13.31</v>
      </c>
      <c r="C20" s="102">
        <f>B26-B20</f>
        <v>2.6500000000000004</v>
      </c>
      <c r="D20" s="103">
        <f>C20/10</f>
        <v>0.26500000000000001</v>
      </c>
      <c r="E20" s="6">
        <v>120</v>
      </c>
      <c r="F20" s="6">
        <f>StepTest!G31</f>
        <v>13.31</v>
      </c>
    </row>
    <row r="21" spans="1:6">
      <c r="A21" s="100">
        <v>121</v>
      </c>
      <c r="B21" s="104">
        <f>B20+D21</f>
        <v>13.47</v>
      </c>
      <c r="D21" s="6">
        <v>0.16</v>
      </c>
      <c r="E21" s="6">
        <v>130</v>
      </c>
      <c r="F21" s="6">
        <f>StepTest!G32</f>
        <v>15.96</v>
      </c>
    </row>
    <row r="22" spans="1:6">
      <c r="A22" s="100">
        <v>122</v>
      </c>
      <c r="B22" s="104">
        <f>B21+D22</f>
        <v>13.620000000000001</v>
      </c>
      <c r="D22" s="6">
        <v>0.15</v>
      </c>
      <c r="E22" s="6">
        <v>140</v>
      </c>
      <c r="F22" s="6">
        <f>StepTest!G33</f>
        <v>16.41</v>
      </c>
    </row>
    <row r="23" spans="1:6">
      <c r="A23" s="100">
        <v>123</v>
      </c>
      <c r="B23" s="104">
        <f>B22+D23</f>
        <v>13.760000000000002</v>
      </c>
      <c r="D23" s="6">
        <v>0.14000000000000001</v>
      </c>
      <c r="E23" s="6">
        <v>150</v>
      </c>
      <c r="F23" s="6">
        <f>StepTest!G34</f>
        <v>16.850000000000001</v>
      </c>
    </row>
    <row r="24" spans="1:6">
      <c r="A24" s="100">
        <v>124</v>
      </c>
      <c r="B24" s="104">
        <f>B23+D24</f>
        <v>13.890000000000002</v>
      </c>
      <c r="D24" s="6">
        <v>0.13</v>
      </c>
      <c r="E24" s="6">
        <v>180</v>
      </c>
      <c r="F24" s="6">
        <f>StepTest!G35</f>
        <v>17.29</v>
      </c>
    </row>
    <row r="25" spans="1:6">
      <c r="A25" s="100">
        <v>125</v>
      </c>
      <c r="B25" s="104">
        <f>B24+D25</f>
        <v>14.020000000000003</v>
      </c>
      <c r="D25" s="6">
        <v>0.13</v>
      </c>
      <c r="E25" s="6">
        <v>240</v>
      </c>
      <c r="F25" s="6">
        <f>StepTest!G36</f>
        <v>17.739999999999998</v>
      </c>
    </row>
    <row r="26" spans="1:6">
      <c r="A26" s="100">
        <v>130</v>
      </c>
      <c r="B26" s="102">
        <f>F21</f>
        <v>15.96</v>
      </c>
      <c r="C26" s="102">
        <f>B28-B26</f>
        <v>0.44999999999999929</v>
      </c>
      <c r="D26" s="102">
        <f>C26/2</f>
        <v>0.22499999999999964</v>
      </c>
      <c r="E26" s="6">
        <v>250</v>
      </c>
      <c r="F26" s="6">
        <f>StepTest!G37</f>
        <v>20.74</v>
      </c>
    </row>
    <row r="27" spans="1:6">
      <c r="A27" s="100">
        <v>135</v>
      </c>
      <c r="B27" s="104">
        <f>B26+D27</f>
        <v>16.07</v>
      </c>
      <c r="D27" s="6">
        <v>0.11</v>
      </c>
      <c r="E27" s="6">
        <v>260</v>
      </c>
      <c r="F27" s="6">
        <f>StepTest!G38</f>
        <v>21.24</v>
      </c>
    </row>
    <row r="28" spans="1:6">
      <c r="A28" s="100">
        <v>140</v>
      </c>
      <c r="B28" s="102">
        <f>F22</f>
        <v>16.41</v>
      </c>
      <c r="C28" s="102">
        <f>B30-B28</f>
        <v>0.44000000000000128</v>
      </c>
      <c r="D28" s="102">
        <f>C28/2</f>
        <v>0.22000000000000064</v>
      </c>
      <c r="E28" s="6">
        <v>270</v>
      </c>
      <c r="F28" s="6">
        <f>StepTest!G39</f>
        <v>21.74</v>
      </c>
    </row>
    <row r="29" spans="1:6">
      <c r="A29" s="100">
        <v>145</v>
      </c>
      <c r="B29" s="104">
        <f>B28+D29</f>
        <v>16.510000000000002</v>
      </c>
      <c r="D29" s="6">
        <v>0.1</v>
      </c>
      <c r="E29" s="6">
        <v>300</v>
      </c>
      <c r="F29" s="6">
        <f>StepTest!G40</f>
        <v>22.24</v>
      </c>
    </row>
    <row r="30" spans="1:6">
      <c r="A30" s="100">
        <v>150</v>
      </c>
      <c r="B30" s="102">
        <f>F23</f>
        <v>16.850000000000001</v>
      </c>
      <c r="C30" s="102">
        <f>B36-B30</f>
        <v>0.43999999999999773</v>
      </c>
      <c r="D30" s="105">
        <f>C30/6</f>
        <v>7.3333333333332959E-2</v>
      </c>
      <c r="E30" s="6">
        <v>360</v>
      </c>
      <c r="F30" s="6">
        <f>StepTest!G41</f>
        <v>22.74</v>
      </c>
    </row>
    <row r="31" spans="1:6">
      <c r="A31" s="100">
        <v>155</v>
      </c>
      <c r="B31" s="104">
        <f>B30+D31</f>
        <v>16.91</v>
      </c>
      <c r="D31" s="6">
        <v>0.06</v>
      </c>
    </row>
    <row r="32" spans="1:6">
      <c r="A32" s="100">
        <v>160</v>
      </c>
      <c r="B32" s="104">
        <f t="shared" ref="B32:B39" si="1">B31+D32</f>
        <v>16.96</v>
      </c>
      <c r="D32" s="6">
        <v>0.05</v>
      </c>
    </row>
    <row r="33" spans="1:4">
      <c r="A33" s="100">
        <v>165</v>
      </c>
      <c r="B33" s="104">
        <f t="shared" si="1"/>
        <v>17</v>
      </c>
      <c r="D33" s="6">
        <v>0.04</v>
      </c>
    </row>
    <row r="34" spans="1:4">
      <c r="A34" s="100">
        <v>170</v>
      </c>
      <c r="B34" s="104">
        <f t="shared" si="1"/>
        <v>17.03</v>
      </c>
      <c r="D34" s="6">
        <v>0.03</v>
      </c>
    </row>
    <row r="35" spans="1:4">
      <c r="A35" s="100">
        <v>175</v>
      </c>
      <c r="B35" s="104">
        <f t="shared" si="1"/>
        <v>17.05</v>
      </c>
      <c r="D35" s="6">
        <v>0.02</v>
      </c>
    </row>
    <row r="36" spans="1:4">
      <c r="A36" s="100">
        <v>180</v>
      </c>
      <c r="B36" s="102">
        <f>F24</f>
        <v>17.29</v>
      </c>
      <c r="C36" s="102">
        <f>B40-B36</f>
        <v>0.44999999999999929</v>
      </c>
      <c r="D36" s="102">
        <f>C36/4</f>
        <v>0.11249999999999982</v>
      </c>
    </row>
    <row r="37" spans="1:4">
      <c r="A37" s="100">
        <v>195</v>
      </c>
      <c r="B37" s="104">
        <f t="shared" si="1"/>
        <v>17.36</v>
      </c>
      <c r="D37" s="6">
        <v>7.0000000000000007E-2</v>
      </c>
    </row>
    <row r="38" spans="1:4">
      <c r="A38" s="100">
        <v>210</v>
      </c>
      <c r="B38" s="104">
        <f t="shared" si="1"/>
        <v>17.419999999999998</v>
      </c>
      <c r="D38" s="6">
        <v>0.06</v>
      </c>
    </row>
    <row r="39" spans="1:4">
      <c r="A39" s="100">
        <v>225</v>
      </c>
      <c r="B39" s="104">
        <f t="shared" si="1"/>
        <v>17.47</v>
      </c>
      <c r="D39" s="6">
        <v>0.05</v>
      </c>
    </row>
    <row r="40" spans="1:4">
      <c r="A40" s="101">
        <v>240</v>
      </c>
      <c r="B40" s="102">
        <f>F25</f>
        <v>17.739999999999998</v>
      </c>
      <c r="C40" s="102">
        <f>B46-B40</f>
        <v>3</v>
      </c>
      <c r="D40" s="103">
        <f>C40/10</f>
        <v>0.3</v>
      </c>
    </row>
    <row r="41" spans="1:4">
      <c r="A41" s="100">
        <v>241</v>
      </c>
      <c r="B41" s="104">
        <f>B40+D41</f>
        <v>17.919999999999998</v>
      </c>
      <c r="D41" s="6">
        <v>0.18</v>
      </c>
    </row>
    <row r="42" spans="1:4">
      <c r="A42" s="100">
        <v>242</v>
      </c>
      <c r="B42" s="104">
        <f>B41+D42</f>
        <v>18.079999999999998</v>
      </c>
      <c r="D42" s="6">
        <v>0.16</v>
      </c>
    </row>
    <row r="43" spans="1:4">
      <c r="A43" s="100">
        <v>243</v>
      </c>
      <c r="B43" s="104">
        <f>B42+D43</f>
        <v>18.229999999999997</v>
      </c>
      <c r="D43" s="6">
        <v>0.15</v>
      </c>
    </row>
    <row r="44" spans="1:4">
      <c r="A44" s="100">
        <v>244</v>
      </c>
      <c r="B44" s="104">
        <f>B43+D44</f>
        <v>18.369999999999997</v>
      </c>
      <c r="D44" s="6">
        <v>0.14000000000000001</v>
      </c>
    </row>
    <row r="45" spans="1:4">
      <c r="A45" s="100">
        <v>245</v>
      </c>
      <c r="B45" s="104">
        <f>B44+D45</f>
        <v>18.499999999999996</v>
      </c>
      <c r="D45" s="6">
        <v>0.13</v>
      </c>
    </row>
    <row r="46" spans="1:4">
      <c r="A46" s="100">
        <v>250</v>
      </c>
      <c r="B46" s="102">
        <f>F26</f>
        <v>20.74</v>
      </c>
      <c r="C46" s="102">
        <f>B48-B46</f>
        <v>0.5</v>
      </c>
      <c r="D46" s="102">
        <f>C46/2</f>
        <v>0.25</v>
      </c>
    </row>
    <row r="47" spans="1:4">
      <c r="A47" s="100">
        <v>255</v>
      </c>
      <c r="B47" s="104">
        <f>B46+D47</f>
        <v>20.849999999999998</v>
      </c>
      <c r="D47" s="6">
        <v>0.11</v>
      </c>
    </row>
    <row r="48" spans="1:4">
      <c r="A48" s="100">
        <v>260</v>
      </c>
      <c r="B48" s="102">
        <f>F27</f>
        <v>21.24</v>
      </c>
      <c r="C48" s="102">
        <f>B50-B48</f>
        <v>0.5</v>
      </c>
      <c r="D48" s="102">
        <f>C48/2</f>
        <v>0.25</v>
      </c>
    </row>
    <row r="49" spans="1:6">
      <c r="A49" s="100">
        <v>265</v>
      </c>
      <c r="B49" s="104">
        <f>B48+D49</f>
        <v>21.349999999999998</v>
      </c>
      <c r="D49" s="6">
        <v>0.11</v>
      </c>
    </row>
    <row r="50" spans="1:6">
      <c r="A50" s="100">
        <v>270</v>
      </c>
      <c r="B50" s="102">
        <f>F28</f>
        <v>21.74</v>
      </c>
      <c r="C50" s="102">
        <f>B56-B50</f>
        <v>0.5</v>
      </c>
      <c r="D50" s="105">
        <f>C50/6</f>
        <v>8.3333333333333329E-2</v>
      </c>
    </row>
    <row r="51" spans="1:6">
      <c r="A51" s="100">
        <v>275</v>
      </c>
      <c r="B51" s="104">
        <f>B50+D51</f>
        <v>21.81</v>
      </c>
      <c r="D51" s="6">
        <v>7.0000000000000007E-2</v>
      </c>
    </row>
    <row r="52" spans="1:6">
      <c r="A52" s="100">
        <v>280</v>
      </c>
      <c r="B52" s="104">
        <f>B51+D52</f>
        <v>21.86</v>
      </c>
      <c r="D52" s="6">
        <v>0.05</v>
      </c>
    </row>
    <row r="53" spans="1:6">
      <c r="A53" s="100">
        <v>285</v>
      </c>
      <c r="B53" s="104">
        <f>B52+D53</f>
        <v>21.9</v>
      </c>
      <c r="D53" s="6">
        <v>0.04</v>
      </c>
    </row>
    <row r="54" spans="1:6">
      <c r="A54" s="100">
        <v>290</v>
      </c>
      <c r="B54" s="104">
        <f>B53+D54</f>
        <v>21.93</v>
      </c>
      <c r="D54" s="6">
        <v>0.03</v>
      </c>
    </row>
    <row r="55" spans="1:6">
      <c r="A55" s="100">
        <v>295</v>
      </c>
      <c r="B55" s="104">
        <f>B54+D55</f>
        <v>21.95</v>
      </c>
      <c r="D55" s="6">
        <v>0.02</v>
      </c>
    </row>
    <row r="56" spans="1:6">
      <c r="A56" s="100">
        <v>300</v>
      </c>
      <c r="B56" s="102">
        <f>F29</f>
        <v>22.24</v>
      </c>
      <c r="C56" s="102">
        <f>B60-B56</f>
        <v>0.5</v>
      </c>
      <c r="D56" s="102">
        <f>C56/4</f>
        <v>0.125</v>
      </c>
    </row>
    <row r="57" spans="1:6">
      <c r="A57" s="100">
        <v>315</v>
      </c>
      <c r="B57" s="104">
        <f>B56+D57</f>
        <v>22.319999999999997</v>
      </c>
      <c r="D57" s="6">
        <v>0.08</v>
      </c>
    </row>
    <row r="58" spans="1:6">
      <c r="A58" s="100">
        <v>330</v>
      </c>
      <c r="B58" s="104">
        <f>B57+D58</f>
        <v>22.379999999999995</v>
      </c>
      <c r="D58" s="6">
        <v>0.06</v>
      </c>
    </row>
    <row r="59" spans="1:6">
      <c r="A59" s="100">
        <v>345</v>
      </c>
      <c r="B59" s="104">
        <f>B58+D59</f>
        <v>22.429999999999996</v>
      </c>
      <c r="D59" s="6">
        <v>0.05</v>
      </c>
    </row>
    <row r="60" spans="1:6">
      <c r="A60" s="101">
        <v>360</v>
      </c>
      <c r="B60" s="102">
        <f>F30</f>
        <v>22.74</v>
      </c>
      <c r="C60" s="102">
        <f>B66-B60</f>
        <v>3.3300000000000018</v>
      </c>
      <c r="D60" s="103">
        <f>C60/10</f>
        <v>0.33300000000000018</v>
      </c>
    </row>
    <row r="61" spans="1:6">
      <c r="A61" s="100">
        <v>361</v>
      </c>
      <c r="B61" s="104">
        <f>B60+D61</f>
        <v>22.93</v>
      </c>
      <c r="D61" s="6">
        <v>0.19</v>
      </c>
    </row>
    <row r="62" spans="1:6">
      <c r="A62" s="100">
        <v>362</v>
      </c>
      <c r="B62" s="104">
        <f>B61+D62</f>
        <v>23.1</v>
      </c>
      <c r="D62" s="6">
        <v>0.17</v>
      </c>
    </row>
    <row r="63" spans="1:6">
      <c r="A63" s="100">
        <v>363</v>
      </c>
      <c r="B63" s="104">
        <f>B62+D63</f>
        <v>23.26</v>
      </c>
      <c r="D63" s="6">
        <v>0.16</v>
      </c>
      <c r="E63" s="6">
        <v>370</v>
      </c>
      <c r="F63" s="6">
        <f>StepTest!G42</f>
        <v>26.07</v>
      </c>
    </row>
    <row r="64" spans="1:6">
      <c r="A64" s="100">
        <v>364</v>
      </c>
      <c r="B64" s="104">
        <f>B63+D64</f>
        <v>23.41</v>
      </c>
      <c r="D64" s="6">
        <v>0.15</v>
      </c>
      <c r="E64" s="6">
        <v>380</v>
      </c>
      <c r="F64" s="6">
        <f>StepTest!G43</f>
        <v>26.63</v>
      </c>
    </row>
    <row r="65" spans="1:6">
      <c r="A65" s="100">
        <v>365</v>
      </c>
      <c r="B65" s="104">
        <f>B64+D65</f>
        <v>23.55</v>
      </c>
      <c r="D65" s="6">
        <v>0.14000000000000001</v>
      </c>
      <c r="E65" s="6">
        <v>390</v>
      </c>
      <c r="F65" s="6">
        <f>StepTest!G44</f>
        <v>27.18</v>
      </c>
    </row>
    <row r="66" spans="1:6">
      <c r="A66" s="100">
        <v>370</v>
      </c>
      <c r="B66" s="102">
        <f>F63</f>
        <v>26.07</v>
      </c>
      <c r="C66" s="106">
        <f>B68-B66</f>
        <v>0.55999999999999872</v>
      </c>
      <c r="D66" s="102">
        <f>C66/2</f>
        <v>0.27999999999999936</v>
      </c>
      <c r="E66" s="6">
        <v>420</v>
      </c>
      <c r="F66" s="6">
        <f>StepTest!G45</f>
        <v>27.74</v>
      </c>
    </row>
    <row r="67" spans="1:6">
      <c r="A67" s="100">
        <v>375</v>
      </c>
      <c r="B67" s="104">
        <f>B66+D67</f>
        <v>26.19</v>
      </c>
      <c r="D67" s="6">
        <v>0.12</v>
      </c>
      <c r="E67" s="6">
        <v>480</v>
      </c>
      <c r="F67" s="6">
        <f>StepTest!G46</f>
        <v>28.3</v>
      </c>
    </row>
    <row r="68" spans="1:6">
      <c r="A68" s="100">
        <v>380</v>
      </c>
      <c r="B68" s="107">
        <f>F64</f>
        <v>26.63</v>
      </c>
      <c r="C68" s="102">
        <f>B70-B68</f>
        <v>0.55000000000000071</v>
      </c>
      <c r="D68" s="102">
        <f>C68/2</f>
        <v>0.27500000000000036</v>
      </c>
      <c r="E68" s="6">
        <v>490</v>
      </c>
      <c r="F68" s="6">
        <f>StepTest!G47</f>
        <v>31.69</v>
      </c>
    </row>
    <row r="69" spans="1:6">
      <c r="A69" s="100">
        <v>385</v>
      </c>
      <c r="B69" s="104">
        <f>B68+D69</f>
        <v>26.75</v>
      </c>
      <c r="D69" s="6">
        <v>0.12</v>
      </c>
      <c r="E69" s="6">
        <v>500</v>
      </c>
      <c r="F69" s="6">
        <f>StepTest!G48</f>
        <v>32.96</v>
      </c>
    </row>
    <row r="70" spans="1:6">
      <c r="A70" s="100">
        <v>390</v>
      </c>
      <c r="B70" s="107">
        <f>F65</f>
        <v>27.18</v>
      </c>
      <c r="C70" s="102">
        <f>B76-B70</f>
        <v>0.55999999999999872</v>
      </c>
      <c r="D70" s="105">
        <f>C70/6</f>
        <v>9.3333333333333116E-2</v>
      </c>
      <c r="E70" s="6">
        <v>510</v>
      </c>
      <c r="F70" s="6">
        <f>StepTest!G49</f>
        <v>34.24</v>
      </c>
    </row>
    <row r="71" spans="1:6">
      <c r="A71" s="100">
        <v>395</v>
      </c>
      <c r="B71" s="104">
        <f>B70+D71</f>
        <v>27.25</v>
      </c>
      <c r="D71" s="6">
        <v>7.0000000000000007E-2</v>
      </c>
      <c r="E71" s="6">
        <v>540</v>
      </c>
      <c r="F71" s="6">
        <f>StepTest!G50</f>
        <v>35.51</v>
      </c>
    </row>
    <row r="72" spans="1:6">
      <c r="A72" s="100">
        <v>400</v>
      </c>
      <c r="B72" s="104">
        <f>B71+D72</f>
        <v>27.3</v>
      </c>
      <c r="D72" s="6">
        <v>0.05</v>
      </c>
      <c r="E72" s="6">
        <v>600</v>
      </c>
      <c r="F72" s="6">
        <f>StepTest!G51</f>
        <v>36.79</v>
      </c>
    </row>
    <row r="73" spans="1:6">
      <c r="A73" s="100">
        <v>405</v>
      </c>
      <c r="B73" s="104">
        <f>B72+D73</f>
        <v>27.34</v>
      </c>
      <c r="D73" s="6">
        <v>0.04</v>
      </c>
    </row>
    <row r="74" spans="1:6">
      <c r="A74" s="100">
        <v>410</v>
      </c>
      <c r="B74" s="104">
        <f>B73+D74</f>
        <v>27.37</v>
      </c>
      <c r="D74" s="6">
        <v>0.03</v>
      </c>
    </row>
    <row r="75" spans="1:6">
      <c r="A75" s="100">
        <v>415</v>
      </c>
      <c r="B75" s="104">
        <f>B74+D75</f>
        <v>27.400000000000002</v>
      </c>
      <c r="D75" s="6">
        <v>0.03</v>
      </c>
    </row>
    <row r="76" spans="1:6">
      <c r="A76" s="100">
        <v>420</v>
      </c>
      <c r="B76" s="107">
        <f>F66</f>
        <v>27.74</v>
      </c>
      <c r="C76" s="102">
        <f>B80-B76</f>
        <v>0.56000000000000227</v>
      </c>
      <c r="D76" s="102">
        <f>C76/4</f>
        <v>0.14000000000000057</v>
      </c>
    </row>
    <row r="77" spans="1:6">
      <c r="A77" s="100">
        <v>435</v>
      </c>
      <c r="B77" s="104">
        <f>B76+D77</f>
        <v>27.83</v>
      </c>
      <c r="D77" s="6">
        <v>0.09</v>
      </c>
    </row>
    <row r="78" spans="1:6">
      <c r="A78" s="100">
        <v>450</v>
      </c>
      <c r="B78" s="104">
        <f>B77+D78</f>
        <v>27.9</v>
      </c>
      <c r="D78" s="6">
        <v>7.0000000000000007E-2</v>
      </c>
    </row>
    <row r="79" spans="1:6">
      <c r="A79" s="100">
        <v>465</v>
      </c>
      <c r="B79" s="104">
        <f>B78+D79</f>
        <v>27.95</v>
      </c>
      <c r="D79" s="6">
        <v>0.05</v>
      </c>
    </row>
    <row r="80" spans="1:6">
      <c r="A80" s="101">
        <v>480</v>
      </c>
      <c r="B80" s="107">
        <f>F67</f>
        <v>28.3</v>
      </c>
      <c r="C80" s="102">
        <f>B86-B80</f>
        <v>3.3900000000000006</v>
      </c>
      <c r="D80" s="103">
        <f>C80/10</f>
        <v>0.33900000000000008</v>
      </c>
    </row>
    <row r="81" spans="1:4">
      <c r="A81" s="100">
        <v>481</v>
      </c>
      <c r="B81" s="104">
        <f>B80+D81</f>
        <v>28.51</v>
      </c>
      <c r="D81" s="6">
        <v>0.21</v>
      </c>
    </row>
    <row r="82" spans="1:4">
      <c r="A82" s="100">
        <v>482</v>
      </c>
      <c r="B82" s="104">
        <f>B81+D82</f>
        <v>28.700000000000003</v>
      </c>
      <c r="D82" s="6">
        <v>0.19</v>
      </c>
    </row>
    <row r="83" spans="1:4">
      <c r="A83" s="100">
        <v>483</v>
      </c>
      <c r="B83" s="104">
        <f>B82+D83</f>
        <v>28.870000000000005</v>
      </c>
      <c r="D83" s="6">
        <v>0.17</v>
      </c>
    </row>
    <row r="84" spans="1:4">
      <c r="A84" s="100">
        <v>484</v>
      </c>
      <c r="B84" s="104">
        <f>B83+D84</f>
        <v>29.030000000000005</v>
      </c>
      <c r="D84" s="6">
        <v>0.16</v>
      </c>
    </row>
    <row r="85" spans="1:4">
      <c r="A85" s="100">
        <v>485</v>
      </c>
      <c r="B85" s="104">
        <f>B84+D85</f>
        <v>29.170000000000005</v>
      </c>
      <c r="D85" s="6">
        <v>0.14000000000000001</v>
      </c>
    </row>
    <row r="86" spans="1:4">
      <c r="A86" s="100">
        <v>490</v>
      </c>
      <c r="B86" s="107">
        <f>F68</f>
        <v>31.69</v>
      </c>
      <c r="C86" s="102">
        <f>B88-B86</f>
        <v>1.2699999999999996</v>
      </c>
      <c r="D86" s="102">
        <f>C86/2</f>
        <v>0.63499999999999979</v>
      </c>
    </row>
    <row r="87" spans="1:4">
      <c r="A87" s="100">
        <v>495</v>
      </c>
      <c r="B87" s="104">
        <f>B86+D87</f>
        <v>32</v>
      </c>
      <c r="D87" s="6">
        <v>0.31</v>
      </c>
    </row>
    <row r="88" spans="1:4">
      <c r="A88" s="100">
        <v>500</v>
      </c>
      <c r="B88" s="107">
        <f>F69</f>
        <v>32.96</v>
      </c>
      <c r="C88" s="102">
        <f>B90-B88</f>
        <v>1.2800000000000011</v>
      </c>
      <c r="D88" s="102">
        <f>C88/2</f>
        <v>0.64000000000000057</v>
      </c>
    </row>
    <row r="89" spans="1:4">
      <c r="A89" s="100">
        <v>505</v>
      </c>
      <c r="B89" s="104">
        <f>B88+D89</f>
        <v>33.26</v>
      </c>
      <c r="D89" s="6">
        <v>0.3</v>
      </c>
    </row>
    <row r="90" spans="1:4">
      <c r="A90" s="100">
        <v>510</v>
      </c>
      <c r="B90" s="107">
        <f>F70</f>
        <v>34.24</v>
      </c>
      <c r="C90" s="102">
        <f>B96-B90</f>
        <v>1.269999999999996</v>
      </c>
      <c r="D90" s="105">
        <f>C90/6</f>
        <v>0.211666666666666</v>
      </c>
    </row>
    <row r="91" spans="1:4">
      <c r="A91" s="100">
        <v>515</v>
      </c>
      <c r="B91" s="104">
        <f>B90+D91</f>
        <v>34.39</v>
      </c>
      <c r="D91" s="6">
        <v>0.15</v>
      </c>
    </row>
    <row r="92" spans="1:4">
      <c r="A92" s="100">
        <v>520</v>
      </c>
      <c r="B92" s="104">
        <f>B91+D92</f>
        <v>34.520000000000003</v>
      </c>
      <c r="D92" s="6">
        <v>0.13</v>
      </c>
    </row>
    <row r="93" spans="1:4">
      <c r="A93" s="100">
        <v>525</v>
      </c>
      <c r="B93" s="104">
        <f>B92+D93</f>
        <v>34.630000000000003</v>
      </c>
      <c r="D93" s="6">
        <v>0.11</v>
      </c>
    </row>
    <row r="94" spans="1:4">
      <c r="A94" s="100">
        <v>530</v>
      </c>
      <c r="B94" s="104">
        <f>B93+D94</f>
        <v>34.71</v>
      </c>
      <c r="D94" s="6">
        <v>0.08</v>
      </c>
    </row>
    <row r="95" spans="1:4">
      <c r="A95" s="100">
        <v>535</v>
      </c>
      <c r="B95" s="104">
        <f>B94+D95</f>
        <v>34.78</v>
      </c>
      <c r="D95" s="6">
        <v>7.0000000000000007E-2</v>
      </c>
    </row>
    <row r="96" spans="1:4">
      <c r="A96" s="100">
        <v>540</v>
      </c>
      <c r="B96" s="107">
        <f>F71</f>
        <v>35.51</v>
      </c>
      <c r="C96" s="102">
        <f>B100-B96</f>
        <v>1.2800000000000011</v>
      </c>
      <c r="D96" s="102">
        <f>C96/4</f>
        <v>0.32000000000000028</v>
      </c>
    </row>
    <row r="97" spans="1:4">
      <c r="A97" s="100">
        <v>555</v>
      </c>
      <c r="B97" s="104">
        <f>B96+D97</f>
        <v>35.699999999999996</v>
      </c>
      <c r="D97" s="6">
        <v>0.19</v>
      </c>
    </row>
    <row r="98" spans="1:4">
      <c r="A98" s="100">
        <v>570</v>
      </c>
      <c r="B98" s="104">
        <f>B97+D98</f>
        <v>35.859999999999992</v>
      </c>
      <c r="D98" s="6">
        <v>0.16</v>
      </c>
    </row>
    <row r="99" spans="1:4">
      <c r="A99" s="100">
        <v>585</v>
      </c>
      <c r="B99" s="104">
        <f>B98+D99</f>
        <v>35.999999999999993</v>
      </c>
      <c r="D99" s="6">
        <v>0.14000000000000001</v>
      </c>
    </row>
    <row r="100" spans="1:4">
      <c r="A100" s="101">
        <v>600</v>
      </c>
      <c r="B100" s="65">
        <f>F72</f>
        <v>36.79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opLeftCell="C1" zoomScaleNormal="100" workbookViewId="0">
      <selection activeCell="X11" sqref="X11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5" s="167" customFormat="1">
      <c r="A1" s="4"/>
      <c r="B1" s="4"/>
      <c r="C1" s="4"/>
      <c r="D1" s="4"/>
      <c r="E1" s="3">
        <f>SUM(E3:E6)</f>
        <v>44.35</v>
      </c>
      <c r="F1" s="3"/>
      <c r="G1" s="3">
        <f>E1/E2</f>
        <v>0.88700000000000001</v>
      </c>
    </row>
    <row r="2" spans="1:15" s="167" customFormat="1">
      <c r="A2" s="234" t="s">
        <v>0</v>
      </c>
      <c r="B2" s="234" t="s">
        <v>238</v>
      </c>
      <c r="C2" s="4"/>
      <c r="D2" s="171">
        <f>D19</f>
        <v>84</v>
      </c>
      <c r="E2" s="3">
        <f>M51/3</f>
        <v>50</v>
      </c>
      <c r="F2" s="235" t="s">
        <v>2</v>
      </c>
      <c r="G2" s="3" t="s">
        <v>3</v>
      </c>
    </row>
    <row r="3" spans="1:15" s="167" customFormat="1">
      <c r="A3" s="172">
        <f>B3+$M$48</f>
        <v>16.91</v>
      </c>
      <c r="B3" s="255">
        <f>B20</f>
        <v>13.31</v>
      </c>
      <c r="C3" s="173"/>
      <c r="D3" s="256">
        <f t="shared" ref="D3:D7" si="0">D20</f>
        <v>94</v>
      </c>
      <c r="E3" s="4">
        <f>D3/12</f>
        <v>7.833333333333333</v>
      </c>
      <c r="F3" s="174">
        <f>B3/D3</f>
        <v>0.14159574468085107</v>
      </c>
      <c r="G3" s="174">
        <f>1/F3</f>
        <v>7.0623591284748306</v>
      </c>
    </row>
    <row r="4" spans="1:15" s="167" customFormat="1">
      <c r="A4" s="172">
        <f>B4+$M$48</f>
        <v>21.34</v>
      </c>
      <c r="B4" s="173">
        <f>B21</f>
        <v>17.739999999999998</v>
      </c>
      <c r="C4" s="173"/>
      <c r="D4" s="171">
        <f t="shared" si="0"/>
        <v>120</v>
      </c>
      <c r="E4" s="4">
        <f>D4/12</f>
        <v>10</v>
      </c>
      <c r="F4" s="174">
        <f t="shared" ref="F4:F7" si="1">B4/D4</f>
        <v>0.14783333333333332</v>
      </c>
      <c r="G4" s="174">
        <f t="shared" ref="G4:G7" si="2">1/F4</f>
        <v>6.764374295377678</v>
      </c>
    </row>
    <row r="5" spans="1:15" s="167" customFormat="1">
      <c r="A5" s="172">
        <f>B5+$M$48</f>
        <v>26.34</v>
      </c>
      <c r="B5" s="173">
        <f>B22</f>
        <v>22.74</v>
      </c>
      <c r="C5" s="173"/>
      <c r="D5" s="171">
        <f t="shared" si="0"/>
        <v>146.19999999999999</v>
      </c>
      <c r="E5" s="4">
        <f>D5/12</f>
        <v>12.183333333333332</v>
      </c>
      <c r="F5" s="174">
        <f t="shared" si="1"/>
        <v>0.15554035567715457</v>
      </c>
      <c r="G5" s="174">
        <f t="shared" si="2"/>
        <v>6.4291996481970104</v>
      </c>
    </row>
    <row r="6" spans="1:15" s="167" customFormat="1">
      <c r="A6" s="172">
        <f>B6+$M$48</f>
        <v>31.900000000000002</v>
      </c>
      <c r="B6" s="255">
        <f>B23</f>
        <v>28.3</v>
      </c>
      <c r="C6" s="173"/>
      <c r="D6" s="171">
        <f>D23</f>
        <v>172</v>
      </c>
      <c r="E6" s="4">
        <f>D6/12</f>
        <v>14.333333333333334</v>
      </c>
      <c r="F6" s="174">
        <f t="shared" si="1"/>
        <v>0.16453488372093023</v>
      </c>
      <c r="G6" s="174">
        <f t="shared" si="2"/>
        <v>6.0777385159010606</v>
      </c>
    </row>
    <row r="7" spans="1:15" s="167" customFormat="1">
      <c r="A7" s="172">
        <f>B7+$M$48</f>
        <v>40.39</v>
      </c>
      <c r="B7" s="173">
        <f>B24</f>
        <v>36.79</v>
      </c>
      <c r="C7" s="173"/>
      <c r="D7" s="171">
        <f t="shared" si="0"/>
        <v>197.79999999999998</v>
      </c>
      <c r="E7" s="4">
        <f>D7/12</f>
        <v>16.483333333333331</v>
      </c>
      <c r="F7" s="174">
        <f t="shared" si="1"/>
        <v>0.18599595551061679</v>
      </c>
      <c r="G7" s="174">
        <f t="shared" si="2"/>
        <v>5.3764609948355533</v>
      </c>
    </row>
    <row r="8" spans="1:15" s="167" customFormat="1">
      <c r="A8" s="4"/>
      <c r="B8" s="4" t="s">
        <v>4</v>
      </c>
      <c r="C8" s="4"/>
      <c r="D8" s="4"/>
      <c r="E8" s="390" t="s">
        <v>5</v>
      </c>
      <c r="F8" s="390"/>
      <c r="G8" s="390"/>
    </row>
    <row r="9" spans="1:15" s="167" customFormat="1">
      <c r="A9" s="4" t="s">
        <v>6</v>
      </c>
      <c r="B9" s="4" t="s">
        <v>2</v>
      </c>
      <c r="C9" s="4"/>
      <c r="D9" s="4"/>
      <c r="E9" s="233">
        <v>0.98</v>
      </c>
      <c r="F9" s="389" t="s">
        <v>7</v>
      </c>
      <c r="G9" s="389"/>
    </row>
    <row r="10" spans="1:15" s="167" customFormat="1">
      <c r="A10" s="176">
        <f>D20/B20</f>
        <v>7.0623591284748306</v>
      </c>
      <c r="B10" s="176">
        <f>B20/D20</f>
        <v>0.14159574468085107</v>
      </c>
      <c r="C10" s="4"/>
      <c r="D10" s="4"/>
      <c r="E10" s="233">
        <v>0.98</v>
      </c>
      <c r="F10" s="389" t="s">
        <v>8</v>
      </c>
      <c r="G10" s="389"/>
    </row>
    <row r="11" spans="1:15" s="167" customFormat="1">
      <c r="A11" s="176">
        <f t="shared" ref="A11:A14" si="3">D21/B21</f>
        <v>6.764374295377678</v>
      </c>
      <c r="B11" s="176">
        <f t="shared" ref="B11:B14" si="4">B21/D21</f>
        <v>0.14783333333333332</v>
      </c>
      <c r="C11" s="4"/>
      <c r="D11" s="4" t="s">
        <v>4</v>
      </c>
      <c r="E11" s="233">
        <v>0.98</v>
      </c>
      <c r="F11" s="389" t="s">
        <v>9</v>
      </c>
      <c r="G11" s="389"/>
    </row>
    <row r="12" spans="1:15" s="167" customFormat="1">
      <c r="A12" s="176">
        <f t="shared" si="3"/>
        <v>6.4291996481970095</v>
      </c>
      <c r="B12" s="176">
        <f t="shared" si="4"/>
        <v>0.15554035567715457</v>
      </c>
      <c r="C12" s="4"/>
      <c r="D12" s="4"/>
      <c r="E12" s="233">
        <v>1</v>
      </c>
      <c r="F12" s="389" t="s">
        <v>10</v>
      </c>
      <c r="G12" s="389"/>
    </row>
    <row r="13" spans="1:15" s="167" customFormat="1">
      <c r="A13" s="176">
        <f t="shared" si="3"/>
        <v>6.0777385159010597</v>
      </c>
      <c r="B13" s="176">
        <f t="shared" si="4"/>
        <v>0.16453488372093023</v>
      </c>
      <c r="C13" s="4"/>
      <c r="D13" s="4" t="s">
        <v>4</v>
      </c>
      <c r="E13" s="390" t="s">
        <v>11</v>
      </c>
      <c r="F13" s="390"/>
      <c r="G13" s="390"/>
    </row>
    <row r="14" spans="1:15" s="167" customFormat="1">
      <c r="A14" s="176">
        <f t="shared" si="3"/>
        <v>5.3764609948355524</v>
      </c>
      <c r="B14" s="176">
        <f t="shared" si="4"/>
        <v>0.18599595551061679</v>
      </c>
      <c r="C14" s="4"/>
      <c r="D14" s="4"/>
      <c r="E14" s="233">
        <v>1</v>
      </c>
      <c r="F14" s="389" t="s">
        <v>7</v>
      </c>
      <c r="G14" s="389"/>
    </row>
    <row r="15" spans="1:15" s="167" customFormat="1">
      <c r="A15" s="4"/>
      <c r="B15" s="4"/>
      <c r="C15" s="4"/>
      <c r="D15" s="4"/>
      <c r="E15" s="233">
        <v>1</v>
      </c>
      <c r="F15" s="389" t="s">
        <v>8</v>
      </c>
      <c r="G15" s="389"/>
    </row>
    <row r="16" spans="1:15" s="167" customFormat="1">
      <c r="A16" s="4"/>
      <c r="B16" s="166" t="s">
        <v>12</v>
      </c>
      <c r="C16" s="4"/>
      <c r="D16" s="166" t="s">
        <v>13</v>
      </c>
      <c r="E16" s="233">
        <v>1</v>
      </c>
      <c r="F16" s="389" t="s">
        <v>9</v>
      </c>
      <c r="G16" s="389"/>
      <c r="O16" s="223">
        <v>45024</v>
      </c>
    </row>
    <row r="17" spans="1:21" s="167" customFormat="1">
      <c r="A17" s="4"/>
      <c r="B17" s="175">
        <f>M52</f>
        <v>28.3</v>
      </c>
      <c r="C17" s="4"/>
      <c r="D17" s="240">
        <f>M47</f>
        <v>172</v>
      </c>
      <c r="E17" s="233">
        <v>1</v>
      </c>
      <c r="F17" s="389" t="s">
        <v>10</v>
      </c>
      <c r="G17" s="389"/>
      <c r="P17" s="5"/>
      <c r="Q17" s="177"/>
      <c r="S17" s="178"/>
    </row>
    <row r="18" spans="1:21" s="167" customFormat="1">
      <c r="A18" s="4"/>
      <c r="B18" s="4"/>
      <c r="C18" s="4"/>
      <c r="D18" s="4"/>
      <c r="E18" s="4"/>
      <c r="F18" s="173"/>
      <c r="G18" s="173"/>
      <c r="P18" s="5"/>
    </row>
    <row r="19" spans="1:21" s="167" customFormat="1">
      <c r="A19" s="4"/>
      <c r="B19" s="173"/>
      <c r="C19" s="173"/>
      <c r="D19" s="179">
        <f>INT(D20*0.9)</f>
        <v>84</v>
      </c>
      <c r="E19" s="4"/>
      <c r="F19" s="173"/>
      <c r="G19" s="173"/>
    </row>
    <row r="20" spans="1:21" s="167" customFormat="1">
      <c r="A20" s="234" t="s">
        <v>244</v>
      </c>
      <c r="B20" s="180">
        <f>INT(B$17*C20*100)/100</f>
        <v>13.31</v>
      </c>
      <c r="C20" s="4">
        <f>0.48*E9</f>
        <v>0.47039999999999998</v>
      </c>
      <c r="D20" s="198">
        <f>INT(D$17*E20)</f>
        <v>94</v>
      </c>
      <c r="E20" s="241">
        <f>0.55*E14</f>
        <v>0.55000000000000004</v>
      </c>
      <c r="F20" s="174">
        <f>B20/D20</f>
        <v>0.14159574468085107</v>
      </c>
      <c r="G20" s="4">
        <f>F20-F19</f>
        <v>0.14159574468085107</v>
      </c>
    </row>
    <row r="21" spans="1:21" s="167" customFormat="1" ht="16.5">
      <c r="A21" s="173">
        <f>B21-B20</f>
        <v>4.4299999999999979</v>
      </c>
      <c r="B21" s="180">
        <f>INT(B$17*C21*100)/100</f>
        <v>17.739999999999998</v>
      </c>
      <c r="C21" s="4">
        <f>0.64*E10</f>
        <v>0.62719999999999998</v>
      </c>
      <c r="D21" s="198">
        <f>INT(D$17*E21)</f>
        <v>120</v>
      </c>
      <c r="E21" s="241">
        <f>0.7*E15</f>
        <v>0.7</v>
      </c>
      <c r="F21" s="174">
        <f>B21/D21</f>
        <v>0.14783333333333332</v>
      </c>
      <c r="G21" s="4">
        <f>F21-F20</f>
        <v>6.237588652482251E-3</v>
      </c>
      <c r="O21" s="181"/>
      <c r="P21" s="181"/>
      <c r="Q21" s="181"/>
      <c r="R21" s="181"/>
      <c r="S21" s="181"/>
      <c r="T21" s="181"/>
    </row>
    <row r="22" spans="1:21" s="167" customFormat="1">
      <c r="A22" s="173">
        <f>B22-B21</f>
        <v>5</v>
      </c>
      <c r="B22" s="180">
        <f>INT(B$17*C22*100)/100</f>
        <v>22.74</v>
      </c>
      <c r="C22" s="4">
        <f>0.82*E11</f>
        <v>0.80359999999999998</v>
      </c>
      <c r="D22" s="199">
        <f>(D$17*E22)</f>
        <v>146.19999999999999</v>
      </c>
      <c r="E22" s="241">
        <f>0.85*E16</f>
        <v>0.85</v>
      </c>
      <c r="F22" s="174">
        <f>B22/D22</f>
        <v>0.15554035567715457</v>
      </c>
      <c r="G22" s="4">
        <f>F22-F21</f>
        <v>7.7070223438212571E-3</v>
      </c>
    </row>
    <row r="23" spans="1:21" s="167" customFormat="1">
      <c r="A23" s="173">
        <f>B23-B22</f>
        <v>5.5600000000000023</v>
      </c>
      <c r="B23" s="180">
        <f>INT(B$17*C23*100)/100</f>
        <v>28.3</v>
      </c>
      <c r="C23" s="4">
        <v>1</v>
      </c>
      <c r="D23" s="198">
        <f>D$17*E23</f>
        <v>172</v>
      </c>
      <c r="E23" s="239">
        <v>1</v>
      </c>
      <c r="F23" s="174">
        <f>B23/D23</f>
        <v>0.16453488372093023</v>
      </c>
      <c r="G23" s="4">
        <f>F23-F22</f>
        <v>8.9945280437756514E-3</v>
      </c>
      <c r="O23" s="182"/>
      <c r="Q23" s="182"/>
      <c r="S23" s="182"/>
      <c r="U23" s="182"/>
    </row>
    <row r="24" spans="1:21" s="167" customFormat="1">
      <c r="A24" s="173">
        <f>B24-B23</f>
        <v>8.4899999999999984</v>
      </c>
      <c r="B24" s="180">
        <f>INT(B$17*C24*100)/100</f>
        <v>36.79</v>
      </c>
      <c r="C24" s="4">
        <f>1.3*E12</f>
        <v>1.3</v>
      </c>
      <c r="D24" s="198">
        <f>D$17*E24</f>
        <v>197.79999999999998</v>
      </c>
      <c r="E24" s="239">
        <f>1.15*E17</f>
        <v>1.1499999999999999</v>
      </c>
      <c r="F24" s="174"/>
      <c r="G24" s="173"/>
      <c r="O24" s="182"/>
      <c r="Q24" s="182"/>
      <c r="S24" s="182"/>
      <c r="U24" s="182"/>
    </row>
    <row r="25" spans="1:21" s="167" customFormat="1">
      <c r="A25" s="4"/>
      <c r="B25" s="4"/>
      <c r="C25" s="4"/>
      <c r="D25" s="183"/>
      <c r="E25" s="4"/>
      <c r="F25" s="174">
        <f>B24/D24</f>
        <v>0.18599595551061679</v>
      </c>
      <c r="G25" s="173"/>
      <c r="O25" s="182"/>
      <c r="Q25" s="182"/>
      <c r="S25" s="182"/>
      <c r="U25" s="182"/>
    </row>
    <row r="26" spans="1:21" s="167" customFormat="1">
      <c r="A26" s="392" t="s">
        <v>14</v>
      </c>
      <c r="B26" s="392"/>
      <c r="C26" s="184">
        <f>INT(M51*1)</f>
        <v>150</v>
      </c>
      <c r="D26" s="4"/>
      <c r="E26" s="4"/>
      <c r="F26" s="185">
        <f>M50/M51</f>
        <v>0.21199999999999999</v>
      </c>
      <c r="G26" s="4"/>
      <c r="O26" s="182"/>
      <c r="Q26" s="182"/>
      <c r="S26" s="182"/>
      <c r="U26" s="182"/>
    </row>
    <row r="27" spans="1:21" s="167" customFormat="1">
      <c r="A27" s="392" t="s">
        <v>15</v>
      </c>
      <c r="B27" s="392"/>
      <c r="C27" s="186">
        <f>SafeYield!B7</f>
        <v>155.42949655319808</v>
      </c>
      <c r="D27" s="173">
        <f>(C27/D6)*100</f>
        <v>90.365986368138422</v>
      </c>
      <c r="E27" s="4"/>
      <c r="F27" s="4"/>
      <c r="G27" s="4"/>
      <c r="O27" s="182"/>
      <c r="Q27" s="182"/>
      <c r="S27" s="182"/>
      <c r="U27" s="182"/>
    </row>
    <row r="28" spans="1:21" s="167" customFormat="1">
      <c r="A28" s="4"/>
      <c r="B28" s="4"/>
      <c r="C28" s="4"/>
      <c r="D28" s="4"/>
      <c r="E28" s="4"/>
      <c r="F28" s="4"/>
      <c r="G28" s="4"/>
      <c r="O28" s="182"/>
      <c r="Q28" s="182"/>
      <c r="S28" s="182"/>
      <c r="U28" s="182"/>
    </row>
    <row r="29" spans="1:21" s="167" customFormat="1" ht="13.5" customHeight="1">
      <c r="A29" s="4"/>
      <c r="B29" s="4"/>
      <c r="C29" s="4"/>
      <c r="D29" s="4"/>
      <c r="E29" s="4"/>
      <c r="F29" s="4"/>
      <c r="G29" s="4"/>
      <c r="O29" s="182"/>
      <c r="Q29" s="182"/>
      <c r="S29" s="182"/>
      <c r="U29" s="182"/>
    </row>
    <row r="30" spans="1:21" s="167" customFormat="1" ht="13.5" customHeight="1">
      <c r="A30" s="166" t="s">
        <v>16</v>
      </c>
      <c r="B30" s="166" t="s">
        <v>17</v>
      </c>
      <c r="C30" s="4"/>
      <c r="D30" s="4"/>
      <c r="E30" s="187">
        <f>ROUNDUP(F32,-1)</f>
        <v>90</v>
      </c>
      <c r="F30" s="187">
        <f>ROUNDDOWN(F35,-1)</f>
        <v>60</v>
      </c>
      <c r="G30" s="4"/>
      <c r="O30" s="182"/>
      <c r="Q30" s="182"/>
      <c r="S30" s="182"/>
      <c r="U30" s="182"/>
    </row>
    <row r="31" spans="1:21" s="167" customFormat="1" ht="13.5" customHeight="1">
      <c r="A31" s="233">
        <v>2.9409999999999999E-4</v>
      </c>
      <c r="B31" s="233">
        <v>0.1132518</v>
      </c>
      <c r="C31" s="4"/>
      <c r="D31" s="171">
        <f t="shared" ref="D31:D36" si="5">D19</f>
        <v>84</v>
      </c>
      <c r="E31" s="4"/>
      <c r="F31" s="187"/>
      <c r="G31" s="187"/>
      <c r="O31" s="182"/>
      <c r="Q31" s="182"/>
      <c r="S31" s="182"/>
      <c r="U31" s="182"/>
    </row>
    <row r="32" spans="1:21" s="167" customFormat="1" ht="13.5" customHeight="1">
      <c r="A32" s="4">
        <f t="shared" ref="A32:B34" si="6">A31</f>
        <v>2.9409999999999999E-4</v>
      </c>
      <c r="B32" s="4">
        <f t="shared" si="6"/>
        <v>0.1132518</v>
      </c>
      <c r="C32" s="4"/>
      <c r="D32" s="171">
        <f t="shared" si="5"/>
        <v>94</v>
      </c>
      <c r="E32" s="4"/>
      <c r="F32" s="187">
        <f>B32*D32/(B32*D32+A32*D32*D32)*100</f>
        <v>80.379028114114405</v>
      </c>
      <c r="G32" s="187"/>
      <c r="O32" s="182"/>
      <c r="Q32" s="182"/>
      <c r="S32" s="182"/>
      <c r="U32" s="182"/>
    </row>
    <row r="33" spans="1:21" s="167" customFormat="1" ht="13.5" customHeight="1">
      <c r="A33" s="4">
        <f t="shared" si="6"/>
        <v>2.9409999999999999E-4</v>
      </c>
      <c r="B33" s="4">
        <f t="shared" si="6"/>
        <v>0.1132518</v>
      </c>
      <c r="C33" s="4"/>
      <c r="D33" s="171">
        <f t="shared" si="5"/>
        <v>120</v>
      </c>
      <c r="E33" s="4"/>
      <c r="F33" s="187">
        <f>B33*D33/(B33*D33+A33*D33*D33)*100</f>
        <v>76.241351035856098</v>
      </c>
      <c r="G33" s="187"/>
      <c r="N33" s="181"/>
      <c r="O33" s="188"/>
      <c r="P33" s="189"/>
      <c r="Q33" s="188"/>
      <c r="R33" s="189"/>
      <c r="S33" s="188"/>
      <c r="T33" s="189"/>
      <c r="U33" s="188"/>
    </row>
    <row r="34" spans="1:21" s="167" customFormat="1" ht="13.5" customHeight="1">
      <c r="A34" s="4">
        <f t="shared" si="6"/>
        <v>2.9409999999999999E-4</v>
      </c>
      <c r="B34" s="4">
        <f t="shared" si="6"/>
        <v>0.1132518</v>
      </c>
      <c r="C34" s="4"/>
      <c r="D34" s="171">
        <f t="shared" si="5"/>
        <v>146.19999999999999</v>
      </c>
      <c r="E34" s="4"/>
      <c r="F34" s="187">
        <f>B34*D34/(B34*D34+A34*D34*D34)*100</f>
        <v>72.481513827717038</v>
      </c>
      <c r="G34" s="187"/>
      <c r="N34" s="181"/>
      <c r="O34" s="188"/>
      <c r="P34" s="190"/>
      <c r="Q34" s="188"/>
      <c r="R34" s="190"/>
      <c r="S34" s="188"/>
      <c r="T34" s="190"/>
      <c r="U34" s="188"/>
    </row>
    <row r="35" spans="1:21" s="167" customFormat="1" ht="13.5" customHeight="1">
      <c r="A35" s="4">
        <f>A34</f>
        <v>2.9409999999999999E-4</v>
      </c>
      <c r="B35" s="4">
        <f>B34</f>
        <v>0.1132518</v>
      </c>
      <c r="C35" s="4"/>
      <c r="D35" s="171">
        <f t="shared" si="5"/>
        <v>172</v>
      </c>
      <c r="E35" s="4"/>
      <c r="F35" s="187">
        <f>B35*D35/(B35*D35+A35*D35*D35)*100</f>
        <v>69.124678796608833</v>
      </c>
      <c r="G35" s="187"/>
      <c r="N35" s="181"/>
    </row>
    <row r="36" spans="1:21" s="167" customFormat="1" ht="13.5" customHeight="1">
      <c r="A36" s="4"/>
      <c r="B36" s="4"/>
      <c r="C36" s="4"/>
      <c r="D36" s="171">
        <f t="shared" si="5"/>
        <v>197.79999999999998</v>
      </c>
      <c r="E36" s="4"/>
      <c r="F36" s="187"/>
      <c r="G36" s="187"/>
      <c r="N36" s="181"/>
    </row>
    <row r="37" spans="1:21" s="167" customFormat="1" ht="13.5" customHeight="1">
      <c r="A37" s="166" t="s">
        <v>18</v>
      </c>
      <c r="B37" s="166" t="s">
        <v>19</v>
      </c>
      <c r="C37" s="166" t="s">
        <v>20</v>
      </c>
      <c r="D37" s="4" t="s">
        <v>21</v>
      </c>
      <c r="E37" s="4" t="s">
        <v>21</v>
      </c>
      <c r="F37" s="187">
        <f>AVERAGE(F32:F35)</f>
        <v>74.556642943574104</v>
      </c>
      <c r="G37" s="4"/>
      <c r="P37" s="220">
        <v>2.9409999999999999E-4</v>
      </c>
      <c r="Q37" s="220">
        <v>0.14399999999999999</v>
      </c>
    </row>
    <row r="38" spans="1:21" s="167" customFormat="1" ht="13.5" customHeight="1">
      <c r="A38" s="242">
        <v>72.14500000000001</v>
      </c>
      <c r="B38" s="233">
        <v>0.14399999999999999</v>
      </c>
      <c r="C38" s="233">
        <v>93.745000000000005</v>
      </c>
      <c r="D38" s="4"/>
      <c r="E38" s="4" t="s">
        <v>21</v>
      </c>
      <c r="F38" s="4"/>
      <c r="G38" s="4"/>
      <c r="P38" s="220">
        <v>0.1132518</v>
      </c>
      <c r="Q38" s="220">
        <v>93.745000000000005</v>
      </c>
    </row>
    <row r="39" spans="1:21" s="167" customFormat="1" ht="13.5" customHeight="1">
      <c r="A39" s="168"/>
      <c r="B39" s="4" t="s">
        <v>22</v>
      </c>
      <c r="C39" s="173">
        <f>(C38-A38)/B38</f>
        <v>149.99999999999997</v>
      </c>
      <c r="D39" s="4">
        <f>C38-B38*M51</f>
        <v>72.14500000000001</v>
      </c>
      <c r="E39" s="4"/>
      <c r="F39" s="4"/>
      <c r="G39" s="4"/>
    </row>
    <row r="40" spans="1:21" s="167" customFormat="1" ht="13.5" customHeight="1">
      <c r="A40" s="168" t="s">
        <v>23</v>
      </c>
      <c r="B40" s="4" t="s">
        <v>22</v>
      </c>
      <c r="C40" s="4">
        <f>INT(C39)</f>
        <v>150</v>
      </c>
      <c r="D40" s="4"/>
      <c r="E40" s="4"/>
      <c r="F40" s="4"/>
      <c r="G40" s="4"/>
    </row>
    <row r="41" spans="1:21" s="167" customFormat="1" ht="13.5" customHeight="1">
      <c r="A41" s="4"/>
      <c r="B41" s="4"/>
      <c r="C41" s="4"/>
      <c r="D41" s="4"/>
      <c r="E41" s="4"/>
      <c r="F41" s="4"/>
      <c r="G41" s="4"/>
    </row>
    <row r="42" spans="1:21" s="167" customFormat="1" ht="17.25" customHeight="1" thickBot="1">
      <c r="A42" s="236" t="s">
        <v>24</v>
      </c>
      <c r="B42" s="237"/>
      <c r="C42" s="4"/>
      <c r="D42" s="4"/>
      <c r="E42" s="4"/>
      <c r="F42" s="4"/>
      <c r="G42" s="4"/>
    </row>
    <row r="43" spans="1:21" s="167" customFormat="1" ht="21" customHeight="1">
      <c r="A43" s="236" t="s">
        <v>25</v>
      </c>
      <c r="B43" s="238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47" t="s">
        <v>27</v>
      </c>
      <c r="R43" s="248" t="s">
        <v>0</v>
      </c>
      <c r="S43" s="248" t="s">
        <v>1</v>
      </c>
      <c r="T43" s="248" t="s">
        <v>3</v>
      </c>
      <c r="U43" s="249" t="s">
        <v>2</v>
      </c>
    </row>
    <row r="44" spans="1:21" s="167" customFormat="1" ht="16.5">
      <c r="A44" s="191">
        <f>B58</f>
        <v>40.21</v>
      </c>
      <c r="B44" s="364" t="s">
        <v>28</v>
      </c>
      <c r="C44" s="365"/>
      <c r="D44" s="365"/>
      <c r="E44" s="4"/>
      <c r="F44" s="4"/>
      <c r="G44" s="4"/>
      <c r="H44" s="224" t="s">
        <v>29</v>
      </c>
      <c r="I44" s="393" t="s">
        <v>300</v>
      </c>
      <c r="J44" s="394"/>
      <c r="K44" s="395"/>
      <c r="L44" s="224" t="s">
        <v>30</v>
      </c>
      <c r="M44" s="228">
        <v>250</v>
      </c>
      <c r="N44" s="224" t="s">
        <v>31</v>
      </c>
      <c r="Q44" s="369">
        <v>330</v>
      </c>
      <c r="R44" s="200">
        <v>11.690000000000001</v>
      </c>
      <c r="S44" s="200">
        <v>7.33</v>
      </c>
      <c r="T44" s="201">
        <v>45.02</v>
      </c>
      <c r="U44" s="250">
        <v>2.2212121212121211E-2</v>
      </c>
    </row>
    <row r="45" spans="1:21" s="167" customFormat="1" ht="16.5">
      <c r="A45" s="233">
        <v>5.0000000000000001E-4</v>
      </c>
      <c r="B45" s="364" t="s">
        <v>32</v>
      </c>
      <c r="C45" s="365"/>
      <c r="D45" s="365"/>
      <c r="E45" s="4"/>
      <c r="F45" s="4"/>
      <c r="G45" s="4"/>
      <c r="H45" s="224" t="s">
        <v>33</v>
      </c>
      <c r="I45" s="402" t="s">
        <v>301</v>
      </c>
      <c r="J45" s="403"/>
      <c r="K45" s="404"/>
      <c r="L45" s="224" t="s">
        <v>34</v>
      </c>
      <c r="M45" s="195">
        <v>210</v>
      </c>
      <c r="N45" s="229">
        <f>M44</f>
        <v>250</v>
      </c>
      <c r="Q45" s="369">
        <v>420</v>
      </c>
      <c r="R45" s="200">
        <v>14.14</v>
      </c>
      <c r="S45" s="200">
        <v>9.7799999999999994</v>
      </c>
      <c r="T45" s="201">
        <v>42.945</v>
      </c>
      <c r="U45" s="250">
        <v>2.3285714285714285E-2</v>
      </c>
    </row>
    <row r="46" spans="1:21" s="167" customFormat="1" ht="16.5">
      <c r="A46" s="4">
        <f>B34</f>
        <v>0.1132518</v>
      </c>
      <c r="B46" s="364" t="s">
        <v>35</v>
      </c>
      <c r="C46" s="396" t="s">
        <v>36</v>
      </c>
      <c r="D46" s="396"/>
      <c r="E46" s="4"/>
      <c r="F46" s="4"/>
      <c r="G46" s="4"/>
      <c r="H46" s="224" t="s">
        <v>37</v>
      </c>
      <c r="I46" s="393" t="s">
        <v>299</v>
      </c>
      <c r="J46" s="394"/>
      <c r="K46" s="395"/>
      <c r="L46" s="224" t="s">
        <v>38</v>
      </c>
      <c r="M46" s="192">
        <f>IF(I52&gt;M48, M45-I52,M45-M48)</f>
        <v>198</v>
      </c>
      <c r="N46" s="11"/>
      <c r="Q46" s="369">
        <v>510</v>
      </c>
      <c r="R46" s="200">
        <v>16.89</v>
      </c>
      <c r="S46" s="200">
        <v>12.53</v>
      </c>
      <c r="T46" s="201">
        <v>40.701999999999998</v>
      </c>
      <c r="U46" s="250">
        <v>2.4568627450980391E-2</v>
      </c>
    </row>
    <row r="47" spans="1:21" s="167" customFormat="1" ht="16.5">
      <c r="A47" s="4">
        <f>120/1440</f>
        <v>8.3333333333333329E-2</v>
      </c>
      <c r="B47" s="364" t="s">
        <v>39</v>
      </c>
      <c r="C47" s="396" t="s">
        <v>40</v>
      </c>
      <c r="D47" s="396"/>
      <c r="E47" s="4"/>
      <c r="F47" s="4"/>
      <c r="G47" s="4"/>
      <c r="H47" s="224" t="s">
        <v>41</v>
      </c>
      <c r="I47" s="405" t="s">
        <v>224</v>
      </c>
      <c r="J47" s="406"/>
      <c r="K47" s="407"/>
      <c r="L47" s="224" t="s">
        <v>42</v>
      </c>
      <c r="M47" s="193">
        <f>INT((M51*100)/M53)</f>
        <v>172</v>
      </c>
      <c r="N47" s="11"/>
      <c r="Q47" s="369">
        <v>600</v>
      </c>
      <c r="R47" s="200">
        <v>19.96</v>
      </c>
      <c r="S47" s="200">
        <v>15.6</v>
      </c>
      <c r="T47" s="201">
        <v>38.462000000000003</v>
      </c>
      <c r="U47" s="250">
        <v>2.5999999999999999E-2</v>
      </c>
    </row>
    <row r="48" spans="1:21" s="167" customFormat="1" ht="17.25" thickBot="1">
      <c r="A48" s="4"/>
      <c r="B48" s="365"/>
      <c r="C48" s="365"/>
      <c r="D48" s="365"/>
      <c r="E48" s="4"/>
      <c r="F48" s="4"/>
      <c r="G48" s="4"/>
      <c r="H48" s="224" t="s">
        <v>43</v>
      </c>
      <c r="I48" s="246">
        <v>3</v>
      </c>
      <c r="J48" s="397" t="s">
        <v>298</v>
      </c>
      <c r="K48" s="397"/>
      <c r="L48" s="224" t="s">
        <v>44</v>
      </c>
      <c r="M48" s="195">
        <v>3.6</v>
      </c>
      <c r="N48" s="11"/>
      <c r="Q48" s="370">
        <v>690</v>
      </c>
      <c r="R48" s="251">
        <v>24.64</v>
      </c>
      <c r="S48" s="251">
        <v>20.28</v>
      </c>
      <c r="T48" s="252">
        <v>34.024000000000001</v>
      </c>
      <c r="U48" s="253">
        <v>2.9391304347826087E-2</v>
      </c>
    </row>
    <row r="49" spans="1:24" s="167" customFormat="1" ht="16.5">
      <c r="A49" s="4" t="s">
        <v>45</v>
      </c>
      <c r="B49" s="366">
        <f>INT(SQRT(B54)*1000)/1000</f>
        <v>0</v>
      </c>
      <c r="C49" s="364" t="s">
        <v>46</v>
      </c>
      <c r="D49" s="367" t="s">
        <v>21</v>
      </c>
      <c r="E49" s="4"/>
      <c r="F49" s="4"/>
      <c r="G49" s="4"/>
      <c r="H49" s="224" t="s">
        <v>47</v>
      </c>
      <c r="I49" s="398" t="str">
        <f>I45</f>
        <v>외산지구</v>
      </c>
      <c r="J49" s="398"/>
      <c r="K49" s="398"/>
      <c r="L49" s="224" t="s">
        <v>48</v>
      </c>
      <c r="M49" s="195">
        <v>35.4</v>
      </c>
      <c r="N49" s="11"/>
    </row>
    <row r="50" spans="1:24" s="167" customFormat="1" ht="16.5">
      <c r="A50" s="4" t="s">
        <v>49</v>
      </c>
      <c r="B50" s="364">
        <f>INT(2.25*A44*A47*1000)/1000</f>
        <v>7.5389999999999997</v>
      </c>
      <c r="C50" s="364">
        <f>B50</f>
        <v>7.5389999999999997</v>
      </c>
      <c r="D50" s="365"/>
      <c r="E50" s="4"/>
      <c r="F50" s="4"/>
      <c r="G50" s="4"/>
      <c r="H50" s="224"/>
      <c r="I50" s="398"/>
      <c r="J50" s="398"/>
      <c r="K50" s="398"/>
      <c r="L50" s="224" t="s">
        <v>50</v>
      </c>
      <c r="M50" s="194">
        <f>M49-M48</f>
        <v>31.799999999999997</v>
      </c>
      <c r="N50" s="11"/>
    </row>
    <row r="51" spans="1:24" s="167" customFormat="1" ht="16.5">
      <c r="A51" s="4" t="s">
        <v>51</v>
      </c>
      <c r="B51" s="364">
        <f>A45</f>
        <v>5.0000000000000001E-4</v>
      </c>
      <c r="C51" s="364" t="s">
        <v>35</v>
      </c>
      <c r="D51" s="368" t="s">
        <v>21</v>
      </c>
      <c r="E51" s="4"/>
      <c r="F51" s="4"/>
      <c r="G51" s="4"/>
      <c r="H51" s="224"/>
      <c r="I51" s="399"/>
      <c r="J51" s="400"/>
      <c r="K51" s="401"/>
      <c r="L51" s="169" t="s">
        <v>52</v>
      </c>
      <c r="M51" s="195">
        <v>150</v>
      </c>
      <c r="N51" s="11"/>
      <c r="O51" s="167">
        <f>M51</f>
        <v>150</v>
      </c>
      <c r="P51" s="165">
        <f>ROUND((O51/O52)*100,1)</f>
        <v>172.4</v>
      </c>
    </row>
    <row r="52" spans="1:24" s="167" customFormat="1" ht="16.5">
      <c r="A52" s="168" t="s">
        <v>53</v>
      </c>
      <c r="B52" s="364">
        <f>INT(10^((INT(5.46*A44*A46*1000))/1000)*1000)/1000</f>
        <v>7.3113908348342247E+24</v>
      </c>
      <c r="C52" s="364">
        <f>INT(B52*B51*1000)/1000</f>
        <v>3.6556954174171125E+21</v>
      </c>
      <c r="D52" s="365"/>
      <c r="E52" s="4"/>
      <c r="F52" s="4"/>
      <c r="G52" s="4"/>
      <c r="H52" s="225" t="s">
        <v>54</v>
      </c>
      <c r="I52" s="246">
        <v>12</v>
      </c>
      <c r="J52" s="222" t="s">
        <v>55</v>
      </c>
      <c r="K52" s="170">
        <v>0</v>
      </c>
      <c r="L52" s="221" t="s">
        <v>56</v>
      </c>
      <c r="M52" s="192">
        <f>INT(M50*0.89*100)/100</f>
        <v>28.3</v>
      </c>
      <c r="N52" s="196"/>
      <c r="O52" s="167">
        <f>M53</f>
        <v>87</v>
      </c>
      <c r="P52" s="165"/>
    </row>
    <row r="53" spans="1:24" s="167" customFormat="1" ht="16.5">
      <c r="A53" s="4"/>
      <c r="B53" s="4"/>
      <c r="C53" s="4"/>
      <c r="D53" s="4"/>
      <c r="E53" s="4"/>
      <c r="F53" s="4"/>
      <c r="G53" s="4"/>
      <c r="H53" s="11"/>
      <c r="I53" s="391" t="s">
        <v>243</v>
      </c>
      <c r="J53" s="391"/>
      <c r="K53" s="391"/>
      <c r="L53" s="391"/>
      <c r="M53" s="197">
        <v>87</v>
      </c>
      <c r="N53" s="11"/>
    </row>
    <row r="54" spans="1:24" ht="18.75" customHeight="1">
      <c r="A54" s="7" t="s">
        <v>57</v>
      </c>
      <c r="B54" s="1">
        <f>INT(C50/C52*1000)/1000</f>
        <v>0</v>
      </c>
      <c r="H54" s="226" t="s">
        <v>58</v>
      </c>
      <c r="I54" s="227" t="s">
        <v>59</v>
      </c>
      <c r="J54" s="165"/>
      <c r="K54" s="165"/>
      <c r="L54" s="165"/>
      <c r="M54" s="165"/>
      <c r="N54" s="165"/>
    </row>
    <row r="55" spans="1:24">
      <c r="A55" s="7"/>
      <c r="R55" s="254"/>
    </row>
    <row r="56" spans="1:24" ht="14.25" thickBot="1">
      <c r="A56" s="7"/>
    </row>
    <row r="57" spans="1:24" s="167" customFormat="1" ht="18" customHeight="1">
      <c r="A57" s="232"/>
      <c r="B57" s="349" t="s">
        <v>60</v>
      </c>
      <c r="C57" s="349" t="s">
        <v>61</v>
      </c>
      <c r="D57" s="408" t="s">
        <v>62</v>
      </c>
      <c r="E57" s="424"/>
      <c r="F57" s="408" t="s">
        <v>61</v>
      </c>
      <c r="G57" s="424"/>
      <c r="H57" s="349" t="s">
        <v>63</v>
      </c>
      <c r="I57" s="350">
        <f>M50</f>
        <v>31.799999999999997</v>
      </c>
      <c r="J57" s="349" t="s">
        <v>64</v>
      </c>
      <c r="K57" s="349" t="s">
        <v>65</v>
      </c>
      <c r="L57" s="408" t="s">
        <v>66</v>
      </c>
      <c r="M57" s="409"/>
    </row>
    <row r="58" spans="1:24" s="167" customFormat="1" ht="18" customHeight="1">
      <c r="A58" s="230" t="s">
        <v>67</v>
      </c>
      <c r="B58" s="351">
        <v>40.21</v>
      </c>
      <c r="C58" s="222"/>
      <c r="D58" s="410">
        <v>0.22439999999999999</v>
      </c>
      <c r="E58" s="411"/>
      <c r="F58" s="410"/>
      <c r="G58" s="411"/>
      <c r="H58" s="222" t="s">
        <v>68</v>
      </c>
      <c r="I58" s="352">
        <f>C62/M46</f>
        <v>0.2293939393939394</v>
      </c>
      <c r="J58" s="222" t="s">
        <v>69</v>
      </c>
      <c r="K58" s="353">
        <f>INT((6*I57*I58*I60/I59)^0.5)</f>
        <v>12</v>
      </c>
      <c r="L58" s="222" t="s">
        <v>70</v>
      </c>
      <c r="M58" s="354" t="s">
        <v>71</v>
      </c>
    </row>
    <row r="59" spans="1:24" s="167" customFormat="1" ht="18" customHeight="1">
      <c r="A59" s="230" t="s">
        <v>72</v>
      </c>
      <c r="B59" s="351">
        <v>59.61</v>
      </c>
      <c r="C59" s="412">
        <f>B59</f>
        <v>59.61</v>
      </c>
      <c r="D59" s="414">
        <v>0.15190000000000001</v>
      </c>
      <c r="E59" s="415"/>
      <c r="F59" s="416">
        <f>INT((D59+D60)/1*10000000)/10000000</f>
        <v>0.15190000000000001</v>
      </c>
      <c r="G59" s="417"/>
      <c r="H59" s="222" t="s">
        <v>32</v>
      </c>
      <c r="I59" s="222">
        <f>F62</f>
        <v>0.15190000000000001</v>
      </c>
      <c r="J59" s="222" t="s">
        <v>73</v>
      </c>
      <c r="K59" s="353">
        <f>INT(3*(I57*I58*I60/I59)^0.5)</f>
        <v>14</v>
      </c>
      <c r="L59" s="353"/>
      <c r="M59" s="355"/>
    </row>
    <row r="60" spans="1:24" s="167" customFormat="1" ht="18" customHeight="1">
      <c r="A60" s="230" t="s">
        <v>74</v>
      </c>
      <c r="B60" s="351"/>
      <c r="C60" s="413"/>
      <c r="D60" s="414"/>
      <c r="E60" s="415"/>
      <c r="F60" s="418"/>
      <c r="G60" s="419"/>
      <c r="H60" s="356">
        <f>LongTest!AE33</f>
        <v>720</v>
      </c>
      <c r="I60" s="352">
        <f>INT(H60/1440*10000)/10000</f>
        <v>0.5</v>
      </c>
      <c r="J60" s="222" t="s">
        <v>75</v>
      </c>
      <c r="K60" s="353">
        <f>(2.25*I61*I60/I59)^0.5</f>
        <v>18.340912511588275</v>
      </c>
      <c r="L60" s="353"/>
      <c r="M60" s="355"/>
    </row>
    <row r="61" spans="1:24" s="167" customFormat="1" ht="18" customHeight="1">
      <c r="A61" s="230" t="s">
        <v>76</v>
      </c>
      <c r="B61" s="351">
        <v>31.23</v>
      </c>
      <c r="C61" s="222">
        <f>B61</f>
        <v>31.23</v>
      </c>
      <c r="D61" s="410"/>
      <c r="E61" s="411"/>
      <c r="F61" s="410"/>
      <c r="G61" s="411"/>
      <c r="H61" s="222" t="s">
        <v>28</v>
      </c>
      <c r="I61" s="222">
        <f>C62</f>
        <v>45.42</v>
      </c>
      <c r="J61" s="222" t="s">
        <v>77</v>
      </c>
      <c r="K61" s="353">
        <f>((K58+K59+K60)/3)</f>
        <v>14.780304170529424</v>
      </c>
      <c r="L61" s="353"/>
      <c r="M61" s="355"/>
    </row>
    <row r="62" spans="1:24" s="167" customFormat="1" ht="18" customHeight="1" thickBot="1">
      <c r="A62" s="231" t="s">
        <v>61</v>
      </c>
      <c r="B62" s="357"/>
      <c r="C62" s="358">
        <f>INT((C58+C59+C61)*1000/2)/1000</f>
        <v>45.42</v>
      </c>
      <c r="D62" s="420"/>
      <c r="E62" s="421"/>
      <c r="F62" s="422">
        <f>F59</f>
        <v>0.15190000000000001</v>
      </c>
      <c r="G62" s="423"/>
      <c r="H62" s="359" t="s">
        <v>78</v>
      </c>
      <c r="I62" s="360">
        <v>70.33</v>
      </c>
      <c r="J62" s="359" t="s">
        <v>79</v>
      </c>
      <c r="K62" s="361">
        <f>MAX(K58:K60)</f>
        <v>18.340912511588275</v>
      </c>
      <c r="L62" s="362"/>
      <c r="M62" s="363"/>
    </row>
    <row r="63" spans="1:24" s="167" customFormat="1" ht="18" customHeight="1" thickBot="1">
      <c r="A63" s="4"/>
      <c r="B63" s="4"/>
      <c r="C63" s="4"/>
      <c r="D63" s="4"/>
      <c r="E63" s="4"/>
      <c r="F63" s="4"/>
      <c r="G63" s="4"/>
    </row>
    <row r="64" spans="1:24" s="109" customFormat="1" ht="97.5" customHeight="1" thickBot="1">
      <c r="A64" s="110"/>
      <c r="B64" s="110"/>
      <c r="C64" s="110"/>
      <c r="D64" s="110"/>
      <c r="E64" s="110"/>
      <c r="F64" s="110"/>
      <c r="G64" s="110"/>
      <c r="Q64" s="243" t="s">
        <v>254</v>
      </c>
      <c r="R64" s="244" t="s">
        <v>255</v>
      </c>
      <c r="S64" s="244" t="s">
        <v>256</v>
      </c>
      <c r="T64" s="244" t="s">
        <v>257</v>
      </c>
      <c r="U64" s="244" t="s">
        <v>258</v>
      </c>
      <c r="V64" s="244" t="s">
        <v>219</v>
      </c>
      <c r="W64" s="244" t="s">
        <v>220</v>
      </c>
      <c r="X64" s="245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7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ommandButton7">
          <controlPr defaultSize="0" autoLine="0" autoPict="0" r:id="rId5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4" name="CommandButton7"/>
      </mc:Fallback>
    </mc:AlternateContent>
    <mc:AlternateContent xmlns:mc="http://schemas.openxmlformats.org/markup-compatibility/2006">
      <mc:Choice Requires="x14">
        <control shapeId="1030" r:id="rId6" name="CommandButton6">
          <controlPr defaultSize="0" autoLine="0" autoPict="0" r:id="rId7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6" name="CommandButton6"/>
      </mc:Fallback>
    </mc:AlternateContent>
    <mc:AlternateContent xmlns:mc="http://schemas.openxmlformats.org/markup-compatibility/2006">
      <mc:Choice Requires="x14">
        <control shapeId="1029" r:id="rId8" name="CommandButton5">
          <controlPr defaultSize="0" autoLine="0" autoPict="0" r:id="rId9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8" name="CommandButton5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3">
          <controlPr defaultSize="0" autoLine="0" autoPict="0" r:id="rId13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12" name="CommandButton3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autoPict="0" r:id="rId15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5" r:id="rId16" name="CommandButton1">
          <controlPr defaultSize="0" autoLine="0" autoPict="0" r:id="rId17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1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H29" sqref="H29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9" customWidth="1"/>
    <col min="9" max="9" width="18.75" style="39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162" t="str">
        <f>Input!I45</f>
        <v>외산지구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16" t="str">
        <f>Input!J48</f>
        <v>공  번 : W - 1</v>
      </c>
      <c r="C2" s="17" t="str">
        <f>Input!I46</f>
        <v>충청남도 부여군 외산면 반교리 574</v>
      </c>
      <c r="D2" s="14"/>
      <c r="E2" s="14"/>
      <c r="F2" s="14"/>
      <c r="G2" s="14"/>
      <c r="H2" s="15"/>
      <c r="I2" s="15"/>
      <c r="J2" s="14"/>
      <c r="K2" s="14"/>
      <c r="L2" s="14"/>
      <c r="M2" s="18"/>
      <c r="N2" s="18"/>
      <c r="O2" s="14"/>
    </row>
    <row r="3" spans="1:15" ht="22.7" customHeight="1">
      <c r="A3" s="14"/>
      <c r="B3" s="281" t="s">
        <v>116</v>
      </c>
      <c r="C3" s="282" t="s">
        <v>13</v>
      </c>
      <c r="D3" s="282" t="s">
        <v>28</v>
      </c>
      <c r="E3" s="282" t="s">
        <v>117</v>
      </c>
      <c r="F3" s="282" t="s">
        <v>32</v>
      </c>
      <c r="G3" s="282" t="s">
        <v>118</v>
      </c>
      <c r="H3" s="283" t="s">
        <v>35</v>
      </c>
      <c r="I3" s="270" t="s">
        <v>119</v>
      </c>
      <c r="J3" s="14"/>
      <c r="K3" s="14"/>
      <c r="L3" s="14"/>
      <c r="M3" s="14"/>
      <c r="N3" s="14"/>
      <c r="O3" s="14"/>
    </row>
    <row r="4" spans="1:15" ht="22.7" customHeight="1">
      <c r="A4" s="14"/>
      <c r="B4" s="284">
        <f>LongTest!G10</f>
        <v>2.7078799527896127</v>
      </c>
      <c r="C4" s="276">
        <f>LongTest!B10</f>
        <v>150</v>
      </c>
      <c r="D4" s="277">
        <v>1.855</v>
      </c>
      <c r="E4" s="278">
        <f>Input!M44/2000</f>
        <v>0.125</v>
      </c>
      <c r="F4" s="19">
        <v>5.0000000000000001E-4</v>
      </c>
      <c r="G4" s="19">
        <f>PI()</f>
        <v>3.1415926535897931</v>
      </c>
      <c r="H4" s="108">
        <f>Input!$A$46</f>
        <v>0.1132518</v>
      </c>
      <c r="I4" s="271">
        <f>Input!M48</f>
        <v>3.6</v>
      </c>
      <c r="J4" s="14"/>
      <c r="K4" s="14"/>
      <c r="L4" s="14"/>
      <c r="M4" s="14"/>
      <c r="N4" s="14"/>
      <c r="O4" s="14"/>
    </row>
    <row r="5" spans="1:15" ht="22.7" customHeight="1" thickBot="1">
      <c r="A5" s="14"/>
      <c r="B5" s="272"/>
      <c r="C5" s="21"/>
      <c r="D5" s="273">
        <v>3.226</v>
      </c>
      <c r="E5" s="274" t="s">
        <v>237</v>
      </c>
      <c r="F5" s="21"/>
      <c r="G5" s="21"/>
      <c r="H5" s="275"/>
      <c r="I5" s="279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06" t="s">
        <v>120</v>
      </c>
      <c r="C6" s="202">
        <f>(2*G4*B4*D5)/(C4)</f>
        <v>0.36591682536915748</v>
      </c>
      <c r="D6" s="203"/>
      <c r="E6" s="202">
        <f>1.15*LOG((2.25*D5*(1/1440))/(F4*E4^2))</f>
        <v>3.2311485125244626</v>
      </c>
      <c r="F6" s="204" t="s">
        <v>121</v>
      </c>
      <c r="G6" s="384">
        <f>C6-E6</f>
        <v>-2.8652316871553052</v>
      </c>
      <c r="H6" s="35"/>
      <c r="I6" s="271">
        <f>Input!M49</f>
        <v>35.4</v>
      </c>
      <c r="J6" s="264">
        <f>MAX(C13,C18,C23)</f>
        <v>110.6</v>
      </c>
      <c r="K6" s="262" t="s">
        <v>215</v>
      </c>
      <c r="M6" s="20"/>
      <c r="N6" s="14"/>
      <c r="O6" s="14"/>
    </row>
    <row r="7" spans="1:15" ht="22.7" customHeight="1">
      <c r="A7" s="14"/>
      <c r="B7" s="207" t="s">
        <v>122</v>
      </c>
      <c r="C7" s="28">
        <f>2.25*D4*(120/1440)</f>
        <v>0.34781249999999997</v>
      </c>
      <c r="D7" s="27"/>
      <c r="E7" s="205" t="s">
        <v>123</v>
      </c>
      <c r="F7" s="28">
        <f>F4*10^(5.46*D4*H4)</f>
        <v>7.0148471155539009E-3</v>
      </c>
      <c r="G7" s="205" t="s">
        <v>124</v>
      </c>
      <c r="H7" s="35">
        <f>F4*EXP(4*G4*D4*H4)</f>
        <v>7.006387333756376E-3</v>
      </c>
      <c r="I7" s="279" t="s">
        <v>125</v>
      </c>
      <c r="J7" s="265">
        <f>ROUND((C13+C18+C23)/3,1)</f>
        <v>90.5</v>
      </c>
      <c r="K7" s="263" t="s">
        <v>216</v>
      </c>
      <c r="L7" s="14"/>
      <c r="M7" s="20"/>
      <c r="N7" s="14"/>
      <c r="O7" s="14"/>
    </row>
    <row r="8" spans="1:15" ht="22.7" customHeight="1" thickBot="1">
      <c r="A8" s="14"/>
      <c r="B8" s="208" t="s">
        <v>126</v>
      </c>
      <c r="C8" s="383">
        <f>ROUND(E4*EXP(-1*G6),3)</f>
        <v>2.194</v>
      </c>
      <c r="D8" s="209"/>
      <c r="E8" s="209"/>
      <c r="F8" s="210"/>
      <c r="G8" s="209"/>
      <c r="H8" s="211"/>
      <c r="I8" s="280">
        <f>Input!M45</f>
        <v>210</v>
      </c>
      <c r="J8" s="260" t="s">
        <v>240</v>
      </c>
      <c r="K8" s="266">
        <f>ROUND(SQRT(C7/F7),4)</f>
        <v>7.0415000000000001</v>
      </c>
      <c r="L8" s="14"/>
      <c r="M8" s="14"/>
      <c r="N8" s="22"/>
      <c r="O8" s="14"/>
    </row>
    <row r="9" spans="1:15" ht="22.7" customHeight="1" thickBot="1">
      <c r="A9" s="14"/>
      <c r="B9" s="14"/>
      <c r="C9" s="14"/>
      <c r="D9" s="14"/>
      <c r="E9" s="14"/>
      <c r="F9" s="14"/>
      <c r="G9" s="14"/>
      <c r="H9" s="15"/>
      <c r="I9" s="269" t="s">
        <v>127</v>
      </c>
      <c r="J9" s="260" t="s">
        <v>241</v>
      </c>
      <c r="K9" s="267">
        <f>ROUND(SQRT(C7/H7),4)</f>
        <v>7.0457000000000001</v>
      </c>
      <c r="L9" s="14"/>
      <c r="M9" s="14"/>
      <c r="N9" s="14"/>
      <c r="O9" s="14"/>
    </row>
    <row r="10" spans="1:15" ht="22.7" customHeight="1" thickBot="1">
      <c r="A10" s="14"/>
      <c r="B10" s="14" t="s">
        <v>128</v>
      </c>
      <c r="C10" s="23">
        <f>LongTest!F101</f>
        <v>5.5974937264594713</v>
      </c>
      <c r="D10" s="24" t="s">
        <v>236</v>
      </c>
      <c r="E10" s="257">
        <v>9.0399999999999994E-2</v>
      </c>
      <c r="H10" s="212" t="s">
        <v>214</v>
      </c>
      <c r="I10" s="218">
        <f>Input!I52</f>
        <v>12</v>
      </c>
      <c r="J10" s="261" t="s">
        <v>242</v>
      </c>
      <c r="K10" s="268">
        <f>ROUND(E4*SQRT(E10/F4),4)</f>
        <v>1.6808000000000001</v>
      </c>
      <c r="L10" s="14"/>
      <c r="M10" s="14"/>
      <c r="N10" s="14"/>
      <c r="O10" s="14"/>
    </row>
    <row r="11" spans="1:15" ht="22.7" customHeight="1">
      <c r="A11" s="14"/>
      <c r="B11" s="14" t="s">
        <v>129</v>
      </c>
      <c r="C11" s="23">
        <f>I6-C10</f>
        <v>29.802506273540526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86" t="s">
        <v>130</v>
      </c>
      <c r="C13" s="288">
        <f>ROUND(SQRT(6*B16*E16*H16/I16),1)</f>
        <v>72.400000000000006</v>
      </c>
      <c r="D13" s="25"/>
      <c r="E13" s="386" t="s">
        <v>251</v>
      </c>
      <c r="F13" s="287">
        <f>D5</f>
        <v>3.226</v>
      </c>
      <c r="G13" s="386" t="s">
        <v>250</v>
      </c>
      <c r="H13" s="258">
        <v>2.6640000000000001</v>
      </c>
      <c r="I13" s="285">
        <v>36.36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6"/>
      <c r="C14" s="21"/>
      <c r="D14" s="27"/>
      <c r="E14" s="27"/>
      <c r="F14" s="27"/>
      <c r="G14" s="27"/>
      <c r="H14" s="28"/>
      <c r="I14" s="35"/>
      <c r="J14" s="14"/>
      <c r="K14" s="14"/>
      <c r="L14" s="14"/>
      <c r="M14" s="14"/>
      <c r="N14" s="14"/>
      <c r="O14" s="14"/>
    </row>
    <row r="15" spans="1:15" ht="22.7" customHeight="1">
      <c r="A15" s="14"/>
      <c r="B15" s="29" t="s">
        <v>131</v>
      </c>
      <c r="C15" s="28" t="s">
        <v>132</v>
      </c>
      <c r="D15" s="28" t="s">
        <v>133</v>
      </c>
      <c r="E15" s="28" t="s">
        <v>68</v>
      </c>
      <c r="F15" s="28" t="s">
        <v>134</v>
      </c>
      <c r="G15" s="28" t="s">
        <v>135</v>
      </c>
      <c r="H15" s="28" t="s">
        <v>136</v>
      </c>
      <c r="I15" s="385" t="s">
        <v>249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16">
        <f>I6-I4</f>
        <v>31.799999999999997</v>
      </c>
      <c r="C16" s="213">
        <f>I8-IF(I4&gt;I10,I4,I10)</f>
        <v>198</v>
      </c>
      <c r="D16" s="215">
        <f>(F13+H13)/2</f>
        <v>2.9450000000000003</v>
      </c>
      <c r="E16" s="30">
        <f>INT(D16/C16*100000)/100000</f>
        <v>1.487E-2</v>
      </c>
      <c r="F16" s="31">
        <v>1440</v>
      </c>
      <c r="G16" s="217">
        <v>780</v>
      </c>
      <c r="H16" s="215">
        <f>INT(G16/F16*10000)/10000</f>
        <v>0.54159999999999997</v>
      </c>
      <c r="I16" s="259">
        <v>2.9339999999999998E-4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2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86" t="s">
        <v>137</v>
      </c>
      <c r="C18" s="288">
        <f>ROUND(3*SQRT(B21*E21*H21/I21),1)</f>
        <v>88.6</v>
      </c>
      <c r="D18" s="25"/>
      <c r="E18" s="33"/>
      <c r="F18" s="33"/>
      <c r="G18" s="33"/>
      <c r="H18" s="34"/>
      <c r="I18" s="112"/>
      <c r="J18" s="14"/>
      <c r="K18" s="14"/>
      <c r="L18" s="14"/>
      <c r="M18" s="14"/>
      <c r="N18" s="14"/>
      <c r="O18" s="14"/>
    </row>
    <row r="19" spans="1:15" ht="22.7" customHeight="1">
      <c r="A19" s="14"/>
      <c r="B19" s="26"/>
      <c r="C19" s="21"/>
      <c r="D19" s="27"/>
      <c r="E19" s="27"/>
      <c r="F19" s="27"/>
      <c r="G19" s="27"/>
      <c r="H19" s="28"/>
      <c r="I19" s="35"/>
      <c r="J19" s="14"/>
      <c r="K19" s="14"/>
      <c r="L19" s="14"/>
      <c r="M19" s="14"/>
      <c r="N19" s="14"/>
      <c r="O19" s="14"/>
    </row>
    <row r="20" spans="1:15" ht="22.7" customHeight="1">
      <c r="A20" s="14"/>
      <c r="B20" s="29" t="s">
        <v>138</v>
      </c>
      <c r="C20" s="28" t="s">
        <v>38</v>
      </c>
      <c r="D20" s="28" t="s">
        <v>139</v>
      </c>
      <c r="E20" s="111" t="s">
        <v>68</v>
      </c>
      <c r="F20" s="28" t="s">
        <v>134</v>
      </c>
      <c r="G20" s="28" t="s">
        <v>140</v>
      </c>
      <c r="H20" s="28" t="s">
        <v>39</v>
      </c>
      <c r="I20" s="35" t="s">
        <v>32</v>
      </c>
      <c r="J20" s="14"/>
      <c r="K20" s="14"/>
      <c r="L20" s="14"/>
      <c r="M20" s="14"/>
      <c r="N20" s="219" t="s">
        <v>239</v>
      </c>
      <c r="O20" s="14"/>
    </row>
    <row r="21" spans="1:15" ht="22.7" customHeight="1" thickBot="1">
      <c r="A21" s="14"/>
      <c r="B21" s="36">
        <f t="shared" ref="B21:I21" si="0">B16</f>
        <v>31.799999999999997</v>
      </c>
      <c r="C21" s="214">
        <f t="shared" si="0"/>
        <v>198</v>
      </c>
      <c r="D21" s="31">
        <f t="shared" si="0"/>
        <v>2.9450000000000003</v>
      </c>
      <c r="E21" s="215">
        <f t="shared" si="0"/>
        <v>1.487E-2</v>
      </c>
      <c r="F21" s="31">
        <f t="shared" si="0"/>
        <v>1440</v>
      </c>
      <c r="G21" s="31">
        <f>G16</f>
        <v>780</v>
      </c>
      <c r="H21" s="31">
        <f t="shared" si="0"/>
        <v>0.54159999999999997</v>
      </c>
      <c r="I21" s="37">
        <f t="shared" si="0"/>
        <v>2.9339999999999998E-4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86" t="s">
        <v>141</v>
      </c>
      <c r="C23" s="288">
        <f>ROUND(SQRT((2.25*D26*H26)/I26),1)</f>
        <v>110.6</v>
      </c>
      <c r="D23" s="25"/>
      <c r="E23" s="33"/>
      <c r="F23" s="33"/>
      <c r="G23" s="33"/>
      <c r="H23" s="34"/>
      <c r="I23" s="112"/>
      <c r="J23" s="14"/>
      <c r="K23" s="14"/>
      <c r="L23" s="14"/>
      <c r="M23" s="14"/>
      <c r="N23" s="14"/>
      <c r="O23" s="14"/>
    </row>
    <row r="24" spans="1:15" ht="22.7" customHeight="1">
      <c r="A24" s="14"/>
      <c r="B24" s="26"/>
      <c r="C24" s="21"/>
      <c r="D24" s="27"/>
      <c r="E24" s="27"/>
      <c r="F24" s="27"/>
      <c r="G24" s="27"/>
      <c r="H24" s="28"/>
      <c r="I24" s="35"/>
      <c r="J24" s="14"/>
      <c r="K24" s="14"/>
      <c r="L24" s="14"/>
      <c r="M24" s="14"/>
      <c r="N24" s="162"/>
      <c r="O24" s="14"/>
    </row>
    <row r="25" spans="1:15" ht="22.7" customHeight="1">
      <c r="A25" s="14"/>
      <c r="B25" s="29" t="s">
        <v>138</v>
      </c>
      <c r="C25" s="28" t="s">
        <v>38</v>
      </c>
      <c r="D25" s="28" t="s">
        <v>139</v>
      </c>
      <c r="E25" s="28" t="s">
        <v>68</v>
      </c>
      <c r="F25" s="28" t="s">
        <v>134</v>
      </c>
      <c r="G25" s="28" t="s">
        <v>140</v>
      </c>
      <c r="H25" s="111" t="s">
        <v>39</v>
      </c>
      <c r="I25" s="35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6">
        <f t="shared" ref="B26:I26" si="1">B21</f>
        <v>31.799999999999997</v>
      </c>
      <c r="C26" s="31">
        <f t="shared" si="1"/>
        <v>198</v>
      </c>
      <c r="D26" s="31">
        <f t="shared" si="1"/>
        <v>2.9450000000000003</v>
      </c>
      <c r="E26" s="30">
        <f t="shared" si="1"/>
        <v>1.487E-2</v>
      </c>
      <c r="F26" s="31">
        <f t="shared" si="1"/>
        <v>1440</v>
      </c>
      <c r="G26" s="31">
        <f t="shared" si="1"/>
        <v>780</v>
      </c>
      <c r="H26" s="215">
        <f>INT(G16/F16*10000)/10000</f>
        <v>0.54159999999999997</v>
      </c>
      <c r="I26" s="37">
        <f t="shared" si="1"/>
        <v>2.9339999999999998E-4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63"/>
      <c r="E27" s="164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8" t="s">
        <v>142</v>
      </c>
      <c r="C28" s="379">
        <f>D16</f>
        <v>2.9450000000000003</v>
      </c>
      <c r="D28" s="382">
        <f>(C28/C16)*(100/86400)</f>
        <v>1.7214973812196037E-5</v>
      </c>
      <c r="E28" s="162" t="s">
        <v>235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8" t="s">
        <v>143</v>
      </c>
      <c r="C29" s="380">
        <f>I16</f>
        <v>2.9339999999999998E-4</v>
      </c>
      <c r="D29" s="15">
        <f>(C28*100)/(C16*86400)</f>
        <v>1.7214973812196034E-5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8" t="s">
        <v>144</v>
      </c>
      <c r="C30" s="381">
        <f>(C13+C18+C23)/3</f>
        <v>90.533333333333346</v>
      </c>
      <c r="D30" s="14"/>
      <c r="E30" s="376">
        <f>(C13+C18)/2</f>
        <v>80.5</v>
      </c>
      <c r="F30" s="377">
        <f>MAX(C13,C18)</f>
        <v>88.6</v>
      </c>
      <c r="G30" s="378">
        <f>ROUND(C4/(G4*F30^2*I16),3)</f>
        <v>20.731000000000002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0" bestFit="1" customWidth="1"/>
    <col min="2" max="2" width="8.375" style="99" bestFit="1" customWidth="1"/>
    <col min="3" max="16384" width="9" style="41"/>
  </cols>
  <sheetData>
    <row r="1" spans="1:2" ht="20.100000000000001" customHeight="1"/>
    <row r="2" spans="1:2" ht="20.100000000000001" customHeight="1">
      <c r="A2" s="40" t="s">
        <v>145</v>
      </c>
      <c r="B2" s="155">
        <f>StepTest!B12</f>
        <v>94</v>
      </c>
    </row>
    <row r="3" spans="1:2" ht="20.100000000000001" customHeight="1">
      <c r="A3" s="42" t="s">
        <v>146</v>
      </c>
      <c r="B3" s="156">
        <f>StepTest!G31</f>
        <v>13.31</v>
      </c>
    </row>
    <row r="4" spans="1:2" ht="20.100000000000001" customHeight="1">
      <c r="A4" s="42" t="s">
        <v>147</v>
      </c>
      <c r="B4" s="157">
        <f>StepTest!G46</f>
        <v>28.3</v>
      </c>
    </row>
    <row r="5" spans="1:2" ht="20.100000000000001" customHeight="1">
      <c r="A5" s="43" t="s">
        <v>148</v>
      </c>
      <c r="B5" s="157">
        <f>2/3</f>
        <v>0.66666666666666663</v>
      </c>
    </row>
    <row r="6" spans="1:2" ht="20.100000000000001" customHeight="1">
      <c r="A6" s="42"/>
      <c r="B6" s="157"/>
    </row>
    <row r="7" spans="1:2" ht="20.100000000000001" customHeight="1">
      <c r="A7" s="42" t="s">
        <v>149</v>
      </c>
      <c r="B7" s="157">
        <f>B2*(B4/B3)^(2/3)</f>
        <v>155.42949655319808</v>
      </c>
    </row>
    <row r="8" spans="1:2" ht="20.100000000000001" customHeight="1">
      <c r="A8" s="42" t="s">
        <v>150</v>
      </c>
      <c r="B8" s="157">
        <f>INT(B7)</f>
        <v>155</v>
      </c>
    </row>
    <row r="9" spans="1:2" ht="24.75" customHeight="1">
      <c r="B9" s="157"/>
    </row>
    <row r="10" spans="1:2" ht="24.75" customHeight="1">
      <c r="B10" s="157"/>
    </row>
    <row r="11" spans="1:2">
      <c r="B11" s="158">
        <f>B8/Input!$D$23</f>
        <v>0.90116279069767447</v>
      </c>
    </row>
    <row r="12" spans="1:2" ht="17.25" thickBot="1"/>
    <row r="13" spans="1:2" ht="24.95" customHeight="1">
      <c r="A13" s="44" t="s">
        <v>151</v>
      </c>
      <c r="B13" s="159">
        <f>Input!$D$6</f>
        <v>172</v>
      </c>
    </row>
    <row r="14" spans="1:2" ht="24.95" customHeight="1">
      <c r="A14" s="45" t="s">
        <v>52</v>
      </c>
      <c r="B14" s="160">
        <f>B8</f>
        <v>155</v>
      </c>
    </row>
    <row r="15" spans="1:2" ht="24.95" customHeight="1" thickBot="1">
      <c r="A15" s="46" t="s">
        <v>152</v>
      </c>
      <c r="B15" s="161">
        <f>Input!$M$51</f>
        <v>150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topLeftCell="A4" zoomScaleNormal="100" zoomScaleSheetLayoutView="100" workbookViewId="0">
      <selection activeCell="J11" sqref="J11"/>
    </sheetView>
  </sheetViews>
  <sheetFormatPr defaultColWidth="9" defaultRowHeight="13.5"/>
  <cols>
    <col min="1" max="1" width="5.25" style="47" customWidth="1"/>
    <col min="2" max="2" width="17" style="47" customWidth="1"/>
    <col min="3" max="3" width="12.375" style="47" customWidth="1"/>
    <col min="4" max="4" width="8.75" style="47" customWidth="1"/>
    <col min="5" max="5" width="5.75" style="47" customWidth="1"/>
    <col min="6" max="6" width="13.625" style="47" customWidth="1"/>
    <col min="7" max="7" width="7.875" style="47" customWidth="1"/>
    <col min="8" max="8" width="8.125" style="47" customWidth="1"/>
    <col min="9" max="9" width="10.375" style="48" customWidth="1"/>
    <col min="10" max="10" width="10.875" style="47" customWidth="1"/>
    <col min="11" max="15" width="9" style="47"/>
    <col min="16" max="16" width="9.875" style="47" bestFit="1" customWidth="1"/>
    <col min="17" max="17" width="11.125" style="47" customWidth="1"/>
    <col min="18" max="18" width="9" style="47"/>
    <col min="19" max="19" width="3.75" style="47" bestFit="1" customWidth="1"/>
    <col min="20" max="20" width="5.375" style="47" bestFit="1" customWidth="1"/>
    <col min="21" max="21" width="7.375" style="50" bestFit="1" customWidth="1"/>
    <col min="22" max="23" width="8.75" style="47" customWidth="1"/>
    <col min="24" max="24" width="9.125" style="47" customWidth="1"/>
    <col min="25" max="25" width="7.375" style="47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7"/>
  </cols>
  <sheetData>
    <row r="1" spans="1:136" ht="26.25">
      <c r="A1" s="149" t="s">
        <v>153</v>
      </c>
      <c r="B1" s="150"/>
      <c r="C1" s="150"/>
      <c r="D1" s="150"/>
      <c r="E1" s="150"/>
      <c r="F1" s="150"/>
      <c r="G1" s="150"/>
      <c r="H1" s="150"/>
      <c r="I1" s="151"/>
      <c r="J1" s="49"/>
    </row>
    <row r="2" spans="1:136" s="49" customFormat="1" ht="20.25">
      <c r="A2" s="152"/>
      <c r="B2" s="150"/>
      <c r="C2" s="150"/>
      <c r="D2" s="150"/>
      <c r="E2" s="150"/>
      <c r="F2" s="150"/>
      <c r="G2" s="150"/>
      <c r="H2" s="150"/>
      <c r="I2" s="151"/>
      <c r="J2" s="51"/>
      <c r="Q2" s="296" t="s">
        <v>154</v>
      </c>
      <c r="T2" s="297" t="s">
        <v>155</v>
      </c>
      <c r="U2" s="298"/>
      <c r="V2" s="297"/>
    </row>
    <row r="3" spans="1:136" s="51" customFormat="1" ht="26.25">
      <c r="A3" s="153" t="s">
        <v>156</v>
      </c>
      <c r="B3" s="153"/>
      <c r="C3" s="153"/>
      <c r="D3" s="153"/>
      <c r="E3" s="153"/>
      <c r="F3" s="153"/>
      <c r="G3" s="153"/>
      <c r="H3" s="154"/>
      <c r="I3" s="153"/>
      <c r="Q3" s="289" t="s">
        <v>157</v>
      </c>
      <c r="S3" s="53" t="s">
        <v>13</v>
      </c>
      <c r="T3" s="53" t="s">
        <v>28</v>
      </c>
      <c r="U3" s="54" t="s">
        <v>158</v>
      </c>
      <c r="V3" s="53" t="s">
        <v>32</v>
      </c>
      <c r="W3" s="53" t="s">
        <v>159</v>
      </c>
      <c r="X3" s="53" t="s">
        <v>39</v>
      </c>
      <c r="Y3" s="53" t="s">
        <v>12</v>
      </c>
      <c r="AC3" s="51">
        <v>0</v>
      </c>
      <c r="AI3" s="53"/>
    </row>
    <row r="4" spans="1:136" s="51" customFormat="1" ht="23.1" customHeight="1">
      <c r="A4" s="427" t="s">
        <v>160</v>
      </c>
      <c r="B4" s="427"/>
      <c r="C4" s="302" t="str">
        <f>Input!I44</f>
        <v>농업용 대형관정 사후관리 및 연장허가 용역 (외산,내산지구)</v>
      </c>
      <c r="D4" s="303"/>
      <c r="E4" s="303"/>
      <c r="F4" s="303"/>
      <c r="G4" s="303"/>
      <c r="H4" s="304"/>
      <c r="I4" s="305"/>
      <c r="P4" s="51">
        <v>1</v>
      </c>
      <c r="Q4" s="372">
        <v>-0.44999999999999984</v>
      </c>
      <c r="R4" s="55">
        <f>B12</f>
        <v>94</v>
      </c>
      <c r="S4" s="51">
        <f>$R$4</f>
        <v>94</v>
      </c>
      <c r="T4" s="300">
        <v>2.9077763007581678</v>
      </c>
      <c r="U4" s="299">
        <f>Input!M44/2/1000</f>
        <v>0.125</v>
      </c>
      <c r="V4" s="289">
        <v>5.0000000000000001E-4</v>
      </c>
      <c r="W4" s="51">
        <f t="shared" ref="W4:W43" si="0">X4/1440</f>
        <v>6.9444444444444447E-4</v>
      </c>
      <c r="X4" s="56">
        <f>D12</f>
        <v>1</v>
      </c>
      <c r="Y4" s="57">
        <f t="shared" ref="Y4:Y43" si="1">2.3*S4/(4*PI()*T4)*LOG10((2.25*T4*W4)/(U4*U4*V4))</f>
        <v>16.357454502928036</v>
      </c>
      <c r="Z4" s="58">
        <f>Z22</f>
        <v>15.349495846461364</v>
      </c>
      <c r="AA4" s="57">
        <f>$Z$4</f>
        <v>15.349495846461364</v>
      </c>
      <c r="AB4" s="57">
        <f>X4</f>
        <v>1</v>
      </c>
      <c r="AC4" s="57">
        <f>Y4-AA4</f>
        <v>1.0079586564666716</v>
      </c>
      <c r="AD4" s="59">
        <f>INT((AC4-AE4)*100)/100</f>
        <v>1.45</v>
      </c>
      <c r="AE4" s="60">
        <f>Q4</f>
        <v>-0.44999999999999984</v>
      </c>
      <c r="AF4" s="58">
        <f t="shared" ref="AF4:AF21" si="2">AF5-0.01</f>
        <v>0.80999999999999983</v>
      </c>
      <c r="AG4" s="57"/>
      <c r="AH4" s="57"/>
      <c r="AI4" s="57"/>
    </row>
    <row r="5" spans="1:136" s="51" customFormat="1" ht="23.1" customHeight="1">
      <c r="A5" s="427" t="s">
        <v>161</v>
      </c>
      <c r="B5" s="427"/>
      <c r="C5" s="306" t="str">
        <f>Input!I45</f>
        <v>외산지구</v>
      </c>
      <c r="D5" s="303"/>
      <c r="E5" s="303"/>
      <c r="F5" s="307"/>
      <c r="G5" s="303"/>
      <c r="H5" s="308" t="str">
        <f>Input!J48</f>
        <v>공  번 : W - 1</v>
      </c>
      <c r="I5" s="309"/>
      <c r="P5" s="51">
        <v>2</v>
      </c>
      <c r="Q5" s="372"/>
      <c r="S5" s="51">
        <f t="shared" ref="S5:S23" si="3">$R$4</f>
        <v>94</v>
      </c>
      <c r="T5" s="51">
        <f>$T4</f>
        <v>2.9077763007581678</v>
      </c>
      <c r="U5" s="61">
        <f>$U4</f>
        <v>0.125</v>
      </c>
      <c r="V5" s="51">
        <f>$V4</f>
        <v>5.0000000000000001E-4</v>
      </c>
      <c r="W5" s="51">
        <f t="shared" si="0"/>
        <v>1.3888888888888889E-3</v>
      </c>
      <c r="X5" s="56">
        <f t="shared" ref="X5:X43" si="4">D13</f>
        <v>2</v>
      </c>
      <c r="Y5" s="57">
        <f t="shared" si="1"/>
        <v>18.138580347219694</v>
      </c>
      <c r="AA5" s="57">
        <f t="shared" ref="AA5:AA23" si="5">$Z$4</f>
        <v>15.349495846461364</v>
      </c>
      <c r="AB5" s="57">
        <f t="shared" ref="AB5:AB43" si="6">X5</f>
        <v>2</v>
      </c>
      <c r="AC5" s="57">
        <f t="shared" ref="AC5:AC43" si="7">Y5-AA5</f>
        <v>2.7890845007583298</v>
      </c>
      <c r="AD5" s="59">
        <f t="shared" ref="AD5:AD16" si="8">INT((AC5-AE5)*100)/100</f>
        <v>2.78</v>
      </c>
      <c r="AE5" s="60">
        <f t="shared" ref="AE5:AE16" si="9">Q5</f>
        <v>0</v>
      </c>
      <c r="AF5" s="58">
        <f t="shared" si="2"/>
        <v>0.81999999999999984</v>
      </c>
      <c r="AG5" s="57"/>
      <c r="AH5" s="57"/>
      <c r="AI5" s="57"/>
    </row>
    <row r="6" spans="1:136" s="51" customFormat="1" ht="23.1" customHeight="1">
      <c r="A6" s="427" t="s">
        <v>162</v>
      </c>
      <c r="B6" s="427"/>
      <c r="C6" s="310" t="str">
        <f>Input!I46</f>
        <v>충청남도 부여군 외산면 반교리 574</v>
      </c>
      <c r="D6" s="303"/>
      <c r="E6" s="303"/>
      <c r="F6" s="303"/>
      <c r="G6" s="303"/>
      <c r="H6" s="304"/>
      <c r="I6" s="305"/>
      <c r="P6" s="51">
        <v>3</v>
      </c>
      <c r="Q6" s="372"/>
      <c r="S6" s="51">
        <f t="shared" si="3"/>
        <v>94</v>
      </c>
      <c r="T6" s="51">
        <f t="shared" ref="T6:T51" si="10">$T5</f>
        <v>2.9077763007581678</v>
      </c>
      <c r="U6" s="61">
        <f t="shared" ref="U6:U51" si="11">$U5</f>
        <v>0.125</v>
      </c>
      <c r="V6" s="51">
        <f t="shared" ref="V6:V51" si="12">$V5</f>
        <v>5.0000000000000001E-4</v>
      </c>
      <c r="W6" s="51">
        <f t="shared" si="0"/>
        <v>2.0833333333333333E-3</v>
      </c>
      <c r="X6" s="56">
        <f t="shared" si="4"/>
        <v>3</v>
      </c>
      <c r="Y6" s="57">
        <f t="shared" si="1"/>
        <v>19.180472175195622</v>
      </c>
      <c r="AA6" s="57">
        <f t="shared" si="5"/>
        <v>15.349495846461364</v>
      </c>
      <c r="AB6" s="57">
        <f t="shared" si="6"/>
        <v>3</v>
      </c>
      <c r="AC6" s="57">
        <f t="shared" si="7"/>
        <v>3.8309763287342573</v>
      </c>
      <c r="AD6" s="59">
        <f t="shared" si="8"/>
        <v>3.83</v>
      </c>
      <c r="AE6" s="60">
        <f t="shared" si="9"/>
        <v>0</v>
      </c>
      <c r="AF6" s="58">
        <f t="shared" si="2"/>
        <v>0.82999999999999985</v>
      </c>
      <c r="AG6" s="57"/>
      <c r="AH6" s="57"/>
      <c r="AI6" s="57"/>
    </row>
    <row r="7" spans="1:136" s="51" customFormat="1" ht="23.1" customHeight="1">
      <c r="A7" s="427" t="s">
        <v>163</v>
      </c>
      <c r="B7" s="427"/>
      <c r="C7" s="311" t="str">
        <f>Input!I47</f>
        <v>부여지하수개발주식회사</v>
      </c>
      <c r="D7" s="312"/>
      <c r="E7" s="303"/>
      <c r="F7" s="313"/>
      <c r="G7" s="314" t="str">
        <f>Input!I49</f>
        <v>외산지구</v>
      </c>
      <c r="H7" s="315"/>
      <c r="I7" s="316"/>
      <c r="P7" s="51">
        <v>4</v>
      </c>
      <c r="Q7" s="372"/>
      <c r="S7" s="51">
        <f t="shared" si="3"/>
        <v>94</v>
      </c>
      <c r="T7" s="51">
        <f t="shared" si="10"/>
        <v>2.9077763007581678</v>
      </c>
      <c r="U7" s="61">
        <f t="shared" si="11"/>
        <v>0.125</v>
      </c>
      <c r="V7" s="51">
        <f t="shared" si="12"/>
        <v>5.0000000000000001E-4</v>
      </c>
      <c r="W7" s="51">
        <f t="shared" si="0"/>
        <v>2.7777777777777779E-3</v>
      </c>
      <c r="X7" s="56">
        <f t="shared" si="4"/>
        <v>4</v>
      </c>
      <c r="Y7" s="57">
        <f t="shared" si="1"/>
        <v>19.919706191511352</v>
      </c>
      <c r="AA7" s="57">
        <f t="shared" si="5"/>
        <v>15.349495846461364</v>
      </c>
      <c r="AB7" s="57">
        <f t="shared" si="6"/>
        <v>4</v>
      </c>
      <c r="AC7" s="57">
        <f t="shared" si="7"/>
        <v>4.570210345049988</v>
      </c>
      <c r="AD7" s="59">
        <f t="shared" si="8"/>
        <v>4.57</v>
      </c>
      <c r="AE7" s="60">
        <f t="shared" si="9"/>
        <v>0</v>
      </c>
      <c r="AF7" s="58">
        <f t="shared" si="2"/>
        <v>0.83999999999999986</v>
      </c>
      <c r="AG7" s="57"/>
      <c r="AH7" s="57"/>
      <c r="AI7" s="57"/>
    </row>
    <row r="8" spans="1:136" s="51" customFormat="1" ht="23.1" customHeight="1">
      <c r="A8" s="317" t="s">
        <v>164</v>
      </c>
      <c r="B8" s="317"/>
      <c r="C8" s="428">
        <f>Input!I48</f>
        <v>3</v>
      </c>
      <c r="D8" s="429"/>
      <c r="E8" s="430"/>
      <c r="F8" s="318" t="s">
        <v>165</v>
      </c>
      <c r="G8" s="314" t="str">
        <f>G7</f>
        <v>외산지구</v>
      </c>
      <c r="H8" s="315"/>
      <c r="I8" s="319"/>
      <c r="K8" s="62"/>
      <c r="P8" s="51">
        <v>5</v>
      </c>
      <c r="Q8" s="372"/>
      <c r="S8" s="51">
        <f t="shared" si="3"/>
        <v>94</v>
      </c>
      <c r="T8" s="51">
        <f t="shared" si="10"/>
        <v>2.9077763007581678</v>
      </c>
      <c r="U8" s="61">
        <f t="shared" si="11"/>
        <v>0.125</v>
      </c>
      <c r="V8" s="51">
        <f t="shared" si="12"/>
        <v>5.0000000000000001E-4</v>
      </c>
      <c r="W8" s="51">
        <f t="shared" si="0"/>
        <v>3.472222222222222E-3</v>
      </c>
      <c r="X8" s="56">
        <f t="shared" si="4"/>
        <v>5</v>
      </c>
      <c r="Y8" s="57">
        <f t="shared" si="1"/>
        <v>20.493100641318811</v>
      </c>
      <c r="AA8" s="57">
        <f t="shared" si="5"/>
        <v>15.349495846461364</v>
      </c>
      <c r="AB8" s="57">
        <f t="shared" si="6"/>
        <v>5</v>
      </c>
      <c r="AC8" s="57">
        <f t="shared" si="7"/>
        <v>5.1436047948574473</v>
      </c>
      <c r="AD8" s="59">
        <f t="shared" si="8"/>
        <v>5.14</v>
      </c>
      <c r="AE8" s="60">
        <f t="shared" si="9"/>
        <v>0</v>
      </c>
      <c r="AF8" s="58">
        <f t="shared" si="2"/>
        <v>0.84999999999999987</v>
      </c>
      <c r="AG8" s="57"/>
      <c r="AH8" s="57"/>
      <c r="AI8" s="57"/>
    </row>
    <row r="9" spans="1:136" s="51" customFormat="1" ht="23.1" customHeight="1">
      <c r="A9" s="317" t="s">
        <v>166</v>
      </c>
      <c r="B9" s="317"/>
      <c r="C9" s="320" t="s">
        <v>167</v>
      </c>
      <c r="D9" s="431">
        <f>Input!M44</f>
        <v>250</v>
      </c>
      <c r="E9" s="431"/>
      <c r="F9" s="301" t="s">
        <v>168</v>
      </c>
      <c r="G9" s="432">
        <f>Input!M45</f>
        <v>210</v>
      </c>
      <c r="H9" s="432"/>
      <c r="I9" s="301"/>
      <c r="P9" s="51">
        <v>10</v>
      </c>
      <c r="Q9" s="372"/>
      <c r="S9" s="51">
        <f t="shared" si="3"/>
        <v>94</v>
      </c>
      <c r="T9" s="51">
        <f t="shared" si="10"/>
        <v>2.9077763007581678</v>
      </c>
      <c r="U9" s="61">
        <f t="shared" si="11"/>
        <v>0.125</v>
      </c>
      <c r="V9" s="51">
        <f t="shared" si="12"/>
        <v>5.0000000000000001E-4</v>
      </c>
      <c r="W9" s="51">
        <f t="shared" si="0"/>
        <v>6.9444444444444441E-3</v>
      </c>
      <c r="X9" s="56">
        <f t="shared" si="4"/>
        <v>10</v>
      </c>
      <c r="Y9" s="57">
        <f t="shared" si="1"/>
        <v>22.274226485610466</v>
      </c>
      <c r="AA9" s="57">
        <f t="shared" si="5"/>
        <v>15.349495846461364</v>
      </c>
      <c r="AB9" s="57">
        <f t="shared" si="6"/>
        <v>10</v>
      </c>
      <c r="AC9" s="57">
        <f t="shared" si="7"/>
        <v>6.9247306391491019</v>
      </c>
      <c r="AD9" s="59">
        <f t="shared" si="8"/>
        <v>6.92</v>
      </c>
      <c r="AE9" s="60">
        <f t="shared" si="9"/>
        <v>0</v>
      </c>
      <c r="AF9" s="58">
        <f t="shared" si="2"/>
        <v>0.85999999999999988</v>
      </c>
      <c r="AG9" s="57"/>
      <c r="AH9" s="57"/>
      <c r="AI9" s="57"/>
    </row>
    <row r="10" spans="1:136" s="51" customFormat="1" ht="23.1" customHeight="1">
      <c r="A10" s="317" t="s">
        <v>169</v>
      </c>
      <c r="B10" s="317"/>
      <c r="C10" s="320" t="s">
        <v>217</v>
      </c>
      <c r="D10" s="433">
        <f>Input!M48</f>
        <v>3.6</v>
      </c>
      <c r="E10" s="434"/>
      <c r="F10" s="321" t="s">
        <v>4</v>
      </c>
      <c r="G10" s="435" t="s">
        <v>4</v>
      </c>
      <c r="H10" s="435"/>
      <c r="I10" s="309"/>
      <c r="P10" s="51">
        <v>15</v>
      </c>
      <c r="Q10" s="372"/>
      <c r="S10" s="51">
        <f t="shared" si="3"/>
        <v>94</v>
      </c>
      <c r="T10" s="51">
        <f t="shared" si="10"/>
        <v>2.9077763007581678</v>
      </c>
      <c r="U10" s="61">
        <f t="shared" si="11"/>
        <v>0.125</v>
      </c>
      <c r="V10" s="51">
        <f t="shared" si="12"/>
        <v>5.0000000000000001E-4</v>
      </c>
      <c r="W10" s="51">
        <f t="shared" si="0"/>
        <v>1.0416666666666666E-2</v>
      </c>
      <c r="X10" s="56">
        <f t="shared" si="4"/>
        <v>15</v>
      </c>
      <c r="Y10" s="57">
        <f t="shared" si="1"/>
        <v>23.316118313586394</v>
      </c>
      <c r="AA10" s="57">
        <f t="shared" si="5"/>
        <v>15.349495846461364</v>
      </c>
      <c r="AB10" s="57">
        <f t="shared" si="6"/>
        <v>15</v>
      </c>
      <c r="AC10" s="57">
        <f t="shared" si="7"/>
        <v>7.9666224671250294</v>
      </c>
      <c r="AD10" s="59">
        <f t="shared" si="8"/>
        <v>7.96</v>
      </c>
      <c r="AE10" s="60">
        <f t="shared" si="9"/>
        <v>0</v>
      </c>
      <c r="AF10" s="58">
        <f t="shared" si="2"/>
        <v>0.86999999999999988</v>
      </c>
      <c r="AG10" s="57"/>
      <c r="AH10" s="57"/>
      <c r="AI10" s="57"/>
    </row>
    <row r="11" spans="1:136" s="51" customFormat="1" ht="23.1" customHeight="1">
      <c r="A11" s="301" t="s">
        <v>170</v>
      </c>
      <c r="B11" s="322" t="s">
        <v>171</v>
      </c>
      <c r="C11" s="320" t="s">
        <v>172</v>
      </c>
      <c r="D11" s="436" t="s">
        <v>173</v>
      </c>
      <c r="E11" s="436"/>
      <c r="F11" s="322" t="s">
        <v>174</v>
      </c>
      <c r="G11" s="437" t="s">
        <v>175</v>
      </c>
      <c r="H11" s="437"/>
      <c r="I11" s="301" t="s">
        <v>176</v>
      </c>
      <c r="J11" s="63">
        <f>G12-J13</f>
        <v>0.12000000000000011</v>
      </c>
      <c r="P11" s="51">
        <v>20</v>
      </c>
      <c r="Q11" s="372"/>
      <c r="S11" s="51">
        <f t="shared" si="3"/>
        <v>94</v>
      </c>
      <c r="T11" s="51">
        <f t="shared" si="10"/>
        <v>2.9077763007581678</v>
      </c>
      <c r="U11" s="61">
        <f t="shared" si="11"/>
        <v>0.125</v>
      </c>
      <c r="V11" s="51">
        <f t="shared" si="12"/>
        <v>5.0000000000000001E-4</v>
      </c>
      <c r="W11" s="51">
        <f t="shared" si="0"/>
        <v>1.3888888888888888E-2</v>
      </c>
      <c r="X11" s="56">
        <f t="shared" si="4"/>
        <v>20</v>
      </c>
      <c r="Y11" s="57">
        <f t="shared" si="1"/>
        <v>24.055352329902124</v>
      </c>
      <c r="AA11" s="57">
        <f t="shared" si="5"/>
        <v>15.349495846461364</v>
      </c>
      <c r="AB11" s="57">
        <f t="shared" si="6"/>
        <v>20</v>
      </c>
      <c r="AC11" s="57">
        <f t="shared" si="7"/>
        <v>8.7058564834407601</v>
      </c>
      <c r="AD11" s="59">
        <f t="shared" si="8"/>
        <v>8.6999999999999993</v>
      </c>
      <c r="AE11" s="60">
        <f t="shared" si="9"/>
        <v>0</v>
      </c>
      <c r="AF11" s="58">
        <f t="shared" si="2"/>
        <v>0.87999999999999989</v>
      </c>
      <c r="AG11" s="57"/>
      <c r="AH11" s="57"/>
      <c r="AI11" s="57"/>
    </row>
    <row r="12" spans="1:136" s="51" customFormat="1" ht="23.1" customHeight="1">
      <c r="A12" s="323">
        <v>1</v>
      </c>
      <c r="B12" s="324">
        <f>Input!D20</f>
        <v>94</v>
      </c>
      <c r="C12" s="325">
        <v>44992.479166666664</v>
      </c>
      <c r="D12" s="425">
        <v>1</v>
      </c>
      <c r="E12" s="425"/>
      <c r="F12" s="326">
        <f>G12+$D$10</f>
        <v>5.05</v>
      </c>
      <c r="G12" s="426">
        <f>AD4</f>
        <v>1.45</v>
      </c>
      <c r="H12" s="426"/>
      <c r="I12" s="301" t="s">
        <v>177</v>
      </c>
      <c r="J12" s="64"/>
      <c r="P12" s="51">
        <v>25</v>
      </c>
      <c r="Q12" s="372"/>
      <c r="S12" s="51">
        <f t="shared" si="3"/>
        <v>94</v>
      </c>
      <c r="T12" s="51">
        <f t="shared" si="10"/>
        <v>2.9077763007581678</v>
      </c>
      <c r="U12" s="61">
        <f t="shared" si="11"/>
        <v>0.125</v>
      </c>
      <c r="V12" s="51">
        <f t="shared" si="12"/>
        <v>5.0000000000000001E-4</v>
      </c>
      <c r="W12" s="51">
        <f t="shared" si="0"/>
        <v>1.7361111111111112E-2</v>
      </c>
      <c r="X12" s="56">
        <f t="shared" si="4"/>
        <v>25</v>
      </c>
      <c r="Y12" s="57">
        <f t="shared" si="1"/>
        <v>24.628746779709584</v>
      </c>
      <c r="AA12" s="57">
        <f t="shared" si="5"/>
        <v>15.349495846461364</v>
      </c>
      <c r="AB12" s="57">
        <f t="shared" si="6"/>
        <v>25</v>
      </c>
      <c r="AC12" s="57">
        <f t="shared" si="7"/>
        <v>9.2792509332482194</v>
      </c>
      <c r="AD12" s="59">
        <f t="shared" si="8"/>
        <v>9.27</v>
      </c>
      <c r="AE12" s="60">
        <f t="shared" si="9"/>
        <v>0</v>
      </c>
      <c r="AF12" s="58">
        <f t="shared" si="2"/>
        <v>0.8899999999999999</v>
      </c>
      <c r="AG12" s="57"/>
      <c r="AH12" s="57"/>
      <c r="AI12" s="57"/>
      <c r="EF12" s="51">
        <v>2.46</v>
      </c>
    </row>
    <row r="13" spans="1:136" s="51" customFormat="1" ht="23.1" customHeight="1">
      <c r="A13" s="323"/>
      <c r="B13" s="323"/>
      <c r="C13" s="325"/>
      <c r="D13" s="425">
        <v>2</v>
      </c>
      <c r="E13" s="425"/>
      <c r="F13" s="326">
        <f t="shared" ref="F13:F51" si="13">G13+$D$10</f>
        <v>6.38</v>
      </c>
      <c r="G13" s="426">
        <f t="shared" ref="G13:G51" si="14">AD5</f>
        <v>2.78</v>
      </c>
      <c r="H13" s="426"/>
      <c r="I13" s="327"/>
      <c r="J13" s="328">
        <f>G13-G12</f>
        <v>1.3299999999999998</v>
      </c>
      <c r="P13" s="51">
        <v>30</v>
      </c>
      <c r="Q13" s="372"/>
      <c r="S13" s="51">
        <f t="shared" si="3"/>
        <v>94</v>
      </c>
      <c r="T13" s="51">
        <f t="shared" si="10"/>
        <v>2.9077763007581678</v>
      </c>
      <c r="U13" s="61">
        <f t="shared" si="11"/>
        <v>0.125</v>
      </c>
      <c r="V13" s="51">
        <f t="shared" si="12"/>
        <v>5.0000000000000001E-4</v>
      </c>
      <c r="W13" s="51">
        <f t="shared" si="0"/>
        <v>2.0833333333333332E-2</v>
      </c>
      <c r="X13" s="56">
        <f t="shared" si="4"/>
        <v>30</v>
      </c>
      <c r="Y13" s="57">
        <f t="shared" si="1"/>
        <v>25.097244157878048</v>
      </c>
      <c r="AA13" s="57">
        <f t="shared" si="5"/>
        <v>15.349495846461364</v>
      </c>
      <c r="AB13" s="57">
        <f t="shared" si="6"/>
        <v>30</v>
      </c>
      <c r="AC13" s="57">
        <f t="shared" si="7"/>
        <v>9.7477483114166841</v>
      </c>
      <c r="AD13" s="59">
        <f t="shared" si="8"/>
        <v>9.74</v>
      </c>
      <c r="AE13" s="60">
        <f t="shared" si="9"/>
        <v>0</v>
      </c>
      <c r="AF13" s="58">
        <f t="shared" si="2"/>
        <v>0.89999999999999991</v>
      </c>
      <c r="AG13" s="57"/>
      <c r="AH13" s="57"/>
      <c r="AI13" s="57"/>
      <c r="EF13" s="51">
        <v>3.77</v>
      </c>
    </row>
    <row r="14" spans="1:136" s="51" customFormat="1" ht="23.1" customHeight="1">
      <c r="A14" s="323"/>
      <c r="B14" s="323"/>
      <c r="C14" s="325"/>
      <c r="D14" s="425">
        <v>3</v>
      </c>
      <c r="E14" s="425"/>
      <c r="F14" s="326">
        <f t="shared" si="13"/>
        <v>7.43</v>
      </c>
      <c r="G14" s="426">
        <f t="shared" si="14"/>
        <v>3.83</v>
      </c>
      <c r="H14" s="426"/>
      <c r="I14" s="327"/>
      <c r="J14" s="328">
        <f t="shared" ref="J14:J51" si="15">G14-G13</f>
        <v>1.0500000000000003</v>
      </c>
      <c r="Q14" s="372"/>
      <c r="S14" s="51">
        <f t="shared" si="3"/>
        <v>94</v>
      </c>
      <c r="T14" s="51">
        <f t="shared" si="10"/>
        <v>2.9077763007581678</v>
      </c>
      <c r="U14" s="61">
        <f t="shared" si="11"/>
        <v>0.125</v>
      </c>
      <c r="V14" s="51">
        <f t="shared" si="12"/>
        <v>5.0000000000000001E-4</v>
      </c>
      <c r="W14" s="51">
        <f t="shared" si="0"/>
        <v>2.4305555555555556E-2</v>
      </c>
      <c r="X14" s="56">
        <f t="shared" si="4"/>
        <v>35</v>
      </c>
      <c r="Y14" s="57">
        <f t="shared" si="1"/>
        <v>25.493353047094999</v>
      </c>
      <c r="AA14" s="57">
        <f t="shared" si="5"/>
        <v>15.349495846461364</v>
      </c>
      <c r="AB14" s="57">
        <f t="shared" si="6"/>
        <v>35</v>
      </c>
      <c r="AC14" s="57">
        <f t="shared" si="7"/>
        <v>10.143857200633635</v>
      </c>
      <c r="AD14" s="59">
        <f t="shared" si="8"/>
        <v>10.14</v>
      </c>
      <c r="AE14" s="60">
        <f t="shared" si="9"/>
        <v>0</v>
      </c>
      <c r="AF14" s="58">
        <f t="shared" si="2"/>
        <v>0.90999999999999992</v>
      </c>
      <c r="AG14" s="57"/>
      <c r="AH14" s="57"/>
      <c r="AI14" s="57"/>
      <c r="EF14" s="51">
        <v>4.87</v>
      </c>
    </row>
    <row r="15" spans="1:136" s="51" customFormat="1" ht="23.1" customHeight="1">
      <c r="A15" s="323"/>
      <c r="B15" s="323"/>
      <c r="C15" s="325"/>
      <c r="D15" s="425">
        <v>4</v>
      </c>
      <c r="E15" s="425"/>
      <c r="F15" s="326">
        <f t="shared" si="13"/>
        <v>8.17</v>
      </c>
      <c r="G15" s="426">
        <f t="shared" si="14"/>
        <v>4.57</v>
      </c>
      <c r="H15" s="426"/>
      <c r="I15" s="327"/>
      <c r="J15" s="328">
        <f t="shared" si="15"/>
        <v>0.74000000000000021</v>
      </c>
      <c r="Q15" s="372"/>
      <c r="S15" s="51">
        <f t="shared" si="3"/>
        <v>94</v>
      </c>
      <c r="T15" s="51">
        <f t="shared" si="10"/>
        <v>2.9077763007581678</v>
      </c>
      <c r="U15" s="61">
        <f t="shared" si="11"/>
        <v>0.125</v>
      </c>
      <c r="V15" s="51">
        <f t="shared" si="12"/>
        <v>5.0000000000000001E-4</v>
      </c>
      <c r="W15" s="51">
        <f t="shared" si="0"/>
        <v>2.7777777777777776E-2</v>
      </c>
      <c r="X15" s="56">
        <f t="shared" si="4"/>
        <v>40</v>
      </c>
      <c r="Y15" s="57">
        <f t="shared" si="1"/>
        <v>25.836478174193783</v>
      </c>
      <c r="AA15" s="57">
        <f t="shared" si="5"/>
        <v>15.349495846461364</v>
      </c>
      <c r="AB15" s="57">
        <f t="shared" si="6"/>
        <v>40</v>
      </c>
      <c r="AC15" s="57">
        <f t="shared" si="7"/>
        <v>10.486982327732418</v>
      </c>
      <c r="AD15" s="59">
        <f t="shared" si="8"/>
        <v>10.48</v>
      </c>
      <c r="AE15" s="60">
        <f t="shared" si="9"/>
        <v>0</v>
      </c>
      <c r="AF15" s="58">
        <f t="shared" si="2"/>
        <v>0.91999999999999993</v>
      </c>
      <c r="AG15" s="57"/>
      <c r="AH15" s="57"/>
      <c r="AI15" s="57"/>
      <c r="EF15" s="51">
        <v>5.79</v>
      </c>
    </row>
    <row r="16" spans="1:136" s="51" customFormat="1" ht="23.1" customHeight="1">
      <c r="A16" s="323"/>
      <c r="B16" s="323"/>
      <c r="C16" s="325"/>
      <c r="D16" s="425">
        <v>5</v>
      </c>
      <c r="E16" s="425"/>
      <c r="F16" s="326">
        <f t="shared" si="13"/>
        <v>8.74</v>
      </c>
      <c r="G16" s="426">
        <f t="shared" si="14"/>
        <v>5.14</v>
      </c>
      <c r="H16" s="426"/>
      <c r="I16" s="327"/>
      <c r="J16" s="328">
        <f t="shared" si="15"/>
        <v>0.5699999999999994</v>
      </c>
      <c r="K16" s="387" t="s">
        <v>247</v>
      </c>
      <c r="L16" s="388" t="s">
        <v>178</v>
      </c>
      <c r="M16" s="388" t="s">
        <v>179</v>
      </c>
      <c r="N16" s="388" t="s">
        <v>245</v>
      </c>
      <c r="O16" s="388" t="s">
        <v>246</v>
      </c>
      <c r="P16" s="388" t="s">
        <v>248</v>
      </c>
      <c r="S16" s="51">
        <f t="shared" si="3"/>
        <v>94</v>
      </c>
      <c r="T16" s="51">
        <f t="shared" si="10"/>
        <v>2.9077763007581678</v>
      </c>
      <c r="U16" s="61">
        <f t="shared" si="11"/>
        <v>0.125</v>
      </c>
      <c r="V16" s="51">
        <f t="shared" si="12"/>
        <v>5.0000000000000001E-4</v>
      </c>
      <c r="W16" s="51">
        <f t="shared" si="0"/>
        <v>3.125E-2</v>
      </c>
      <c r="X16" s="56">
        <f t="shared" si="4"/>
        <v>45</v>
      </c>
      <c r="Y16" s="57">
        <f t="shared" si="1"/>
        <v>26.139135985853979</v>
      </c>
      <c r="AA16" s="57">
        <f t="shared" si="5"/>
        <v>15.349495846461364</v>
      </c>
      <c r="AB16" s="57">
        <f t="shared" si="6"/>
        <v>45</v>
      </c>
      <c r="AC16" s="57">
        <f t="shared" si="7"/>
        <v>10.789640139392615</v>
      </c>
      <c r="AD16" s="59">
        <f t="shared" si="8"/>
        <v>10.78</v>
      </c>
      <c r="AE16" s="60">
        <f t="shared" si="9"/>
        <v>0</v>
      </c>
      <c r="AF16" s="58">
        <f t="shared" si="2"/>
        <v>0.92999999999999994</v>
      </c>
      <c r="AG16" s="57"/>
      <c r="AH16" s="57"/>
      <c r="AI16" s="57"/>
      <c r="EF16" s="51">
        <v>6.75</v>
      </c>
    </row>
    <row r="17" spans="1:136" s="51" customFormat="1" ht="23.1" customHeight="1">
      <c r="A17" s="323"/>
      <c r="B17" s="323"/>
      <c r="C17" s="325"/>
      <c r="D17" s="425">
        <v>10</v>
      </c>
      <c r="E17" s="425"/>
      <c r="F17" s="326">
        <f t="shared" si="13"/>
        <v>10.52</v>
      </c>
      <c r="G17" s="426">
        <f t="shared" si="14"/>
        <v>6.92</v>
      </c>
      <c r="H17" s="426"/>
      <c r="I17" s="327"/>
      <c r="J17" s="328">
        <f t="shared" si="15"/>
        <v>1.7800000000000002</v>
      </c>
      <c r="K17" s="373">
        <f>D12</f>
        <v>1</v>
      </c>
      <c r="L17" s="374">
        <f>INT(B12/1440*10000)/10000</f>
        <v>6.5199999999999994E-2</v>
      </c>
      <c r="M17" s="374">
        <f>K17*L17</f>
        <v>6.5199999999999994E-2</v>
      </c>
      <c r="N17" s="374">
        <f>INT((D9/2000)^2*3.14159*100000)/100000</f>
        <v>4.9079999999999999E-2</v>
      </c>
      <c r="O17" s="374">
        <f>INT(M17/N17*100)/100</f>
        <v>1.32</v>
      </c>
      <c r="P17" s="375">
        <f>INT((G12-O17)*100)/100</f>
        <v>0.13</v>
      </c>
      <c r="S17" s="51">
        <f t="shared" si="3"/>
        <v>94</v>
      </c>
      <c r="T17" s="51">
        <f t="shared" si="10"/>
        <v>2.9077763007581678</v>
      </c>
      <c r="U17" s="61">
        <f t="shared" si="11"/>
        <v>0.125</v>
      </c>
      <c r="V17" s="51">
        <f t="shared" si="12"/>
        <v>5.0000000000000001E-4</v>
      </c>
      <c r="W17" s="51">
        <f t="shared" si="0"/>
        <v>3.4722222222222224E-2</v>
      </c>
      <c r="X17" s="56">
        <f t="shared" si="4"/>
        <v>50</v>
      </c>
      <c r="Y17" s="57">
        <f t="shared" si="1"/>
        <v>26.409872624001238</v>
      </c>
      <c r="AA17" s="57">
        <f t="shared" si="5"/>
        <v>15.349495846461364</v>
      </c>
      <c r="AB17" s="57">
        <f t="shared" si="6"/>
        <v>50</v>
      </c>
      <c r="AC17" s="57">
        <f t="shared" si="7"/>
        <v>11.060376777539874</v>
      </c>
      <c r="AD17" s="59">
        <f t="shared" ref="AD17:AD22" si="16">INT(AC17*100)/100</f>
        <v>11.06</v>
      </c>
      <c r="AF17" s="58">
        <f t="shared" si="2"/>
        <v>0.94</v>
      </c>
      <c r="AG17" s="57"/>
      <c r="AH17" s="57"/>
      <c r="AI17" s="57"/>
      <c r="EF17" s="51">
        <v>7.73</v>
      </c>
    </row>
    <row r="18" spans="1:136" s="51" customFormat="1" ht="23.1" customHeight="1">
      <c r="A18" s="323"/>
      <c r="B18" s="323"/>
      <c r="C18" s="325"/>
      <c r="D18" s="425">
        <v>15</v>
      </c>
      <c r="E18" s="425"/>
      <c r="F18" s="326">
        <f t="shared" si="13"/>
        <v>11.56</v>
      </c>
      <c r="G18" s="426">
        <f t="shared" si="14"/>
        <v>7.96</v>
      </c>
      <c r="H18" s="426"/>
      <c r="I18" s="327"/>
      <c r="J18" s="328">
        <f t="shared" si="15"/>
        <v>1.04</v>
      </c>
      <c r="K18" s="373">
        <f>D13</f>
        <v>2</v>
      </c>
      <c r="L18" s="374">
        <f>L17</f>
        <v>6.5199999999999994E-2</v>
      </c>
      <c r="M18" s="374">
        <f t="shared" ref="M18:M32" si="17">K18*L18</f>
        <v>0.13039999999999999</v>
      </c>
      <c r="N18" s="374">
        <f>N17</f>
        <v>4.9079999999999999E-2</v>
      </c>
      <c r="O18" s="374">
        <f>INT(M18/N18*100)/100</f>
        <v>2.65</v>
      </c>
      <c r="P18" s="375">
        <f>INT((G13-O18)*100*0.98)/100</f>
        <v>0.12</v>
      </c>
      <c r="S18" s="51">
        <f t="shared" si="3"/>
        <v>94</v>
      </c>
      <c r="T18" s="51">
        <f t="shared" si="10"/>
        <v>2.9077763007581678</v>
      </c>
      <c r="U18" s="61">
        <f t="shared" si="11"/>
        <v>0.125</v>
      </c>
      <c r="V18" s="51">
        <f t="shared" si="12"/>
        <v>5.0000000000000001E-4</v>
      </c>
      <c r="W18" s="51">
        <f t="shared" si="0"/>
        <v>3.8194444444444448E-2</v>
      </c>
      <c r="X18" s="56">
        <f t="shared" si="4"/>
        <v>55</v>
      </c>
      <c r="Y18" s="57">
        <f t="shared" si="1"/>
        <v>26.654783703833417</v>
      </c>
      <c r="AA18" s="57">
        <f t="shared" si="5"/>
        <v>15.349495846461364</v>
      </c>
      <c r="AB18" s="57">
        <f t="shared" si="6"/>
        <v>55</v>
      </c>
      <c r="AC18" s="57">
        <f t="shared" si="7"/>
        <v>11.305287857372052</v>
      </c>
      <c r="AD18" s="59">
        <f t="shared" si="16"/>
        <v>11.3</v>
      </c>
      <c r="AF18" s="58">
        <f t="shared" si="2"/>
        <v>0.95</v>
      </c>
      <c r="AG18" s="57"/>
      <c r="AH18" s="57"/>
      <c r="AI18" s="57"/>
      <c r="EF18" s="51">
        <v>8.74</v>
      </c>
    </row>
    <row r="19" spans="1:136" s="51" customFormat="1" ht="23.1" customHeight="1">
      <c r="A19" s="323"/>
      <c r="B19" s="323"/>
      <c r="C19" s="325"/>
      <c r="D19" s="425">
        <v>20</v>
      </c>
      <c r="E19" s="425"/>
      <c r="F19" s="326">
        <f t="shared" si="13"/>
        <v>12.299999999999999</v>
      </c>
      <c r="G19" s="426">
        <f t="shared" si="14"/>
        <v>8.6999999999999993</v>
      </c>
      <c r="H19" s="426"/>
      <c r="I19" s="327"/>
      <c r="J19" s="328">
        <f t="shared" si="15"/>
        <v>0.73999999999999932</v>
      </c>
      <c r="K19" s="373">
        <f t="shared" ref="K19:K32" si="18">D14</f>
        <v>3</v>
      </c>
      <c r="L19" s="374">
        <f>L18</f>
        <v>6.5199999999999994E-2</v>
      </c>
      <c r="M19" s="374">
        <f t="shared" si="17"/>
        <v>0.1956</v>
      </c>
      <c r="N19" s="374">
        <f t="shared" ref="N19:N32" si="19">N18</f>
        <v>4.9079999999999999E-2</v>
      </c>
      <c r="O19" s="374">
        <f>INT(M19/N19*100)/100</f>
        <v>3.98</v>
      </c>
      <c r="P19" s="375">
        <f>INT((G14-O19)*100*0.95)/100</f>
        <v>-0.15</v>
      </c>
      <c r="S19" s="51">
        <f t="shared" si="3"/>
        <v>94</v>
      </c>
      <c r="T19" s="51">
        <f t="shared" si="10"/>
        <v>2.9077763007581678</v>
      </c>
      <c r="U19" s="61">
        <f t="shared" si="11"/>
        <v>0.125</v>
      </c>
      <c r="V19" s="51">
        <f t="shared" si="12"/>
        <v>5.0000000000000001E-4</v>
      </c>
      <c r="W19" s="51">
        <f t="shared" si="0"/>
        <v>4.1666666666666664E-2</v>
      </c>
      <c r="X19" s="56">
        <f t="shared" si="4"/>
        <v>60</v>
      </c>
      <c r="Y19" s="57">
        <f t="shared" si="1"/>
        <v>26.878370002169707</v>
      </c>
      <c r="AA19" s="57">
        <f t="shared" si="5"/>
        <v>15.349495846461364</v>
      </c>
      <c r="AB19" s="57">
        <f t="shared" si="6"/>
        <v>60</v>
      </c>
      <c r="AC19" s="57">
        <f t="shared" si="7"/>
        <v>11.528874155708342</v>
      </c>
      <c r="AD19" s="59">
        <f t="shared" si="16"/>
        <v>11.52</v>
      </c>
      <c r="AF19" s="58">
        <f t="shared" si="2"/>
        <v>0.96</v>
      </c>
      <c r="AG19" s="57"/>
      <c r="AH19" s="57"/>
      <c r="AI19" s="57"/>
      <c r="EF19" s="51">
        <v>9.7799999999999994</v>
      </c>
    </row>
    <row r="20" spans="1:136" s="51" customFormat="1" ht="23.1" customHeight="1">
      <c r="A20" s="323"/>
      <c r="B20" s="323"/>
      <c r="C20" s="325"/>
      <c r="D20" s="425">
        <v>25</v>
      </c>
      <c r="E20" s="425"/>
      <c r="F20" s="326">
        <f t="shared" si="13"/>
        <v>12.87</v>
      </c>
      <c r="G20" s="426">
        <f t="shared" si="14"/>
        <v>9.27</v>
      </c>
      <c r="H20" s="426"/>
      <c r="I20" s="327"/>
      <c r="J20" s="328">
        <f t="shared" si="15"/>
        <v>0.57000000000000028</v>
      </c>
      <c r="K20" s="373">
        <f t="shared" si="18"/>
        <v>4</v>
      </c>
      <c r="L20" s="374">
        <f>L19</f>
        <v>6.5199999999999994E-2</v>
      </c>
      <c r="M20" s="374">
        <f t="shared" si="17"/>
        <v>0.26079999999999998</v>
      </c>
      <c r="N20" s="374">
        <f t="shared" si="19"/>
        <v>4.9079999999999999E-2</v>
      </c>
      <c r="O20" s="374">
        <f>INT(M20/N20*100)/100</f>
        <v>5.31</v>
      </c>
      <c r="P20" s="375">
        <f>INT((G15-O20)*100*0.91)/100</f>
        <v>-0.68</v>
      </c>
      <c r="S20" s="51">
        <f t="shared" si="3"/>
        <v>94</v>
      </c>
      <c r="T20" s="51">
        <f t="shared" si="10"/>
        <v>2.9077763007581678</v>
      </c>
      <c r="U20" s="61">
        <f t="shared" si="11"/>
        <v>0.125</v>
      </c>
      <c r="V20" s="51">
        <f t="shared" si="12"/>
        <v>5.0000000000000001E-4</v>
      </c>
      <c r="W20" s="51">
        <f t="shared" si="0"/>
        <v>5.2083333333333336E-2</v>
      </c>
      <c r="X20" s="56">
        <f t="shared" si="4"/>
        <v>75</v>
      </c>
      <c r="Y20" s="57">
        <f t="shared" si="1"/>
        <v>27.451764451977169</v>
      </c>
      <c r="AA20" s="57">
        <f t="shared" si="5"/>
        <v>15.349495846461364</v>
      </c>
      <c r="AB20" s="57">
        <f t="shared" si="6"/>
        <v>75</v>
      </c>
      <c r="AC20" s="57">
        <f t="shared" si="7"/>
        <v>12.102268605515805</v>
      </c>
      <c r="AD20" s="59">
        <f t="shared" si="16"/>
        <v>12.1</v>
      </c>
      <c r="AF20" s="58">
        <f t="shared" si="2"/>
        <v>0.97</v>
      </c>
      <c r="AG20" s="57"/>
      <c r="AH20" s="57"/>
      <c r="AI20" s="57"/>
      <c r="EF20" s="51">
        <v>10</v>
      </c>
    </row>
    <row r="21" spans="1:136" s="51" customFormat="1" ht="23.1" customHeight="1">
      <c r="A21" s="323"/>
      <c r="B21" s="323"/>
      <c r="C21" s="325"/>
      <c r="D21" s="425">
        <v>30</v>
      </c>
      <c r="E21" s="425"/>
      <c r="F21" s="326">
        <f t="shared" si="13"/>
        <v>13.34</v>
      </c>
      <c r="G21" s="426">
        <f t="shared" si="14"/>
        <v>9.74</v>
      </c>
      <c r="H21" s="426"/>
      <c r="I21" s="327"/>
      <c r="J21" s="328">
        <f t="shared" si="15"/>
        <v>0.47000000000000064</v>
      </c>
      <c r="K21" s="373">
        <f t="shared" si="18"/>
        <v>5</v>
      </c>
      <c r="L21" s="373">
        <f>L20</f>
        <v>6.5199999999999994E-2</v>
      </c>
      <c r="M21" s="374">
        <f t="shared" si="17"/>
        <v>0.32599999999999996</v>
      </c>
      <c r="N21" s="374">
        <f t="shared" si="19"/>
        <v>4.9079999999999999E-2</v>
      </c>
      <c r="O21" s="373">
        <f>INT(M21/N21*100)/100</f>
        <v>6.64</v>
      </c>
      <c r="P21" s="375">
        <f>INT((G16-O21)*100*0.86)/100</f>
        <v>-1.29</v>
      </c>
      <c r="S21" s="51">
        <f t="shared" si="3"/>
        <v>94</v>
      </c>
      <c r="T21" s="51">
        <f t="shared" si="10"/>
        <v>2.9077763007581678</v>
      </c>
      <c r="U21" s="61">
        <f t="shared" si="11"/>
        <v>0.125</v>
      </c>
      <c r="V21" s="51">
        <f t="shared" si="12"/>
        <v>5.0000000000000001E-4</v>
      </c>
      <c r="W21" s="51">
        <f t="shared" si="0"/>
        <v>6.25E-2</v>
      </c>
      <c r="X21" s="56">
        <f t="shared" si="4"/>
        <v>90</v>
      </c>
      <c r="Y21" s="57">
        <f t="shared" si="1"/>
        <v>27.920261830145634</v>
      </c>
      <c r="AA21" s="57">
        <f t="shared" si="5"/>
        <v>15.349495846461364</v>
      </c>
      <c r="AB21" s="57">
        <f t="shared" si="6"/>
        <v>90</v>
      </c>
      <c r="AC21" s="57">
        <f t="shared" si="7"/>
        <v>12.57076598368427</v>
      </c>
      <c r="AD21" s="59">
        <f t="shared" si="16"/>
        <v>12.57</v>
      </c>
      <c r="AF21" s="58">
        <f t="shared" si="2"/>
        <v>0.98</v>
      </c>
      <c r="AG21" s="57"/>
      <c r="AH21" s="57"/>
      <c r="AI21" s="57"/>
      <c r="EF21" s="51">
        <v>10.16</v>
      </c>
    </row>
    <row r="22" spans="1:136" s="51" customFormat="1" ht="23.1" customHeight="1">
      <c r="A22" s="323"/>
      <c r="B22" s="323"/>
      <c r="C22" s="325"/>
      <c r="D22" s="425">
        <v>35</v>
      </c>
      <c r="E22" s="425"/>
      <c r="F22" s="326">
        <f t="shared" si="13"/>
        <v>13.74</v>
      </c>
      <c r="G22" s="426">
        <f t="shared" si="14"/>
        <v>10.14</v>
      </c>
      <c r="H22" s="426"/>
      <c r="I22" s="301"/>
      <c r="J22" s="328">
        <f t="shared" si="15"/>
        <v>0.40000000000000036</v>
      </c>
      <c r="K22" s="373">
        <f t="shared" si="18"/>
        <v>10</v>
      </c>
      <c r="L22" s="373">
        <f t="shared" ref="L22:L32" si="20">L21</f>
        <v>6.5199999999999994E-2</v>
      </c>
      <c r="M22" s="374">
        <f t="shared" si="17"/>
        <v>0.65199999999999991</v>
      </c>
      <c r="N22" s="374">
        <f t="shared" si="19"/>
        <v>4.9079999999999999E-2</v>
      </c>
      <c r="O22" s="373">
        <f t="shared" ref="O22:O30" si="21">INT(M22/N22*100)/100</f>
        <v>13.28</v>
      </c>
      <c r="P22" s="375">
        <f>INT((G17-O22)*100*0.8)/100</f>
        <v>-5.09</v>
      </c>
      <c r="S22" s="51">
        <f t="shared" si="3"/>
        <v>94</v>
      </c>
      <c r="T22" s="51">
        <f t="shared" si="10"/>
        <v>2.9077763007581678</v>
      </c>
      <c r="U22" s="61">
        <f t="shared" si="11"/>
        <v>0.125</v>
      </c>
      <c r="V22" s="51">
        <f t="shared" si="12"/>
        <v>5.0000000000000001E-4</v>
      </c>
      <c r="W22" s="51">
        <f t="shared" si="0"/>
        <v>7.2916666666666671E-2</v>
      </c>
      <c r="X22" s="56">
        <f t="shared" si="4"/>
        <v>105</v>
      </c>
      <c r="Y22" s="57">
        <f t="shared" si="1"/>
        <v>28.316370719362588</v>
      </c>
      <c r="Z22" s="57">
        <f>Y23-Z23</f>
        <v>15.349495846461364</v>
      </c>
      <c r="AA22" s="57">
        <f t="shared" si="5"/>
        <v>15.349495846461364</v>
      </c>
      <c r="AB22" s="57">
        <f t="shared" si="6"/>
        <v>105</v>
      </c>
      <c r="AC22" s="57">
        <f t="shared" si="7"/>
        <v>12.966874872901224</v>
      </c>
      <c r="AD22" s="59">
        <f t="shared" si="16"/>
        <v>12.96</v>
      </c>
      <c r="AF22" s="58">
        <f>AF23-0.01</f>
        <v>0.99</v>
      </c>
      <c r="AG22" s="57"/>
      <c r="AH22" s="57"/>
      <c r="AI22" s="57"/>
      <c r="EF22" s="51">
        <v>10.02</v>
      </c>
    </row>
    <row r="23" spans="1:136" s="51" customFormat="1" ht="23.1" customHeight="1">
      <c r="A23" s="323"/>
      <c r="B23" s="323"/>
      <c r="C23" s="325"/>
      <c r="D23" s="425">
        <v>40</v>
      </c>
      <c r="E23" s="425"/>
      <c r="F23" s="326">
        <f t="shared" si="13"/>
        <v>14.08</v>
      </c>
      <c r="G23" s="426">
        <f t="shared" si="14"/>
        <v>10.48</v>
      </c>
      <c r="H23" s="426"/>
      <c r="I23" s="301"/>
      <c r="J23" s="328">
        <f t="shared" si="15"/>
        <v>0.33999999999999986</v>
      </c>
      <c r="K23" s="373">
        <f t="shared" si="18"/>
        <v>15</v>
      </c>
      <c r="L23" s="373">
        <f t="shared" si="20"/>
        <v>6.5199999999999994E-2</v>
      </c>
      <c r="M23" s="374">
        <f t="shared" si="17"/>
        <v>0.97799999999999987</v>
      </c>
      <c r="N23" s="374">
        <f t="shared" si="19"/>
        <v>4.9079999999999999E-2</v>
      </c>
      <c r="O23" s="373">
        <f t="shared" si="21"/>
        <v>19.920000000000002</v>
      </c>
      <c r="P23" s="375">
        <f t="shared" ref="P23:P32" si="22">INT((G18-O23)*100)/100</f>
        <v>-11.96</v>
      </c>
      <c r="S23" s="51">
        <f t="shared" si="3"/>
        <v>94</v>
      </c>
      <c r="T23" s="51">
        <f t="shared" si="10"/>
        <v>2.9077763007581678</v>
      </c>
      <c r="U23" s="61">
        <f t="shared" si="11"/>
        <v>0.125</v>
      </c>
      <c r="V23" s="51">
        <f t="shared" si="12"/>
        <v>5.0000000000000001E-4</v>
      </c>
      <c r="W23" s="51">
        <f t="shared" si="0"/>
        <v>8.3333333333333329E-2</v>
      </c>
      <c r="X23" s="56">
        <f t="shared" si="4"/>
        <v>120</v>
      </c>
      <c r="Y23" s="57">
        <f t="shared" si="1"/>
        <v>28.659495846461365</v>
      </c>
      <c r="Z23" s="57">
        <f>Input!B20</f>
        <v>13.31</v>
      </c>
      <c r="AA23" s="57">
        <f t="shared" si="5"/>
        <v>15.349495846461364</v>
      </c>
      <c r="AB23" s="57">
        <f t="shared" si="6"/>
        <v>120</v>
      </c>
      <c r="AC23" s="57">
        <f t="shared" si="7"/>
        <v>13.31</v>
      </c>
      <c r="AD23" s="59">
        <f>INT((AC$3+AE23)*100)/100</f>
        <v>13.31</v>
      </c>
      <c r="AE23" s="57">
        <f>AG$23*AF23</f>
        <v>13.31</v>
      </c>
      <c r="AF23" s="57">
        <v>1</v>
      </c>
      <c r="AG23" s="57">
        <f>AC23-AC3</f>
        <v>13.31</v>
      </c>
      <c r="AH23" s="57"/>
      <c r="AI23" s="57"/>
      <c r="EF23" s="51">
        <v>10.02</v>
      </c>
    </row>
    <row r="24" spans="1:136" s="51" customFormat="1" ht="23.1" customHeight="1">
      <c r="A24" s="323"/>
      <c r="B24" s="323"/>
      <c r="C24" s="325"/>
      <c r="D24" s="425">
        <v>45</v>
      </c>
      <c r="E24" s="425"/>
      <c r="F24" s="326">
        <f t="shared" si="13"/>
        <v>14.379999999999999</v>
      </c>
      <c r="G24" s="426">
        <f t="shared" si="14"/>
        <v>10.78</v>
      </c>
      <c r="H24" s="426"/>
      <c r="I24" s="301"/>
      <c r="J24" s="328">
        <f t="shared" si="15"/>
        <v>0.29999999999999893</v>
      </c>
      <c r="K24" s="373">
        <f t="shared" si="18"/>
        <v>20</v>
      </c>
      <c r="L24" s="373">
        <f t="shared" si="20"/>
        <v>6.5199999999999994E-2</v>
      </c>
      <c r="M24" s="374">
        <f t="shared" si="17"/>
        <v>1.3039999999999998</v>
      </c>
      <c r="N24" s="374">
        <f t="shared" si="19"/>
        <v>4.9079999999999999E-2</v>
      </c>
      <c r="O24" s="373">
        <f t="shared" si="21"/>
        <v>26.56</v>
      </c>
      <c r="P24" s="375">
        <f t="shared" si="22"/>
        <v>-17.86</v>
      </c>
      <c r="R24" s="55">
        <f>B32</f>
        <v>120</v>
      </c>
      <c r="S24" s="51">
        <f>$R$24</f>
        <v>120</v>
      </c>
      <c r="T24" s="51">
        <f t="shared" si="10"/>
        <v>2.9077763007581678</v>
      </c>
      <c r="U24" s="61">
        <f t="shared" si="11"/>
        <v>0.125</v>
      </c>
      <c r="V24" s="51">
        <f t="shared" si="12"/>
        <v>5.0000000000000001E-4</v>
      </c>
      <c r="W24" s="51">
        <f t="shared" si="0"/>
        <v>9.0277777777777776E-2</v>
      </c>
      <c r="X24" s="56">
        <f t="shared" si="4"/>
        <v>130</v>
      </c>
      <c r="Y24" s="57">
        <f t="shared" si="1"/>
        <v>36.84915996106583</v>
      </c>
      <c r="Z24" s="57">
        <f>Z27</f>
        <v>21.120368115854927</v>
      </c>
      <c r="AA24" s="57">
        <f>$Z$24</f>
        <v>21.120368115854927</v>
      </c>
      <c r="AB24" s="57">
        <f t="shared" si="6"/>
        <v>130</v>
      </c>
      <c r="AC24" s="57">
        <f t="shared" si="7"/>
        <v>15.728791845210903</v>
      </c>
      <c r="AD24" s="59">
        <f>INT((AC$23+AE24)*100)/100</f>
        <v>15.96</v>
      </c>
      <c r="AE24" s="57">
        <f>AF24*AG$28</f>
        <v>2.6579999999999986</v>
      </c>
      <c r="AF24" s="57">
        <v>0.6</v>
      </c>
      <c r="AG24" s="57"/>
      <c r="AH24" s="57"/>
      <c r="EF24" s="51">
        <v>10.02</v>
      </c>
    </row>
    <row r="25" spans="1:136" s="51" customFormat="1" ht="23.1" customHeight="1">
      <c r="A25" s="323"/>
      <c r="B25" s="323"/>
      <c r="C25" s="325"/>
      <c r="D25" s="425">
        <v>50</v>
      </c>
      <c r="E25" s="425"/>
      <c r="F25" s="326">
        <f t="shared" si="13"/>
        <v>14.66</v>
      </c>
      <c r="G25" s="426">
        <f t="shared" si="14"/>
        <v>11.06</v>
      </c>
      <c r="H25" s="426"/>
      <c r="I25" s="301"/>
      <c r="J25" s="328">
        <f t="shared" si="15"/>
        <v>0.28000000000000114</v>
      </c>
      <c r="K25" s="373">
        <f t="shared" si="18"/>
        <v>25</v>
      </c>
      <c r="L25" s="373">
        <f t="shared" si="20"/>
        <v>6.5199999999999994E-2</v>
      </c>
      <c r="M25" s="374">
        <f t="shared" si="17"/>
        <v>1.63</v>
      </c>
      <c r="N25" s="374">
        <f t="shared" si="19"/>
        <v>4.9079999999999999E-2</v>
      </c>
      <c r="O25" s="373">
        <f t="shared" si="21"/>
        <v>33.21</v>
      </c>
      <c r="P25" s="375">
        <f t="shared" si="22"/>
        <v>-23.94</v>
      </c>
      <c r="S25" s="51">
        <f>$R$24</f>
        <v>120</v>
      </c>
      <c r="T25" s="51">
        <f t="shared" si="10"/>
        <v>2.9077763007581678</v>
      </c>
      <c r="U25" s="61">
        <f t="shared" si="11"/>
        <v>0.125</v>
      </c>
      <c r="V25" s="51">
        <f t="shared" si="12"/>
        <v>5.0000000000000001E-4</v>
      </c>
      <c r="W25" s="51">
        <f t="shared" si="0"/>
        <v>9.7222222222222224E-2</v>
      </c>
      <c r="X25" s="56">
        <f t="shared" si="4"/>
        <v>140</v>
      </c>
      <c r="Y25" s="57">
        <f t="shared" si="1"/>
        <v>37.092261364695723</v>
      </c>
      <c r="AA25" s="57">
        <f>$Z$24</f>
        <v>21.120368115854927</v>
      </c>
      <c r="AB25" s="57">
        <f t="shared" si="6"/>
        <v>140</v>
      </c>
      <c r="AC25" s="57">
        <f t="shared" si="7"/>
        <v>15.971893248840797</v>
      </c>
      <c r="AD25" s="59">
        <f>INT((AC$23+AE25)*100)/100</f>
        <v>16.41</v>
      </c>
      <c r="AE25" s="57">
        <f>AF25*AG$28</f>
        <v>3.1009999999999982</v>
      </c>
      <c r="AF25" s="57">
        <v>0.7</v>
      </c>
      <c r="AG25" s="57"/>
      <c r="AH25" s="57"/>
      <c r="EF25" s="51">
        <v>10.02</v>
      </c>
    </row>
    <row r="26" spans="1:136" s="51" customFormat="1" ht="23.1" customHeight="1">
      <c r="A26" s="323"/>
      <c r="B26" s="323"/>
      <c r="C26" s="325"/>
      <c r="D26" s="425">
        <v>55</v>
      </c>
      <c r="E26" s="425"/>
      <c r="F26" s="326">
        <f t="shared" si="13"/>
        <v>14.9</v>
      </c>
      <c r="G26" s="426">
        <f t="shared" si="14"/>
        <v>11.3</v>
      </c>
      <c r="H26" s="426"/>
      <c r="I26" s="301"/>
      <c r="J26" s="328">
        <f t="shared" si="15"/>
        <v>0.24000000000000021</v>
      </c>
      <c r="K26" s="373">
        <f t="shared" si="18"/>
        <v>30</v>
      </c>
      <c r="L26" s="373">
        <f t="shared" si="20"/>
        <v>6.5199999999999994E-2</v>
      </c>
      <c r="M26" s="374">
        <f t="shared" si="17"/>
        <v>1.9559999999999997</v>
      </c>
      <c r="N26" s="374">
        <f t="shared" si="19"/>
        <v>4.9079999999999999E-2</v>
      </c>
      <c r="O26" s="374">
        <f t="shared" si="21"/>
        <v>39.85</v>
      </c>
      <c r="P26" s="375">
        <f t="shared" si="22"/>
        <v>-30.11</v>
      </c>
      <c r="S26" s="51">
        <f>$R$24</f>
        <v>120</v>
      </c>
      <c r="T26" s="51">
        <f t="shared" si="10"/>
        <v>2.9077763007581678</v>
      </c>
      <c r="U26" s="61">
        <f t="shared" si="11"/>
        <v>0.125</v>
      </c>
      <c r="V26" s="51">
        <f t="shared" si="12"/>
        <v>5.0000000000000001E-4</v>
      </c>
      <c r="W26" s="51">
        <f t="shared" si="0"/>
        <v>0.10416666666666667</v>
      </c>
      <c r="X26" s="56">
        <f t="shared" si="4"/>
        <v>150</v>
      </c>
      <c r="Y26" s="57">
        <f t="shared" si="1"/>
        <v>37.31858335693893</v>
      </c>
      <c r="AA26" s="57">
        <f>$Z$24</f>
        <v>21.120368115854927</v>
      </c>
      <c r="AB26" s="57">
        <f t="shared" si="6"/>
        <v>150</v>
      </c>
      <c r="AC26" s="57">
        <f t="shared" si="7"/>
        <v>16.198215241084004</v>
      </c>
      <c r="AD26" s="59">
        <f>INT((AC$23+AE26)*100)/100</f>
        <v>16.850000000000001</v>
      </c>
      <c r="AE26" s="57">
        <f>AF26*AG$28</f>
        <v>3.5439999999999987</v>
      </c>
      <c r="AF26" s="57">
        <v>0.8</v>
      </c>
      <c r="AG26" s="57"/>
      <c r="AH26" s="57"/>
      <c r="EF26" s="51">
        <v>10.06</v>
      </c>
    </row>
    <row r="27" spans="1:136" s="51" customFormat="1" ht="23.1" customHeight="1">
      <c r="A27" s="323"/>
      <c r="B27" s="323"/>
      <c r="C27" s="325">
        <f>$C$12+D27/1440</f>
        <v>44992.520833333328</v>
      </c>
      <c r="D27" s="425">
        <v>60</v>
      </c>
      <c r="E27" s="425"/>
      <c r="F27" s="326">
        <f t="shared" si="13"/>
        <v>15.12</v>
      </c>
      <c r="G27" s="426">
        <f t="shared" si="14"/>
        <v>11.52</v>
      </c>
      <c r="H27" s="426"/>
      <c r="I27" s="301"/>
      <c r="J27" s="328">
        <f t="shared" si="15"/>
        <v>0.21999999999999886</v>
      </c>
      <c r="K27" s="373">
        <f t="shared" si="18"/>
        <v>35</v>
      </c>
      <c r="L27" s="373">
        <f t="shared" si="20"/>
        <v>6.5199999999999994E-2</v>
      </c>
      <c r="M27" s="374">
        <f t="shared" si="17"/>
        <v>2.2819999999999996</v>
      </c>
      <c r="N27" s="374">
        <f t="shared" si="19"/>
        <v>4.9079999999999999E-2</v>
      </c>
      <c r="O27" s="374">
        <f t="shared" si="21"/>
        <v>46.49</v>
      </c>
      <c r="P27" s="375">
        <f t="shared" si="22"/>
        <v>-36.35</v>
      </c>
      <c r="S27" s="51">
        <f>$R$24</f>
        <v>120</v>
      </c>
      <c r="T27" s="51">
        <f t="shared" si="10"/>
        <v>2.9077763007581678</v>
      </c>
      <c r="U27" s="61">
        <f t="shared" si="11"/>
        <v>0.125</v>
      </c>
      <c r="V27" s="51">
        <f t="shared" si="12"/>
        <v>5.0000000000000001E-4</v>
      </c>
      <c r="W27" s="51">
        <f t="shared" si="0"/>
        <v>0.125</v>
      </c>
      <c r="X27" s="56">
        <f t="shared" si="4"/>
        <v>180</v>
      </c>
      <c r="Y27" s="57">
        <f t="shared" si="1"/>
        <v>37.91666511630293</v>
      </c>
      <c r="Z27" s="57">
        <f>Y28-Z28</f>
        <v>21.120368115854927</v>
      </c>
      <c r="AA27" s="57">
        <f>$Z$24</f>
        <v>21.120368115854927</v>
      </c>
      <c r="AB27" s="57">
        <f t="shared" si="6"/>
        <v>180</v>
      </c>
      <c r="AC27" s="57">
        <f t="shared" si="7"/>
        <v>16.796297000448003</v>
      </c>
      <c r="AD27" s="59">
        <f>INT((AC$23+AE27)*100)/100</f>
        <v>17.29</v>
      </c>
      <c r="AE27" s="57">
        <f>AF27*AG$28</f>
        <v>3.9869999999999983</v>
      </c>
      <c r="AF27" s="57">
        <v>0.9</v>
      </c>
      <c r="AG27" s="57"/>
      <c r="AH27" s="57"/>
      <c r="EF27" s="51">
        <v>10.06</v>
      </c>
    </row>
    <row r="28" spans="1:136" s="51" customFormat="1" ht="23.1" customHeight="1">
      <c r="A28" s="323"/>
      <c r="B28" s="323"/>
      <c r="C28" s="325"/>
      <c r="D28" s="425">
        <v>75</v>
      </c>
      <c r="E28" s="425"/>
      <c r="F28" s="326">
        <f t="shared" si="13"/>
        <v>15.7</v>
      </c>
      <c r="G28" s="426">
        <f t="shared" si="14"/>
        <v>12.1</v>
      </c>
      <c r="H28" s="426"/>
      <c r="I28" s="301"/>
      <c r="J28" s="328">
        <f t="shared" si="15"/>
        <v>0.58000000000000007</v>
      </c>
      <c r="K28" s="373">
        <f t="shared" si="18"/>
        <v>40</v>
      </c>
      <c r="L28" s="373">
        <f t="shared" si="20"/>
        <v>6.5199999999999994E-2</v>
      </c>
      <c r="M28" s="374">
        <f t="shared" si="17"/>
        <v>2.6079999999999997</v>
      </c>
      <c r="N28" s="374">
        <f t="shared" si="19"/>
        <v>4.9079999999999999E-2</v>
      </c>
      <c r="O28" s="374">
        <f t="shared" si="21"/>
        <v>53.13</v>
      </c>
      <c r="P28" s="375">
        <f t="shared" si="22"/>
        <v>-42.65</v>
      </c>
      <c r="S28" s="51">
        <f>$R$24</f>
        <v>120</v>
      </c>
      <c r="T28" s="51">
        <f t="shared" si="10"/>
        <v>2.9077763007581678</v>
      </c>
      <c r="U28" s="61">
        <f t="shared" si="11"/>
        <v>0.125</v>
      </c>
      <c r="V28" s="51">
        <f t="shared" si="12"/>
        <v>5.0000000000000001E-4</v>
      </c>
      <c r="W28" s="51">
        <f t="shared" si="0"/>
        <v>0.16666666666666666</v>
      </c>
      <c r="X28" s="56">
        <f t="shared" si="4"/>
        <v>240</v>
      </c>
      <c r="Y28" s="57">
        <f t="shared" si="1"/>
        <v>38.860368115854925</v>
      </c>
      <c r="Z28" s="57">
        <f>Input!B21</f>
        <v>17.739999999999998</v>
      </c>
      <c r="AA28" s="57">
        <f>$Z$24</f>
        <v>21.120368115854927</v>
      </c>
      <c r="AB28" s="57">
        <f t="shared" si="6"/>
        <v>240</v>
      </c>
      <c r="AC28" s="57">
        <f t="shared" si="7"/>
        <v>17.739999999999998</v>
      </c>
      <c r="AD28" s="59">
        <f>INT((AC$23+AE28)*100)/100</f>
        <v>17.739999999999998</v>
      </c>
      <c r="AE28" s="57">
        <f>AF28*AG$28</f>
        <v>4.4299999999999979</v>
      </c>
      <c r="AF28" s="57">
        <v>1</v>
      </c>
      <c r="AG28" s="57">
        <f>AC28-AC23</f>
        <v>4.4299999999999979</v>
      </c>
      <c r="AH28" s="57"/>
      <c r="EF28" s="51">
        <v>10.15</v>
      </c>
    </row>
    <row r="29" spans="1:136" s="51" customFormat="1" ht="23.1" customHeight="1">
      <c r="A29" s="323"/>
      <c r="B29" s="323"/>
      <c r="C29" s="325"/>
      <c r="D29" s="425">
        <v>90</v>
      </c>
      <c r="E29" s="425"/>
      <c r="F29" s="326">
        <f t="shared" si="13"/>
        <v>16.170000000000002</v>
      </c>
      <c r="G29" s="426">
        <f t="shared" si="14"/>
        <v>12.57</v>
      </c>
      <c r="H29" s="426"/>
      <c r="I29" s="301"/>
      <c r="J29" s="328">
        <f t="shared" si="15"/>
        <v>0.47000000000000064</v>
      </c>
      <c r="K29" s="373">
        <f t="shared" si="18"/>
        <v>45</v>
      </c>
      <c r="L29" s="373">
        <f t="shared" si="20"/>
        <v>6.5199999999999994E-2</v>
      </c>
      <c r="M29" s="374">
        <f t="shared" si="17"/>
        <v>2.9339999999999997</v>
      </c>
      <c r="N29" s="374">
        <f t="shared" si="19"/>
        <v>4.9079999999999999E-2</v>
      </c>
      <c r="O29" s="374">
        <f t="shared" si="21"/>
        <v>59.77</v>
      </c>
      <c r="P29" s="375">
        <f t="shared" si="22"/>
        <v>-48.99</v>
      </c>
      <c r="R29" s="55">
        <f>B37</f>
        <v>146.19999999999999</v>
      </c>
      <c r="S29" s="51">
        <f>$R$29</f>
        <v>146.19999999999999</v>
      </c>
      <c r="T29" s="51">
        <f t="shared" si="10"/>
        <v>2.9077763007581678</v>
      </c>
      <c r="U29" s="61">
        <f t="shared" si="11"/>
        <v>0.125</v>
      </c>
      <c r="V29" s="51">
        <f t="shared" si="12"/>
        <v>5.0000000000000001E-4</v>
      </c>
      <c r="W29" s="51">
        <f t="shared" si="0"/>
        <v>0.1736111111111111</v>
      </c>
      <c r="X29" s="56">
        <f t="shared" si="4"/>
        <v>250</v>
      </c>
      <c r="Y29" s="57">
        <f t="shared" si="1"/>
        <v>47.508030245337352</v>
      </c>
      <c r="Z29" s="57">
        <f>Z32</f>
        <v>26.225356132320979</v>
      </c>
      <c r="AA29" s="57">
        <f>$Z$29</f>
        <v>26.225356132320979</v>
      </c>
      <c r="AB29" s="57">
        <f t="shared" si="6"/>
        <v>250</v>
      </c>
      <c r="AC29" s="57">
        <f t="shared" si="7"/>
        <v>21.282674113016373</v>
      </c>
      <c r="AD29" s="59">
        <f>INT((AC$28+AE29)*100)/100</f>
        <v>20.74</v>
      </c>
      <c r="AE29" s="57">
        <f>AF29*AG$33</f>
        <v>3</v>
      </c>
      <c r="AF29" s="57">
        <v>0.6</v>
      </c>
      <c r="AG29" s="57"/>
      <c r="AH29" s="57"/>
      <c r="EF29" s="51">
        <v>10.15</v>
      </c>
    </row>
    <row r="30" spans="1:136" s="51" customFormat="1" ht="23.1" customHeight="1">
      <c r="A30" s="323"/>
      <c r="B30" s="323"/>
      <c r="C30" s="325"/>
      <c r="D30" s="425">
        <v>105</v>
      </c>
      <c r="E30" s="425"/>
      <c r="F30" s="326">
        <f t="shared" si="13"/>
        <v>16.560000000000002</v>
      </c>
      <c r="G30" s="426">
        <f t="shared" si="14"/>
        <v>12.96</v>
      </c>
      <c r="H30" s="426"/>
      <c r="I30" s="301"/>
      <c r="J30" s="328">
        <f t="shared" si="15"/>
        <v>0.39000000000000057</v>
      </c>
      <c r="K30" s="373">
        <f t="shared" si="18"/>
        <v>50</v>
      </c>
      <c r="L30" s="373">
        <f t="shared" si="20"/>
        <v>6.5199999999999994E-2</v>
      </c>
      <c r="M30" s="374">
        <f t="shared" si="17"/>
        <v>3.26</v>
      </c>
      <c r="N30" s="374">
        <f t="shared" si="19"/>
        <v>4.9079999999999999E-2</v>
      </c>
      <c r="O30" s="374">
        <f t="shared" si="21"/>
        <v>66.42</v>
      </c>
      <c r="P30" s="375">
        <f t="shared" si="22"/>
        <v>-55.36</v>
      </c>
      <c r="R30" s="51" t="s">
        <v>21</v>
      </c>
      <c r="S30" s="51">
        <f>$R$29</f>
        <v>146.19999999999999</v>
      </c>
      <c r="T30" s="51">
        <f t="shared" si="10"/>
        <v>2.9077763007581678</v>
      </c>
      <c r="U30" s="61">
        <f t="shared" si="11"/>
        <v>0.125</v>
      </c>
      <c r="V30" s="51">
        <f t="shared" si="12"/>
        <v>5.0000000000000001E-4</v>
      </c>
      <c r="W30" s="51">
        <f t="shared" si="0"/>
        <v>0.18055555555555555</v>
      </c>
      <c r="X30" s="56">
        <f t="shared" si="4"/>
        <v>260</v>
      </c>
      <c r="Y30" s="57">
        <f t="shared" si="1"/>
        <v>47.664779018190444</v>
      </c>
      <c r="AA30" s="57">
        <f>$Z$29</f>
        <v>26.225356132320979</v>
      </c>
      <c r="AB30" s="57">
        <f t="shared" si="6"/>
        <v>260</v>
      </c>
      <c r="AC30" s="57">
        <f t="shared" si="7"/>
        <v>21.439422885869465</v>
      </c>
      <c r="AD30" s="59">
        <f>INT((AC$28+AE30)*100)/100</f>
        <v>21.24</v>
      </c>
      <c r="AE30" s="57">
        <f>AF30*AG$33</f>
        <v>3.5</v>
      </c>
      <c r="AF30" s="57">
        <v>0.7</v>
      </c>
      <c r="AG30" s="57"/>
      <c r="AH30" s="57"/>
      <c r="EF30" s="51">
        <v>10.15</v>
      </c>
    </row>
    <row r="31" spans="1:136" s="51" customFormat="1" ht="23.1" customHeight="1">
      <c r="A31" s="323"/>
      <c r="B31" s="323"/>
      <c r="C31" s="325"/>
      <c r="D31" s="425">
        <v>120</v>
      </c>
      <c r="E31" s="425"/>
      <c r="F31" s="326">
        <f t="shared" si="13"/>
        <v>16.91</v>
      </c>
      <c r="G31" s="426">
        <f t="shared" si="14"/>
        <v>13.31</v>
      </c>
      <c r="H31" s="426"/>
      <c r="I31" s="301"/>
      <c r="J31" s="328">
        <f t="shared" si="15"/>
        <v>0.34999999999999964</v>
      </c>
      <c r="K31" s="373">
        <f t="shared" si="18"/>
        <v>55</v>
      </c>
      <c r="L31" s="373">
        <f t="shared" si="20"/>
        <v>6.5199999999999994E-2</v>
      </c>
      <c r="M31" s="374">
        <f t="shared" si="17"/>
        <v>3.5859999999999999</v>
      </c>
      <c r="N31" s="374">
        <f t="shared" si="19"/>
        <v>4.9079999999999999E-2</v>
      </c>
      <c r="O31" s="374">
        <f>INT(M31/N31*100)/100</f>
        <v>73.06</v>
      </c>
      <c r="P31" s="375">
        <f t="shared" si="22"/>
        <v>-61.76</v>
      </c>
      <c r="S31" s="51">
        <f>$R$29</f>
        <v>146.19999999999999</v>
      </c>
      <c r="T31" s="51">
        <f t="shared" si="10"/>
        <v>2.9077763007581678</v>
      </c>
      <c r="U31" s="61">
        <f t="shared" si="11"/>
        <v>0.125</v>
      </c>
      <c r="V31" s="51">
        <f t="shared" si="12"/>
        <v>5.0000000000000001E-4</v>
      </c>
      <c r="W31" s="51">
        <f t="shared" si="0"/>
        <v>0.1875</v>
      </c>
      <c r="X31" s="56">
        <f t="shared" si="4"/>
        <v>270</v>
      </c>
      <c r="Y31" s="57">
        <f t="shared" si="1"/>
        <v>47.815611311200129</v>
      </c>
      <c r="AA31" s="57">
        <f>$Z$29</f>
        <v>26.225356132320979</v>
      </c>
      <c r="AB31" s="57">
        <f t="shared" si="6"/>
        <v>270</v>
      </c>
      <c r="AC31" s="57">
        <f t="shared" si="7"/>
        <v>21.590255178879151</v>
      </c>
      <c r="AD31" s="59">
        <f>INT((AC$28+AE31)*100)/100</f>
        <v>21.74</v>
      </c>
      <c r="AE31" s="57">
        <f>AF31*AG$33</f>
        <v>4</v>
      </c>
      <c r="AF31" s="57">
        <v>0.8</v>
      </c>
      <c r="AG31" s="57"/>
      <c r="AH31" s="57"/>
      <c r="EF31" s="51">
        <v>10.77</v>
      </c>
    </row>
    <row r="32" spans="1:136" s="51" customFormat="1" ht="23.1" customHeight="1">
      <c r="A32" s="323">
        <v>2</v>
      </c>
      <c r="B32" s="324">
        <f>Input!D21</f>
        <v>120</v>
      </c>
      <c r="C32" s="325">
        <f>$C$12+D32/1440</f>
        <v>44992.569444444445</v>
      </c>
      <c r="D32" s="425">
        <v>130</v>
      </c>
      <c r="E32" s="425"/>
      <c r="F32" s="326">
        <f t="shared" si="13"/>
        <v>19.560000000000002</v>
      </c>
      <c r="G32" s="426">
        <f t="shared" si="14"/>
        <v>15.96</v>
      </c>
      <c r="H32" s="426"/>
      <c r="I32" s="301"/>
      <c r="J32" s="328">
        <f t="shared" si="15"/>
        <v>2.6500000000000004</v>
      </c>
      <c r="K32" s="373">
        <f t="shared" si="18"/>
        <v>60</v>
      </c>
      <c r="L32" s="373">
        <f t="shared" si="20"/>
        <v>6.5199999999999994E-2</v>
      </c>
      <c r="M32" s="374">
        <f t="shared" si="17"/>
        <v>3.9119999999999995</v>
      </c>
      <c r="N32" s="374">
        <f t="shared" si="19"/>
        <v>4.9079999999999999E-2</v>
      </c>
      <c r="O32" s="374">
        <f>INT(M32/N32*100)/100</f>
        <v>79.7</v>
      </c>
      <c r="P32" s="375">
        <f t="shared" si="22"/>
        <v>-68.180000000000007</v>
      </c>
      <c r="S32" s="51">
        <f>$R$29</f>
        <v>146.19999999999999</v>
      </c>
      <c r="T32" s="51">
        <f t="shared" si="10"/>
        <v>2.9077763007581678</v>
      </c>
      <c r="U32" s="61">
        <f t="shared" si="11"/>
        <v>0.125</v>
      </c>
      <c r="V32" s="51">
        <f t="shared" si="12"/>
        <v>5.0000000000000001E-4</v>
      </c>
      <c r="W32" s="51">
        <f t="shared" si="0"/>
        <v>0.20833333333333334</v>
      </c>
      <c r="X32" s="56">
        <f t="shared" si="4"/>
        <v>300</v>
      </c>
      <c r="Y32" s="57">
        <f t="shared" si="1"/>
        <v>48.236693188829172</v>
      </c>
      <c r="Z32" s="57">
        <f>Y33-Z33</f>
        <v>26.225356132320979</v>
      </c>
      <c r="AA32" s="57">
        <f>$Z$29</f>
        <v>26.225356132320979</v>
      </c>
      <c r="AB32" s="57">
        <f t="shared" si="6"/>
        <v>300</v>
      </c>
      <c r="AC32" s="57">
        <f t="shared" si="7"/>
        <v>22.011337056508193</v>
      </c>
      <c r="AD32" s="59">
        <f>INT((AC$28+AE32)*100)/100</f>
        <v>22.24</v>
      </c>
      <c r="AE32" s="57">
        <f>AF32*AG$33</f>
        <v>4.5</v>
      </c>
      <c r="AF32" s="57">
        <v>0.9</v>
      </c>
      <c r="AG32" s="57"/>
      <c r="AH32" s="57"/>
      <c r="EF32" s="51">
        <v>14.26</v>
      </c>
    </row>
    <row r="33" spans="1:136" s="51" customFormat="1" ht="23.1" customHeight="1">
      <c r="A33" s="323"/>
      <c r="B33" s="323"/>
      <c r="C33" s="325"/>
      <c r="D33" s="425">
        <v>140</v>
      </c>
      <c r="E33" s="425"/>
      <c r="F33" s="326">
        <f t="shared" si="13"/>
        <v>20.010000000000002</v>
      </c>
      <c r="G33" s="426">
        <f t="shared" si="14"/>
        <v>16.41</v>
      </c>
      <c r="H33" s="426"/>
      <c r="I33" s="301"/>
      <c r="J33" s="328">
        <f t="shared" si="15"/>
        <v>0.44999999999999929</v>
      </c>
      <c r="L33" s="66" t="s">
        <v>21</v>
      </c>
      <c r="P33" s="58"/>
      <c r="S33" s="51">
        <f>$R$29</f>
        <v>146.19999999999999</v>
      </c>
      <c r="T33" s="51">
        <f t="shared" si="10"/>
        <v>2.9077763007581678</v>
      </c>
      <c r="U33" s="61">
        <f t="shared" si="11"/>
        <v>0.125</v>
      </c>
      <c r="V33" s="51">
        <f t="shared" si="12"/>
        <v>5.0000000000000001E-4</v>
      </c>
      <c r="W33" s="51">
        <f t="shared" si="0"/>
        <v>0.25</v>
      </c>
      <c r="X33" s="56">
        <f t="shared" si="4"/>
        <v>360</v>
      </c>
      <c r="Y33" s="57">
        <f t="shared" si="1"/>
        <v>48.965356132320977</v>
      </c>
      <c r="Z33" s="57">
        <f>Input!B22</f>
        <v>22.74</v>
      </c>
      <c r="AA33" s="57">
        <f>$Z$29</f>
        <v>26.225356132320979</v>
      </c>
      <c r="AB33" s="57">
        <f t="shared" si="6"/>
        <v>360</v>
      </c>
      <c r="AC33" s="57">
        <f t="shared" si="7"/>
        <v>22.74</v>
      </c>
      <c r="AD33" s="59">
        <f>INT((AC$28+AE33)*100)/100</f>
        <v>22.74</v>
      </c>
      <c r="AE33" s="57">
        <f>AF33*AG$33</f>
        <v>5</v>
      </c>
      <c r="AF33" s="57">
        <v>1</v>
      </c>
      <c r="AG33" s="57">
        <f>AC33-AC28</f>
        <v>5</v>
      </c>
      <c r="AH33" s="57"/>
      <c r="EF33" s="51">
        <v>15.41</v>
      </c>
    </row>
    <row r="34" spans="1:136" s="51" customFormat="1" ht="23.1" customHeight="1">
      <c r="A34" s="323"/>
      <c r="B34" s="323"/>
      <c r="C34" s="325"/>
      <c r="D34" s="425">
        <v>150</v>
      </c>
      <c r="E34" s="425"/>
      <c r="F34" s="326">
        <f t="shared" si="13"/>
        <v>20.450000000000003</v>
      </c>
      <c r="G34" s="426">
        <f t="shared" si="14"/>
        <v>16.850000000000001</v>
      </c>
      <c r="H34" s="426"/>
      <c r="I34" s="301"/>
      <c r="J34" s="328">
        <f t="shared" si="15"/>
        <v>0.44000000000000128</v>
      </c>
      <c r="L34" s="66" t="s">
        <v>21</v>
      </c>
      <c r="R34" s="51">
        <f>B42</f>
        <v>172</v>
      </c>
      <c r="S34" s="51">
        <f>$R$34</f>
        <v>172</v>
      </c>
      <c r="T34" s="51">
        <f t="shared" si="10"/>
        <v>2.9077763007581678</v>
      </c>
      <c r="U34" s="61">
        <f t="shared" si="11"/>
        <v>0.125</v>
      </c>
      <c r="V34" s="51">
        <f t="shared" si="12"/>
        <v>5.0000000000000001E-4</v>
      </c>
      <c r="W34" s="51">
        <f t="shared" si="0"/>
        <v>0.25694444444444442</v>
      </c>
      <c r="X34" s="56">
        <f t="shared" si="4"/>
        <v>370</v>
      </c>
      <c r="Y34" s="57">
        <f t="shared" si="1"/>
        <v>57.735127485951779</v>
      </c>
      <c r="Z34" s="57">
        <f>Z37</f>
        <v>30.658942298166853</v>
      </c>
      <c r="AA34" s="57">
        <f>$Z$34</f>
        <v>30.658942298166853</v>
      </c>
      <c r="AB34" s="57">
        <f t="shared" si="6"/>
        <v>370</v>
      </c>
      <c r="AC34" s="57">
        <f t="shared" si="7"/>
        <v>27.076185187784926</v>
      </c>
      <c r="AD34" s="59">
        <f>INT((AC$33+AE34)*100)/100</f>
        <v>26.07</v>
      </c>
      <c r="AE34" s="57">
        <f>AG$38*AF34</f>
        <v>3.3360000000000012</v>
      </c>
      <c r="AF34" s="57">
        <v>0.6</v>
      </c>
      <c r="AG34" s="57"/>
      <c r="AH34" s="57"/>
      <c r="EF34" s="51">
        <v>15.6</v>
      </c>
    </row>
    <row r="35" spans="1:136" s="51" customFormat="1" ht="23.1" customHeight="1">
      <c r="A35" s="323"/>
      <c r="B35" s="323"/>
      <c r="C35" s="325"/>
      <c r="D35" s="425">
        <v>180</v>
      </c>
      <c r="E35" s="425"/>
      <c r="F35" s="326">
        <f t="shared" si="13"/>
        <v>20.89</v>
      </c>
      <c r="G35" s="426">
        <f t="shared" si="14"/>
        <v>17.29</v>
      </c>
      <c r="H35" s="426"/>
      <c r="I35" s="301"/>
      <c r="J35" s="328">
        <f t="shared" si="15"/>
        <v>0.43999999999999773</v>
      </c>
      <c r="L35" s="66" t="s">
        <v>21</v>
      </c>
      <c r="S35" s="51">
        <f>$R$34</f>
        <v>172</v>
      </c>
      <c r="T35" s="51">
        <f t="shared" si="10"/>
        <v>2.9077763007581678</v>
      </c>
      <c r="U35" s="61">
        <f t="shared" si="11"/>
        <v>0.125</v>
      </c>
      <c r="V35" s="51">
        <f t="shared" si="12"/>
        <v>5.0000000000000001E-4</v>
      </c>
      <c r="W35" s="51">
        <f t="shared" si="0"/>
        <v>0.2638888888888889</v>
      </c>
      <c r="X35" s="56">
        <f t="shared" si="4"/>
        <v>380</v>
      </c>
      <c r="Y35" s="57">
        <f t="shared" si="1"/>
        <v>57.860517862863226</v>
      </c>
      <c r="AA35" s="57">
        <f>$Z$34</f>
        <v>30.658942298166853</v>
      </c>
      <c r="AB35" s="57">
        <f t="shared" si="6"/>
        <v>380</v>
      </c>
      <c r="AC35" s="57">
        <f t="shared" si="7"/>
        <v>27.201575564696373</v>
      </c>
      <c r="AD35" s="59">
        <f>INT((AC$33+AE35)*100)/100</f>
        <v>26.63</v>
      </c>
      <c r="AE35" s="57">
        <f>AG$38*AF35</f>
        <v>3.8920000000000012</v>
      </c>
      <c r="AF35" s="57">
        <v>0.7</v>
      </c>
      <c r="AG35" s="57"/>
      <c r="AH35" s="57"/>
      <c r="EF35" s="51">
        <v>15.64</v>
      </c>
    </row>
    <row r="36" spans="1:136" s="51" customFormat="1" ht="23.1" customHeight="1">
      <c r="A36" s="323"/>
      <c r="B36" s="323"/>
      <c r="C36" s="325"/>
      <c r="D36" s="425">
        <v>240</v>
      </c>
      <c r="E36" s="425"/>
      <c r="F36" s="326">
        <f t="shared" si="13"/>
        <v>21.34</v>
      </c>
      <c r="G36" s="426">
        <f t="shared" si="14"/>
        <v>17.739999999999998</v>
      </c>
      <c r="H36" s="426"/>
      <c r="I36" s="301"/>
      <c r="J36" s="328">
        <f t="shared" si="15"/>
        <v>0.44999999999999929</v>
      </c>
      <c r="L36" s="66" t="s">
        <v>21</v>
      </c>
      <c r="S36" s="51">
        <f>$R$34</f>
        <v>172</v>
      </c>
      <c r="T36" s="51">
        <f t="shared" si="10"/>
        <v>2.9077763007581678</v>
      </c>
      <c r="U36" s="61">
        <f t="shared" si="11"/>
        <v>0.125</v>
      </c>
      <c r="V36" s="51">
        <f t="shared" si="12"/>
        <v>5.0000000000000001E-4</v>
      </c>
      <c r="W36" s="51">
        <f t="shared" si="0"/>
        <v>0.27083333333333331</v>
      </c>
      <c r="X36" s="56">
        <f t="shared" si="4"/>
        <v>390</v>
      </c>
      <c r="Y36" s="57">
        <f t="shared" si="1"/>
        <v>57.982650975719437</v>
      </c>
      <c r="AA36" s="57">
        <f>$Z$34</f>
        <v>30.658942298166853</v>
      </c>
      <c r="AB36" s="57">
        <f t="shared" si="6"/>
        <v>390</v>
      </c>
      <c r="AC36" s="57">
        <f t="shared" si="7"/>
        <v>27.323708677552585</v>
      </c>
      <c r="AD36" s="59">
        <f>INT((AC$33+AE36)*100)/100</f>
        <v>27.18</v>
      </c>
      <c r="AE36" s="57">
        <f>AG$38*AF36</f>
        <v>4.4480000000000022</v>
      </c>
      <c r="AF36" s="57">
        <v>0.8</v>
      </c>
      <c r="AG36" s="57"/>
      <c r="AH36" s="57"/>
      <c r="EF36" s="51">
        <v>15.67</v>
      </c>
    </row>
    <row r="37" spans="1:136" s="51" customFormat="1" ht="23.1" customHeight="1">
      <c r="A37" s="323">
        <v>3</v>
      </c>
      <c r="B37" s="324">
        <f>Input!D22</f>
        <v>146.19999999999999</v>
      </c>
      <c r="C37" s="325">
        <f>$C$12+D37/1440</f>
        <v>44992.652777777774</v>
      </c>
      <c r="D37" s="425">
        <v>250</v>
      </c>
      <c r="E37" s="425"/>
      <c r="F37" s="326">
        <f t="shared" si="13"/>
        <v>24.34</v>
      </c>
      <c r="G37" s="426">
        <f t="shared" si="14"/>
        <v>20.74</v>
      </c>
      <c r="H37" s="426"/>
      <c r="I37" s="301"/>
      <c r="J37" s="328">
        <f t="shared" si="15"/>
        <v>3</v>
      </c>
      <c r="L37" s="66" t="s">
        <v>21</v>
      </c>
      <c r="S37" s="51">
        <f>$R$34</f>
        <v>172</v>
      </c>
      <c r="T37" s="51">
        <f t="shared" si="10"/>
        <v>2.9077763007581678</v>
      </c>
      <c r="U37" s="61">
        <f t="shared" si="11"/>
        <v>0.125</v>
      </c>
      <c r="V37" s="51">
        <f t="shared" si="12"/>
        <v>5.0000000000000001E-4</v>
      </c>
      <c r="W37" s="51">
        <f t="shared" si="0"/>
        <v>0.29166666666666669</v>
      </c>
      <c r="X37" s="56">
        <f t="shared" si="4"/>
        <v>420</v>
      </c>
      <c r="Y37" s="57">
        <f t="shared" si="1"/>
        <v>58.331096320922271</v>
      </c>
      <c r="Z37" s="57">
        <f>Y38-Z38</f>
        <v>30.658942298166853</v>
      </c>
      <c r="AA37" s="57">
        <f>$Z$34</f>
        <v>30.658942298166853</v>
      </c>
      <c r="AB37" s="57">
        <f t="shared" si="6"/>
        <v>420</v>
      </c>
      <c r="AC37" s="57">
        <f t="shared" si="7"/>
        <v>27.672154022755418</v>
      </c>
      <c r="AD37" s="59">
        <f>INT((AC$33+AE37)*100)/100</f>
        <v>27.74</v>
      </c>
      <c r="AE37" s="57">
        <f>AG$38*AF37</f>
        <v>5.0040000000000022</v>
      </c>
      <c r="AF37" s="57">
        <v>0.9</v>
      </c>
      <c r="AG37" s="57"/>
      <c r="AH37" s="57"/>
      <c r="EF37" s="51">
        <v>19.260000000000002</v>
      </c>
    </row>
    <row r="38" spans="1:136" s="51" customFormat="1" ht="23.1" customHeight="1">
      <c r="A38" s="323"/>
      <c r="B38" s="323"/>
      <c r="C38" s="325"/>
      <c r="D38" s="425">
        <v>260</v>
      </c>
      <c r="E38" s="425"/>
      <c r="F38" s="326">
        <f t="shared" si="13"/>
        <v>24.84</v>
      </c>
      <c r="G38" s="426">
        <f t="shared" si="14"/>
        <v>21.24</v>
      </c>
      <c r="H38" s="426"/>
      <c r="I38" s="301"/>
      <c r="J38" s="328">
        <f t="shared" si="15"/>
        <v>0.5</v>
      </c>
      <c r="L38" s="66" t="s">
        <v>21</v>
      </c>
      <c r="S38" s="51">
        <f>$R$34</f>
        <v>172</v>
      </c>
      <c r="T38" s="51">
        <f t="shared" si="10"/>
        <v>2.9077763007581678</v>
      </c>
      <c r="U38" s="61">
        <f t="shared" si="11"/>
        <v>0.125</v>
      </c>
      <c r="V38" s="51">
        <f t="shared" si="12"/>
        <v>5.0000000000000001E-4</v>
      </c>
      <c r="W38" s="51">
        <f t="shared" si="0"/>
        <v>0.33333333333333331</v>
      </c>
      <c r="X38" s="56">
        <f t="shared" si="4"/>
        <v>480</v>
      </c>
      <c r="Y38" s="57">
        <f t="shared" si="1"/>
        <v>58.958942298166853</v>
      </c>
      <c r="Z38" s="57">
        <f>Input!B23</f>
        <v>28.3</v>
      </c>
      <c r="AA38" s="57">
        <f>$Z$34</f>
        <v>30.658942298166853</v>
      </c>
      <c r="AB38" s="57">
        <f t="shared" si="6"/>
        <v>480</v>
      </c>
      <c r="AC38" s="57">
        <f t="shared" si="7"/>
        <v>28.3</v>
      </c>
      <c r="AD38" s="59">
        <f>INT((AC$33+AE38)*100)/100</f>
        <v>28.3</v>
      </c>
      <c r="AE38" s="57">
        <f>AG$38*AF38</f>
        <v>5.5600000000000023</v>
      </c>
      <c r="AF38" s="57">
        <v>1</v>
      </c>
      <c r="AG38" s="57">
        <f>AC38-AC33</f>
        <v>5.5600000000000023</v>
      </c>
      <c r="AH38" s="57"/>
      <c r="EF38" s="51">
        <v>20.059999999999999</v>
      </c>
    </row>
    <row r="39" spans="1:136" s="51" customFormat="1" ht="23.1" customHeight="1">
      <c r="A39" s="323"/>
      <c r="B39" s="323"/>
      <c r="C39" s="325"/>
      <c r="D39" s="425">
        <v>270</v>
      </c>
      <c r="E39" s="425"/>
      <c r="F39" s="326">
        <f t="shared" si="13"/>
        <v>25.34</v>
      </c>
      <c r="G39" s="426">
        <f t="shared" si="14"/>
        <v>21.74</v>
      </c>
      <c r="H39" s="426"/>
      <c r="I39" s="301"/>
      <c r="J39" s="328">
        <f t="shared" si="15"/>
        <v>0.5</v>
      </c>
      <c r="K39" s="60" t="s">
        <v>21</v>
      </c>
      <c r="L39" s="66" t="s">
        <v>21</v>
      </c>
      <c r="R39" s="55">
        <f>B47</f>
        <v>197.79999999999998</v>
      </c>
      <c r="S39" s="51">
        <f>$R$39</f>
        <v>197.79999999999998</v>
      </c>
      <c r="T39" s="51">
        <f t="shared" si="10"/>
        <v>2.9077763007581678</v>
      </c>
      <c r="U39" s="61">
        <f t="shared" si="11"/>
        <v>0.125</v>
      </c>
      <c r="V39" s="51">
        <f t="shared" si="12"/>
        <v>5.0000000000000001E-4</v>
      </c>
      <c r="W39" s="51">
        <f t="shared" si="0"/>
        <v>0.34027777777777779</v>
      </c>
      <c r="X39" s="56">
        <f t="shared" si="4"/>
        <v>490</v>
      </c>
      <c r="Y39" s="57">
        <f t="shared" si="1"/>
        <v>67.914275006157538</v>
      </c>
      <c r="Z39" s="57">
        <f>Z42</f>
        <v>32.219351963869691</v>
      </c>
      <c r="AA39" s="57">
        <f>$Z$39</f>
        <v>32.219351963869691</v>
      </c>
      <c r="AB39" s="57">
        <f t="shared" si="6"/>
        <v>490</v>
      </c>
      <c r="AC39" s="57">
        <f t="shared" si="7"/>
        <v>35.694923042287847</v>
      </c>
      <c r="AD39" s="59">
        <f>INT((AC$38+AE39)*100)/100</f>
        <v>31.69</v>
      </c>
      <c r="AE39" s="57">
        <f>AG$43*AF39</f>
        <v>3.3959999999999995</v>
      </c>
      <c r="AF39" s="57">
        <v>0.4</v>
      </c>
      <c r="AG39" s="57"/>
      <c r="AH39" s="57"/>
      <c r="EF39" s="51">
        <v>20.46</v>
      </c>
    </row>
    <row r="40" spans="1:136" s="51" customFormat="1" ht="23.1" customHeight="1">
      <c r="A40" s="323"/>
      <c r="B40" s="323"/>
      <c r="C40" s="325"/>
      <c r="D40" s="425">
        <v>300</v>
      </c>
      <c r="E40" s="425"/>
      <c r="F40" s="326">
        <f t="shared" si="13"/>
        <v>25.84</v>
      </c>
      <c r="G40" s="426">
        <f t="shared" si="14"/>
        <v>22.24</v>
      </c>
      <c r="H40" s="426"/>
      <c r="I40" s="301"/>
      <c r="J40" s="328">
        <f t="shared" si="15"/>
        <v>0.5</v>
      </c>
      <c r="K40" s="60" t="s">
        <v>21</v>
      </c>
      <c r="L40" s="66" t="s">
        <v>21</v>
      </c>
      <c r="S40" s="51">
        <f>$R$39</f>
        <v>197.79999999999998</v>
      </c>
      <c r="T40" s="51">
        <f t="shared" si="10"/>
        <v>2.9077763007581678</v>
      </c>
      <c r="U40" s="61">
        <f t="shared" si="11"/>
        <v>0.125</v>
      </c>
      <c r="V40" s="51">
        <f t="shared" si="12"/>
        <v>5.0000000000000001E-4</v>
      </c>
      <c r="W40" s="51">
        <f t="shared" si="0"/>
        <v>0.34722222222222221</v>
      </c>
      <c r="X40" s="56">
        <f t="shared" si="4"/>
        <v>500</v>
      </c>
      <c r="Y40" s="57">
        <f t="shared" si="1"/>
        <v>68.023513863851363</v>
      </c>
      <c r="AA40" s="57">
        <f>$Z$39</f>
        <v>32.219351963869691</v>
      </c>
      <c r="AB40" s="57">
        <f t="shared" si="6"/>
        <v>500</v>
      </c>
      <c r="AC40" s="57">
        <f t="shared" si="7"/>
        <v>35.804161899981672</v>
      </c>
      <c r="AD40" s="59">
        <f>INT((AC$38+AE40)*100)/100</f>
        <v>32.96</v>
      </c>
      <c r="AE40" s="57">
        <f>AG$43*AF40</f>
        <v>4.6694999999999993</v>
      </c>
      <c r="AF40" s="57">
        <v>0.55000000000000004</v>
      </c>
      <c r="AG40" s="57"/>
      <c r="AH40" s="57"/>
      <c r="EF40" s="51">
        <v>20.66</v>
      </c>
    </row>
    <row r="41" spans="1:136" s="51" customFormat="1" ht="23.1" customHeight="1">
      <c r="A41" s="323"/>
      <c r="B41" s="323"/>
      <c r="C41" s="325"/>
      <c r="D41" s="425">
        <v>360</v>
      </c>
      <c r="E41" s="425"/>
      <c r="F41" s="326">
        <f t="shared" si="13"/>
        <v>26.34</v>
      </c>
      <c r="G41" s="426">
        <f t="shared" si="14"/>
        <v>22.74</v>
      </c>
      <c r="H41" s="426"/>
      <c r="I41" s="301"/>
      <c r="J41" s="328">
        <f t="shared" si="15"/>
        <v>0.5</v>
      </c>
      <c r="K41" s="60" t="s">
        <v>21</v>
      </c>
      <c r="L41" s="66" t="s">
        <v>21</v>
      </c>
      <c r="S41" s="51">
        <f>$R$39</f>
        <v>197.79999999999998</v>
      </c>
      <c r="T41" s="51">
        <f t="shared" si="10"/>
        <v>2.9077763007581678</v>
      </c>
      <c r="U41" s="61">
        <f t="shared" si="11"/>
        <v>0.125</v>
      </c>
      <c r="V41" s="51">
        <f t="shared" si="12"/>
        <v>5.0000000000000001E-4</v>
      </c>
      <c r="W41" s="51">
        <f t="shared" si="0"/>
        <v>0.35416666666666669</v>
      </c>
      <c r="X41" s="56">
        <f t="shared" si="4"/>
        <v>510</v>
      </c>
      <c r="Y41" s="57">
        <f t="shared" si="1"/>
        <v>68.130589433039816</v>
      </c>
      <c r="AA41" s="57">
        <f>$Z$39</f>
        <v>32.219351963869691</v>
      </c>
      <c r="AB41" s="57">
        <f t="shared" si="6"/>
        <v>510</v>
      </c>
      <c r="AC41" s="57">
        <f t="shared" si="7"/>
        <v>35.911237469170125</v>
      </c>
      <c r="AD41" s="59">
        <f>INT((AC$38+AE41)*100)/100</f>
        <v>34.24</v>
      </c>
      <c r="AE41" s="57">
        <f>AG$43*AF41</f>
        <v>5.9429999999999987</v>
      </c>
      <c r="AF41" s="57">
        <v>0.7</v>
      </c>
      <c r="AG41" s="57"/>
      <c r="AH41" s="57"/>
      <c r="EF41" s="51">
        <v>20.75</v>
      </c>
    </row>
    <row r="42" spans="1:136" s="51" customFormat="1" ht="23.1" customHeight="1">
      <c r="A42" s="323">
        <v>4</v>
      </c>
      <c r="B42" s="324">
        <f>Input!D23</f>
        <v>172</v>
      </c>
      <c r="C42" s="325">
        <f>$C$12+D42/1440</f>
        <v>44992.736111111109</v>
      </c>
      <c r="D42" s="425">
        <v>370</v>
      </c>
      <c r="E42" s="425"/>
      <c r="F42" s="326">
        <f t="shared" si="13"/>
        <v>29.67</v>
      </c>
      <c r="G42" s="426">
        <f t="shared" si="14"/>
        <v>26.07</v>
      </c>
      <c r="H42" s="426"/>
      <c r="I42" s="301"/>
      <c r="J42" s="328">
        <f t="shared" si="15"/>
        <v>3.3300000000000018</v>
      </c>
      <c r="K42" s="60" t="s">
        <v>21</v>
      </c>
      <c r="L42" s="66" t="s">
        <v>21</v>
      </c>
      <c r="S42" s="51">
        <f>$R$39</f>
        <v>197.79999999999998</v>
      </c>
      <c r="T42" s="51">
        <f t="shared" si="10"/>
        <v>2.9077763007581678</v>
      </c>
      <c r="U42" s="61">
        <f t="shared" si="11"/>
        <v>0.125</v>
      </c>
      <c r="V42" s="51">
        <f t="shared" si="12"/>
        <v>5.0000000000000001E-4</v>
      </c>
      <c r="W42" s="51">
        <f t="shared" si="0"/>
        <v>0.375</v>
      </c>
      <c r="X42" s="56">
        <f t="shared" si="4"/>
        <v>540</v>
      </c>
      <c r="Y42" s="57">
        <f t="shared" si="1"/>
        <v>68.439652952959833</v>
      </c>
      <c r="Z42" s="57">
        <f>Y43-Z43</f>
        <v>32.219351963869691</v>
      </c>
      <c r="AA42" s="57">
        <f>$Z$39</f>
        <v>32.219351963869691</v>
      </c>
      <c r="AB42" s="57">
        <f t="shared" si="6"/>
        <v>540</v>
      </c>
      <c r="AC42" s="57">
        <f t="shared" si="7"/>
        <v>36.220300989090141</v>
      </c>
      <c r="AD42" s="59">
        <f>INT((AC$38+AE42)*100)/100</f>
        <v>35.51</v>
      </c>
      <c r="AE42" s="57">
        <f>AG$43*AF42</f>
        <v>7.2164999999999981</v>
      </c>
      <c r="AF42" s="57">
        <v>0.85</v>
      </c>
      <c r="AG42" s="57"/>
      <c r="AH42" s="57"/>
      <c r="EF42" s="51">
        <v>29.31</v>
      </c>
    </row>
    <row r="43" spans="1:136" s="51" customFormat="1" ht="23.1" customHeight="1">
      <c r="A43" s="323"/>
      <c r="B43" s="323"/>
      <c r="C43" s="325"/>
      <c r="D43" s="425">
        <v>380</v>
      </c>
      <c r="E43" s="425"/>
      <c r="F43" s="326">
        <f t="shared" si="13"/>
        <v>30.23</v>
      </c>
      <c r="G43" s="426">
        <f t="shared" si="14"/>
        <v>26.63</v>
      </c>
      <c r="H43" s="426"/>
      <c r="I43" s="301"/>
      <c r="J43" s="328">
        <f t="shared" si="15"/>
        <v>0.55999999999999872</v>
      </c>
      <c r="K43" s="60" t="s">
        <v>21</v>
      </c>
      <c r="L43" s="66" t="s">
        <v>21</v>
      </c>
      <c r="S43" s="51">
        <f>$R$39</f>
        <v>197.79999999999998</v>
      </c>
      <c r="T43" s="51">
        <f t="shared" si="10"/>
        <v>2.9077763007581678</v>
      </c>
      <c r="U43" s="61">
        <f t="shared" si="11"/>
        <v>0.125</v>
      </c>
      <c r="V43" s="51">
        <f t="shared" si="12"/>
        <v>5.0000000000000001E-4</v>
      </c>
      <c r="W43" s="51">
        <f t="shared" si="0"/>
        <v>0.41666666666666669</v>
      </c>
      <c r="X43" s="56">
        <f t="shared" si="4"/>
        <v>600</v>
      </c>
      <c r="Y43" s="57">
        <f t="shared" si="1"/>
        <v>69.00935196386969</v>
      </c>
      <c r="Z43" s="57">
        <f>Input!B24</f>
        <v>36.79</v>
      </c>
      <c r="AA43" s="57">
        <f>$Z$39</f>
        <v>32.219351963869691</v>
      </c>
      <c r="AB43" s="57">
        <f t="shared" si="6"/>
        <v>600</v>
      </c>
      <c r="AC43" s="57">
        <f t="shared" si="7"/>
        <v>36.79</v>
      </c>
      <c r="AD43" s="59">
        <f>INT((AC$38+AE43)*100)/100</f>
        <v>36.79</v>
      </c>
      <c r="AE43" s="57">
        <f>AG$43*AF43</f>
        <v>8.4899999999999984</v>
      </c>
      <c r="AF43" s="57">
        <v>1</v>
      </c>
      <c r="AG43" s="57">
        <f>AC43-AC38</f>
        <v>8.4899999999999984</v>
      </c>
      <c r="AH43" s="57"/>
      <c r="EF43" s="51">
        <v>31.81</v>
      </c>
    </row>
    <row r="44" spans="1:136" s="51" customFormat="1" ht="23.1" customHeight="1">
      <c r="A44" s="323"/>
      <c r="B44" s="323"/>
      <c r="C44" s="325"/>
      <c r="D44" s="425">
        <v>390</v>
      </c>
      <c r="E44" s="425"/>
      <c r="F44" s="326">
        <f t="shared" si="13"/>
        <v>30.78</v>
      </c>
      <c r="G44" s="426">
        <f t="shared" si="14"/>
        <v>27.18</v>
      </c>
      <c r="H44" s="426"/>
      <c r="I44" s="301"/>
      <c r="J44" s="328">
        <f t="shared" si="15"/>
        <v>0.55000000000000071</v>
      </c>
      <c r="K44" s="60" t="s">
        <v>21</v>
      </c>
      <c r="L44" s="66" t="s">
        <v>21</v>
      </c>
      <c r="S44" s="51" t="s">
        <v>21</v>
      </c>
      <c r="T44" s="51" t="s">
        <v>21</v>
      </c>
      <c r="U44" s="61" t="s">
        <v>21</v>
      </c>
      <c r="V44" s="51" t="s">
        <v>21</v>
      </c>
      <c r="W44" s="51" t="s">
        <v>21</v>
      </c>
      <c r="X44" s="56" t="s">
        <v>21</v>
      </c>
      <c r="Y44" s="57" t="s">
        <v>21</v>
      </c>
      <c r="AE44" s="57"/>
      <c r="AF44" s="57"/>
      <c r="EF44" s="51">
        <v>35.83</v>
      </c>
    </row>
    <row r="45" spans="1:136" s="51" customFormat="1" ht="23.1" customHeight="1">
      <c r="A45" s="323"/>
      <c r="B45" s="323"/>
      <c r="C45" s="325"/>
      <c r="D45" s="425">
        <v>420</v>
      </c>
      <c r="E45" s="425"/>
      <c r="F45" s="326">
        <f t="shared" si="13"/>
        <v>31.34</v>
      </c>
      <c r="G45" s="426">
        <f t="shared" si="14"/>
        <v>27.74</v>
      </c>
      <c r="H45" s="426"/>
      <c r="I45" s="301"/>
      <c r="J45" s="328">
        <f t="shared" si="15"/>
        <v>0.55999999999999872</v>
      </c>
      <c r="K45" s="60" t="s">
        <v>21</v>
      </c>
      <c r="L45" s="66" t="s">
        <v>21</v>
      </c>
      <c r="S45" s="51" t="str">
        <f t="shared" ref="S45:S51" si="23">$S44</f>
        <v xml:space="preserve"> </v>
      </c>
      <c r="T45" s="51" t="str">
        <f t="shared" si="10"/>
        <v xml:space="preserve"> </v>
      </c>
      <c r="U45" s="61" t="str">
        <f t="shared" si="11"/>
        <v xml:space="preserve"> </v>
      </c>
      <c r="V45" s="51" t="str">
        <f t="shared" si="12"/>
        <v xml:space="preserve"> </v>
      </c>
      <c r="W45" s="51" t="s">
        <v>21</v>
      </c>
      <c r="X45" s="56" t="s">
        <v>21</v>
      </c>
      <c r="Y45" s="57" t="s">
        <v>21</v>
      </c>
      <c r="AE45" s="57"/>
      <c r="AF45" s="57"/>
      <c r="EF45" s="51">
        <v>35.96</v>
      </c>
    </row>
    <row r="46" spans="1:136" s="51" customFormat="1" ht="23.1" customHeight="1">
      <c r="A46" s="323"/>
      <c r="B46" s="323"/>
      <c r="C46" s="325"/>
      <c r="D46" s="425">
        <v>480</v>
      </c>
      <c r="E46" s="425"/>
      <c r="F46" s="326">
        <f t="shared" si="13"/>
        <v>31.900000000000002</v>
      </c>
      <c r="G46" s="426">
        <f t="shared" si="14"/>
        <v>28.3</v>
      </c>
      <c r="H46" s="426"/>
      <c r="I46" s="301"/>
      <c r="J46" s="328">
        <f t="shared" si="15"/>
        <v>0.56000000000000227</v>
      </c>
      <c r="K46" s="60" t="s">
        <v>21</v>
      </c>
      <c r="L46" s="66" t="s">
        <v>21</v>
      </c>
      <c r="S46" s="51" t="str">
        <f t="shared" si="23"/>
        <v xml:space="preserve"> </v>
      </c>
      <c r="T46" s="51" t="str">
        <f t="shared" si="10"/>
        <v xml:space="preserve"> </v>
      </c>
      <c r="U46" s="61" t="str">
        <f t="shared" si="11"/>
        <v xml:space="preserve"> </v>
      </c>
      <c r="V46" s="51" t="str">
        <f t="shared" si="12"/>
        <v xml:space="preserve"> </v>
      </c>
      <c r="W46" s="51" t="s">
        <v>21</v>
      </c>
      <c r="X46" s="56" t="s">
        <v>21</v>
      </c>
      <c r="Y46" s="57" t="s">
        <v>21</v>
      </c>
      <c r="AE46" s="57"/>
      <c r="AF46" s="57"/>
      <c r="EF46" s="51">
        <v>36.01</v>
      </c>
    </row>
    <row r="47" spans="1:136" s="51" customFormat="1" ht="23.1" customHeight="1">
      <c r="A47" s="323">
        <v>5</v>
      </c>
      <c r="B47" s="324">
        <f>Input!D24</f>
        <v>197.79999999999998</v>
      </c>
      <c r="C47" s="325">
        <f>$C$12+D47/1440</f>
        <v>44992.819444444445</v>
      </c>
      <c r="D47" s="425">
        <v>490</v>
      </c>
      <c r="E47" s="425"/>
      <c r="F47" s="326">
        <f t="shared" si="13"/>
        <v>35.29</v>
      </c>
      <c r="G47" s="426">
        <f t="shared" si="14"/>
        <v>31.69</v>
      </c>
      <c r="H47" s="426"/>
      <c r="I47" s="301"/>
      <c r="J47" s="328">
        <f t="shared" si="15"/>
        <v>3.3900000000000006</v>
      </c>
      <c r="K47" s="60" t="s">
        <v>21</v>
      </c>
      <c r="S47" s="51" t="str">
        <f t="shared" si="23"/>
        <v xml:space="preserve"> </v>
      </c>
      <c r="T47" s="51" t="str">
        <f t="shared" si="10"/>
        <v xml:space="preserve"> </v>
      </c>
      <c r="U47" s="61" t="str">
        <f t="shared" si="11"/>
        <v xml:space="preserve"> </v>
      </c>
      <c r="V47" s="51" t="str">
        <f t="shared" si="12"/>
        <v xml:space="preserve"> </v>
      </c>
      <c r="W47" s="51" t="s">
        <v>21</v>
      </c>
      <c r="X47" s="56" t="s">
        <v>21</v>
      </c>
      <c r="Y47" s="57" t="s">
        <v>21</v>
      </c>
      <c r="AE47" s="57"/>
      <c r="AF47" s="57"/>
      <c r="EF47" s="51">
        <v>30.66</v>
      </c>
    </row>
    <row r="48" spans="1:136" s="51" customFormat="1" ht="23.1" customHeight="1">
      <c r="A48" s="323"/>
      <c r="B48" s="323"/>
      <c r="C48" s="325"/>
      <c r="D48" s="425">
        <v>500</v>
      </c>
      <c r="E48" s="425"/>
      <c r="F48" s="326">
        <f t="shared" si="13"/>
        <v>36.56</v>
      </c>
      <c r="G48" s="426">
        <f t="shared" si="14"/>
        <v>32.96</v>
      </c>
      <c r="H48" s="426"/>
      <c r="I48" s="301"/>
      <c r="J48" s="328">
        <f t="shared" si="15"/>
        <v>1.2699999999999996</v>
      </c>
      <c r="K48" s="60" t="s">
        <v>21</v>
      </c>
      <c r="S48" s="51" t="str">
        <f t="shared" si="23"/>
        <v xml:space="preserve"> </v>
      </c>
      <c r="T48" s="51" t="str">
        <f t="shared" si="10"/>
        <v xml:space="preserve"> </v>
      </c>
      <c r="U48" s="61" t="str">
        <f t="shared" si="11"/>
        <v xml:space="preserve"> </v>
      </c>
      <c r="V48" s="51" t="str">
        <f t="shared" si="12"/>
        <v xml:space="preserve"> </v>
      </c>
      <c r="W48" s="51" t="s">
        <v>21</v>
      </c>
      <c r="X48" s="56" t="s">
        <v>21</v>
      </c>
      <c r="Y48" s="57" t="s">
        <v>21</v>
      </c>
      <c r="AE48" s="57"/>
      <c r="AF48" s="57"/>
      <c r="EF48" s="51">
        <v>30.83</v>
      </c>
    </row>
    <row r="49" spans="1:136" s="51" customFormat="1" ht="23.1" customHeight="1">
      <c r="A49" s="323"/>
      <c r="B49" s="323"/>
      <c r="C49" s="325"/>
      <c r="D49" s="425">
        <v>510</v>
      </c>
      <c r="E49" s="425"/>
      <c r="F49" s="326">
        <f t="shared" si="13"/>
        <v>37.840000000000003</v>
      </c>
      <c r="G49" s="426">
        <f t="shared" si="14"/>
        <v>34.24</v>
      </c>
      <c r="H49" s="426"/>
      <c r="I49" s="301"/>
      <c r="J49" s="328">
        <f t="shared" si="15"/>
        <v>1.2800000000000011</v>
      </c>
      <c r="K49" s="60" t="s">
        <v>21</v>
      </c>
      <c r="S49" s="51" t="str">
        <f t="shared" si="23"/>
        <v xml:space="preserve"> </v>
      </c>
      <c r="T49" s="51" t="str">
        <f t="shared" si="10"/>
        <v xml:space="preserve"> </v>
      </c>
      <c r="U49" s="61" t="str">
        <f t="shared" si="11"/>
        <v xml:space="preserve"> </v>
      </c>
      <c r="V49" s="51" t="str">
        <f t="shared" si="12"/>
        <v xml:space="preserve"> </v>
      </c>
      <c r="W49" s="51" t="s">
        <v>21</v>
      </c>
      <c r="X49" s="56" t="s">
        <v>21</v>
      </c>
      <c r="Y49" s="57" t="s">
        <v>21</v>
      </c>
      <c r="AE49" s="57"/>
      <c r="AF49" s="57"/>
      <c r="EF49" s="51">
        <v>30.83</v>
      </c>
    </row>
    <row r="50" spans="1:136" s="51" customFormat="1" ht="23.1" customHeight="1">
      <c r="A50" s="323"/>
      <c r="B50" s="323"/>
      <c r="C50" s="325"/>
      <c r="D50" s="425">
        <v>540</v>
      </c>
      <c r="E50" s="425"/>
      <c r="F50" s="326">
        <f t="shared" si="13"/>
        <v>39.11</v>
      </c>
      <c r="G50" s="426">
        <f t="shared" si="14"/>
        <v>35.51</v>
      </c>
      <c r="H50" s="426"/>
      <c r="I50" s="301"/>
      <c r="J50" s="328">
        <f t="shared" si="15"/>
        <v>1.269999999999996</v>
      </c>
      <c r="K50" s="60" t="s">
        <v>21</v>
      </c>
      <c r="S50" s="51" t="str">
        <f t="shared" si="23"/>
        <v xml:space="preserve"> </v>
      </c>
      <c r="T50" s="51" t="str">
        <f t="shared" si="10"/>
        <v xml:space="preserve"> </v>
      </c>
      <c r="U50" s="61" t="str">
        <f t="shared" si="11"/>
        <v xml:space="preserve"> </v>
      </c>
      <c r="V50" s="51" t="str">
        <f t="shared" si="12"/>
        <v xml:space="preserve"> </v>
      </c>
      <c r="W50" s="51" t="s">
        <v>21</v>
      </c>
      <c r="X50" s="56" t="s">
        <v>21</v>
      </c>
      <c r="Y50" s="57" t="s">
        <v>21</v>
      </c>
      <c r="AE50" s="57"/>
      <c r="AF50" s="57"/>
      <c r="EF50" s="51">
        <v>30.83</v>
      </c>
    </row>
    <row r="51" spans="1:136" s="51" customFormat="1" ht="23.1" customHeight="1">
      <c r="A51" s="323"/>
      <c r="B51" s="323"/>
      <c r="C51" s="325">
        <f>$C$12+D51/1440</f>
        <v>44992.895833333328</v>
      </c>
      <c r="D51" s="425">
        <v>600</v>
      </c>
      <c r="E51" s="425"/>
      <c r="F51" s="326">
        <f t="shared" si="13"/>
        <v>40.39</v>
      </c>
      <c r="G51" s="426">
        <f t="shared" si="14"/>
        <v>36.79</v>
      </c>
      <c r="H51" s="426"/>
      <c r="I51" s="301" t="s">
        <v>180</v>
      </c>
      <c r="J51" s="328">
        <f t="shared" si="15"/>
        <v>1.2800000000000011</v>
      </c>
      <c r="K51" s="60" t="s">
        <v>21</v>
      </c>
      <c r="S51" s="51" t="str">
        <f t="shared" si="23"/>
        <v xml:space="preserve"> </v>
      </c>
      <c r="T51" s="51" t="str">
        <f t="shared" si="10"/>
        <v xml:space="preserve"> </v>
      </c>
      <c r="U51" s="61" t="str">
        <f t="shared" si="11"/>
        <v xml:space="preserve"> </v>
      </c>
      <c r="V51" s="51" t="str">
        <f t="shared" si="12"/>
        <v xml:space="preserve"> </v>
      </c>
      <c r="W51" s="51" t="s">
        <v>21</v>
      </c>
      <c r="X51" s="56" t="s">
        <v>21</v>
      </c>
      <c r="Y51" s="57" t="s">
        <v>21</v>
      </c>
      <c r="AE51" s="57"/>
      <c r="AF51" s="57"/>
      <c r="EF51" s="51">
        <v>31.590000000000117</v>
      </c>
    </row>
    <row r="52" spans="1:136" s="51" customFormat="1" ht="17.25" customHeight="1">
      <c r="J52" s="51" t="s">
        <v>21</v>
      </c>
      <c r="K52" s="60" t="s">
        <v>21</v>
      </c>
      <c r="U52" s="61"/>
      <c r="W52" s="51" t="s">
        <v>21</v>
      </c>
      <c r="X52" s="56" t="s">
        <v>21</v>
      </c>
      <c r="Y52" s="57" t="s">
        <v>21</v>
      </c>
      <c r="AE52" s="57"/>
      <c r="AF52" s="57"/>
      <c r="EF52" s="51">
        <v>13.38</v>
      </c>
    </row>
    <row r="53" spans="1:136" s="51" customFormat="1" ht="17.25" customHeight="1">
      <c r="J53" s="51" t="s">
        <v>21</v>
      </c>
      <c r="K53" s="60" t="s">
        <v>21</v>
      </c>
      <c r="U53" s="61"/>
      <c r="W53" s="51" t="s">
        <v>21</v>
      </c>
      <c r="X53" s="56" t="s">
        <v>21</v>
      </c>
      <c r="Y53" s="57" t="s">
        <v>21</v>
      </c>
      <c r="AE53" s="57"/>
      <c r="AF53" s="57"/>
      <c r="EF53" s="51">
        <v>9.48</v>
      </c>
    </row>
    <row r="54" spans="1:136" s="51" customFormat="1" ht="17.25" customHeight="1">
      <c r="J54" s="51" t="s">
        <v>21</v>
      </c>
      <c r="K54" s="60" t="s">
        <v>21</v>
      </c>
      <c r="U54" s="61"/>
      <c r="W54" s="51" t="s">
        <v>21</v>
      </c>
      <c r="X54" s="56" t="s">
        <v>21</v>
      </c>
      <c r="Y54" s="57" t="s">
        <v>21</v>
      </c>
      <c r="AE54" s="57"/>
      <c r="AF54" s="57"/>
      <c r="EF54" s="51">
        <v>6.56</v>
      </c>
    </row>
    <row r="55" spans="1:136" s="51" customFormat="1" ht="17.25" customHeight="1">
      <c r="J55" s="51" t="s">
        <v>21</v>
      </c>
      <c r="K55" s="60" t="s">
        <v>21</v>
      </c>
      <c r="U55" s="61"/>
      <c r="W55" s="51" t="s">
        <v>21</v>
      </c>
      <c r="X55" s="56" t="s">
        <v>21</v>
      </c>
      <c r="Y55" s="57" t="s">
        <v>21</v>
      </c>
      <c r="AE55" s="57"/>
      <c r="AF55" s="57"/>
      <c r="EF55" s="51">
        <v>4.22</v>
      </c>
    </row>
    <row r="56" spans="1:136" s="51" customFormat="1" ht="17.25" customHeight="1">
      <c r="J56" s="51" t="s">
        <v>21</v>
      </c>
      <c r="K56" s="60" t="s">
        <v>21</v>
      </c>
      <c r="U56" s="61"/>
      <c r="W56" s="51" t="s">
        <v>21</v>
      </c>
      <c r="X56" s="56" t="s">
        <v>21</v>
      </c>
      <c r="Y56" s="57" t="s">
        <v>21</v>
      </c>
      <c r="AE56" s="57"/>
      <c r="AF56" s="57"/>
      <c r="EF56" s="51">
        <v>3.05</v>
      </c>
    </row>
    <row r="57" spans="1:136" s="51" customFormat="1" ht="17.25" customHeight="1">
      <c r="J57" s="51" t="s">
        <v>21</v>
      </c>
      <c r="K57" s="60" t="s">
        <v>21</v>
      </c>
      <c r="U57" s="61"/>
      <c r="W57" s="51" t="s">
        <v>21</v>
      </c>
      <c r="X57" s="56" t="s">
        <v>21</v>
      </c>
      <c r="Y57" s="57" t="s">
        <v>21</v>
      </c>
      <c r="AE57" s="57"/>
      <c r="AF57" s="57"/>
      <c r="EF57" s="51">
        <v>2.27</v>
      </c>
    </row>
    <row r="58" spans="1:136" s="51" customFormat="1" ht="17.25" customHeight="1">
      <c r="J58" s="51" t="s">
        <v>21</v>
      </c>
      <c r="K58" s="60" t="s">
        <v>21</v>
      </c>
      <c r="U58" s="61"/>
      <c r="W58" s="51" t="s">
        <v>21</v>
      </c>
      <c r="X58" s="56" t="s">
        <v>21</v>
      </c>
      <c r="Y58" s="57" t="s">
        <v>21</v>
      </c>
      <c r="AE58" s="57"/>
      <c r="AF58" s="57"/>
      <c r="EF58" s="51">
        <v>1.69</v>
      </c>
    </row>
    <row r="59" spans="1:136" s="51" customFormat="1" ht="17.25" customHeight="1">
      <c r="J59" s="51" t="s">
        <v>21</v>
      </c>
      <c r="K59" s="60" t="s">
        <v>21</v>
      </c>
      <c r="U59" s="61"/>
      <c r="W59" s="51" t="s">
        <v>21</v>
      </c>
      <c r="X59" s="56" t="s">
        <v>21</v>
      </c>
      <c r="Y59" s="57" t="s">
        <v>21</v>
      </c>
      <c r="AE59" s="57"/>
      <c r="AF59" s="57"/>
      <c r="EF59" s="51">
        <v>1.22</v>
      </c>
    </row>
    <row r="60" spans="1:136" s="51" customFormat="1" ht="17.25" customHeight="1">
      <c r="J60" s="51" t="s">
        <v>21</v>
      </c>
      <c r="K60" s="60" t="s">
        <v>21</v>
      </c>
      <c r="U60" s="61"/>
      <c r="W60" s="51" t="s">
        <v>21</v>
      </c>
      <c r="X60" s="56" t="s">
        <v>21</v>
      </c>
      <c r="Y60" s="57" t="s">
        <v>21</v>
      </c>
      <c r="AE60" s="57"/>
      <c r="AF60" s="57"/>
      <c r="EF60" s="51">
        <v>0.83</v>
      </c>
    </row>
    <row r="61" spans="1:136" s="51" customFormat="1" ht="17.25" customHeight="1">
      <c r="J61" s="51" t="s">
        <v>21</v>
      </c>
      <c r="K61" s="60" t="s">
        <v>21</v>
      </c>
      <c r="U61" s="61"/>
      <c r="W61" s="51" t="s">
        <v>21</v>
      </c>
      <c r="X61" s="56" t="s">
        <v>21</v>
      </c>
      <c r="Y61" s="57" t="s">
        <v>21</v>
      </c>
      <c r="AE61" s="57"/>
      <c r="AF61" s="57"/>
      <c r="EF61" s="51">
        <v>0.5699999999999994</v>
      </c>
    </row>
    <row r="62" spans="1:136" s="51" customFormat="1" ht="17.25" customHeight="1">
      <c r="J62" s="51" t="s">
        <v>21</v>
      </c>
      <c r="K62" s="60" t="s">
        <v>21</v>
      </c>
      <c r="U62" s="61"/>
      <c r="W62" s="51" t="s">
        <v>21</v>
      </c>
      <c r="X62" s="56" t="s">
        <v>21</v>
      </c>
      <c r="Y62" s="57" t="s">
        <v>21</v>
      </c>
      <c r="AE62" s="57"/>
      <c r="AF62" s="57"/>
      <c r="EF62" s="51">
        <v>0.38</v>
      </c>
    </row>
    <row r="63" spans="1:136" s="51" customFormat="1" ht="17.25" customHeight="1">
      <c r="J63" s="51" t="s">
        <v>21</v>
      </c>
      <c r="K63" s="60" t="s">
        <v>21</v>
      </c>
      <c r="U63" s="61"/>
      <c r="W63" s="51" t="s">
        <v>21</v>
      </c>
      <c r="X63" s="56" t="s">
        <v>21</v>
      </c>
      <c r="Y63" s="57" t="s">
        <v>21</v>
      </c>
      <c r="AE63" s="57"/>
      <c r="AF63" s="57"/>
      <c r="EF63" s="51">
        <v>0.27999999999999936</v>
      </c>
    </row>
    <row r="64" spans="1:136" s="51" customFormat="1" ht="17.25" customHeight="1">
      <c r="J64" s="51" t="s">
        <v>21</v>
      </c>
      <c r="K64" s="60" t="s">
        <v>21</v>
      </c>
      <c r="U64" s="61"/>
      <c r="W64" s="51" t="s">
        <v>21</v>
      </c>
      <c r="X64" s="56" t="s">
        <v>21</v>
      </c>
      <c r="Y64" s="57" t="s">
        <v>21</v>
      </c>
      <c r="AE64" s="57"/>
      <c r="AF64" s="57"/>
      <c r="EF64" s="51">
        <v>0.22</v>
      </c>
    </row>
    <row r="65" spans="10:136" s="51" customFormat="1" ht="17.25" customHeight="1">
      <c r="J65" s="51" t="s">
        <v>21</v>
      </c>
      <c r="K65" s="60" t="s">
        <v>21</v>
      </c>
      <c r="U65" s="61"/>
      <c r="W65" s="51" t="s">
        <v>21</v>
      </c>
      <c r="X65" s="56" t="s">
        <v>21</v>
      </c>
      <c r="Y65" s="57" t="s">
        <v>21</v>
      </c>
      <c r="AE65" s="57"/>
      <c r="AF65" s="57"/>
      <c r="EF65" s="51">
        <v>0.17</v>
      </c>
    </row>
    <row r="66" spans="10:136" s="51" customFormat="1" ht="17.25" customHeight="1">
      <c r="J66" s="51" t="s">
        <v>21</v>
      </c>
      <c r="K66" s="60" t="s">
        <v>21</v>
      </c>
      <c r="U66" s="61"/>
      <c r="W66" s="51" t="s">
        <v>21</v>
      </c>
      <c r="X66" s="56" t="s">
        <v>21</v>
      </c>
      <c r="Y66" s="57" t="s">
        <v>21</v>
      </c>
      <c r="AE66" s="57"/>
      <c r="AF66" s="57"/>
      <c r="EF66" s="51">
        <v>0.13</v>
      </c>
    </row>
    <row r="67" spans="10:136" s="51" customFormat="1" ht="17.25" customHeight="1">
      <c r="J67" s="51" t="s">
        <v>21</v>
      </c>
      <c r="K67" s="60" t="s">
        <v>21</v>
      </c>
      <c r="U67" s="61"/>
      <c r="W67" s="56" t="s">
        <v>21</v>
      </c>
      <c r="X67" s="57" t="s">
        <v>21</v>
      </c>
      <c r="AD67" s="57"/>
      <c r="AE67" s="57"/>
      <c r="ED67" s="51">
        <v>9.9999999999999645E-2</v>
      </c>
    </row>
    <row r="68" spans="10:136" s="51" customFormat="1" ht="17.25" customHeight="1">
      <c r="J68" s="51" t="s">
        <v>21</v>
      </c>
      <c r="K68" s="60" t="s">
        <v>21</v>
      </c>
      <c r="U68" s="61"/>
      <c r="W68" s="51" t="s">
        <v>21</v>
      </c>
      <c r="X68" s="56" t="s">
        <v>21</v>
      </c>
      <c r="Y68" s="57" t="s">
        <v>21</v>
      </c>
      <c r="AE68" s="57"/>
      <c r="AF68" s="57"/>
    </row>
    <row r="69" spans="10:136" s="51" customFormat="1" ht="17.25" customHeight="1">
      <c r="J69" s="51" t="s">
        <v>21</v>
      </c>
      <c r="K69" s="60" t="s">
        <v>21</v>
      </c>
      <c r="U69" s="61"/>
      <c r="W69" s="51" t="s">
        <v>21</v>
      </c>
      <c r="X69" s="56" t="s">
        <v>21</v>
      </c>
      <c r="Y69" s="57" t="s">
        <v>21</v>
      </c>
      <c r="AE69" s="57"/>
      <c r="AF69" s="57"/>
    </row>
    <row r="70" spans="10:136" s="51" customFormat="1" ht="17.25" customHeight="1">
      <c r="J70" s="51" t="s">
        <v>21</v>
      </c>
      <c r="K70" s="60" t="s">
        <v>21</v>
      </c>
      <c r="U70" s="61"/>
      <c r="W70" s="51" t="s">
        <v>21</v>
      </c>
      <c r="X70" s="56" t="s">
        <v>21</v>
      </c>
      <c r="Y70" s="57" t="s">
        <v>21</v>
      </c>
      <c r="AE70" s="57"/>
      <c r="AF70" s="57"/>
    </row>
    <row r="71" spans="10:136" s="51" customFormat="1" ht="17.25" customHeight="1">
      <c r="J71" s="51" t="s">
        <v>21</v>
      </c>
      <c r="K71" s="60" t="s">
        <v>21</v>
      </c>
      <c r="U71" s="61"/>
      <c r="W71" s="51" t="s">
        <v>21</v>
      </c>
      <c r="X71" s="56" t="s">
        <v>21</v>
      </c>
      <c r="Y71" s="57" t="s">
        <v>21</v>
      </c>
      <c r="AE71" s="57"/>
      <c r="AF71" s="57"/>
    </row>
    <row r="72" spans="10:136" s="51" customFormat="1" ht="17.25" customHeight="1">
      <c r="J72" s="51" t="s">
        <v>21</v>
      </c>
      <c r="K72" s="60" t="s">
        <v>21</v>
      </c>
      <c r="U72" s="61"/>
      <c r="W72" s="51" t="s">
        <v>21</v>
      </c>
      <c r="X72" s="56" t="s">
        <v>21</v>
      </c>
      <c r="Y72" s="57" t="s">
        <v>21</v>
      </c>
      <c r="AE72" s="57"/>
      <c r="AF72" s="57"/>
    </row>
    <row r="73" spans="10:136" s="51" customFormat="1" ht="17.25" customHeight="1">
      <c r="J73" s="51" t="s">
        <v>21</v>
      </c>
      <c r="K73" s="60" t="s">
        <v>21</v>
      </c>
      <c r="U73" s="61"/>
      <c r="W73" s="51" t="s">
        <v>21</v>
      </c>
      <c r="X73" s="56" t="s">
        <v>21</v>
      </c>
      <c r="Y73" s="57" t="s">
        <v>21</v>
      </c>
      <c r="AE73" s="57"/>
      <c r="AF73" s="57"/>
    </row>
    <row r="74" spans="10:136" s="51" customFormat="1" ht="17.25" customHeight="1">
      <c r="J74" s="51" t="s">
        <v>21</v>
      </c>
      <c r="U74" s="61"/>
      <c r="W74" s="51" t="s">
        <v>21</v>
      </c>
      <c r="X74" s="56" t="s">
        <v>21</v>
      </c>
      <c r="Y74" s="57" t="s">
        <v>21</v>
      </c>
      <c r="AE74" s="57"/>
      <c r="AF74" s="57"/>
    </row>
    <row r="75" spans="10:136" s="51" customFormat="1" ht="17.25" customHeight="1">
      <c r="J75" s="51" t="s">
        <v>21</v>
      </c>
      <c r="U75" s="61"/>
      <c r="W75" s="51" t="s">
        <v>21</v>
      </c>
      <c r="X75" s="56" t="s">
        <v>21</v>
      </c>
      <c r="Y75" s="57" t="s">
        <v>21</v>
      </c>
      <c r="AE75" s="57"/>
      <c r="AF75" s="57"/>
    </row>
    <row r="76" spans="10:136" s="51" customFormat="1" ht="17.25" customHeight="1">
      <c r="J76" s="51" t="s">
        <v>21</v>
      </c>
      <c r="U76" s="61"/>
      <c r="W76" s="51" t="s">
        <v>21</v>
      </c>
      <c r="X76" s="56" t="s">
        <v>21</v>
      </c>
      <c r="Y76" s="57" t="s">
        <v>21</v>
      </c>
      <c r="AE76" s="57"/>
      <c r="AF76" s="57"/>
    </row>
    <row r="77" spans="10:136" s="51" customFormat="1" ht="17.25" customHeight="1">
      <c r="J77" s="51" t="s">
        <v>21</v>
      </c>
      <c r="U77" s="61"/>
      <c r="W77" s="51" t="s">
        <v>21</v>
      </c>
      <c r="X77" s="56" t="s">
        <v>21</v>
      </c>
      <c r="Y77" s="57" t="s">
        <v>21</v>
      </c>
      <c r="AE77" s="57"/>
      <c r="AF77" s="57"/>
    </row>
    <row r="78" spans="10:136" s="51" customFormat="1" ht="17.25" customHeight="1">
      <c r="J78" s="51" t="s">
        <v>21</v>
      </c>
      <c r="U78" s="61"/>
      <c r="W78" s="51" t="s">
        <v>21</v>
      </c>
      <c r="X78" s="56" t="s">
        <v>21</v>
      </c>
      <c r="Y78" s="57" t="s">
        <v>21</v>
      </c>
      <c r="AE78" s="57"/>
      <c r="AF78" s="57"/>
    </row>
    <row r="79" spans="10:136" s="51" customFormat="1" ht="17.25" customHeight="1">
      <c r="J79" s="51" t="s">
        <v>21</v>
      </c>
      <c r="U79" s="61"/>
      <c r="AE79" s="57"/>
      <c r="AF79" s="57"/>
    </row>
    <row r="80" spans="10:136" s="51" customFormat="1" ht="17.25" customHeight="1">
      <c r="J80" s="51" t="s">
        <v>21</v>
      </c>
      <c r="U80" s="61"/>
      <c r="AE80" s="57"/>
      <c r="AF80" s="57"/>
    </row>
    <row r="81" spans="10:32" s="51" customFormat="1" ht="17.25" customHeight="1">
      <c r="J81" s="51" t="s">
        <v>21</v>
      </c>
      <c r="U81" s="61"/>
      <c r="AE81" s="57"/>
      <c r="AF81" s="57"/>
    </row>
    <row r="82" spans="10:32" s="51" customFormat="1" ht="17.25" customHeight="1">
      <c r="J82" s="51" t="s">
        <v>21</v>
      </c>
      <c r="U82" s="61"/>
      <c r="AE82" s="57"/>
      <c r="AF82" s="57"/>
    </row>
    <row r="83" spans="10:32" s="51" customFormat="1" ht="17.25" customHeight="1">
      <c r="J83" s="51" t="s">
        <v>21</v>
      </c>
      <c r="U83" s="61"/>
      <c r="AE83" s="57"/>
      <c r="AF83" s="57"/>
    </row>
    <row r="84" spans="10:32" s="51" customFormat="1" ht="17.25" customHeight="1">
      <c r="J84" s="51" t="s">
        <v>21</v>
      </c>
      <c r="U84" s="61"/>
      <c r="AE84" s="57"/>
      <c r="AF84" s="57"/>
    </row>
    <row r="85" spans="10:32" s="51" customFormat="1" ht="17.25" customHeight="1">
      <c r="J85" s="51" t="s">
        <v>21</v>
      </c>
      <c r="U85" s="61"/>
      <c r="AE85" s="57"/>
      <c r="AF85" s="57"/>
    </row>
    <row r="86" spans="10:32" s="51" customFormat="1" ht="17.25" customHeight="1">
      <c r="J86" s="51" t="s">
        <v>21</v>
      </c>
      <c r="U86" s="61"/>
      <c r="AE86" s="57"/>
      <c r="AF86" s="57"/>
    </row>
    <row r="87" spans="10:32" s="51" customFormat="1" ht="17.25" customHeight="1">
      <c r="U87" s="61"/>
      <c r="AE87" s="57"/>
      <c r="AF87" s="57"/>
    </row>
    <row r="88" spans="10:32" s="51" customFormat="1" ht="17.25" customHeight="1">
      <c r="U88" s="61"/>
      <c r="AE88" s="57"/>
      <c r="AF88" s="57"/>
    </row>
    <row r="89" spans="10:32" s="51" customFormat="1" ht="17.25" customHeight="1">
      <c r="U89" s="61"/>
      <c r="AE89" s="57"/>
      <c r="AF89" s="57"/>
    </row>
    <row r="90" spans="10:32" s="51" customFormat="1" ht="17.25" customHeight="1">
      <c r="U90" s="61"/>
      <c r="AE90" s="57"/>
      <c r="AF90" s="57"/>
    </row>
    <row r="91" spans="10:32" s="51" customFormat="1" ht="17.25" customHeight="1">
      <c r="U91" s="61"/>
      <c r="AE91" s="57"/>
      <c r="AF91" s="57"/>
    </row>
    <row r="92" spans="10:32" s="51" customFormat="1" ht="17.25" customHeight="1">
      <c r="U92" s="61"/>
      <c r="AE92" s="57"/>
      <c r="AF92" s="57"/>
    </row>
    <row r="93" spans="10:32" s="51" customFormat="1" ht="17.25" customHeight="1">
      <c r="U93" s="61"/>
      <c r="AE93" s="57"/>
      <c r="AF93" s="57"/>
    </row>
    <row r="94" spans="10:32" s="51" customFormat="1" ht="17.25" customHeight="1">
      <c r="U94" s="61"/>
      <c r="AE94" s="57"/>
      <c r="AF94" s="57"/>
    </row>
    <row r="95" spans="10:32" s="51" customFormat="1" ht="17.25" customHeight="1">
      <c r="U95" s="61"/>
      <c r="AE95" s="57"/>
      <c r="AF95" s="57"/>
    </row>
    <row r="96" spans="10:32" s="51" customFormat="1" ht="17.25" customHeight="1">
      <c r="U96" s="61"/>
      <c r="AE96" s="57"/>
      <c r="AF96" s="57"/>
    </row>
    <row r="97" spans="21:32" s="51" customFormat="1" ht="17.25" customHeight="1">
      <c r="U97" s="61"/>
      <c r="AE97" s="57"/>
      <c r="AF97" s="57"/>
    </row>
    <row r="98" spans="21:32" s="51" customFormat="1" ht="17.25" customHeight="1">
      <c r="U98" s="61"/>
      <c r="AE98" s="57"/>
      <c r="AF98" s="57"/>
    </row>
    <row r="99" spans="21:32" s="51" customFormat="1" ht="17.25" customHeight="1">
      <c r="U99" s="61"/>
      <c r="AE99" s="57"/>
      <c r="AF99" s="57"/>
    </row>
    <row r="100" spans="21:32" s="51" customFormat="1" ht="17.25" customHeight="1">
      <c r="U100" s="61"/>
      <c r="AE100" s="57"/>
      <c r="AF100" s="57"/>
    </row>
    <row r="101" spans="21:32" s="51" customFormat="1" ht="17.25" customHeight="1">
      <c r="U101" s="61"/>
      <c r="AE101" s="57"/>
      <c r="AF101" s="57"/>
    </row>
    <row r="102" spans="21:32" s="51" customFormat="1" ht="17.25" customHeight="1">
      <c r="U102" s="61"/>
      <c r="AE102" s="57"/>
      <c r="AF102" s="57"/>
    </row>
    <row r="103" spans="21:32" s="51" customFormat="1" ht="17.25" customHeight="1">
      <c r="U103" s="61"/>
      <c r="AE103" s="57"/>
      <c r="AF103" s="57"/>
    </row>
    <row r="104" spans="21:32" s="51" customFormat="1" ht="17.25" customHeight="1">
      <c r="U104" s="61"/>
      <c r="AE104" s="57"/>
      <c r="AF104" s="57"/>
    </row>
    <row r="105" spans="21:32" s="51" customFormat="1" ht="17.25" customHeight="1">
      <c r="U105" s="61"/>
      <c r="AE105" s="57"/>
      <c r="AF105" s="57"/>
    </row>
    <row r="106" spans="21:32" s="51" customFormat="1" ht="17.25" customHeight="1">
      <c r="U106" s="61"/>
      <c r="AE106" s="57"/>
      <c r="AF106" s="57"/>
    </row>
    <row r="107" spans="21:32" s="51" customFormat="1" ht="17.25" customHeight="1">
      <c r="U107" s="61"/>
      <c r="AE107" s="57"/>
      <c r="AF107" s="57"/>
    </row>
    <row r="108" spans="21:32" s="51" customFormat="1" ht="17.25" customHeight="1">
      <c r="U108" s="61"/>
      <c r="AE108" s="57"/>
      <c r="AF108" s="57"/>
    </row>
    <row r="109" spans="21:32" s="51" customFormat="1" ht="17.25" customHeight="1">
      <c r="U109" s="61"/>
      <c r="AE109" s="57"/>
      <c r="AF109" s="57"/>
    </row>
    <row r="110" spans="21:32" s="51" customFormat="1" ht="17.25" customHeight="1">
      <c r="U110" s="61"/>
      <c r="AE110" s="57"/>
      <c r="AF110" s="57"/>
    </row>
    <row r="111" spans="21:32" s="51" customFormat="1" ht="17.25" customHeight="1">
      <c r="U111" s="61"/>
      <c r="AE111" s="57"/>
      <c r="AF111" s="57"/>
    </row>
    <row r="112" spans="21:32" s="51" customFormat="1" ht="17.25" customHeight="1">
      <c r="U112" s="61"/>
      <c r="AE112" s="57"/>
      <c r="AF112" s="57"/>
    </row>
    <row r="113" spans="21:32" s="51" customFormat="1" ht="17.25" customHeight="1">
      <c r="U113" s="61"/>
      <c r="AE113" s="57"/>
      <c r="AF113" s="57"/>
    </row>
    <row r="114" spans="21:32" s="51" customFormat="1" ht="17.25" customHeight="1">
      <c r="U114" s="61"/>
      <c r="AE114" s="57"/>
      <c r="AF114" s="57"/>
    </row>
    <row r="115" spans="21:32" s="51" customFormat="1" ht="17.25" customHeight="1">
      <c r="U115" s="61"/>
      <c r="AE115" s="57"/>
      <c r="AF115" s="57"/>
    </row>
    <row r="116" spans="21:32" s="51" customFormat="1" ht="17.25" customHeight="1">
      <c r="U116" s="61"/>
      <c r="AE116" s="57"/>
      <c r="AF116" s="57"/>
    </row>
    <row r="117" spans="21:32" s="51" customFormat="1" ht="17.25" customHeight="1">
      <c r="U117" s="61"/>
      <c r="AE117" s="57"/>
      <c r="AF117" s="57"/>
    </row>
    <row r="118" spans="21:32" s="51" customFormat="1" ht="17.25" customHeight="1">
      <c r="U118" s="61"/>
      <c r="AE118" s="57"/>
      <c r="AF118" s="57"/>
    </row>
    <row r="119" spans="21:32" s="51" customFormat="1" ht="17.25" customHeight="1">
      <c r="U119" s="61"/>
      <c r="AE119" s="57"/>
      <c r="AF119" s="57"/>
    </row>
    <row r="120" spans="21:32" s="51" customFormat="1" ht="17.25" customHeight="1">
      <c r="U120" s="61"/>
      <c r="AE120" s="57"/>
      <c r="AF120" s="57"/>
    </row>
    <row r="121" spans="21:32" s="51" customFormat="1" ht="17.25" customHeight="1">
      <c r="U121" s="61"/>
      <c r="AE121" s="57"/>
      <c r="AF121" s="57"/>
    </row>
    <row r="122" spans="21:32" s="51" customFormat="1" ht="17.25" customHeight="1">
      <c r="U122" s="61"/>
      <c r="AE122" s="57"/>
      <c r="AF122" s="57"/>
    </row>
    <row r="123" spans="21:32" s="51" customFormat="1" ht="17.25" customHeight="1">
      <c r="U123" s="61"/>
      <c r="AE123" s="57"/>
      <c r="AF123" s="57"/>
    </row>
    <row r="124" spans="21:32" s="51" customFormat="1" ht="17.25" customHeight="1">
      <c r="U124" s="61"/>
      <c r="AE124" s="57"/>
      <c r="AF124" s="57"/>
    </row>
    <row r="125" spans="21:32" s="51" customFormat="1" ht="17.25" customHeight="1">
      <c r="U125" s="61"/>
      <c r="AE125" s="57"/>
      <c r="AF125" s="57"/>
    </row>
    <row r="126" spans="21:32" s="51" customFormat="1" ht="17.25" customHeight="1">
      <c r="U126" s="61"/>
      <c r="AE126" s="57"/>
      <c r="AF126" s="57"/>
    </row>
    <row r="127" spans="21:32" s="51" customFormat="1" ht="17.25" customHeight="1">
      <c r="U127" s="61"/>
      <c r="AE127" s="57"/>
      <c r="AF127" s="57"/>
    </row>
    <row r="128" spans="21:32" s="51" customFormat="1" ht="17.25" customHeight="1">
      <c r="U128" s="61"/>
      <c r="AE128" s="57"/>
      <c r="AF128" s="57"/>
    </row>
    <row r="129" spans="21:32" s="51" customFormat="1" ht="17.25" customHeight="1">
      <c r="U129" s="61"/>
      <c r="AE129" s="57"/>
      <c r="AF129" s="57"/>
    </row>
    <row r="130" spans="21:32" s="51" customFormat="1" ht="17.25" customHeight="1">
      <c r="U130" s="61"/>
      <c r="AE130" s="57"/>
      <c r="AF130" s="57"/>
    </row>
    <row r="131" spans="21:32" s="51" customFormat="1" ht="17.25" customHeight="1">
      <c r="U131" s="61"/>
      <c r="AE131" s="57"/>
      <c r="AF131" s="57"/>
    </row>
    <row r="132" spans="21:32" s="51" customFormat="1" ht="17.25" customHeight="1">
      <c r="U132" s="61"/>
      <c r="AE132" s="57"/>
      <c r="AF132" s="57"/>
    </row>
    <row r="133" spans="21:32" s="51" customFormat="1" ht="17.25" customHeight="1">
      <c r="U133" s="61"/>
      <c r="AE133" s="57"/>
      <c r="AF133" s="57"/>
    </row>
    <row r="134" spans="21:32" s="51" customFormat="1" ht="17.25" customHeight="1">
      <c r="U134" s="61"/>
      <c r="AE134" s="57"/>
      <c r="AF134" s="57"/>
    </row>
    <row r="135" spans="21:32" s="51" customFormat="1" ht="17.25" customHeight="1">
      <c r="U135" s="61"/>
      <c r="AE135" s="57"/>
      <c r="AF135" s="57"/>
    </row>
    <row r="136" spans="21:32" s="51" customFormat="1" ht="17.25" customHeight="1">
      <c r="U136" s="61"/>
      <c r="AE136" s="57"/>
      <c r="AF136" s="57"/>
    </row>
    <row r="137" spans="21:32" s="51" customFormat="1" ht="17.25" customHeight="1">
      <c r="U137" s="61"/>
      <c r="AE137" s="57"/>
      <c r="AF137" s="57"/>
    </row>
    <row r="138" spans="21:32" s="51" customFormat="1" ht="17.25" customHeight="1">
      <c r="U138" s="61"/>
      <c r="AE138" s="57"/>
      <c r="AF138" s="57"/>
    </row>
    <row r="139" spans="21:32" s="51" customFormat="1" ht="17.25" customHeight="1">
      <c r="U139" s="61"/>
      <c r="AE139" s="57"/>
      <c r="AF139" s="57"/>
    </row>
    <row r="140" spans="21:32" s="51" customFormat="1" ht="17.25" customHeight="1">
      <c r="U140" s="61"/>
      <c r="AE140" s="57"/>
      <c r="AF140" s="57"/>
    </row>
    <row r="141" spans="21:32" s="51" customFormat="1" ht="17.25" customHeight="1">
      <c r="U141" s="61"/>
      <c r="AE141" s="57"/>
      <c r="AF141" s="57"/>
    </row>
    <row r="142" spans="21:32" s="51" customFormat="1" ht="17.25" customHeight="1">
      <c r="U142" s="61"/>
      <c r="AE142" s="57"/>
      <c r="AF142" s="57"/>
    </row>
    <row r="143" spans="21:32" s="51" customFormat="1" ht="17.25" customHeight="1">
      <c r="U143" s="61"/>
      <c r="AE143" s="57"/>
      <c r="AF143" s="57"/>
    </row>
    <row r="144" spans="21:32" s="51" customFormat="1" ht="17.25" customHeight="1">
      <c r="U144" s="61"/>
      <c r="AE144" s="57"/>
      <c r="AF144" s="57"/>
    </row>
    <row r="145" spans="21:32" s="51" customFormat="1" ht="17.25" customHeight="1">
      <c r="U145" s="61"/>
      <c r="AE145" s="57"/>
      <c r="AF145" s="57"/>
    </row>
    <row r="146" spans="21:32" s="51" customFormat="1" ht="17.25" customHeight="1">
      <c r="U146" s="61"/>
      <c r="AE146" s="57"/>
      <c r="AF146" s="57"/>
    </row>
    <row r="147" spans="21:32" s="51" customFormat="1" ht="17.25" customHeight="1">
      <c r="U147" s="61"/>
      <c r="AE147" s="57"/>
      <c r="AF147" s="57"/>
    </row>
    <row r="148" spans="21:32" s="51" customFormat="1" ht="17.25" customHeight="1">
      <c r="U148" s="61"/>
      <c r="AE148" s="57"/>
      <c r="AF148" s="57"/>
    </row>
    <row r="149" spans="21:32" s="51" customFormat="1" ht="17.25" customHeight="1">
      <c r="U149" s="61"/>
      <c r="AE149" s="57"/>
      <c r="AF149" s="57"/>
    </row>
    <row r="150" spans="21:32" s="51" customFormat="1" ht="17.25" customHeight="1">
      <c r="U150" s="61"/>
      <c r="AE150" s="57"/>
      <c r="AF150" s="57"/>
    </row>
    <row r="151" spans="21:32" s="51" customFormat="1" ht="17.25" customHeight="1">
      <c r="U151" s="61"/>
      <c r="AE151" s="57"/>
      <c r="AF151" s="57"/>
    </row>
    <row r="152" spans="21:32" s="51" customFormat="1" ht="17.25" customHeight="1">
      <c r="U152" s="61"/>
      <c r="AE152" s="57"/>
      <c r="AF152" s="57"/>
    </row>
    <row r="153" spans="21:32" s="51" customFormat="1" ht="17.25" customHeight="1">
      <c r="U153" s="61"/>
      <c r="AE153" s="57"/>
      <c r="AF153" s="57"/>
    </row>
    <row r="154" spans="21:32" s="51" customFormat="1" ht="17.25" customHeight="1">
      <c r="U154" s="61"/>
      <c r="AE154" s="57"/>
      <c r="AF154" s="57"/>
    </row>
    <row r="155" spans="21:32" s="51" customFormat="1" ht="17.25" customHeight="1">
      <c r="U155" s="61"/>
      <c r="AE155" s="57"/>
      <c r="AF155" s="57"/>
    </row>
    <row r="156" spans="21:32" s="51" customFormat="1" ht="17.25" customHeight="1">
      <c r="U156" s="61"/>
      <c r="AE156" s="57"/>
      <c r="AF156" s="57"/>
    </row>
    <row r="157" spans="21:32" s="51" customFormat="1" ht="17.25" customHeight="1">
      <c r="U157" s="61"/>
      <c r="AE157" s="57"/>
      <c r="AF157" s="57"/>
    </row>
    <row r="158" spans="21:32" s="51" customFormat="1" ht="17.25" customHeight="1">
      <c r="U158" s="61"/>
      <c r="AE158" s="57"/>
      <c r="AF158" s="57"/>
    </row>
    <row r="159" spans="21:32" s="51" customFormat="1" ht="17.25" customHeight="1">
      <c r="U159" s="61"/>
      <c r="AE159" s="57"/>
      <c r="AF159" s="57"/>
    </row>
    <row r="160" spans="21:32" s="51" customFormat="1" ht="17.25" customHeight="1">
      <c r="U160" s="61"/>
      <c r="AE160" s="57"/>
      <c r="AF160" s="57"/>
    </row>
    <row r="161" spans="21:32" s="51" customFormat="1" ht="17.25" customHeight="1">
      <c r="U161" s="61"/>
      <c r="AE161" s="57"/>
      <c r="AF161" s="57"/>
    </row>
    <row r="162" spans="21:32" s="51" customFormat="1" ht="17.25" customHeight="1">
      <c r="U162" s="61"/>
      <c r="AE162" s="57"/>
      <c r="AF162" s="57"/>
    </row>
    <row r="163" spans="21:32" s="51" customFormat="1" ht="17.25" customHeight="1">
      <c r="U163" s="61"/>
      <c r="AE163" s="57"/>
      <c r="AF163" s="57"/>
    </row>
    <row r="164" spans="21:32" s="51" customFormat="1" ht="17.25" customHeight="1">
      <c r="U164" s="61"/>
      <c r="AE164" s="57"/>
      <c r="AF164" s="57"/>
    </row>
    <row r="165" spans="21:32" s="51" customFormat="1" ht="17.25" customHeight="1">
      <c r="U165" s="61"/>
      <c r="AE165" s="57"/>
      <c r="AF165" s="57"/>
    </row>
    <row r="166" spans="21:32" s="51" customFormat="1" ht="17.25" customHeight="1">
      <c r="U166" s="61"/>
      <c r="AE166" s="57"/>
      <c r="AF166" s="57"/>
    </row>
    <row r="167" spans="21:32" s="51" customFormat="1" ht="17.25" customHeight="1">
      <c r="U167" s="61"/>
      <c r="AE167" s="57"/>
      <c r="AF167" s="57"/>
    </row>
    <row r="168" spans="21:32" s="51" customFormat="1" ht="17.25" customHeight="1">
      <c r="U168" s="61"/>
      <c r="AE168" s="57"/>
      <c r="AF168" s="57"/>
    </row>
    <row r="169" spans="21:32" s="51" customFormat="1" ht="17.25" customHeight="1">
      <c r="U169" s="61"/>
      <c r="AE169" s="57"/>
      <c r="AF169" s="57"/>
    </row>
    <row r="170" spans="21:32" s="51" customFormat="1" ht="17.25" customHeight="1">
      <c r="U170" s="61"/>
      <c r="AE170" s="57"/>
      <c r="AF170" s="57"/>
    </row>
    <row r="171" spans="21:32" s="51" customFormat="1" ht="17.25" customHeight="1">
      <c r="U171" s="61"/>
      <c r="AE171" s="57"/>
      <c r="AF171" s="57"/>
    </row>
    <row r="172" spans="21:32" s="51" customFormat="1" ht="17.25" customHeight="1">
      <c r="U172" s="61"/>
      <c r="AE172" s="57"/>
      <c r="AF172" s="57"/>
    </row>
    <row r="173" spans="21:32" s="51" customFormat="1" ht="17.25" customHeight="1">
      <c r="U173" s="61"/>
      <c r="AE173" s="57"/>
      <c r="AF173" s="57"/>
    </row>
    <row r="174" spans="21:32" s="51" customFormat="1" ht="17.25" customHeight="1">
      <c r="U174" s="61"/>
      <c r="AE174" s="57"/>
      <c r="AF174" s="57"/>
    </row>
    <row r="175" spans="21:32" s="51" customFormat="1" ht="17.25" customHeight="1">
      <c r="U175" s="61"/>
      <c r="AE175" s="57"/>
      <c r="AF175" s="57"/>
    </row>
    <row r="176" spans="21:32" s="51" customFormat="1" ht="17.25" customHeight="1">
      <c r="U176" s="61"/>
      <c r="AE176" s="57"/>
      <c r="AF176" s="57"/>
    </row>
    <row r="177" spans="21:32" s="51" customFormat="1" ht="17.25" customHeight="1">
      <c r="U177" s="61"/>
      <c r="AE177" s="57"/>
      <c r="AF177" s="57"/>
    </row>
    <row r="178" spans="21:32" s="51" customFormat="1" ht="17.25" customHeight="1">
      <c r="U178" s="61"/>
      <c r="AE178" s="57"/>
      <c r="AF178" s="57"/>
    </row>
    <row r="179" spans="21:32" s="51" customFormat="1" ht="17.25" customHeight="1">
      <c r="U179" s="61"/>
      <c r="AE179" s="57"/>
      <c r="AF179" s="57"/>
    </row>
    <row r="180" spans="21:32" s="51" customFormat="1" ht="17.25" customHeight="1">
      <c r="U180" s="61"/>
      <c r="AE180" s="57"/>
      <c r="AF180" s="57"/>
    </row>
    <row r="181" spans="21:32" s="51" customFormat="1" ht="17.25" customHeight="1">
      <c r="U181" s="61"/>
      <c r="AE181" s="57"/>
      <c r="AF181" s="57"/>
    </row>
    <row r="182" spans="21:32" s="51" customFormat="1" ht="17.25" customHeight="1">
      <c r="U182" s="61"/>
      <c r="AE182" s="57"/>
      <c r="AF182" s="57"/>
    </row>
    <row r="183" spans="21:32" s="51" customFormat="1" ht="17.25" customHeight="1">
      <c r="U183" s="61"/>
      <c r="AE183" s="57"/>
      <c r="AF183" s="57"/>
    </row>
    <row r="184" spans="21:32" s="51" customFormat="1" ht="17.25" customHeight="1">
      <c r="U184" s="61"/>
      <c r="AE184" s="57"/>
      <c r="AF184" s="57"/>
    </row>
    <row r="185" spans="21:32" s="51" customFormat="1" ht="17.25" customHeight="1">
      <c r="U185" s="61"/>
      <c r="AE185" s="57"/>
      <c r="AF185" s="57"/>
    </row>
    <row r="186" spans="21:32" s="51" customFormat="1" ht="17.25" customHeight="1">
      <c r="U186" s="61"/>
      <c r="AE186" s="57"/>
      <c r="AF186" s="57"/>
    </row>
    <row r="187" spans="21:32" s="51" customFormat="1" ht="17.25" customHeight="1">
      <c r="U187" s="61"/>
      <c r="AE187" s="57"/>
      <c r="AF187" s="57"/>
    </row>
    <row r="188" spans="21:32" s="51" customFormat="1" ht="17.25" customHeight="1">
      <c r="U188" s="61"/>
      <c r="AE188" s="57"/>
      <c r="AF188" s="57"/>
    </row>
    <row r="189" spans="21:32" s="51" customFormat="1" ht="17.25" customHeight="1">
      <c r="U189" s="61"/>
      <c r="AE189" s="57"/>
      <c r="AF189" s="57"/>
    </row>
    <row r="190" spans="21:32" s="51" customFormat="1" ht="17.25" customHeight="1">
      <c r="U190" s="61"/>
      <c r="AE190" s="57"/>
      <c r="AF190" s="57"/>
    </row>
    <row r="191" spans="21:32" s="51" customFormat="1" ht="17.25" customHeight="1">
      <c r="U191" s="61"/>
      <c r="AE191" s="57"/>
      <c r="AF191" s="57"/>
    </row>
    <row r="192" spans="21:32" s="51" customFormat="1" ht="17.25" customHeight="1">
      <c r="U192" s="61"/>
      <c r="AE192" s="57"/>
      <c r="AF192" s="57"/>
    </row>
    <row r="193" spans="21:32" s="51" customFormat="1" ht="17.25" customHeight="1">
      <c r="U193" s="61"/>
      <c r="AE193" s="57"/>
      <c r="AF193" s="57"/>
    </row>
    <row r="194" spans="21:32" s="51" customFormat="1" ht="17.25" customHeight="1">
      <c r="U194" s="61"/>
      <c r="AE194" s="57"/>
      <c r="AF194" s="57"/>
    </row>
    <row r="195" spans="21:32" s="51" customFormat="1" ht="17.25" customHeight="1">
      <c r="U195" s="61"/>
      <c r="AE195" s="57"/>
      <c r="AF195" s="57"/>
    </row>
    <row r="196" spans="21:32" s="51" customFormat="1" ht="17.25" customHeight="1">
      <c r="U196" s="61"/>
      <c r="AE196" s="57"/>
      <c r="AF196" s="57"/>
    </row>
    <row r="197" spans="21:32" s="51" customFormat="1" ht="17.25" customHeight="1">
      <c r="U197" s="61"/>
      <c r="AE197" s="57"/>
      <c r="AF197" s="57"/>
    </row>
    <row r="198" spans="21:32" s="51" customFormat="1" ht="17.25" customHeight="1">
      <c r="U198" s="61"/>
      <c r="AE198" s="57"/>
      <c r="AF198" s="57"/>
    </row>
    <row r="199" spans="21:32" s="51" customFormat="1" ht="17.25" customHeight="1">
      <c r="U199" s="61"/>
      <c r="AE199" s="57"/>
      <c r="AF199" s="57"/>
    </row>
    <row r="200" spans="21:32" s="51" customFormat="1" ht="17.25" customHeight="1">
      <c r="U200" s="61"/>
      <c r="AE200" s="57"/>
      <c r="AF200" s="57"/>
    </row>
    <row r="201" spans="21:32" s="51" customFormat="1" ht="17.25" customHeight="1">
      <c r="U201" s="61"/>
      <c r="AE201" s="57"/>
      <c r="AF201" s="57"/>
    </row>
    <row r="202" spans="21:32" s="51" customFormat="1" ht="17.25" customHeight="1">
      <c r="U202" s="61"/>
      <c r="AE202" s="57"/>
      <c r="AF202" s="57"/>
    </row>
    <row r="203" spans="21:32" s="51" customFormat="1" ht="17.25" customHeight="1">
      <c r="U203" s="61"/>
      <c r="AE203" s="57"/>
      <c r="AF203" s="57"/>
    </row>
    <row r="204" spans="21:32" s="51" customFormat="1" ht="17.25" customHeight="1">
      <c r="U204" s="61"/>
      <c r="AE204" s="57"/>
      <c r="AF204" s="57"/>
    </row>
    <row r="205" spans="21:32" s="51" customFormat="1" ht="17.25" customHeight="1">
      <c r="U205" s="61"/>
      <c r="AE205" s="57"/>
      <c r="AF205" s="57"/>
    </row>
    <row r="206" spans="21:32" s="51" customFormat="1" ht="17.25" customHeight="1">
      <c r="U206" s="61"/>
      <c r="AE206" s="57"/>
      <c r="AF206" s="57"/>
    </row>
    <row r="207" spans="21:32" s="51" customFormat="1" ht="17.25" customHeight="1">
      <c r="U207" s="61"/>
      <c r="AE207" s="57"/>
      <c r="AF207" s="57"/>
    </row>
    <row r="208" spans="21:32" s="51" customFormat="1" ht="17.25" customHeight="1">
      <c r="U208" s="61"/>
      <c r="AE208" s="57"/>
      <c r="AF208" s="57"/>
    </row>
    <row r="209" spans="21:32" s="51" customFormat="1" ht="17.25" customHeight="1">
      <c r="U209" s="61"/>
      <c r="AE209" s="57"/>
      <c r="AF209" s="57"/>
    </row>
    <row r="210" spans="21:32" s="51" customFormat="1" ht="17.25" customHeight="1">
      <c r="U210" s="61"/>
      <c r="AE210" s="57"/>
      <c r="AF210" s="57"/>
    </row>
    <row r="211" spans="21:32" s="51" customFormat="1" ht="17.25" customHeight="1">
      <c r="U211" s="61"/>
      <c r="AE211" s="57"/>
      <c r="AF211" s="57"/>
    </row>
    <row r="212" spans="21:32" s="51" customFormat="1" ht="17.25" customHeight="1">
      <c r="U212" s="61"/>
      <c r="AE212" s="57"/>
      <c r="AF212" s="57"/>
    </row>
    <row r="213" spans="21:32" s="51" customFormat="1" ht="17.25" customHeight="1">
      <c r="U213" s="61"/>
      <c r="AE213" s="57"/>
      <c r="AF213" s="57"/>
    </row>
    <row r="214" spans="21:32" s="51" customFormat="1" ht="17.25" customHeight="1">
      <c r="U214" s="61"/>
      <c r="AE214" s="57"/>
      <c r="AF214" s="57"/>
    </row>
    <row r="215" spans="21:32" s="51" customFormat="1" ht="17.25" customHeight="1">
      <c r="U215" s="61"/>
      <c r="AE215" s="57"/>
      <c r="AF215" s="57"/>
    </row>
    <row r="216" spans="21:32" s="51" customFormat="1" ht="17.25" customHeight="1">
      <c r="U216" s="61"/>
      <c r="AE216" s="57"/>
      <c r="AF216" s="57"/>
    </row>
    <row r="217" spans="21:32" s="51" customFormat="1" ht="17.25" customHeight="1">
      <c r="U217" s="61"/>
      <c r="AE217" s="57"/>
      <c r="AF217" s="57"/>
    </row>
    <row r="218" spans="21:32" s="51" customFormat="1" ht="17.25" customHeight="1">
      <c r="U218" s="61"/>
      <c r="AE218" s="57"/>
      <c r="AF218" s="57"/>
    </row>
    <row r="219" spans="21:32" s="51" customFormat="1" ht="17.25" customHeight="1">
      <c r="U219" s="61"/>
      <c r="AE219" s="57"/>
      <c r="AF219" s="57"/>
    </row>
    <row r="220" spans="21:32" s="51" customFormat="1" ht="17.25" customHeight="1">
      <c r="U220" s="61"/>
      <c r="AE220" s="57"/>
      <c r="AF220" s="57"/>
    </row>
    <row r="221" spans="21:32" s="51" customFormat="1" ht="17.25" customHeight="1">
      <c r="U221" s="61"/>
      <c r="AE221" s="57"/>
      <c r="AF221" s="57"/>
    </row>
    <row r="222" spans="21:32" s="51" customFormat="1" ht="17.25" customHeight="1">
      <c r="U222" s="61"/>
      <c r="AE222" s="57"/>
      <c r="AF222" s="57"/>
    </row>
    <row r="223" spans="21:32" s="51" customFormat="1" ht="17.25" customHeight="1">
      <c r="U223" s="61"/>
      <c r="AE223" s="57"/>
      <c r="AF223" s="57"/>
    </row>
    <row r="224" spans="21:32" s="51" customFormat="1" ht="17.25" customHeight="1">
      <c r="U224" s="61"/>
      <c r="AE224" s="57"/>
      <c r="AF224" s="57"/>
    </row>
    <row r="225" spans="21:32" s="51" customFormat="1" ht="17.25" customHeight="1">
      <c r="U225" s="61"/>
      <c r="AE225" s="57"/>
      <c r="AF225" s="57"/>
    </row>
    <row r="226" spans="21:32" s="51" customFormat="1" ht="17.25" customHeight="1">
      <c r="U226" s="61"/>
      <c r="AE226" s="57"/>
      <c r="AF226" s="57"/>
    </row>
    <row r="227" spans="21:32" s="51" customFormat="1" ht="17.25" customHeight="1">
      <c r="U227" s="61"/>
      <c r="AE227" s="57"/>
      <c r="AF227" s="57"/>
    </row>
    <row r="228" spans="21:32" s="51" customFormat="1" ht="17.25" customHeight="1">
      <c r="U228" s="61"/>
      <c r="AE228" s="57"/>
      <c r="AF228" s="57"/>
    </row>
    <row r="229" spans="21:32" s="51" customFormat="1" ht="17.25" customHeight="1">
      <c r="U229" s="61"/>
      <c r="AE229" s="57"/>
      <c r="AF229" s="57"/>
    </row>
    <row r="230" spans="21:32" s="51" customFormat="1" ht="17.25" customHeight="1">
      <c r="U230" s="61"/>
      <c r="AE230" s="57"/>
      <c r="AF230" s="57"/>
    </row>
    <row r="231" spans="21:32" s="51" customFormat="1" ht="17.25" customHeight="1">
      <c r="U231" s="61"/>
      <c r="AE231" s="57"/>
      <c r="AF231" s="57"/>
    </row>
    <row r="232" spans="21:32" s="51" customFormat="1" ht="17.25" customHeight="1">
      <c r="U232" s="61"/>
      <c r="AE232" s="57"/>
      <c r="AF232" s="57"/>
    </row>
    <row r="233" spans="21:32" s="51" customFormat="1" ht="17.25" customHeight="1">
      <c r="U233" s="61"/>
      <c r="AE233" s="57"/>
      <c r="AF233" s="57"/>
    </row>
    <row r="234" spans="21:32" s="51" customFormat="1" ht="17.25" customHeight="1">
      <c r="U234" s="61"/>
      <c r="AE234" s="57"/>
      <c r="AF234" s="57"/>
    </row>
    <row r="235" spans="21:32" s="51" customFormat="1" ht="17.25" customHeight="1">
      <c r="U235" s="61"/>
      <c r="AE235" s="57"/>
      <c r="AF235" s="57"/>
    </row>
    <row r="236" spans="21:32" s="51" customFormat="1" ht="17.25" customHeight="1">
      <c r="U236" s="61"/>
      <c r="AE236" s="57"/>
      <c r="AF236" s="57"/>
    </row>
    <row r="237" spans="21:32" s="51" customFormat="1" ht="17.25" customHeight="1">
      <c r="U237" s="61"/>
      <c r="AE237" s="57"/>
      <c r="AF237" s="57"/>
    </row>
    <row r="238" spans="21:32" s="51" customFormat="1" ht="17.25" customHeight="1">
      <c r="U238" s="61"/>
      <c r="AE238" s="57"/>
      <c r="AF238" s="57"/>
    </row>
    <row r="239" spans="21:32" s="51" customFormat="1" ht="17.25" customHeight="1">
      <c r="U239" s="61"/>
      <c r="AE239" s="57"/>
      <c r="AF239" s="57"/>
    </row>
    <row r="240" spans="21:32" s="51" customFormat="1" ht="17.25" customHeight="1">
      <c r="U240" s="61"/>
      <c r="AE240" s="57"/>
      <c r="AF240" s="57"/>
    </row>
    <row r="241" spans="21:32" s="51" customFormat="1" ht="17.25" customHeight="1">
      <c r="U241" s="61"/>
      <c r="AE241" s="57"/>
      <c r="AF241" s="57"/>
    </row>
    <row r="242" spans="21:32" s="51" customFormat="1" ht="17.25" customHeight="1">
      <c r="U242" s="61"/>
      <c r="AE242" s="57"/>
      <c r="AF242" s="57"/>
    </row>
    <row r="243" spans="21:32" s="51" customFormat="1" ht="17.25" customHeight="1">
      <c r="U243" s="61"/>
      <c r="AE243" s="57"/>
      <c r="AF243" s="57"/>
    </row>
    <row r="244" spans="21:32" s="51" customFormat="1" ht="17.25" customHeight="1">
      <c r="U244" s="61"/>
      <c r="AE244" s="57"/>
      <c r="AF244" s="57"/>
    </row>
    <row r="245" spans="21:32" s="51" customFormat="1" ht="17.25" customHeight="1">
      <c r="U245" s="61"/>
      <c r="AE245" s="57"/>
      <c r="AF245" s="57"/>
    </row>
    <row r="246" spans="21:32" s="51" customFormat="1" ht="17.25" customHeight="1">
      <c r="U246" s="61"/>
      <c r="AE246" s="57"/>
      <c r="AF246" s="57"/>
    </row>
    <row r="247" spans="21:32" s="51" customFormat="1" ht="17.25" customHeight="1">
      <c r="U247" s="61"/>
      <c r="AE247" s="57"/>
      <c r="AF247" s="57"/>
    </row>
    <row r="248" spans="21:32" s="51" customFormat="1" ht="17.25" customHeight="1">
      <c r="U248" s="61"/>
      <c r="AE248" s="57"/>
      <c r="AF248" s="57"/>
    </row>
    <row r="249" spans="21:32" s="51" customFormat="1" ht="17.25" customHeight="1">
      <c r="U249" s="61"/>
      <c r="AE249" s="57"/>
      <c r="AF249" s="57"/>
    </row>
    <row r="250" spans="21:32" s="51" customFormat="1" ht="17.25" customHeight="1">
      <c r="U250" s="61"/>
      <c r="AE250" s="57"/>
      <c r="AF250" s="57"/>
    </row>
    <row r="251" spans="21:32" s="51" customFormat="1" ht="17.25" customHeight="1">
      <c r="U251" s="61"/>
      <c r="AE251" s="57"/>
      <c r="AF251" s="57"/>
    </row>
    <row r="252" spans="21:32" s="51" customFormat="1" ht="17.25" customHeight="1">
      <c r="U252" s="61"/>
      <c r="AE252" s="57"/>
      <c r="AF252" s="57"/>
    </row>
    <row r="253" spans="21:32" s="51" customFormat="1" ht="17.25" customHeight="1">
      <c r="U253" s="61"/>
      <c r="AE253" s="57"/>
      <c r="AF253" s="57"/>
    </row>
    <row r="254" spans="21:32" s="51" customFormat="1" ht="17.25" customHeight="1">
      <c r="U254" s="61"/>
      <c r="AE254" s="57"/>
      <c r="AF254" s="57"/>
    </row>
    <row r="255" spans="21:32" s="51" customFormat="1" ht="17.25" customHeight="1">
      <c r="U255" s="61"/>
      <c r="AE255" s="57"/>
      <c r="AF255" s="57"/>
    </row>
    <row r="256" spans="21:32" s="51" customFormat="1" ht="17.25" customHeight="1">
      <c r="U256" s="61"/>
      <c r="AE256" s="57"/>
      <c r="AF256" s="57"/>
    </row>
    <row r="257" spans="21:32" s="51" customFormat="1" ht="17.25" customHeight="1">
      <c r="U257" s="61"/>
      <c r="AE257" s="57"/>
      <c r="AF257" s="57"/>
    </row>
    <row r="258" spans="21:32" s="51" customFormat="1" ht="17.25" customHeight="1">
      <c r="U258" s="61"/>
      <c r="AE258" s="57"/>
      <c r="AF258" s="57"/>
    </row>
    <row r="259" spans="21:32" s="51" customFormat="1" ht="17.25" customHeight="1">
      <c r="U259" s="61"/>
      <c r="AE259" s="57"/>
      <c r="AF259" s="57"/>
    </row>
    <row r="260" spans="21:32" s="51" customFormat="1" ht="17.25" customHeight="1">
      <c r="U260" s="61"/>
      <c r="AE260" s="57"/>
      <c r="AF260" s="57"/>
    </row>
    <row r="261" spans="21:32" s="51" customFormat="1" ht="17.25" customHeight="1">
      <c r="U261" s="61"/>
      <c r="AE261" s="57"/>
      <c r="AF261" s="57"/>
    </row>
    <row r="262" spans="21:32" s="51" customFormat="1" ht="17.25" customHeight="1">
      <c r="U262" s="61"/>
      <c r="AE262" s="57"/>
      <c r="AF262" s="57"/>
    </row>
    <row r="263" spans="21:32" s="51" customFormat="1" ht="17.25" customHeight="1">
      <c r="U263" s="61"/>
      <c r="AE263" s="57"/>
      <c r="AF263" s="57"/>
    </row>
    <row r="264" spans="21:32" s="51" customFormat="1" ht="17.25" customHeight="1">
      <c r="U264" s="61"/>
      <c r="AE264" s="57"/>
      <c r="AF264" s="57"/>
    </row>
    <row r="265" spans="21:32" s="51" customFormat="1" ht="17.25" customHeight="1">
      <c r="U265" s="61"/>
      <c r="AE265" s="57"/>
      <c r="AF265" s="57"/>
    </row>
    <row r="266" spans="21:32" s="51" customFormat="1" ht="17.25" customHeight="1">
      <c r="U266" s="61"/>
      <c r="AE266" s="57"/>
      <c r="AF266" s="57"/>
    </row>
    <row r="267" spans="21:32" s="51" customFormat="1" ht="17.25" customHeight="1">
      <c r="U267" s="61"/>
      <c r="AE267" s="57"/>
      <c r="AF267" s="57"/>
    </row>
    <row r="268" spans="21:32" s="51" customFormat="1" ht="17.25" customHeight="1">
      <c r="U268" s="61"/>
      <c r="AE268" s="57"/>
      <c r="AF268" s="57"/>
    </row>
    <row r="269" spans="21:32" s="51" customFormat="1" ht="17.25" customHeight="1">
      <c r="U269" s="61"/>
      <c r="AE269" s="57"/>
      <c r="AF269" s="57"/>
    </row>
    <row r="270" spans="21:32" s="51" customFormat="1" ht="17.25" customHeight="1">
      <c r="U270" s="61"/>
      <c r="AE270" s="57"/>
      <c r="AF270" s="57"/>
    </row>
    <row r="271" spans="21:32" s="51" customFormat="1" ht="17.25" customHeight="1">
      <c r="U271" s="61"/>
      <c r="AE271" s="57"/>
      <c r="AF271" s="57"/>
    </row>
    <row r="272" spans="21:32" s="51" customFormat="1" ht="17.25" customHeight="1">
      <c r="U272" s="61"/>
      <c r="AE272" s="57"/>
      <c r="AF272" s="57"/>
    </row>
    <row r="273" spans="21:32" s="51" customFormat="1" ht="17.25" customHeight="1">
      <c r="U273" s="61"/>
      <c r="AE273" s="57"/>
      <c r="AF273" s="57"/>
    </row>
    <row r="274" spans="21:32" s="51" customFormat="1" ht="17.25" customHeight="1">
      <c r="U274" s="61"/>
      <c r="AE274" s="57"/>
      <c r="AF274" s="57"/>
    </row>
    <row r="275" spans="21:32" s="51" customFormat="1" ht="17.25" customHeight="1">
      <c r="U275" s="61"/>
      <c r="AE275" s="57"/>
      <c r="AF275" s="57"/>
    </row>
    <row r="276" spans="21:32" s="51" customFormat="1" ht="17.25" customHeight="1">
      <c r="U276" s="61"/>
      <c r="AE276" s="57"/>
      <c r="AF276" s="57"/>
    </row>
    <row r="277" spans="21:32" s="51" customFormat="1" ht="17.25" customHeight="1">
      <c r="U277" s="61"/>
      <c r="AE277" s="57"/>
      <c r="AF277" s="57"/>
    </row>
    <row r="278" spans="21:32" s="51" customFormat="1" ht="17.25" customHeight="1">
      <c r="U278" s="61"/>
      <c r="AE278" s="57"/>
      <c r="AF278" s="57"/>
    </row>
    <row r="279" spans="21:32" s="51" customFormat="1" ht="17.25" customHeight="1">
      <c r="U279" s="61"/>
      <c r="AE279" s="57"/>
      <c r="AF279" s="57"/>
    </row>
    <row r="280" spans="21:32" s="51" customFormat="1" ht="17.25" customHeight="1">
      <c r="U280" s="61"/>
      <c r="AE280" s="57"/>
      <c r="AF280" s="57"/>
    </row>
    <row r="281" spans="21:32" s="51" customFormat="1" ht="17.25" customHeight="1">
      <c r="U281" s="61"/>
      <c r="AE281" s="57"/>
      <c r="AF281" s="57"/>
    </row>
    <row r="282" spans="21:32" s="51" customFormat="1" ht="17.25" customHeight="1">
      <c r="U282" s="61"/>
      <c r="AE282" s="57"/>
      <c r="AF282" s="57"/>
    </row>
    <row r="283" spans="21:32" s="51" customFormat="1" ht="17.25" customHeight="1">
      <c r="U283" s="61"/>
      <c r="AE283" s="57"/>
      <c r="AF283" s="57"/>
    </row>
    <row r="284" spans="21:32" s="51" customFormat="1" ht="17.25" customHeight="1">
      <c r="U284" s="61"/>
      <c r="AE284" s="57"/>
      <c r="AF284" s="57"/>
    </row>
    <row r="285" spans="21:32" s="51" customFormat="1" ht="17.25" customHeight="1">
      <c r="U285" s="61"/>
      <c r="AE285" s="57"/>
      <c r="AF285" s="57"/>
    </row>
    <row r="286" spans="21:32" s="51" customFormat="1" ht="17.25" customHeight="1">
      <c r="U286" s="61"/>
      <c r="AE286" s="57"/>
      <c r="AF286" s="57"/>
    </row>
    <row r="287" spans="21:32" s="51" customFormat="1" ht="17.25" customHeight="1">
      <c r="U287" s="61"/>
      <c r="AE287" s="57"/>
      <c r="AF287" s="57"/>
    </row>
    <row r="288" spans="21:32" s="51" customFormat="1" ht="17.25" customHeight="1">
      <c r="U288" s="61"/>
      <c r="AE288" s="57"/>
      <c r="AF288" s="57"/>
    </row>
    <row r="289" spans="21:32" s="51" customFormat="1" ht="17.25" customHeight="1">
      <c r="U289" s="61"/>
      <c r="AE289" s="57"/>
      <c r="AF289" s="57"/>
    </row>
    <row r="290" spans="21:32" s="51" customFormat="1" ht="17.25" customHeight="1">
      <c r="U290" s="61"/>
      <c r="AE290" s="57"/>
      <c r="AF290" s="57"/>
    </row>
    <row r="291" spans="21:32" s="51" customFormat="1" ht="17.25" customHeight="1">
      <c r="U291" s="61"/>
      <c r="AE291" s="57"/>
      <c r="AF291" s="57"/>
    </row>
    <row r="292" spans="21:32" s="51" customFormat="1" ht="17.25" customHeight="1">
      <c r="U292" s="61"/>
      <c r="AE292" s="57"/>
      <c r="AF292" s="57"/>
    </row>
    <row r="293" spans="21:32" s="51" customFormat="1" ht="17.25" customHeight="1">
      <c r="U293" s="61"/>
      <c r="AE293" s="57"/>
      <c r="AF293" s="57"/>
    </row>
    <row r="294" spans="21:32" s="51" customFormat="1" ht="17.25" customHeight="1">
      <c r="U294" s="61"/>
      <c r="AE294" s="57"/>
      <c r="AF294" s="57"/>
    </row>
    <row r="295" spans="21:32" s="51" customFormat="1" ht="17.25" customHeight="1">
      <c r="U295" s="61"/>
      <c r="AE295" s="57"/>
      <c r="AF295" s="57"/>
    </row>
    <row r="296" spans="21:32" s="51" customFormat="1" ht="17.25" customHeight="1">
      <c r="U296" s="61"/>
      <c r="AE296" s="57"/>
      <c r="AF296" s="57"/>
    </row>
    <row r="297" spans="21:32" s="51" customFormat="1" ht="17.25" customHeight="1">
      <c r="U297" s="61"/>
      <c r="AE297" s="57"/>
      <c r="AF297" s="57"/>
    </row>
    <row r="298" spans="21:32" s="51" customFormat="1" ht="17.25" customHeight="1">
      <c r="U298" s="61"/>
      <c r="AE298" s="57"/>
      <c r="AF298" s="57"/>
    </row>
    <row r="299" spans="21:32" s="51" customFormat="1" ht="17.25" customHeight="1">
      <c r="U299" s="61"/>
      <c r="AE299" s="57"/>
      <c r="AF299" s="57"/>
    </row>
    <row r="300" spans="21:32" s="51" customFormat="1" ht="17.25" customHeight="1">
      <c r="U300" s="61"/>
      <c r="AE300" s="57"/>
      <c r="AF300" s="57"/>
    </row>
    <row r="301" spans="21:32" s="51" customFormat="1" ht="17.25" customHeight="1">
      <c r="U301" s="61"/>
      <c r="AE301" s="57"/>
      <c r="AF301" s="57"/>
    </row>
    <row r="302" spans="21:32" s="51" customFormat="1" ht="17.25" customHeight="1">
      <c r="U302" s="61"/>
      <c r="AE302" s="57"/>
      <c r="AF302" s="57"/>
    </row>
    <row r="303" spans="21:32" s="51" customFormat="1" ht="17.25" customHeight="1">
      <c r="U303" s="61"/>
      <c r="AE303" s="57"/>
      <c r="AF303" s="57"/>
    </row>
    <row r="304" spans="21:32" s="51" customFormat="1" ht="17.25" customHeight="1">
      <c r="U304" s="61"/>
      <c r="AE304" s="57"/>
      <c r="AF304" s="57"/>
    </row>
    <row r="305" spans="21:32" s="51" customFormat="1" ht="17.25" customHeight="1">
      <c r="U305" s="61"/>
      <c r="AE305" s="57"/>
      <c r="AF305" s="57"/>
    </row>
    <row r="306" spans="21:32" s="51" customFormat="1" ht="17.25" customHeight="1">
      <c r="U306" s="61"/>
      <c r="AE306" s="57"/>
      <c r="AF306" s="57"/>
    </row>
    <row r="307" spans="21:32" s="51" customFormat="1" ht="17.25" customHeight="1">
      <c r="U307" s="61"/>
      <c r="AE307" s="57"/>
      <c r="AF307" s="57"/>
    </row>
    <row r="308" spans="21:32" s="51" customFormat="1" ht="17.25" customHeight="1">
      <c r="U308" s="61"/>
      <c r="AE308" s="57"/>
      <c r="AF308" s="57"/>
    </row>
    <row r="309" spans="21:32" s="51" customFormat="1" ht="17.25" customHeight="1">
      <c r="U309" s="61"/>
      <c r="AE309" s="57"/>
      <c r="AF309" s="57"/>
    </row>
    <row r="310" spans="21:32" s="51" customFormat="1" ht="17.25" customHeight="1">
      <c r="U310" s="61"/>
      <c r="AE310" s="57"/>
      <c r="AF310" s="57"/>
    </row>
    <row r="311" spans="21:32" s="51" customFormat="1" ht="17.25" customHeight="1">
      <c r="U311" s="61"/>
      <c r="AE311" s="57"/>
      <c r="AF311" s="57"/>
    </row>
    <row r="312" spans="21:32" s="51" customFormat="1" ht="17.25" customHeight="1">
      <c r="U312" s="61"/>
      <c r="AE312" s="57"/>
      <c r="AF312" s="57"/>
    </row>
    <row r="313" spans="21:32" s="51" customFormat="1" ht="17.25" customHeight="1">
      <c r="U313" s="61"/>
      <c r="AE313" s="57"/>
      <c r="AF313" s="57"/>
    </row>
    <row r="314" spans="21:32" s="51" customFormat="1" ht="17.25" customHeight="1">
      <c r="U314" s="61"/>
      <c r="AE314" s="57"/>
      <c r="AF314" s="57"/>
    </row>
    <row r="315" spans="21:32" s="51" customFormat="1" ht="17.25" customHeight="1">
      <c r="U315" s="61"/>
      <c r="AE315" s="57"/>
      <c r="AF315" s="57"/>
    </row>
    <row r="316" spans="21:32" s="51" customFormat="1" ht="17.25" customHeight="1">
      <c r="U316" s="61"/>
      <c r="AE316" s="57"/>
      <c r="AF316" s="57"/>
    </row>
    <row r="317" spans="21:32" s="51" customFormat="1" ht="17.25" customHeight="1">
      <c r="U317" s="61"/>
      <c r="AE317" s="57"/>
      <c r="AF317" s="57"/>
    </row>
    <row r="318" spans="21:32" s="51" customFormat="1" ht="17.25" customHeight="1">
      <c r="U318" s="61"/>
      <c r="AE318" s="57"/>
      <c r="AF318" s="57"/>
    </row>
    <row r="319" spans="21:32" s="51" customFormat="1" ht="17.25" customHeight="1">
      <c r="U319" s="61"/>
      <c r="AE319" s="57"/>
      <c r="AF319" s="57"/>
    </row>
    <row r="320" spans="21:32" s="51" customFormat="1" ht="17.25" customHeight="1">
      <c r="U320" s="61"/>
      <c r="AE320" s="57"/>
      <c r="AF320" s="57"/>
    </row>
    <row r="321" spans="21:32" s="51" customFormat="1" ht="17.25" customHeight="1">
      <c r="U321" s="61"/>
      <c r="AE321" s="57"/>
      <c r="AF321" s="57"/>
    </row>
    <row r="322" spans="21:32" s="51" customFormat="1" ht="17.25" customHeight="1">
      <c r="U322" s="61"/>
      <c r="AE322" s="57"/>
      <c r="AF322" s="57"/>
    </row>
    <row r="323" spans="21:32" s="51" customFormat="1" ht="17.25" customHeight="1">
      <c r="U323" s="61"/>
      <c r="AE323" s="57"/>
      <c r="AF323" s="57"/>
    </row>
    <row r="324" spans="21:32" s="51" customFormat="1" ht="17.25" customHeight="1">
      <c r="U324" s="61"/>
      <c r="AE324" s="57"/>
      <c r="AF324" s="57"/>
    </row>
    <row r="325" spans="21:32" s="51" customFormat="1" ht="17.25" customHeight="1">
      <c r="U325" s="61"/>
      <c r="AE325" s="57"/>
      <c r="AF325" s="57"/>
    </row>
    <row r="326" spans="21:32" s="51" customFormat="1" ht="17.25" customHeight="1">
      <c r="U326" s="61"/>
      <c r="AE326" s="57"/>
      <c r="AF326" s="57"/>
    </row>
    <row r="327" spans="21:32" s="51" customFormat="1" ht="17.25" customHeight="1">
      <c r="U327" s="61"/>
      <c r="AE327" s="57"/>
      <c r="AF327" s="57"/>
    </row>
    <row r="328" spans="21:32" s="51" customFormat="1" ht="17.25" customHeight="1">
      <c r="U328" s="61"/>
      <c r="AE328" s="57"/>
      <c r="AF328" s="57"/>
    </row>
    <row r="329" spans="21:32" s="51" customFormat="1" ht="17.25" customHeight="1">
      <c r="U329" s="61"/>
      <c r="AE329" s="57"/>
      <c r="AF329" s="57"/>
    </row>
    <row r="330" spans="21:32" s="51" customFormat="1" ht="17.25" customHeight="1">
      <c r="U330" s="61"/>
      <c r="AE330" s="57"/>
      <c r="AF330" s="57"/>
    </row>
    <row r="331" spans="21:32" s="51" customFormat="1" ht="17.25" customHeight="1">
      <c r="U331" s="61"/>
      <c r="AE331" s="57"/>
      <c r="AF331" s="57"/>
    </row>
    <row r="332" spans="21:32" s="51" customFormat="1" ht="17.25" customHeight="1">
      <c r="U332" s="61"/>
      <c r="AE332" s="57"/>
      <c r="AF332" s="57"/>
    </row>
    <row r="333" spans="21:32" s="51" customFormat="1" ht="17.25" customHeight="1">
      <c r="U333" s="61"/>
      <c r="AE333" s="57"/>
      <c r="AF333" s="57"/>
    </row>
    <row r="334" spans="21:32" s="51" customFormat="1" ht="17.25" customHeight="1">
      <c r="U334" s="61"/>
      <c r="AE334" s="57"/>
      <c r="AF334" s="57"/>
    </row>
    <row r="335" spans="21:32" s="51" customFormat="1" ht="17.25" customHeight="1">
      <c r="U335" s="61"/>
      <c r="AE335" s="57"/>
      <c r="AF335" s="57"/>
    </row>
    <row r="336" spans="21:32" s="51" customFormat="1" ht="17.25" customHeight="1">
      <c r="U336" s="61"/>
      <c r="AE336" s="57"/>
      <c r="AF336" s="57"/>
    </row>
    <row r="337" spans="21:32" s="51" customFormat="1" ht="17.25" customHeight="1">
      <c r="U337" s="61"/>
      <c r="AE337" s="57"/>
      <c r="AF337" s="57"/>
    </row>
    <row r="338" spans="21:32" s="51" customFormat="1" ht="17.25" customHeight="1">
      <c r="U338" s="61"/>
      <c r="AE338" s="57"/>
      <c r="AF338" s="57"/>
    </row>
    <row r="339" spans="21:32" s="51" customFormat="1" ht="17.25" customHeight="1">
      <c r="U339" s="61"/>
      <c r="AE339" s="57"/>
      <c r="AF339" s="57"/>
    </row>
    <row r="340" spans="21:32" s="51" customFormat="1" ht="17.25" customHeight="1">
      <c r="U340" s="61"/>
      <c r="AE340" s="57"/>
      <c r="AF340" s="57"/>
    </row>
    <row r="341" spans="21:32" s="51" customFormat="1" ht="17.25" customHeight="1">
      <c r="U341" s="61"/>
      <c r="AE341" s="57"/>
      <c r="AF341" s="57"/>
    </row>
    <row r="342" spans="21:32" s="51" customFormat="1" ht="17.25" customHeight="1">
      <c r="U342" s="61"/>
      <c r="AE342" s="57"/>
      <c r="AF342" s="57"/>
    </row>
    <row r="343" spans="21:32" s="51" customFormat="1" ht="17.25" customHeight="1">
      <c r="U343" s="61"/>
      <c r="AE343" s="57"/>
      <c r="AF343" s="57"/>
    </row>
    <row r="344" spans="21:32" s="51" customFormat="1" ht="17.25" customHeight="1">
      <c r="U344" s="61"/>
      <c r="AE344" s="57"/>
      <c r="AF344" s="57"/>
    </row>
    <row r="345" spans="21:32" s="51" customFormat="1" ht="17.25" customHeight="1">
      <c r="U345" s="61"/>
      <c r="AE345" s="57"/>
      <c r="AF345" s="57"/>
    </row>
    <row r="346" spans="21:32" s="51" customFormat="1" ht="17.25" customHeight="1">
      <c r="U346" s="61"/>
      <c r="AE346" s="57"/>
      <c r="AF346" s="57"/>
    </row>
    <row r="347" spans="21:32" s="51" customFormat="1" ht="17.25" customHeight="1">
      <c r="U347" s="61"/>
      <c r="AE347" s="57"/>
      <c r="AF347" s="57"/>
    </row>
    <row r="348" spans="21:32" s="51" customFormat="1" ht="17.25" customHeight="1">
      <c r="U348" s="61"/>
      <c r="AE348" s="57"/>
      <c r="AF348" s="57"/>
    </row>
    <row r="349" spans="21:32" s="51" customFormat="1" ht="17.25" customHeight="1">
      <c r="U349" s="61"/>
      <c r="AE349" s="57"/>
      <c r="AF349" s="57"/>
    </row>
    <row r="350" spans="21:32" s="51" customFormat="1" ht="17.25" customHeight="1">
      <c r="U350" s="61"/>
      <c r="AE350" s="57"/>
      <c r="AF350" s="57"/>
    </row>
    <row r="351" spans="21:32" s="51" customFormat="1" ht="17.25" customHeight="1">
      <c r="U351" s="61"/>
      <c r="AE351" s="57"/>
      <c r="AF351" s="57"/>
    </row>
    <row r="352" spans="21:32" s="51" customFormat="1" ht="17.25" customHeight="1">
      <c r="U352" s="61"/>
      <c r="AE352" s="57"/>
      <c r="AF352" s="57"/>
    </row>
    <row r="353" spans="21:32" s="51" customFormat="1" ht="17.25" customHeight="1">
      <c r="U353" s="61"/>
      <c r="AE353" s="57"/>
      <c r="AF353" s="57"/>
    </row>
    <row r="354" spans="21:32" s="51" customFormat="1" ht="17.25" customHeight="1">
      <c r="U354" s="61"/>
      <c r="AE354" s="57"/>
      <c r="AF354" s="57"/>
    </row>
    <row r="355" spans="21:32" s="51" customFormat="1" ht="17.25" customHeight="1">
      <c r="U355" s="61"/>
      <c r="AE355" s="57"/>
      <c r="AF355" s="57"/>
    </row>
    <row r="356" spans="21:32" s="51" customFormat="1" ht="17.25" customHeight="1">
      <c r="U356" s="61"/>
      <c r="AE356" s="57"/>
      <c r="AF356" s="57"/>
    </row>
    <row r="357" spans="21:32" s="51" customFormat="1" ht="17.25" customHeight="1">
      <c r="U357" s="61"/>
      <c r="AE357" s="57"/>
      <c r="AF357" s="57"/>
    </row>
    <row r="358" spans="21:32" s="51" customFormat="1" ht="17.25" customHeight="1">
      <c r="U358" s="61"/>
      <c r="AE358" s="57"/>
      <c r="AF358" s="57"/>
    </row>
    <row r="359" spans="21:32" s="51" customFormat="1" ht="17.25" customHeight="1">
      <c r="U359" s="61"/>
      <c r="AE359" s="57"/>
      <c r="AF359" s="57"/>
    </row>
    <row r="360" spans="21:32" s="51" customFormat="1" ht="17.25" customHeight="1">
      <c r="U360" s="61"/>
      <c r="AE360" s="57"/>
      <c r="AF360" s="57"/>
    </row>
    <row r="361" spans="21:32" s="51" customFormat="1" ht="17.25" customHeight="1">
      <c r="U361" s="61"/>
      <c r="AE361" s="57"/>
      <c r="AF361" s="57"/>
    </row>
    <row r="362" spans="21:32" s="51" customFormat="1" ht="17.25" customHeight="1">
      <c r="U362" s="61"/>
      <c r="AE362" s="57"/>
      <c r="AF362" s="57"/>
    </row>
    <row r="363" spans="21:32" s="51" customFormat="1" ht="17.25" customHeight="1">
      <c r="U363" s="61"/>
      <c r="AE363" s="57"/>
      <c r="AF363" s="57"/>
    </row>
    <row r="364" spans="21:32" s="51" customFormat="1" ht="17.25" customHeight="1">
      <c r="U364" s="61"/>
      <c r="AE364" s="57"/>
      <c r="AF364" s="57"/>
    </row>
    <row r="365" spans="21:32" s="51" customFormat="1" ht="17.25" customHeight="1">
      <c r="U365" s="61"/>
      <c r="AE365" s="57"/>
      <c r="AF365" s="57"/>
    </row>
    <row r="366" spans="21:32" s="51" customFormat="1" ht="17.25" customHeight="1">
      <c r="U366" s="61"/>
      <c r="AE366" s="57"/>
      <c r="AF366" s="57"/>
    </row>
    <row r="367" spans="21:32" s="51" customFormat="1" ht="17.25" customHeight="1">
      <c r="U367" s="61"/>
      <c r="AE367" s="57"/>
      <c r="AF367" s="57"/>
    </row>
    <row r="368" spans="21:32" s="51" customFormat="1" ht="17.25" customHeight="1">
      <c r="U368" s="61"/>
      <c r="AE368" s="57"/>
      <c r="AF368" s="57"/>
    </row>
    <row r="369" spans="21:32" s="51" customFormat="1" ht="17.25" customHeight="1">
      <c r="U369" s="61"/>
      <c r="AE369" s="57"/>
      <c r="AF369" s="57"/>
    </row>
    <row r="370" spans="21:32" s="51" customFormat="1" ht="17.25" customHeight="1">
      <c r="U370" s="61"/>
      <c r="AE370" s="57"/>
      <c r="AF370" s="57"/>
    </row>
    <row r="371" spans="21:32" s="51" customFormat="1" ht="17.25" customHeight="1">
      <c r="U371" s="61"/>
      <c r="AE371" s="57"/>
      <c r="AF371" s="57"/>
    </row>
    <row r="372" spans="21:32" s="51" customFormat="1" ht="17.25" customHeight="1">
      <c r="U372" s="61"/>
      <c r="AE372" s="57"/>
      <c r="AF372" s="57"/>
    </row>
    <row r="373" spans="21:32" s="51" customFormat="1" ht="17.25" customHeight="1">
      <c r="U373" s="61"/>
      <c r="AE373" s="57"/>
      <c r="AF373" s="57"/>
    </row>
    <row r="374" spans="21:32" s="51" customFormat="1" ht="17.25" customHeight="1">
      <c r="U374" s="61"/>
      <c r="AE374" s="57"/>
      <c r="AF374" s="57"/>
    </row>
    <row r="375" spans="21:32" s="51" customFormat="1" ht="17.25" customHeight="1">
      <c r="U375" s="61"/>
      <c r="AE375" s="57"/>
      <c r="AF375" s="57"/>
    </row>
    <row r="376" spans="21:32" s="51" customFormat="1" ht="17.25" customHeight="1">
      <c r="U376" s="61"/>
      <c r="AE376" s="57"/>
      <c r="AF376" s="57"/>
    </row>
    <row r="377" spans="21:32" s="51" customFormat="1" ht="17.25" customHeight="1">
      <c r="U377" s="61"/>
      <c r="AE377" s="57"/>
      <c r="AF377" s="57"/>
    </row>
    <row r="378" spans="21:32" s="51" customFormat="1" ht="17.25" customHeight="1">
      <c r="U378" s="61"/>
      <c r="AE378" s="57"/>
      <c r="AF378" s="57"/>
    </row>
    <row r="379" spans="21:32" s="51" customFormat="1" ht="17.25" customHeight="1">
      <c r="U379" s="61"/>
      <c r="AE379" s="57"/>
      <c r="AF379" s="57"/>
    </row>
    <row r="380" spans="21:32" s="51" customFormat="1" ht="17.25" customHeight="1">
      <c r="U380" s="61"/>
      <c r="AE380" s="57"/>
      <c r="AF380" s="57"/>
    </row>
    <row r="381" spans="21:32" s="51" customFormat="1" ht="17.25" customHeight="1">
      <c r="U381" s="61"/>
      <c r="AE381" s="57"/>
      <c r="AF381" s="57"/>
    </row>
    <row r="382" spans="21:32" s="51" customFormat="1" ht="17.25" customHeight="1">
      <c r="U382" s="61"/>
      <c r="AE382" s="57"/>
      <c r="AF382" s="57"/>
    </row>
    <row r="383" spans="21:32" s="51" customFormat="1" ht="17.25" customHeight="1">
      <c r="U383" s="61"/>
      <c r="AE383" s="57"/>
      <c r="AF383" s="57"/>
    </row>
    <row r="384" spans="21:32" s="51" customFormat="1" ht="17.25" customHeight="1">
      <c r="U384" s="61"/>
      <c r="AE384" s="57"/>
      <c r="AF384" s="57"/>
    </row>
    <row r="385" spans="21:32" s="51" customFormat="1" ht="17.25" customHeight="1">
      <c r="U385" s="61"/>
      <c r="AE385" s="57"/>
      <c r="AF385" s="57"/>
    </row>
    <row r="386" spans="21:32" s="51" customFormat="1" ht="17.25" customHeight="1">
      <c r="U386" s="61"/>
      <c r="AE386" s="57"/>
      <c r="AF386" s="57"/>
    </row>
    <row r="387" spans="21:32" s="51" customFormat="1" ht="17.25" customHeight="1">
      <c r="U387" s="61"/>
      <c r="AE387" s="57"/>
      <c r="AF387" s="57"/>
    </row>
    <row r="388" spans="21:32" s="51" customFormat="1" ht="17.25" customHeight="1">
      <c r="U388" s="61"/>
      <c r="AE388" s="57"/>
      <c r="AF388" s="57"/>
    </row>
    <row r="389" spans="21:32" s="51" customFormat="1" ht="17.25" customHeight="1">
      <c r="U389" s="61"/>
      <c r="AE389" s="57"/>
      <c r="AF389" s="57"/>
    </row>
    <row r="390" spans="21:32" s="51" customFormat="1" ht="17.25" customHeight="1">
      <c r="U390" s="61"/>
      <c r="AE390" s="57"/>
      <c r="AF390" s="57"/>
    </row>
    <row r="391" spans="21:32" s="51" customFormat="1" ht="17.25" customHeight="1">
      <c r="U391" s="61"/>
      <c r="AE391" s="57"/>
      <c r="AF391" s="57"/>
    </row>
    <row r="392" spans="21:32" s="51" customFormat="1" ht="17.25" customHeight="1">
      <c r="U392" s="61"/>
      <c r="AE392" s="57"/>
      <c r="AF392" s="57"/>
    </row>
    <row r="393" spans="21:32" s="51" customFormat="1" ht="17.25" customHeight="1">
      <c r="U393" s="61"/>
      <c r="AE393" s="57"/>
      <c r="AF393" s="57"/>
    </row>
    <row r="394" spans="21:32" s="51" customFormat="1" ht="17.25" customHeight="1">
      <c r="U394" s="61"/>
      <c r="AE394" s="57"/>
      <c r="AF394" s="57"/>
    </row>
    <row r="395" spans="21:32" s="51" customFormat="1" ht="17.25" customHeight="1">
      <c r="U395" s="61"/>
      <c r="AE395" s="57"/>
      <c r="AF395" s="57"/>
    </row>
    <row r="396" spans="21:32" s="51" customFormat="1" ht="17.25" customHeight="1">
      <c r="U396" s="61"/>
      <c r="AE396" s="57"/>
      <c r="AF396" s="57"/>
    </row>
    <row r="397" spans="21:32" s="51" customFormat="1" ht="17.25" customHeight="1">
      <c r="U397" s="61"/>
      <c r="AE397" s="57"/>
      <c r="AF397" s="57"/>
    </row>
    <row r="398" spans="21:32" s="51" customFormat="1" ht="17.25" customHeight="1">
      <c r="U398" s="61"/>
      <c r="AE398" s="57"/>
      <c r="AF398" s="57"/>
    </row>
    <row r="399" spans="21:32" s="51" customFormat="1" ht="17.25" customHeight="1">
      <c r="U399" s="61"/>
      <c r="AE399" s="57"/>
      <c r="AF399" s="57"/>
    </row>
    <row r="400" spans="21:32" s="51" customFormat="1" ht="17.25" customHeight="1">
      <c r="U400" s="61"/>
      <c r="AE400" s="57"/>
      <c r="AF400" s="57"/>
    </row>
    <row r="401" spans="21:32" s="51" customFormat="1" ht="17.25" customHeight="1">
      <c r="U401" s="61"/>
      <c r="AE401" s="57"/>
      <c r="AF401" s="57"/>
    </row>
    <row r="402" spans="21:32" s="51" customFormat="1" ht="17.25" customHeight="1">
      <c r="U402" s="61"/>
      <c r="AE402" s="57"/>
      <c r="AF402" s="57"/>
    </row>
    <row r="403" spans="21:32" s="51" customFormat="1" ht="17.25" customHeight="1">
      <c r="U403" s="61"/>
      <c r="AE403" s="57"/>
      <c r="AF403" s="57"/>
    </row>
    <row r="404" spans="21:32" s="51" customFormat="1" ht="17.25" customHeight="1">
      <c r="U404" s="61"/>
      <c r="AE404" s="57"/>
      <c r="AF404" s="57"/>
    </row>
    <row r="405" spans="21:32" s="51" customFormat="1" ht="17.25" customHeight="1">
      <c r="U405" s="61"/>
      <c r="AE405" s="57"/>
      <c r="AF405" s="57"/>
    </row>
    <row r="406" spans="21:32" s="51" customFormat="1" ht="17.25" customHeight="1">
      <c r="U406" s="61"/>
      <c r="AE406" s="57"/>
      <c r="AF406" s="57"/>
    </row>
    <row r="407" spans="21:32" s="51" customFormat="1" ht="17.25" customHeight="1">
      <c r="U407" s="61"/>
      <c r="AE407" s="57"/>
      <c r="AF407" s="57"/>
    </row>
    <row r="408" spans="21:32" s="51" customFormat="1" ht="17.25" customHeight="1">
      <c r="U408" s="61"/>
      <c r="AE408" s="57"/>
      <c r="AF408" s="57"/>
    </row>
    <row r="409" spans="21:32" s="51" customFormat="1" ht="17.25" customHeight="1">
      <c r="U409" s="61"/>
      <c r="AE409" s="57"/>
      <c r="AF409" s="57"/>
    </row>
    <row r="410" spans="21:32" s="51" customFormat="1" ht="17.25" customHeight="1">
      <c r="U410" s="61"/>
      <c r="AE410" s="57"/>
      <c r="AF410" s="57"/>
    </row>
    <row r="411" spans="21:32" s="51" customFormat="1" ht="17.25" customHeight="1">
      <c r="U411" s="61"/>
      <c r="AE411" s="57"/>
      <c r="AF411" s="57"/>
    </row>
    <row r="412" spans="21:32" s="51" customFormat="1" ht="17.25" customHeight="1">
      <c r="U412" s="61"/>
      <c r="AE412" s="57"/>
      <c r="AF412" s="57"/>
    </row>
    <row r="413" spans="21:32" s="51" customFormat="1" ht="17.25" customHeight="1">
      <c r="U413" s="61"/>
      <c r="AE413" s="57"/>
      <c r="AF413" s="57"/>
    </row>
    <row r="414" spans="21:32" s="51" customFormat="1" ht="17.25" customHeight="1">
      <c r="U414" s="61"/>
      <c r="AE414" s="57"/>
      <c r="AF414" s="57"/>
    </row>
    <row r="415" spans="21:32" s="51" customFormat="1" ht="12">
      <c r="U415" s="61"/>
      <c r="AE415" s="57"/>
      <c r="AF415" s="57"/>
    </row>
    <row r="416" spans="21:32" s="51" customFormat="1" ht="12">
      <c r="U416" s="61"/>
      <c r="AE416" s="57"/>
      <c r="AF416" s="57"/>
    </row>
    <row r="417" spans="21:32" s="51" customFormat="1" ht="12">
      <c r="U417" s="61"/>
      <c r="AE417" s="57"/>
      <c r="AF417" s="57"/>
    </row>
    <row r="418" spans="21:32" s="51" customFormat="1" ht="12">
      <c r="U418" s="61"/>
      <c r="AE418" s="57"/>
      <c r="AF418" s="57"/>
    </row>
    <row r="419" spans="21:32" s="51" customFormat="1" ht="12">
      <c r="U419" s="61"/>
      <c r="AE419" s="57"/>
      <c r="AF419" s="57"/>
    </row>
    <row r="420" spans="21:32" s="51" customFormat="1" ht="12">
      <c r="U420" s="61"/>
      <c r="AE420" s="57"/>
      <c r="AF420" s="57"/>
    </row>
    <row r="421" spans="21:32" s="51" customFormat="1" ht="12">
      <c r="U421" s="61"/>
      <c r="AE421" s="57"/>
      <c r="AF421" s="57"/>
    </row>
    <row r="422" spans="21:32" s="51" customFormat="1" ht="12">
      <c r="U422" s="61"/>
      <c r="AE422" s="57"/>
      <c r="AF422" s="57"/>
    </row>
    <row r="423" spans="21:32" s="51" customFormat="1" ht="12">
      <c r="U423" s="61"/>
      <c r="AE423" s="57"/>
      <c r="AF423" s="57"/>
    </row>
    <row r="424" spans="21:32" s="51" customFormat="1" ht="12">
      <c r="U424" s="61"/>
      <c r="AE424" s="57"/>
      <c r="AF424" s="57"/>
    </row>
    <row r="425" spans="21:32" s="51" customFormat="1" ht="12">
      <c r="U425" s="61"/>
      <c r="AE425" s="57"/>
      <c r="AF425" s="57"/>
    </row>
    <row r="426" spans="21:32" s="51" customFormat="1" ht="12">
      <c r="U426" s="61"/>
      <c r="AE426" s="57"/>
      <c r="AF426" s="57"/>
    </row>
    <row r="427" spans="21:32" s="51" customFormat="1" ht="12">
      <c r="U427" s="61"/>
      <c r="AE427" s="57"/>
      <c r="AF427" s="57"/>
    </row>
    <row r="428" spans="21:32" s="51" customFormat="1" ht="12">
      <c r="U428" s="61"/>
      <c r="AE428" s="57"/>
      <c r="AF428" s="57"/>
    </row>
    <row r="429" spans="21:32" s="51" customFormat="1" ht="12">
      <c r="U429" s="61"/>
      <c r="AE429" s="57"/>
      <c r="AF429" s="57"/>
    </row>
    <row r="430" spans="21:32" s="51" customFormat="1" ht="12">
      <c r="U430" s="61"/>
      <c r="AE430" s="57"/>
      <c r="AF430" s="57"/>
    </row>
    <row r="431" spans="21:32" s="51" customFormat="1" ht="12">
      <c r="U431" s="61"/>
      <c r="AE431" s="57"/>
      <c r="AF431" s="57"/>
    </row>
    <row r="432" spans="21:32" s="51" customFormat="1" ht="12">
      <c r="U432" s="61"/>
      <c r="AE432" s="57"/>
      <c r="AF432" s="57"/>
    </row>
    <row r="433" spans="21:32" s="51" customFormat="1" ht="12">
      <c r="U433" s="61"/>
      <c r="AE433" s="57"/>
      <c r="AF433" s="57"/>
    </row>
    <row r="434" spans="21:32" s="51" customFormat="1" ht="12">
      <c r="U434" s="61"/>
      <c r="AE434" s="57"/>
      <c r="AF434" s="57"/>
    </row>
    <row r="435" spans="21:32" s="51" customFormat="1" ht="12">
      <c r="U435" s="61"/>
      <c r="AE435" s="57"/>
      <c r="AF435" s="57"/>
    </row>
    <row r="436" spans="21:32" s="51" customFormat="1" ht="12">
      <c r="U436" s="61"/>
      <c r="AE436" s="57"/>
      <c r="AF436" s="57"/>
    </row>
    <row r="437" spans="21:32" s="51" customFormat="1" ht="12">
      <c r="U437" s="61"/>
      <c r="AE437" s="57"/>
      <c r="AF437" s="57"/>
    </row>
    <row r="438" spans="21:32" s="51" customFormat="1" ht="12">
      <c r="U438" s="61"/>
      <c r="AE438" s="57"/>
      <c r="AF438" s="57"/>
    </row>
    <row r="439" spans="21:32" s="51" customFormat="1" ht="12">
      <c r="U439" s="61"/>
      <c r="AE439" s="57"/>
      <c r="AF439" s="57"/>
    </row>
    <row r="440" spans="21:32" s="51" customFormat="1" ht="12">
      <c r="U440" s="61"/>
      <c r="AE440" s="57"/>
      <c r="AF440" s="57"/>
    </row>
    <row r="441" spans="21:32" s="51" customFormat="1" ht="12">
      <c r="U441" s="61"/>
      <c r="AE441" s="57"/>
      <c r="AF441" s="57"/>
    </row>
    <row r="442" spans="21:32" s="51" customFormat="1" ht="12">
      <c r="U442" s="61"/>
      <c r="AE442" s="57"/>
      <c r="AF442" s="57"/>
    </row>
    <row r="443" spans="21:32" s="51" customFormat="1" ht="12">
      <c r="U443" s="61"/>
      <c r="AE443" s="57"/>
      <c r="AF443" s="57"/>
    </row>
    <row r="444" spans="21:32" s="51" customFormat="1" ht="12">
      <c r="U444" s="61"/>
      <c r="AE444" s="57"/>
      <c r="AF444" s="57"/>
    </row>
    <row r="445" spans="21:32" s="51" customFormat="1" ht="12">
      <c r="U445" s="61"/>
      <c r="AE445" s="57"/>
      <c r="AF445" s="57"/>
    </row>
    <row r="446" spans="21:32" s="51" customFormat="1" ht="12">
      <c r="U446" s="61"/>
      <c r="AE446" s="57"/>
      <c r="AF446" s="57"/>
    </row>
    <row r="447" spans="21:32" s="51" customFormat="1" ht="12">
      <c r="U447" s="61"/>
      <c r="AE447" s="57"/>
      <c r="AF447" s="57"/>
    </row>
    <row r="448" spans="21:32" s="51" customFormat="1" ht="12">
      <c r="U448" s="61"/>
      <c r="AE448" s="57"/>
      <c r="AF448" s="57"/>
    </row>
    <row r="449" spans="21:32" s="51" customFormat="1" ht="12">
      <c r="U449" s="61"/>
      <c r="AE449" s="57"/>
      <c r="AF449" s="57"/>
    </row>
    <row r="450" spans="21:32" s="51" customFormat="1" ht="12">
      <c r="U450" s="61"/>
      <c r="AE450" s="57"/>
      <c r="AF450" s="57"/>
    </row>
    <row r="451" spans="21:32" s="51" customFormat="1" ht="12">
      <c r="U451" s="61"/>
      <c r="AE451" s="57"/>
      <c r="AF451" s="57"/>
    </row>
    <row r="452" spans="21:32" s="51" customFormat="1" ht="12">
      <c r="U452" s="61"/>
      <c r="AE452" s="57"/>
      <c r="AF452" s="57"/>
    </row>
    <row r="453" spans="21:32" s="51" customFormat="1" ht="12">
      <c r="U453" s="61"/>
      <c r="AE453" s="57"/>
      <c r="AF453" s="57"/>
    </row>
    <row r="454" spans="21:32" s="51" customFormat="1" ht="12">
      <c r="U454" s="61"/>
      <c r="AE454" s="57"/>
      <c r="AF454" s="57"/>
    </row>
    <row r="455" spans="21:32" s="51" customFormat="1" ht="12">
      <c r="U455" s="61"/>
      <c r="AE455" s="57"/>
      <c r="AF455" s="57"/>
    </row>
    <row r="456" spans="21:32" s="51" customFormat="1" ht="12">
      <c r="U456" s="61"/>
      <c r="AE456" s="57"/>
      <c r="AF456" s="57"/>
    </row>
    <row r="457" spans="21:32" s="51" customFormat="1" ht="12">
      <c r="U457" s="61"/>
      <c r="AE457" s="57"/>
      <c r="AF457" s="57"/>
    </row>
    <row r="458" spans="21:32" s="51" customFormat="1" ht="12">
      <c r="U458" s="61"/>
      <c r="AE458" s="57"/>
      <c r="AF458" s="57"/>
    </row>
    <row r="459" spans="21:32" s="51" customFormat="1" ht="12">
      <c r="U459" s="61"/>
      <c r="AE459" s="57"/>
      <c r="AF459" s="57"/>
    </row>
    <row r="460" spans="21:32" s="51" customFormat="1" ht="12">
      <c r="U460" s="61"/>
      <c r="AE460" s="57"/>
      <c r="AF460" s="57"/>
    </row>
    <row r="461" spans="21:32" s="51" customFormat="1" ht="12">
      <c r="U461" s="61"/>
      <c r="AE461" s="57"/>
      <c r="AF461" s="57"/>
    </row>
    <row r="462" spans="21:32" s="51" customFormat="1" ht="12">
      <c r="U462" s="61"/>
      <c r="AE462" s="57"/>
      <c r="AF462" s="57"/>
    </row>
    <row r="463" spans="21:32" s="51" customFormat="1" ht="12">
      <c r="U463" s="61"/>
    </row>
    <row r="464" spans="21:32" s="51" customFormat="1" ht="12">
      <c r="U464" s="61"/>
    </row>
    <row r="465" spans="21:21" s="51" customFormat="1" ht="12">
      <c r="U465" s="61"/>
    </row>
    <row r="466" spans="21:21" s="51" customFormat="1" ht="12">
      <c r="U466" s="61"/>
    </row>
    <row r="467" spans="21:21" s="51" customFormat="1" ht="12">
      <c r="U467" s="61"/>
    </row>
    <row r="468" spans="21:21" s="51" customFormat="1" ht="12">
      <c r="U468" s="61"/>
    </row>
    <row r="469" spans="21:21" s="51" customFormat="1" ht="12">
      <c r="U469" s="61"/>
    </row>
    <row r="470" spans="21:21" s="51" customFormat="1" ht="12">
      <c r="U470" s="61"/>
    </row>
    <row r="471" spans="21:21" s="51" customFormat="1" ht="12">
      <c r="U471" s="61"/>
    </row>
    <row r="472" spans="21:21" s="51" customFormat="1" ht="12">
      <c r="U472" s="61"/>
    </row>
    <row r="473" spans="21:21" s="51" customFormat="1" ht="12">
      <c r="U473" s="61"/>
    </row>
    <row r="474" spans="21:21" s="51" customFormat="1" ht="12">
      <c r="U474" s="61"/>
    </row>
    <row r="475" spans="21:21" s="51" customFormat="1" ht="12">
      <c r="U475" s="61"/>
    </row>
    <row r="476" spans="21:21" s="51" customFormat="1" ht="12">
      <c r="U476" s="61"/>
    </row>
    <row r="477" spans="21:21" s="51" customFormat="1" ht="12">
      <c r="U477" s="61"/>
    </row>
    <row r="478" spans="21:21" s="51" customFormat="1" ht="12">
      <c r="U478" s="61"/>
    </row>
    <row r="479" spans="21:21" s="51" customFormat="1" ht="12">
      <c r="U479" s="61"/>
    </row>
    <row r="480" spans="21:21" s="51" customFormat="1" ht="12">
      <c r="U480" s="61"/>
    </row>
    <row r="481" spans="21:21" s="51" customFormat="1" ht="12">
      <c r="U481" s="61"/>
    </row>
    <row r="482" spans="21:21" s="51" customFormat="1" ht="12">
      <c r="U482" s="61"/>
    </row>
    <row r="483" spans="21:21" s="51" customFormat="1" ht="12">
      <c r="U483" s="61"/>
    </row>
    <row r="484" spans="21:21" s="51" customFormat="1" ht="12">
      <c r="U484" s="61"/>
    </row>
    <row r="485" spans="21:21" s="51" customFormat="1" ht="12">
      <c r="U485" s="61"/>
    </row>
    <row r="486" spans="21:21" s="51" customFormat="1" ht="12">
      <c r="U486" s="61"/>
    </row>
    <row r="487" spans="21:21" s="51" customFormat="1" ht="12">
      <c r="U487" s="61"/>
    </row>
    <row r="488" spans="21:21" s="51" customFormat="1" ht="12">
      <c r="U488" s="61"/>
    </row>
    <row r="489" spans="21:21" s="51" customFormat="1" ht="12">
      <c r="U489" s="61"/>
    </row>
    <row r="490" spans="21:21" s="51" customFormat="1" ht="12">
      <c r="U490" s="61"/>
    </row>
    <row r="491" spans="21:21" s="51" customFormat="1" ht="12">
      <c r="U491" s="61"/>
    </row>
    <row r="492" spans="21:21" s="51" customFormat="1" ht="12">
      <c r="U492" s="61"/>
    </row>
    <row r="493" spans="21:21" s="51" customFormat="1" ht="12">
      <c r="U493" s="61"/>
    </row>
    <row r="494" spans="21:21" s="51" customFormat="1" ht="12">
      <c r="U494" s="61"/>
    </row>
    <row r="495" spans="21:21" s="51" customFormat="1" ht="12">
      <c r="U495" s="61"/>
    </row>
    <row r="496" spans="21:21" s="51" customFormat="1" ht="12">
      <c r="U496" s="61"/>
    </row>
    <row r="497" spans="21:21" s="51" customFormat="1" ht="12">
      <c r="U497" s="61"/>
    </row>
    <row r="498" spans="21:21" s="51" customFormat="1" ht="12">
      <c r="U498" s="61"/>
    </row>
    <row r="499" spans="21:21" s="51" customFormat="1" ht="12">
      <c r="U499" s="61"/>
    </row>
    <row r="500" spans="21:21" s="51" customFormat="1" ht="12">
      <c r="U500" s="61"/>
    </row>
    <row r="501" spans="21:21" s="51" customFormat="1" ht="12">
      <c r="U501" s="61"/>
    </row>
    <row r="502" spans="21:21" s="51" customFormat="1" ht="12">
      <c r="U502" s="61"/>
    </row>
    <row r="503" spans="21:21" s="51" customFormat="1" ht="12">
      <c r="U503" s="61"/>
    </row>
    <row r="504" spans="21:21" s="51" customFormat="1" ht="12">
      <c r="U504" s="61"/>
    </row>
    <row r="505" spans="21:21" s="51" customFormat="1" ht="12">
      <c r="U505" s="61"/>
    </row>
    <row r="506" spans="21:21" s="51" customFormat="1" ht="12">
      <c r="U506" s="61"/>
    </row>
    <row r="507" spans="21:21" s="51" customFormat="1" ht="12">
      <c r="U507" s="61"/>
    </row>
    <row r="508" spans="21:21" s="51" customFormat="1" ht="12">
      <c r="U508" s="61"/>
    </row>
    <row r="509" spans="21:21" s="51" customFormat="1" ht="12">
      <c r="U509" s="61"/>
    </row>
    <row r="510" spans="21:21" s="51" customFormat="1" ht="12">
      <c r="U510" s="61"/>
    </row>
    <row r="511" spans="21:21" s="51" customFormat="1" ht="12">
      <c r="U511" s="61"/>
    </row>
    <row r="512" spans="21:21" s="51" customFormat="1" ht="12">
      <c r="U512" s="61"/>
    </row>
    <row r="513" spans="21:21" s="51" customFormat="1" ht="12">
      <c r="U513" s="61"/>
    </row>
    <row r="514" spans="21:21" s="51" customFormat="1" ht="12">
      <c r="U514" s="61"/>
    </row>
    <row r="515" spans="21:21" s="51" customFormat="1" ht="12">
      <c r="U515" s="61"/>
    </row>
    <row r="516" spans="21:21" s="51" customFormat="1" ht="12">
      <c r="U516" s="61"/>
    </row>
    <row r="517" spans="21:21" s="51" customFormat="1" ht="12">
      <c r="U517" s="61"/>
    </row>
    <row r="518" spans="21:21" s="51" customFormat="1" ht="12">
      <c r="U518" s="61"/>
    </row>
    <row r="519" spans="21:21" s="51" customFormat="1" ht="12">
      <c r="U519" s="61"/>
    </row>
    <row r="520" spans="21:21" s="51" customFormat="1" ht="12">
      <c r="U520" s="61"/>
    </row>
    <row r="521" spans="21:21" s="51" customFormat="1" ht="12">
      <c r="U521" s="61"/>
    </row>
    <row r="522" spans="21:21" s="51" customFormat="1" ht="12">
      <c r="U522" s="61"/>
    </row>
    <row r="523" spans="21:21" s="51" customFormat="1" ht="12">
      <c r="U523" s="61"/>
    </row>
    <row r="524" spans="21:21" s="51" customFormat="1" ht="12">
      <c r="U524" s="61"/>
    </row>
    <row r="525" spans="21:21" s="51" customFormat="1" ht="12">
      <c r="U525" s="61"/>
    </row>
    <row r="526" spans="21:21" s="51" customFormat="1" ht="12">
      <c r="U526" s="61"/>
    </row>
    <row r="527" spans="21:21" s="51" customFormat="1" ht="12">
      <c r="U527" s="61"/>
    </row>
    <row r="528" spans="21:21" s="51" customFormat="1" ht="12">
      <c r="U528" s="61"/>
    </row>
    <row r="529" spans="21:21" s="51" customFormat="1" ht="12">
      <c r="U529" s="61"/>
    </row>
    <row r="530" spans="21:21" s="51" customFormat="1" ht="12">
      <c r="U530" s="61"/>
    </row>
    <row r="531" spans="21:21" s="51" customFormat="1" ht="12">
      <c r="U531" s="61"/>
    </row>
    <row r="532" spans="21:21" s="51" customFormat="1" ht="12">
      <c r="U532" s="61"/>
    </row>
    <row r="533" spans="21:21" s="51" customFormat="1" ht="12">
      <c r="U533" s="61"/>
    </row>
    <row r="534" spans="21:21" s="51" customFormat="1" ht="12">
      <c r="U534" s="61"/>
    </row>
    <row r="535" spans="21:21" s="51" customFormat="1" ht="12">
      <c r="U535" s="61"/>
    </row>
    <row r="536" spans="21:21" s="51" customFormat="1" ht="12">
      <c r="U536" s="61"/>
    </row>
    <row r="537" spans="21:21" s="51" customFormat="1" ht="12">
      <c r="U537" s="61"/>
    </row>
    <row r="538" spans="21:21" s="51" customFormat="1" ht="12">
      <c r="U538" s="61"/>
    </row>
    <row r="539" spans="21:21" s="51" customFormat="1" ht="12">
      <c r="U539" s="61"/>
    </row>
    <row r="540" spans="21:21" s="51" customFormat="1" ht="12">
      <c r="U540" s="61"/>
    </row>
    <row r="541" spans="21:21" s="51" customFormat="1" ht="12">
      <c r="U541" s="61"/>
    </row>
    <row r="542" spans="21:21" s="51" customFormat="1" ht="12">
      <c r="U542" s="61"/>
    </row>
    <row r="543" spans="21:21" s="51" customFormat="1" ht="12">
      <c r="U543" s="61"/>
    </row>
    <row r="544" spans="21:21" s="51" customFormat="1" ht="12">
      <c r="U544" s="61"/>
    </row>
    <row r="545" spans="21:21" s="51" customFormat="1" ht="12">
      <c r="U545" s="61"/>
    </row>
    <row r="546" spans="21:21" s="51" customFormat="1" ht="12">
      <c r="U546" s="61"/>
    </row>
    <row r="547" spans="21:21" s="51" customFormat="1" ht="12">
      <c r="U547" s="61"/>
    </row>
    <row r="548" spans="21:21" s="51" customFormat="1" ht="12">
      <c r="U548" s="61"/>
    </row>
    <row r="549" spans="21:21" s="51" customFormat="1" ht="12">
      <c r="U549" s="61"/>
    </row>
    <row r="550" spans="21:21" s="51" customFormat="1" ht="12">
      <c r="U550" s="61"/>
    </row>
    <row r="551" spans="21:21" s="51" customFormat="1" ht="12">
      <c r="U551" s="61"/>
    </row>
    <row r="552" spans="21:21" s="51" customFormat="1" ht="12">
      <c r="U552" s="61"/>
    </row>
    <row r="553" spans="21:21" s="51" customFormat="1" ht="12">
      <c r="U553" s="61"/>
    </row>
    <row r="554" spans="21:21" s="51" customFormat="1" ht="12">
      <c r="U554" s="61"/>
    </row>
    <row r="555" spans="21:21" s="51" customFormat="1" ht="12">
      <c r="U555" s="61"/>
    </row>
    <row r="556" spans="21:21" s="51" customFormat="1" ht="12">
      <c r="U556" s="61"/>
    </row>
    <row r="557" spans="21:21" s="51" customFormat="1" ht="12">
      <c r="U557" s="61"/>
    </row>
    <row r="558" spans="21:21" s="51" customFormat="1" ht="12">
      <c r="U558" s="61"/>
    </row>
    <row r="559" spans="21:21" s="51" customFormat="1" ht="12">
      <c r="U559" s="61"/>
    </row>
    <row r="560" spans="21:21" s="51" customFormat="1" ht="12">
      <c r="U560" s="61"/>
    </row>
    <row r="561" spans="21:21" s="51" customFormat="1" ht="12">
      <c r="U561" s="61"/>
    </row>
    <row r="562" spans="21:21" s="51" customFormat="1" ht="12">
      <c r="U562" s="61"/>
    </row>
    <row r="563" spans="21:21" s="51" customFormat="1" ht="12">
      <c r="U563" s="61"/>
    </row>
    <row r="564" spans="21:21" s="51" customFormat="1" ht="12">
      <c r="U564" s="61"/>
    </row>
    <row r="565" spans="21:21" s="51" customFormat="1" ht="12">
      <c r="U565" s="61"/>
    </row>
    <row r="566" spans="21:21" s="51" customFormat="1" ht="12">
      <c r="U566" s="61"/>
    </row>
    <row r="567" spans="21:21" s="51" customFormat="1" ht="12">
      <c r="U567" s="61"/>
    </row>
    <row r="568" spans="21:21" s="51" customFormat="1" ht="12">
      <c r="U568" s="61"/>
    </row>
    <row r="569" spans="21:21" s="51" customFormat="1" ht="12">
      <c r="U569" s="61"/>
    </row>
    <row r="570" spans="21:21" s="51" customFormat="1" ht="12">
      <c r="U570" s="61"/>
    </row>
    <row r="571" spans="21:21" s="51" customFormat="1" ht="12">
      <c r="U571" s="61"/>
    </row>
    <row r="572" spans="21:21" s="51" customFormat="1" ht="12">
      <c r="U572" s="61"/>
    </row>
    <row r="573" spans="21:21" s="51" customFormat="1" ht="12">
      <c r="U573" s="61"/>
    </row>
    <row r="574" spans="21:21" s="51" customFormat="1" ht="12">
      <c r="U574" s="61"/>
    </row>
    <row r="575" spans="21:21" s="51" customFormat="1" ht="12">
      <c r="U575" s="61"/>
    </row>
    <row r="576" spans="21:21" s="51" customFormat="1" ht="12">
      <c r="U576" s="61"/>
    </row>
    <row r="577" spans="21:21" s="51" customFormat="1" ht="12">
      <c r="U577" s="61"/>
    </row>
    <row r="578" spans="21:21" s="51" customFormat="1" ht="12">
      <c r="U578" s="61"/>
    </row>
    <row r="579" spans="21:21" s="51" customFormat="1" ht="12">
      <c r="U579" s="61"/>
    </row>
    <row r="580" spans="21:21" s="51" customFormat="1" ht="12">
      <c r="U580" s="61"/>
    </row>
    <row r="581" spans="21:21" s="51" customFormat="1" ht="12">
      <c r="U581" s="61"/>
    </row>
    <row r="582" spans="21:21" s="51" customFormat="1" ht="12">
      <c r="U582" s="61"/>
    </row>
    <row r="583" spans="21:21" s="51" customFormat="1" ht="12">
      <c r="U583" s="61"/>
    </row>
    <row r="584" spans="21:21" s="51" customFormat="1" ht="12">
      <c r="U584" s="61"/>
    </row>
    <row r="585" spans="21:21" s="51" customFormat="1" ht="12">
      <c r="U585" s="61"/>
    </row>
    <row r="586" spans="21:21" s="51" customFormat="1" ht="12">
      <c r="U586" s="61"/>
    </row>
    <row r="587" spans="21:21" s="51" customFormat="1" ht="12">
      <c r="U587" s="61"/>
    </row>
    <row r="588" spans="21:21" s="51" customFormat="1" ht="12">
      <c r="U588" s="61"/>
    </row>
    <row r="589" spans="21:21" s="51" customFormat="1" ht="12">
      <c r="U589" s="61"/>
    </row>
    <row r="590" spans="21:21" s="51" customFormat="1" ht="12">
      <c r="U590" s="61"/>
    </row>
    <row r="591" spans="21:21" s="51" customFormat="1" ht="12">
      <c r="U591" s="61"/>
    </row>
    <row r="592" spans="21:21" s="51" customFormat="1" ht="12">
      <c r="U592" s="61"/>
    </row>
    <row r="593" spans="21:21" s="51" customFormat="1" ht="12">
      <c r="U593" s="61"/>
    </row>
    <row r="594" spans="21:21" s="51" customFormat="1" ht="12">
      <c r="U594" s="61"/>
    </row>
    <row r="595" spans="21:21" s="51" customFormat="1" ht="12">
      <c r="U595" s="61"/>
    </row>
    <row r="596" spans="21:21" s="51" customFormat="1" ht="12">
      <c r="U596" s="61"/>
    </row>
    <row r="597" spans="21:21" s="51" customFormat="1" ht="12">
      <c r="U597" s="61"/>
    </row>
    <row r="598" spans="21:21" s="51" customFormat="1" ht="12">
      <c r="U598" s="61"/>
    </row>
    <row r="599" spans="21:21" s="51" customFormat="1" ht="12">
      <c r="U599" s="61"/>
    </row>
    <row r="600" spans="21:21" s="51" customFormat="1" ht="12">
      <c r="U600" s="61"/>
    </row>
    <row r="601" spans="21:21" s="51" customFormat="1" ht="12">
      <c r="U601" s="61"/>
    </row>
    <row r="602" spans="21:21" s="51" customFormat="1" ht="12">
      <c r="U602" s="61"/>
    </row>
    <row r="603" spans="21:21" s="51" customFormat="1" ht="12">
      <c r="U603" s="61"/>
    </row>
    <row r="604" spans="21:21" s="51" customFormat="1" ht="12">
      <c r="U604" s="61"/>
    </row>
    <row r="605" spans="21:21" s="51" customFormat="1" ht="12">
      <c r="U605" s="61"/>
    </row>
    <row r="606" spans="21:21" s="51" customFormat="1" ht="12">
      <c r="U606" s="61"/>
    </row>
    <row r="607" spans="21:21" s="51" customFormat="1" ht="12">
      <c r="U607" s="61"/>
    </row>
    <row r="608" spans="21:21" s="51" customFormat="1" ht="12">
      <c r="U608" s="61"/>
    </row>
    <row r="609" spans="12:21" s="51" customFormat="1" ht="12">
      <c r="U609" s="61"/>
    </row>
    <row r="610" spans="12:21" s="51" customFormat="1" ht="12">
      <c r="L610" s="47"/>
      <c r="M610" s="47"/>
      <c r="N610" s="47"/>
      <c r="O610" s="47"/>
      <c r="P610" s="47"/>
      <c r="U610" s="61"/>
    </row>
    <row r="611" spans="12:21" s="51" customFormat="1" ht="12">
      <c r="L611" s="47"/>
      <c r="M611" s="47"/>
      <c r="N611" s="47"/>
      <c r="O611" s="47"/>
      <c r="P611" s="47"/>
      <c r="U611" s="61"/>
    </row>
    <row r="612" spans="12:21" s="51" customFormat="1" ht="12">
      <c r="L612" s="47"/>
      <c r="M612" s="47"/>
      <c r="N612" s="47"/>
      <c r="O612" s="47"/>
      <c r="P612" s="47"/>
      <c r="U612" s="61"/>
    </row>
    <row r="613" spans="12:21" s="51" customFormat="1" ht="12">
      <c r="L613" s="47"/>
      <c r="M613" s="47"/>
      <c r="N613" s="47"/>
      <c r="O613" s="47"/>
      <c r="P613" s="47"/>
      <c r="U613" s="61"/>
    </row>
    <row r="614" spans="12:21" s="51" customFormat="1" ht="12">
      <c r="L614" s="47"/>
      <c r="M614" s="47"/>
      <c r="N614" s="47"/>
      <c r="O614" s="47"/>
      <c r="P614" s="47"/>
      <c r="U614" s="61"/>
    </row>
    <row r="615" spans="12:21" s="51" customFormat="1" ht="12">
      <c r="L615" s="47"/>
      <c r="M615" s="47"/>
      <c r="N615" s="47"/>
      <c r="O615" s="47"/>
      <c r="P615" s="47"/>
      <c r="U615" s="61"/>
    </row>
    <row r="616" spans="12:21" s="51" customFormat="1" ht="12">
      <c r="L616" s="47"/>
      <c r="M616" s="47"/>
      <c r="N616" s="47"/>
      <c r="O616" s="47"/>
      <c r="P616" s="47"/>
      <c r="U616" s="61"/>
    </row>
    <row r="617" spans="12:21" s="51" customFormat="1" ht="12">
      <c r="L617" s="47"/>
      <c r="M617" s="47"/>
      <c r="N617" s="47"/>
      <c r="O617" s="47"/>
      <c r="P617" s="47"/>
      <c r="U617" s="61"/>
    </row>
    <row r="618" spans="12:21" s="51" customFormat="1" ht="12">
      <c r="L618" s="47"/>
      <c r="M618" s="47"/>
      <c r="N618" s="47"/>
      <c r="O618" s="47"/>
      <c r="P618" s="47"/>
      <c r="U618" s="61"/>
    </row>
    <row r="619" spans="12:21" s="51" customFormat="1" ht="12">
      <c r="L619" s="47"/>
      <c r="M619" s="47"/>
      <c r="N619" s="47"/>
      <c r="O619" s="47"/>
      <c r="P619" s="47"/>
      <c r="U619" s="61"/>
    </row>
    <row r="620" spans="12:21" s="51" customFormat="1" ht="12">
      <c r="L620" s="47"/>
      <c r="M620" s="47"/>
      <c r="N620" s="47"/>
      <c r="O620" s="47"/>
      <c r="P620" s="47"/>
      <c r="U620" s="61"/>
    </row>
    <row r="621" spans="12:21" s="51" customFormat="1" ht="12">
      <c r="L621" s="47"/>
      <c r="M621" s="47"/>
      <c r="N621" s="47"/>
      <c r="O621" s="47"/>
      <c r="P621" s="47"/>
      <c r="U621" s="61"/>
    </row>
    <row r="622" spans="12:21" s="51" customFormat="1" ht="12">
      <c r="L622" s="47"/>
      <c r="M622" s="47"/>
      <c r="N622" s="47"/>
      <c r="O622" s="47"/>
      <c r="P622" s="47"/>
      <c r="Q622" s="47"/>
      <c r="U622" s="61"/>
    </row>
    <row r="623" spans="12:21" s="51" customFormat="1" ht="12">
      <c r="L623" s="47"/>
      <c r="M623" s="47"/>
      <c r="N623" s="47"/>
      <c r="O623" s="47"/>
      <c r="P623" s="47"/>
      <c r="Q623" s="47"/>
      <c r="U623" s="61"/>
    </row>
    <row r="624" spans="12:21" s="51" customFormat="1" ht="12">
      <c r="L624" s="47"/>
      <c r="M624" s="47"/>
      <c r="N624" s="47"/>
      <c r="O624" s="47"/>
      <c r="P624" s="47"/>
      <c r="Q624" s="47"/>
      <c r="U624" s="61"/>
    </row>
    <row r="625" spans="11:21" s="51" customFormat="1" ht="12">
      <c r="L625" s="47"/>
      <c r="M625" s="47"/>
      <c r="N625" s="47"/>
      <c r="O625" s="47"/>
      <c r="P625" s="47"/>
      <c r="Q625" s="47"/>
      <c r="U625" s="61"/>
    </row>
    <row r="626" spans="11:21" s="51" customFormat="1" ht="12">
      <c r="L626" s="47"/>
      <c r="M626" s="47"/>
      <c r="N626" s="47"/>
      <c r="O626" s="47"/>
      <c r="P626" s="47"/>
      <c r="Q626" s="47"/>
      <c r="U626" s="61"/>
    </row>
    <row r="627" spans="11:21" s="51" customFormat="1" ht="12">
      <c r="L627" s="47"/>
      <c r="M627" s="47"/>
      <c r="N627" s="47"/>
      <c r="O627" s="47"/>
      <c r="P627" s="47"/>
      <c r="Q627" s="47"/>
      <c r="U627" s="61"/>
    </row>
    <row r="628" spans="11:21" s="51" customFormat="1" ht="12">
      <c r="L628" s="47"/>
      <c r="M628" s="47"/>
      <c r="N628" s="47"/>
      <c r="O628" s="47"/>
      <c r="P628" s="47"/>
      <c r="Q628" s="47"/>
      <c r="U628" s="61"/>
    </row>
    <row r="629" spans="11:21" s="51" customFormat="1" ht="12">
      <c r="L629" s="47"/>
      <c r="M629" s="47"/>
      <c r="N629" s="47"/>
      <c r="O629" s="47"/>
      <c r="P629" s="47"/>
      <c r="Q629" s="47"/>
      <c r="U629" s="61"/>
    </row>
    <row r="630" spans="11:21" s="51" customFormat="1" ht="12">
      <c r="L630" s="47"/>
      <c r="M630" s="47"/>
      <c r="N630" s="47"/>
      <c r="O630" s="47"/>
      <c r="P630" s="47"/>
      <c r="Q630" s="47"/>
      <c r="U630" s="61"/>
    </row>
    <row r="631" spans="11:21" s="51" customFormat="1" ht="12">
      <c r="L631" s="47"/>
      <c r="M631" s="47"/>
      <c r="N631" s="47"/>
      <c r="O631" s="47"/>
      <c r="P631" s="47"/>
      <c r="Q631" s="47"/>
      <c r="U631" s="61"/>
    </row>
    <row r="632" spans="11:21" s="51" customFormat="1" ht="12">
      <c r="L632" s="47"/>
      <c r="M632" s="47"/>
      <c r="N632" s="47"/>
      <c r="O632" s="47"/>
      <c r="P632" s="47"/>
      <c r="Q632" s="47"/>
      <c r="U632" s="61"/>
    </row>
    <row r="633" spans="11:21" s="51" customFormat="1" ht="12">
      <c r="L633" s="47"/>
      <c r="M633" s="47"/>
      <c r="N633" s="47"/>
      <c r="O633" s="47"/>
      <c r="P633" s="47"/>
      <c r="Q633" s="47"/>
      <c r="U633" s="61"/>
    </row>
    <row r="634" spans="11:21" s="51" customFormat="1" ht="12">
      <c r="L634" s="47"/>
      <c r="M634" s="47"/>
      <c r="N634" s="47"/>
      <c r="O634" s="47"/>
      <c r="P634" s="47"/>
      <c r="Q634" s="47"/>
      <c r="U634" s="61"/>
    </row>
    <row r="635" spans="11:21" s="51" customFormat="1" ht="12">
      <c r="L635" s="47"/>
      <c r="M635" s="47"/>
      <c r="N635" s="47"/>
      <c r="O635" s="47"/>
      <c r="P635" s="47"/>
      <c r="Q635" s="47"/>
      <c r="U635" s="61"/>
    </row>
    <row r="636" spans="11:21" s="51" customFormat="1" ht="12">
      <c r="L636" s="47"/>
      <c r="M636" s="47"/>
      <c r="N636" s="47"/>
      <c r="O636" s="47"/>
      <c r="P636" s="47"/>
      <c r="Q636" s="47"/>
      <c r="U636" s="61"/>
    </row>
    <row r="637" spans="11:21" s="51" customFormat="1" ht="12">
      <c r="L637" s="47"/>
      <c r="M637" s="47"/>
      <c r="N637" s="47"/>
      <c r="O637" s="47"/>
      <c r="P637" s="47"/>
      <c r="Q637" s="47"/>
      <c r="U637" s="61"/>
    </row>
    <row r="638" spans="11:21" s="51" customFormat="1" ht="12">
      <c r="K638" s="47"/>
      <c r="L638" s="47"/>
      <c r="M638" s="47"/>
      <c r="N638" s="47"/>
      <c r="O638" s="47"/>
      <c r="P638" s="47"/>
      <c r="Q638" s="47"/>
      <c r="U638" s="61"/>
    </row>
    <row r="639" spans="11:21" s="51" customFormat="1" ht="12">
      <c r="K639" s="47"/>
      <c r="L639" s="47"/>
      <c r="M639" s="47"/>
      <c r="N639" s="47"/>
      <c r="O639" s="47"/>
      <c r="P639" s="47"/>
      <c r="Q639" s="47"/>
      <c r="U639" s="61"/>
    </row>
    <row r="640" spans="11:21" s="51" customFormat="1" ht="12">
      <c r="K640" s="47"/>
      <c r="L640" s="47"/>
      <c r="M640" s="47"/>
      <c r="N640" s="47"/>
      <c r="O640" s="47"/>
      <c r="P640" s="47"/>
      <c r="Q640" s="47"/>
      <c r="U640" s="61"/>
    </row>
    <row r="641" spans="9:21" s="51" customFormat="1" ht="12">
      <c r="K641" s="47"/>
      <c r="L641" s="47"/>
      <c r="M641" s="47"/>
      <c r="N641" s="47"/>
      <c r="O641" s="47"/>
      <c r="P641" s="47"/>
      <c r="Q641" s="47"/>
      <c r="U641" s="61"/>
    </row>
    <row r="642" spans="9:21" s="51" customFormat="1" ht="12">
      <c r="K642" s="47"/>
      <c r="L642" s="47"/>
      <c r="M642" s="47"/>
      <c r="N642" s="47"/>
      <c r="O642" s="47"/>
      <c r="P642" s="47"/>
      <c r="Q642" s="47"/>
      <c r="U642" s="61"/>
    </row>
    <row r="643" spans="9:21" s="51" customFormat="1" ht="12">
      <c r="K643" s="47"/>
      <c r="L643" s="47"/>
      <c r="M643" s="47"/>
      <c r="N643" s="47"/>
      <c r="O643" s="47"/>
      <c r="P643" s="47"/>
      <c r="Q643" s="47"/>
      <c r="U643" s="61"/>
    </row>
    <row r="644" spans="9:21" s="51" customFormat="1" ht="12">
      <c r="K644" s="47"/>
      <c r="L644" s="47"/>
      <c r="M644" s="47"/>
      <c r="N644" s="47"/>
      <c r="O644" s="47"/>
      <c r="P644" s="47"/>
      <c r="Q644" s="47"/>
      <c r="U644" s="61"/>
    </row>
    <row r="645" spans="9:21" s="51" customFormat="1" ht="12">
      <c r="K645" s="47"/>
      <c r="L645" s="47"/>
      <c r="M645" s="47"/>
      <c r="N645" s="47"/>
      <c r="O645" s="47"/>
      <c r="P645" s="47"/>
      <c r="Q645" s="47"/>
      <c r="U645" s="61"/>
    </row>
    <row r="646" spans="9:21" s="51" customFormat="1" ht="12">
      <c r="K646" s="47"/>
      <c r="L646" s="47"/>
      <c r="M646" s="47"/>
      <c r="N646" s="47"/>
      <c r="O646" s="47"/>
      <c r="P646" s="47"/>
      <c r="Q646" s="47"/>
      <c r="U646" s="61"/>
    </row>
    <row r="647" spans="9:21" s="51" customFormat="1" ht="12">
      <c r="K647" s="47"/>
      <c r="L647" s="47"/>
      <c r="M647" s="47"/>
      <c r="N647" s="47"/>
      <c r="O647" s="47"/>
      <c r="P647" s="47"/>
      <c r="Q647" s="47"/>
      <c r="U647" s="61"/>
    </row>
    <row r="648" spans="9:21" s="51" customFormat="1" ht="12">
      <c r="K648" s="47"/>
      <c r="L648" s="47"/>
      <c r="M648" s="47"/>
      <c r="N648" s="47"/>
      <c r="O648" s="47"/>
      <c r="P648" s="47"/>
      <c r="Q648" s="47"/>
      <c r="U648" s="61"/>
    </row>
    <row r="649" spans="9:21" s="51" customFormat="1" ht="12">
      <c r="K649" s="47"/>
      <c r="L649" s="47"/>
      <c r="M649" s="47"/>
      <c r="N649" s="47"/>
      <c r="O649" s="47"/>
      <c r="P649" s="47"/>
      <c r="Q649" s="47"/>
      <c r="U649" s="61"/>
    </row>
    <row r="650" spans="9:21">
      <c r="I650" s="47"/>
      <c r="J650" s="51"/>
    </row>
    <row r="651" spans="9:21">
      <c r="I651" s="47"/>
    </row>
    <row r="652" spans="9:21">
      <c r="I652" s="47"/>
    </row>
    <row r="653" spans="9:21">
      <c r="I653" s="47"/>
    </row>
    <row r="654" spans="9:21">
      <c r="I654" s="47"/>
    </row>
    <row r="655" spans="9:21">
      <c r="I655" s="47"/>
    </row>
    <row r="656" spans="9:21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T32" sqref="T32"/>
    </sheetView>
  </sheetViews>
  <sheetFormatPr defaultColWidth="9" defaultRowHeight="12"/>
  <cols>
    <col min="1" max="1" width="5.25" style="47" customWidth="1"/>
    <col min="2" max="2" width="13.875" style="47" customWidth="1"/>
    <col min="3" max="3" width="10.875" style="47" customWidth="1"/>
    <col min="4" max="4" width="11.25" style="47" customWidth="1"/>
    <col min="5" max="5" width="0.125" style="47" customWidth="1"/>
    <col min="6" max="6" width="11.125" style="47" customWidth="1"/>
    <col min="7" max="7" width="13.125" style="47" customWidth="1"/>
    <col min="8" max="8" width="8.25" style="47" customWidth="1"/>
    <col min="9" max="9" width="8.625" style="47" customWidth="1"/>
    <col min="10" max="10" width="7.625" style="48" customWidth="1"/>
    <col min="11" max="11" width="9" style="47" customWidth="1"/>
    <col min="12" max="12" width="13.625" style="47" customWidth="1"/>
    <col min="13" max="14" width="10.125" style="47" bestFit="1" customWidth="1"/>
    <col min="15" max="15" width="8.625" style="47" customWidth="1"/>
    <col min="16" max="16" width="8" style="47" customWidth="1"/>
    <col min="17" max="17" width="9.75" style="47" customWidth="1"/>
    <col min="18" max="20" width="9" style="47"/>
    <col min="21" max="21" width="10.125" style="47" customWidth="1"/>
    <col min="22" max="22" width="10" style="47" customWidth="1"/>
    <col min="23" max="23" width="12.375" style="47" customWidth="1"/>
    <col min="24" max="24" width="5.375" style="47" customWidth="1"/>
    <col min="25" max="25" width="8.375" style="47" customWidth="1"/>
    <col min="26" max="26" width="9.875" style="47" customWidth="1"/>
    <col min="27" max="27" width="12.625" style="47" customWidth="1"/>
    <col min="28" max="28" width="6.375" style="96" customWidth="1"/>
    <col min="29" max="29" width="9" style="47" customWidth="1"/>
    <col min="30" max="30" width="8" style="47" customWidth="1"/>
    <col min="31" max="31" width="10.25" style="47" customWidth="1"/>
    <col min="32" max="33" width="10.125" style="47" bestFit="1" customWidth="1"/>
    <col min="34" max="16384" width="9" style="47"/>
  </cols>
  <sheetData>
    <row r="1" spans="1:38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  <c r="J1" s="119"/>
      <c r="L1" s="67" t="s">
        <v>182</v>
      </c>
      <c r="M1" s="68">
        <f>P1-R1</f>
        <v>-5.6147837614204725</v>
      </c>
      <c r="N1" s="439" t="s">
        <v>183</v>
      </c>
      <c r="O1" s="439"/>
      <c r="P1" s="69">
        <f>StepTest!G41</f>
        <v>22.74</v>
      </c>
      <c r="Q1" s="70" t="s">
        <v>184</v>
      </c>
      <c r="R1" s="71">
        <f>G35</f>
        <v>28.354783761420471</v>
      </c>
      <c r="S1" s="72">
        <f>D7/2000</f>
        <v>0.125</v>
      </c>
      <c r="T1" s="73">
        <v>1.8614671186269023</v>
      </c>
      <c r="V1" s="294" t="s">
        <v>13</v>
      </c>
      <c r="W1" s="294" t="s">
        <v>28</v>
      </c>
      <c r="X1" s="294" t="s">
        <v>158</v>
      </c>
      <c r="Y1" s="294" t="s">
        <v>32</v>
      </c>
      <c r="Z1" s="294" t="s">
        <v>159</v>
      </c>
      <c r="AA1" s="294" t="s">
        <v>39</v>
      </c>
      <c r="AB1" s="295" t="s">
        <v>12</v>
      </c>
      <c r="AC1" s="294" t="s">
        <v>12</v>
      </c>
    </row>
    <row r="2" spans="1:38" s="51" customFormat="1" ht="21.6" customHeight="1">
      <c r="A2" s="120" t="str">
        <f>StepTest!A4</f>
        <v>조 사 명</v>
      </c>
      <c r="B2" s="120"/>
      <c r="C2" s="121" t="str">
        <f>StepTest!C4</f>
        <v>농업용 대형관정 사후관리 및 연장허가 용역 (외산,내산지구)</v>
      </c>
      <c r="D2" s="122"/>
      <c r="E2" s="122"/>
      <c r="F2" s="122"/>
      <c r="G2" s="122"/>
      <c r="H2" s="122"/>
      <c r="I2" s="122"/>
      <c r="J2" s="123"/>
      <c r="O2" s="51" t="s">
        <v>185</v>
      </c>
      <c r="P2" s="75">
        <f>G8</f>
        <v>35.4</v>
      </c>
      <c r="T2" s="51">
        <v>44</v>
      </c>
      <c r="U2" s="55">
        <f>B10</f>
        <v>150</v>
      </c>
      <c r="V2" s="55">
        <f>U2</f>
        <v>150</v>
      </c>
      <c r="W2" s="51">
        <f>T1</f>
        <v>1.8614671186269023</v>
      </c>
      <c r="X2" s="51">
        <f>StepTest!U4</f>
        <v>0.125</v>
      </c>
      <c r="Y2" s="51">
        <f>Input!A45</f>
        <v>5.0000000000000001E-4</v>
      </c>
      <c r="Z2" s="51">
        <f>E10</f>
        <v>6.9444444444444447E-4</v>
      </c>
      <c r="AA2" s="56">
        <f>D10</f>
        <v>1</v>
      </c>
      <c r="AB2" s="76">
        <f t="shared" ref="AB2:AB65" si="0">AC2+AD$2</f>
        <v>26.377201713931225</v>
      </c>
      <c r="AC2" s="57">
        <f>1.6*V2/(4*PI()*W2)*LOG10((2.25*W2*Z2)/(X2*X2*Y2))</f>
        <v>26.377201713931225</v>
      </c>
      <c r="AD2" s="74">
        <v>0</v>
      </c>
      <c r="AE2" s="56">
        <f>AA2</f>
        <v>1</v>
      </c>
      <c r="AF2" s="57">
        <f t="shared" ref="AF2:AF14" si="1">AC2-$P$3-O3</f>
        <v>2.7078799527896127</v>
      </c>
      <c r="AG2" s="57">
        <f>AC2</f>
        <v>26.377201713931225</v>
      </c>
    </row>
    <row r="3" spans="1:38" s="51" customFormat="1" ht="21.6" customHeight="1">
      <c r="A3" s="120" t="str">
        <f>StepTest!A5</f>
        <v>지 구 명</v>
      </c>
      <c r="B3" s="120"/>
      <c r="C3" s="121" t="str">
        <f>StepTest!C5</f>
        <v>외산지구</v>
      </c>
      <c r="D3" s="122"/>
      <c r="E3" s="122"/>
      <c r="F3" s="124"/>
      <c r="G3" s="122"/>
      <c r="H3" s="125" t="str">
        <f>StepTest!H5</f>
        <v>공  번 : W - 1</v>
      </c>
      <c r="I3" s="125"/>
      <c r="J3" s="126"/>
      <c r="L3" s="77" t="s">
        <v>48</v>
      </c>
      <c r="M3" s="58">
        <f t="shared" ref="M3:M10" si="2">Q17</f>
        <v>0.57999999999999996</v>
      </c>
      <c r="N3" s="78"/>
      <c r="O3" s="290">
        <v>-0.58067818607422184</v>
      </c>
      <c r="P3" s="292">
        <v>24.249999947215834</v>
      </c>
      <c r="V3" s="55">
        <f>V2</f>
        <v>150</v>
      </c>
      <c r="W3" s="51">
        <f>W$2</f>
        <v>1.8614671186269023</v>
      </c>
      <c r="X3" s="51">
        <f>X2</f>
        <v>0.125</v>
      </c>
      <c r="Y3" s="51">
        <f>Y$2</f>
        <v>5.0000000000000001E-4</v>
      </c>
      <c r="Z3" s="51">
        <f t="shared" ref="Z3:Z66" si="3">E11</f>
        <v>1.3888888888888889E-3</v>
      </c>
      <c r="AA3" s="56">
        <f t="shared" ref="AA3:AA66" si="4">D11</f>
        <v>2</v>
      </c>
      <c r="AB3" s="76">
        <f t="shared" si="0"/>
        <v>29.46575985279506</v>
      </c>
      <c r="AC3" s="57">
        <f t="shared" ref="AC3:AC34" si="5">1.6*V3/(4*PI()*W3)*LOG10((2.25*W3*Z3)/(X3*X3*Y3))</f>
        <v>29.46575985279506</v>
      </c>
      <c r="AD3" s="57">
        <f>AB69</f>
        <v>56.049999947215831</v>
      </c>
      <c r="AE3" s="56">
        <f t="shared" ref="AE3:AE66" si="6">AA3</f>
        <v>2</v>
      </c>
      <c r="AF3" s="57">
        <f t="shared" si="1"/>
        <v>5.2157599055792261</v>
      </c>
      <c r="AG3" s="57">
        <f t="shared" ref="AG3:AG16" si="7">AC3</f>
        <v>29.46575985279506</v>
      </c>
    </row>
    <row r="4" spans="1:38" s="51" customFormat="1" ht="21.6" customHeight="1">
      <c r="A4" s="120" t="str">
        <f>StepTest!A6</f>
        <v>위    치</v>
      </c>
      <c r="B4" s="120"/>
      <c r="C4" s="121" t="str">
        <f>StepTest!C6</f>
        <v>충청남도 부여군 외산면 반교리 574</v>
      </c>
      <c r="D4" s="125"/>
      <c r="E4" s="125"/>
      <c r="F4" s="122"/>
      <c r="G4" s="122"/>
      <c r="H4" s="122"/>
      <c r="I4" s="122"/>
      <c r="J4" s="123"/>
      <c r="L4" s="77" t="s">
        <v>186</v>
      </c>
      <c r="M4" s="58">
        <f t="shared" si="2"/>
        <v>0.97</v>
      </c>
      <c r="N4" s="78"/>
      <c r="O4" s="291"/>
      <c r="P4" s="291"/>
      <c r="V4" s="55">
        <f t="shared" ref="V4:V67" si="8">V3</f>
        <v>150</v>
      </c>
      <c r="W4" s="51">
        <f t="shared" ref="W4:W67" si="9">W$2</f>
        <v>1.8614671186269023</v>
      </c>
      <c r="X4" s="51">
        <f t="shared" ref="X4:X67" si="10">X3</f>
        <v>0.125</v>
      </c>
      <c r="Y4" s="51">
        <f t="shared" ref="Y4:Y67" si="11">Y$2</f>
        <v>5.0000000000000001E-4</v>
      </c>
      <c r="Z4" s="51">
        <f t="shared" si="3"/>
        <v>2.0833333333333333E-3</v>
      </c>
      <c r="AA4" s="56">
        <f t="shared" si="4"/>
        <v>3</v>
      </c>
      <c r="AB4" s="76">
        <f t="shared" si="0"/>
        <v>31.27245054532753</v>
      </c>
      <c r="AC4" s="57">
        <f>1.6*V4/(4*PI()*W4)*LOG10((2.25*W4*Z4)/(X4*X4*Y4))</f>
        <v>31.27245054532753</v>
      </c>
      <c r="AD4" s="57">
        <f>AC69</f>
        <v>56.049999947215831</v>
      </c>
      <c r="AE4" s="56">
        <f t="shared" si="6"/>
        <v>3</v>
      </c>
      <c r="AF4" s="57">
        <f t="shared" si="1"/>
        <v>7.0224505981116963</v>
      </c>
      <c r="AG4" s="57">
        <f t="shared" si="7"/>
        <v>31.27245054532753</v>
      </c>
    </row>
    <row r="5" spans="1:38" s="51" customFormat="1" ht="21.6" customHeight="1">
      <c r="A5" s="120" t="str">
        <f>StepTest!A7</f>
        <v>조 사 자</v>
      </c>
      <c r="B5" s="120"/>
      <c r="C5" s="127" t="str">
        <f>StepTest!C7</f>
        <v>부여지하수개발주식회사</v>
      </c>
      <c r="D5" s="329"/>
      <c r="E5" s="122"/>
      <c r="F5" s="128" t="s">
        <v>169</v>
      </c>
      <c r="G5" s="129">
        <f>Input!I50</f>
        <v>0</v>
      </c>
      <c r="H5" s="130"/>
      <c r="I5" s="130"/>
      <c r="J5" s="130"/>
      <c r="L5" s="77" t="s">
        <v>187</v>
      </c>
      <c r="M5" s="58">
        <f t="shared" si="2"/>
        <v>0.66</v>
      </c>
      <c r="N5" s="78"/>
      <c r="O5" s="291"/>
      <c r="P5" s="291"/>
      <c r="V5" s="55">
        <f t="shared" si="8"/>
        <v>150</v>
      </c>
      <c r="W5" s="51">
        <f t="shared" si="9"/>
        <v>1.8614671186269023</v>
      </c>
      <c r="X5" s="51">
        <f t="shared" si="10"/>
        <v>0.125</v>
      </c>
      <c r="Y5" s="51">
        <f t="shared" si="11"/>
        <v>5.0000000000000001E-4</v>
      </c>
      <c r="Z5" s="51">
        <f t="shared" si="3"/>
        <v>2.7777777777777779E-3</v>
      </c>
      <c r="AA5" s="56">
        <f t="shared" si="4"/>
        <v>4</v>
      </c>
      <c r="AB5" s="76">
        <f t="shared" si="0"/>
        <v>32.554317991658898</v>
      </c>
      <c r="AC5" s="57">
        <f t="shared" si="5"/>
        <v>32.554317991658898</v>
      </c>
      <c r="AD5" s="57">
        <f>AF69</f>
        <v>31.799999999999997</v>
      </c>
      <c r="AE5" s="56">
        <f t="shared" si="6"/>
        <v>4</v>
      </c>
      <c r="AF5" s="57">
        <f t="shared" si="1"/>
        <v>8.3043180444430647</v>
      </c>
      <c r="AG5" s="57">
        <f t="shared" si="7"/>
        <v>32.554317991658898</v>
      </c>
    </row>
    <row r="6" spans="1:38" s="51" customFormat="1" ht="21.6" customHeight="1">
      <c r="A6" s="120" t="str">
        <f>StepTest!A8</f>
        <v>수중모타</v>
      </c>
      <c r="B6" s="120"/>
      <c r="C6" s="440">
        <f>StepTest!C8</f>
        <v>3</v>
      </c>
      <c r="D6" s="440"/>
      <c r="E6" s="441"/>
      <c r="F6" s="128" t="s">
        <v>165</v>
      </c>
      <c r="G6" s="129">
        <f>Input!I51</f>
        <v>0</v>
      </c>
      <c r="H6" s="130"/>
      <c r="I6" s="130"/>
      <c r="J6" s="130"/>
      <c r="K6" s="51">
        <v>0.2</v>
      </c>
      <c r="L6" s="293">
        <v>0.2</v>
      </c>
      <c r="M6" s="58">
        <f t="shared" si="2"/>
        <v>-0.18</v>
      </c>
      <c r="N6" s="78"/>
      <c r="O6" s="291"/>
      <c r="P6" s="291"/>
      <c r="V6" s="55">
        <f t="shared" si="8"/>
        <v>150</v>
      </c>
      <c r="W6" s="51">
        <f t="shared" si="9"/>
        <v>1.8614671186269023</v>
      </c>
      <c r="X6" s="51">
        <f t="shared" si="10"/>
        <v>0.125</v>
      </c>
      <c r="Y6" s="51">
        <f t="shared" si="11"/>
        <v>5.0000000000000001E-4</v>
      </c>
      <c r="Z6" s="51">
        <f t="shared" si="3"/>
        <v>3.472222222222222E-3</v>
      </c>
      <c r="AA6" s="56">
        <f t="shared" si="4"/>
        <v>5</v>
      </c>
      <c r="AB6" s="76">
        <f t="shared" si="0"/>
        <v>33.548611629252186</v>
      </c>
      <c r="AC6" s="57">
        <f t="shared" si="5"/>
        <v>33.548611629252186</v>
      </c>
      <c r="AE6" s="56">
        <f t="shared" si="6"/>
        <v>5</v>
      </c>
      <c r="AF6" s="57">
        <f t="shared" si="1"/>
        <v>9.298611682036352</v>
      </c>
      <c r="AG6" s="57">
        <f t="shared" si="7"/>
        <v>33.548611629252186</v>
      </c>
      <c r="AL6" s="51">
        <f>10*(2.54/2/100)</f>
        <v>0.127</v>
      </c>
    </row>
    <row r="7" spans="1:38" s="51" customFormat="1" ht="21.6" customHeight="1">
      <c r="A7" s="120" t="str">
        <f>StepTest!A9</f>
        <v>우물현황</v>
      </c>
      <c r="B7" s="120"/>
      <c r="C7" s="131" t="str">
        <f>StepTest!C9</f>
        <v>직     경</v>
      </c>
      <c r="D7" s="132">
        <f>StepTest!D9</f>
        <v>250</v>
      </c>
      <c r="E7" s="133"/>
      <c r="F7" s="134" t="s">
        <v>168</v>
      </c>
      <c r="G7" s="135">
        <f>StepTest!G9</f>
        <v>210</v>
      </c>
      <c r="H7" s="122"/>
      <c r="I7" s="122"/>
      <c r="J7" s="123"/>
      <c r="M7" s="58">
        <f t="shared" si="2"/>
        <v>-1.31</v>
      </c>
      <c r="N7" s="78"/>
      <c r="O7" s="291"/>
      <c r="P7" s="291"/>
      <c r="V7" s="55">
        <f t="shared" si="8"/>
        <v>150</v>
      </c>
      <c r="W7" s="51">
        <f t="shared" si="9"/>
        <v>1.8614671186269023</v>
      </c>
      <c r="X7" s="51">
        <f t="shared" si="10"/>
        <v>0.125</v>
      </c>
      <c r="Y7" s="51">
        <f t="shared" si="11"/>
        <v>5.0000000000000001E-4</v>
      </c>
      <c r="Z7" s="51">
        <f t="shared" si="3"/>
        <v>6.9444444444444441E-3</v>
      </c>
      <c r="AA7" s="56">
        <f t="shared" si="4"/>
        <v>10</v>
      </c>
      <c r="AB7" s="76">
        <f t="shared" si="0"/>
        <v>36.637169768116024</v>
      </c>
      <c r="AC7" s="57">
        <f t="shared" si="5"/>
        <v>36.637169768116024</v>
      </c>
      <c r="AE7" s="56">
        <f t="shared" si="6"/>
        <v>10</v>
      </c>
      <c r="AF7" s="57">
        <f t="shared" si="1"/>
        <v>12.387169820900191</v>
      </c>
      <c r="AG7" s="57">
        <f t="shared" si="7"/>
        <v>36.637169768116024</v>
      </c>
      <c r="AL7" s="51">
        <f>AL6*2</f>
        <v>0.254</v>
      </c>
    </row>
    <row r="8" spans="1:38" s="51" customFormat="1" ht="21.6" customHeight="1">
      <c r="A8" s="120" t="str">
        <f>StepTest!A10</f>
        <v>양수시험</v>
      </c>
      <c r="B8" s="120"/>
      <c r="C8" s="136" t="s">
        <v>188</v>
      </c>
      <c r="D8" s="137">
        <f>StepTest!D10</f>
        <v>3.6</v>
      </c>
      <c r="E8" s="133"/>
      <c r="F8" s="134" t="s">
        <v>189</v>
      </c>
      <c r="G8" s="138">
        <f>F77</f>
        <v>35.4</v>
      </c>
      <c r="H8" s="130">
        <f>Input!C40</f>
        <v>150</v>
      </c>
      <c r="I8" s="130"/>
      <c r="J8" s="120"/>
      <c r="K8" s="330">
        <f>Input!M50</f>
        <v>31.799999999999997</v>
      </c>
      <c r="L8" s="371">
        <f>G10-K11</f>
        <v>0.19999999999999929</v>
      </c>
      <c r="M8" s="58">
        <f t="shared" si="2"/>
        <v>-8.83</v>
      </c>
      <c r="N8" s="78"/>
      <c r="O8" s="291"/>
      <c r="P8" s="291"/>
      <c r="V8" s="55">
        <f t="shared" si="8"/>
        <v>150</v>
      </c>
      <c r="W8" s="51">
        <f t="shared" si="9"/>
        <v>1.8614671186269023</v>
      </c>
      <c r="X8" s="51">
        <f t="shared" si="10"/>
        <v>0.125</v>
      </c>
      <c r="Y8" s="51">
        <f t="shared" si="11"/>
        <v>5.0000000000000001E-4</v>
      </c>
      <c r="Z8" s="51">
        <f t="shared" si="3"/>
        <v>1.0416666666666666E-2</v>
      </c>
      <c r="AA8" s="56">
        <f t="shared" si="4"/>
        <v>15</v>
      </c>
      <c r="AB8" s="76">
        <f t="shared" si="0"/>
        <v>38.443860460648494</v>
      </c>
      <c r="AC8" s="57">
        <f t="shared" si="5"/>
        <v>38.443860460648494</v>
      </c>
      <c r="AE8" s="56">
        <f t="shared" si="6"/>
        <v>15</v>
      </c>
      <c r="AF8" s="57">
        <f t="shared" si="1"/>
        <v>14.193860513432661</v>
      </c>
      <c r="AG8" s="57">
        <f t="shared" si="7"/>
        <v>38.443860460648494</v>
      </c>
    </row>
    <row r="9" spans="1:38" s="51" customFormat="1" ht="21.6" customHeight="1">
      <c r="A9" s="134" t="s">
        <v>170</v>
      </c>
      <c r="B9" s="139" t="s">
        <v>171</v>
      </c>
      <c r="C9" s="136" t="s">
        <v>190</v>
      </c>
      <c r="D9" s="442" t="s">
        <v>173</v>
      </c>
      <c r="E9" s="442"/>
      <c r="F9" s="139" t="s">
        <v>174</v>
      </c>
      <c r="G9" s="139" t="s">
        <v>175</v>
      </c>
      <c r="H9" s="140"/>
      <c r="I9" s="140"/>
      <c r="J9" s="140"/>
      <c r="K9" s="75">
        <f>G8-D8</f>
        <v>31.799999999999997</v>
      </c>
      <c r="M9" s="58">
        <f t="shared" si="2"/>
        <v>-17.62</v>
      </c>
      <c r="N9" s="78"/>
      <c r="O9" s="291"/>
      <c r="P9" s="291"/>
      <c r="V9" s="55">
        <f t="shared" si="8"/>
        <v>150</v>
      </c>
      <c r="W9" s="51">
        <f t="shared" si="9"/>
        <v>1.8614671186269023</v>
      </c>
      <c r="X9" s="51">
        <f t="shared" si="10"/>
        <v>0.125</v>
      </c>
      <c r="Y9" s="51">
        <f t="shared" si="11"/>
        <v>5.0000000000000001E-4</v>
      </c>
      <c r="Z9" s="51">
        <f t="shared" si="3"/>
        <v>1.3888888888888888E-2</v>
      </c>
      <c r="AA9" s="56">
        <f t="shared" si="4"/>
        <v>20</v>
      </c>
      <c r="AB9" s="76">
        <f t="shared" si="0"/>
        <v>39.725727906979856</v>
      </c>
      <c r="AC9" s="57">
        <f t="shared" si="5"/>
        <v>39.725727906979856</v>
      </c>
      <c r="AE9" s="56">
        <f t="shared" si="6"/>
        <v>20</v>
      </c>
      <c r="AF9" s="57">
        <f t="shared" si="1"/>
        <v>15.475727959764022</v>
      </c>
      <c r="AG9" s="57">
        <f t="shared" si="7"/>
        <v>39.725727906979856</v>
      </c>
    </row>
    <row r="10" spans="1:38" s="51" customFormat="1" ht="21" customHeight="1">
      <c r="A10" s="140">
        <v>1</v>
      </c>
      <c r="B10" s="141">
        <f>Input!C26</f>
        <v>150</v>
      </c>
      <c r="C10" s="142">
        <v>45389.479166666664</v>
      </c>
      <c r="D10" s="143">
        <v>1</v>
      </c>
      <c r="E10" s="133">
        <f>D10/1440</f>
        <v>6.9444444444444447E-4</v>
      </c>
      <c r="F10" s="144">
        <f>G10+D$8</f>
        <v>6.3078799527896123</v>
      </c>
      <c r="G10" s="145">
        <f>AF2</f>
        <v>2.7078799527896127</v>
      </c>
      <c r="H10" s="146"/>
      <c r="I10" s="146"/>
      <c r="J10" s="146"/>
      <c r="K10" s="79">
        <f>K8-K9</f>
        <v>0</v>
      </c>
      <c r="L10" s="75">
        <f>K10+Q17</f>
        <v>0.57999999999999996</v>
      </c>
      <c r="M10" s="58">
        <f t="shared" si="2"/>
        <v>-26.95</v>
      </c>
      <c r="N10" s="78"/>
      <c r="O10" s="291"/>
      <c r="P10" s="291"/>
      <c r="V10" s="55">
        <f t="shared" si="8"/>
        <v>150</v>
      </c>
      <c r="W10" s="51">
        <f t="shared" si="9"/>
        <v>1.8614671186269023</v>
      </c>
      <c r="X10" s="51">
        <f t="shared" si="10"/>
        <v>0.125</v>
      </c>
      <c r="Y10" s="51">
        <f t="shared" si="11"/>
        <v>5.0000000000000001E-4</v>
      </c>
      <c r="Z10" s="51">
        <f t="shared" si="3"/>
        <v>1.7361111111111112E-2</v>
      </c>
      <c r="AA10" s="56">
        <f t="shared" si="4"/>
        <v>25</v>
      </c>
      <c r="AB10" s="76">
        <f t="shared" si="0"/>
        <v>40.72002154457315</v>
      </c>
      <c r="AC10" s="57">
        <f t="shared" si="5"/>
        <v>40.72002154457315</v>
      </c>
      <c r="AE10" s="56">
        <f t="shared" si="6"/>
        <v>25</v>
      </c>
      <c r="AF10" s="57">
        <f t="shared" si="1"/>
        <v>16.470021597357317</v>
      </c>
      <c r="AG10" s="57">
        <f t="shared" si="7"/>
        <v>40.72002154457315</v>
      </c>
    </row>
    <row r="11" spans="1:38" s="51" customFormat="1" ht="21" customHeight="1">
      <c r="A11" s="140"/>
      <c r="B11" s="140"/>
      <c r="C11" s="142"/>
      <c r="D11" s="143">
        <v>2</v>
      </c>
      <c r="E11" s="133">
        <f t="shared" ref="E11:E74" si="12">D11/1440</f>
        <v>1.3888888888888889E-3</v>
      </c>
      <c r="F11" s="144">
        <f t="shared" ref="F11:F62" si="13">G11+D$8</f>
        <v>8.8157599055792257</v>
      </c>
      <c r="G11" s="144">
        <f>AF3</f>
        <v>5.2157599055792261</v>
      </c>
      <c r="H11" s="146"/>
      <c r="I11" s="146"/>
      <c r="J11" s="146"/>
      <c r="K11" s="80">
        <f>G11-G10</f>
        <v>2.5078799527896134</v>
      </c>
      <c r="L11" s="75" t="s">
        <v>21</v>
      </c>
      <c r="N11" s="78"/>
      <c r="O11" s="291"/>
      <c r="V11" s="55">
        <f t="shared" si="8"/>
        <v>150</v>
      </c>
      <c r="W11" s="51">
        <f t="shared" si="9"/>
        <v>1.8614671186269023</v>
      </c>
      <c r="X11" s="51">
        <f t="shared" si="10"/>
        <v>0.125</v>
      </c>
      <c r="Y11" s="51">
        <f t="shared" si="11"/>
        <v>5.0000000000000001E-4</v>
      </c>
      <c r="Z11" s="51">
        <f t="shared" si="3"/>
        <v>2.0833333333333332E-2</v>
      </c>
      <c r="AA11" s="56">
        <f t="shared" si="4"/>
        <v>30</v>
      </c>
      <c r="AB11" s="76">
        <f t="shared" si="0"/>
        <v>41.532418599512326</v>
      </c>
      <c r="AC11" s="57">
        <f t="shared" si="5"/>
        <v>41.532418599512326</v>
      </c>
      <c r="AE11" s="56">
        <f t="shared" si="6"/>
        <v>30</v>
      </c>
      <c r="AF11" s="57">
        <f t="shared" si="1"/>
        <v>17.282418652296492</v>
      </c>
      <c r="AG11" s="57">
        <f t="shared" si="7"/>
        <v>41.532418599512326</v>
      </c>
    </row>
    <row r="12" spans="1:38" s="51" customFormat="1" ht="21" customHeight="1">
      <c r="A12" s="140"/>
      <c r="B12" s="140"/>
      <c r="C12" s="142"/>
      <c r="D12" s="143">
        <v>3</v>
      </c>
      <c r="E12" s="133">
        <f t="shared" si="12"/>
        <v>2.0833333333333333E-3</v>
      </c>
      <c r="F12" s="144">
        <f t="shared" si="13"/>
        <v>10.622450598111696</v>
      </c>
      <c r="G12" s="144">
        <f t="shared" ref="G12:G74" si="14">AF4</f>
        <v>7.0224505981116963</v>
      </c>
      <c r="H12" s="146"/>
      <c r="I12" s="146"/>
      <c r="J12" s="146"/>
      <c r="K12" s="80">
        <f t="shared" ref="K12:K47" si="15">G12-G11</f>
        <v>1.8066906925324702</v>
      </c>
      <c r="L12" s="75" t="s">
        <v>21</v>
      </c>
      <c r="N12" s="78"/>
      <c r="O12" s="291"/>
      <c r="V12" s="55">
        <f t="shared" si="8"/>
        <v>150</v>
      </c>
      <c r="W12" s="51">
        <f t="shared" si="9"/>
        <v>1.8614671186269023</v>
      </c>
      <c r="X12" s="51">
        <f t="shared" si="10"/>
        <v>0.125</v>
      </c>
      <c r="Y12" s="51">
        <f t="shared" si="11"/>
        <v>5.0000000000000001E-4</v>
      </c>
      <c r="Z12" s="51">
        <f t="shared" si="3"/>
        <v>2.4305555555555556E-2</v>
      </c>
      <c r="AA12" s="56">
        <f t="shared" si="4"/>
        <v>35</v>
      </c>
      <c r="AB12" s="76">
        <f t="shared" si="0"/>
        <v>42.219290522452653</v>
      </c>
      <c r="AC12" s="57">
        <f t="shared" si="5"/>
        <v>42.219290522452653</v>
      </c>
      <c r="AE12" s="56">
        <f t="shared" si="6"/>
        <v>35</v>
      </c>
      <c r="AF12" s="57">
        <f t="shared" si="1"/>
        <v>17.969290575236819</v>
      </c>
      <c r="AG12" s="57">
        <f t="shared" si="7"/>
        <v>42.219290522452653</v>
      </c>
    </row>
    <row r="13" spans="1:38" s="51" customFormat="1" ht="21" customHeight="1">
      <c r="A13" s="140"/>
      <c r="B13" s="140"/>
      <c r="C13" s="142"/>
      <c r="D13" s="143">
        <v>4</v>
      </c>
      <c r="E13" s="133">
        <f t="shared" si="12"/>
        <v>2.7777777777777779E-3</v>
      </c>
      <c r="F13" s="144">
        <f t="shared" si="13"/>
        <v>11.904318044443064</v>
      </c>
      <c r="G13" s="144">
        <f t="shared" si="14"/>
        <v>8.3043180444430647</v>
      </c>
      <c r="H13" s="146"/>
      <c r="I13" s="146"/>
      <c r="J13" s="146"/>
      <c r="K13" s="80">
        <f t="shared" si="15"/>
        <v>1.2818674463313684</v>
      </c>
      <c r="L13" s="75" t="s">
        <v>21</v>
      </c>
      <c r="M13" s="293">
        <v>0</v>
      </c>
      <c r="N13" s="78"/>
      <c r="O13" s="291"/>
      <c r="V13" s="55">
        <f t="shared" si="8"/>
        <v>150</v>
      </c>
      <c r="W13" s="51">
        <f t="shared" si="9"/>
        <v>1.8614671186269023</v>
      </c>
      <c r="X13" s="51">
        <f t="shared" si="10"/>
        <v>0.125</v>
      </c>
      <c r="Y13" s="51">
        <f t="shared" si="11"/>
        <v>5.0000000000000001E-4</v>
      </c>
      <c r="Z13" s="51">
        <f t="shared" si="3"/>
        <v>2.7777777777777776E-2</v>
      </c>
      <c r="AA13" s="56">
        <f t="shared" si="4"/>
        <v>40</v>
      </c>
      <c r="AB13" s="76">
        <f t="shared" si="0"/>
        <v>42.814286045843687</v>
      </c>
      <c r="AC13" s="57">
        <f t="shared" si="5"/>
        <v>42.814286045843687</v>
      </c>
      <c r="AE13" s="56">
        <f t="shared" si="6"/>
        <v>40</v>
      </c>
      <c r="AF13" s="57">
        <f t="shared" si="1"/>
        <v>18.564286098627854</v>
      </c>
      <c r="AG13" s="57">
        <f t="shared" si="7"/>
        <v>42.814286045843687</v>
      </c>
    </row>
    <row r="14" spans="1:38" s="51" customFormat="1" ht="21" customHeight="1">
      <c r="A14" s="140"/>
      <c r="B14" s="140"/>
      <c r="C14" s="142"/>
      <c r="D14" s="143">
        <v>5</v>
      </c>
      <c r="E14" s="133">
        <f t="shared" si="12"/>
        <v>3.472222222222222E-3</v>
      </c>
      <c r="F14" s="144">
        <f t="shared" si="13"/>
        <v>12.898611682036352</v>
      </c>
      <c r="G14" s="144">
        <f t="shared" si="14"/>
        <v>9.298611682036352</v>
      </c>
      <c r="H14" s="146"/>
      <c r="I14" s="146"/>
      <c r="J14" s="146"/>
      <c r="K14" s="80">
        <f t="shared" si="15"/>
        <v>0.99429363759328737</v>
      </c>
      <c r="L14" s="75" t="s">
        <v>21</v>
      </c>
      <c r="N14" s="78"/>
      <c r="O14" s="291"/>
      <c r="V14" s="55">
        <f t="shared" si="8"/>
        <v>150</v>
      </c>
      <c r="W14" s="51">
        <f t="shared" si="9"/>
        <v>1.8614671186269023</v>
      </c>
      <c r="X14" s="51">
        <f t="shared" si="10"/>
        <v>0.125</v>
      </c>
      <c r="Y14" s="51">
        <f t="shared" si="11"/>
        <v>5.0000000000000001E-4</v>
      </c>
      <c r="Z14" s="51">
        <f t="shared" si="3"/>
        <v>3.125E-2</v>
      </c>
      <c r="AA14" s="56">
        <f t="shared" si="4"/>
        <v>45</v>
      </c>
      <c r="AB14" s="76">
        <f t="shared" si="0"/>
        <v>43.339109292044796</v>
      </c>
      <c r="AC14" s="57">
        <f t="shared" si="5"/>
        <v>43.339109292044796</v>
      </c>
      <c r="AE14" s="56">
        <f t="shared" si="6"/>
        <v>45</v>
      </c>
      <c r="AF14" s="57">
        <f t="shared" si="1"/>
        <v>19.089109344828962</v>
      </c>
      <c r="AG14" s="57">
        <f t="shared" si="7"/>
        <v>43.339109292044796</v>
      </c>
    </row>
    <row r="15" spans="1:38" s="51" customFormat="1" ht="21" customHeight="1">
      <c r="A15" s="140"/>
      <c r="B15" s="329"/>
      <c r="C15" s="142"/>
      <c r="D15" s="143">
        <v>10</v>
      </c>
      <c r="E15" s="133">
        <f t="shared" si="12"/>
        <v>6.9444444444444441E-3</v>
      </c>
      <c r="F15" s="144">
        <f t="shared" si="13"/>
        <v>15.98716982090019</v>
      </c>
      <c r="G15" s="144">
        <f t="shared" si="14"/>
        <v>12.387169820900191</v>
      </c>
      <c r="H15" s="146"/>
      <c r="I15" s="146"/>
      <c r="J15" s="146"/>
      <c r="K15" s="80">
        <f t="shared" si="15"/>
        <v>3.0885581388638386</v>
      </c>
      <c r="L15" s="75" t="s">
        <v>21</v>
      </c>
      <c r="N15" s="81"/>
      <c r="O15" s="53"/>
      <c r="V15" s="55">
        <f t="shared" si="8"/>
        <v>150</v>
      </c>
      <c r="W15" s="51">
        <f t="shared" si="9"/>
        <v>1.8614671186269023</v>
      </c>
      <c r="X15" s="51">
        <f t="shared" si="10"/>
        <v>0.125</v>
      </c>
      <c r="Y15" s="51">
        <f t="shared" si="11"/>
        <v>5.0000000000000001E-4</v>
      </c>
      <c r="Z15" s="51">
        <f t="shared" si="3"/>
        <v>3.4722222222222224E-2</v>
      </c>
      <c r="AA15" s="56">
        <f t="shared" si="4"/>
        <v>50</v>
      </c>
      <c r="AB15" s="76">
        <f t="shared" si="0"/>
        <v>43.808579683436989</v>
      </c>
      <c r="AC15" s="57">
        <f t="shared" si="5"/>
        <v>43.808579683436989</v>
      </c>
      <c r="AE15" s="56">
        <f t="shared" si="6"/>
        <v>50</v>
      </c>
      <c r="AF15" s="57">
        <f>AC15-$P$3</f>
        <v>19.558579736221155</v>
      </c>
      <c r="AG15" s="57">
        <f t="shared" si="7"/>
        <v>43.808579683436989</v>
      </c>
    </row>
    <row r="16" spans="1:38" s="51" customFormat="1" ht="21" customHeight="1">
      <c r="A16" s="140"/>
      <c r="B16" s="140"/>
      <c r="C16" s="142"/>
      <c r="D16" s="143">
        <v>15</v>
      </c>
      <c r="E16" s="133">
        <f t="shared" si="12"/>
        <v>1.0416666666666666E-2</v>
      </c>
      <c r="F16" s="144">
        <f t="shared" si="13"/>
        <v>17.793860513432662</v>
      </c>
      <c r="G16" s="144">
        <f t="shared" si="14"/>
        <v>14.193860513432661</v>
      </c>
      <c r="H16" s="146"/>
      <c r="I16" s="146"/>
      <c r="J16" s="146"/>
      <c r="K16" s="80">
        <f t="shared" si="15"/>
        <v>1.8066906925324702</v>
      </c>
      <c r="L16" s="387" t="s">
        <v>247</v>
      </c>
      <c r="M16" s="388" t="s">
        <v>178</v>
      </c>
      <c r="N16" s="388" t="s">
        <v>179</v>
      </c>
      <c r="O16" s="388" t="s">
        <v>245</v>
      </c>
      <c r="P16" s="388" t="s">
        <v>246</v>
      </c>
      <c r="Q16" s="388" t="s">
        <v>248</v>
      </c>
      <c r="V16" s="55">
        <f t="shared" si="8"/>
        <v>150</v>
      </c>
      <c r="W16" s="51">
        <f t="shared" si="9"/>
        <v>1.8614671186269023</v>
      </c>
      <c r="X16" s="51">
        <f t="shared" si="10"/>
        <v>0.125</v>
      </c>
      <c r="Y16" s="51">
        <f t="shared" si="11"/>
        <v>5.0000000000000001E-4</v>
      </c>
      <c r="Z16" s="51">
        <f t="shared" si="3"/>
        <v>3.8194444444444448E-2</v>
      </c>
      <c r="AA16" s="56">
        <f t="shared" si="4"/>
        <v>55</v>
      </c>
      <c r="AB16" s="76">
        <f t="shared" si="0"/>
        <v>44.233267310837299</v>
      </c>
      <c r="AC16" s="57">
        <f t="shared" si="5"/>
        <v>44.233267310837299</v>
      </c>
      <c r="AE16" s="56">
        <f t="shared" si="6"/>
        <v>55</v>
      </c>
      <c r="AF16" s="57">
        <f>AC16-$P$3</f>
        <v>19.983267363621465</v>
      </c>
      <c r="AG16" s="57">
        <f t="shared" si="7"/>
        <v>44.233267310837299</v>
      </c>
    </row>
    <row r="17" spans="1:32" s="51" customFormat="1" ht="21" customHeight="1">
      <c r="A17" s="140"/>
      <c r="B17" s="140"/>
      <c r="C17" s="142"/>
      <c r="D17" s="143">
        <v>20</v>
      </c>
      <c r="E17" s="133">
        <f t="shared" si="12"/>
        <v>1.3888888888888888E-2</v>
      </c>
      <c r="F17" s="144">
        <f t="shared" si="13"/>
        <v>19.075727959764023</v>
      </c>
      <c r="G17" s="144">
        <f t="shared" si="14"/>
        <v>15.475727959764022</v>
      </c>
      <c r="H17" s="146"/>
      <c r="I17" s="146"/>
      <c r="J17" s="146"/>
      <c r="K17" s="80">
        <f t="shared" si="15"/>
        <v>1.2818674463313613</v>
      </c>
      <c r="L17" s="373">
        <f>D10</f>
        <v>1</v>
      </c>
      <c r="M17" s="374">
        <f>INT(B10/1440*10000)/10000</f>
        <v>0.1041</v>
      </c>
      <c r="N17" s="374">
        <f>L17*M17</f>
        <v>0.1041</v>
      </c>
      <c r="O17" s="374">
        <f>INT((D7/2/1000)^2*PI()*100000)/100000</f>
        <v>4.9079999999999999E-2</v>
      </c>
      <c r="P17" s="374">
        <f>INT(N17/O17*100)/100</f>
        <v>2.12</v>
      </c>
      <c r="Q17" s="375">
        <f>INT((G10-P17)*100)/100</f>
        <v>0.57999999999999996</v>
      </c>
      <c r="V17" s="55">
        <f t="shared" si="8"/>
        <v>150</v>
      </c>
      <c r="W17" s="51">
        <f t="shared" si="9"/>
        <v>1.8614671186269023</v>
      </c>
      <c r="X17" s="51">
        <f t="shared" si="10"/>
        <v>0.125</v>
      </c>
      <c r="Y17" s="51">
        <f t="shared" si="11"/>
        <v>5.0000000000000001E-4</v>
      </c>
      <c r="Z17" s="51">
        <f t="shared" si="3"/>
        <v>4.1666666666666664E-2</v>
      </c>
      <c r="AA17" s="56">
        <f t="shared" si="4"/>
        <v>60</v>
      </c>
      <c r="AB17" s="76">
        <f t="shared" si="0"/>
        <v>44.620976738376157</v>
      </c>
      <c r="AC17" s="57">
        <f t="shared" si="5"/>
        <v>44.620976738376157</v>
      </c>
      <c r="AE17" s="56">
        <f t="shared" si="6"/>
        <v>60</v>
      </c>
      <c r="AF17" s="57">
        <f>AC17-$P$3</f>
        <v>20.370976791160324</v>
      </c>
    </row>
    <row r="18" spans="1:32" s="51" customFormat="1" ht="21" customHeight="1">
      <c r="A18" s="140"/>
      <c r="B18" s="140"/>
      <c r="C18" s="142"/>
      <c r="D18" s="143">
        <v>25</v>
      </c>
      <c r="E18" s="133">
        <f t="shared" si="12"/>
        <v>1.7361111111111112E-2</v>
      </c>
      <c r="F18" s="144">
        <f t="shared" si="13"/>
        <v>20.070021597357318</v>
      </c>
      <c r="G18" s="144">
        <f t="shared" si="14"/>
        <v>16.470021597357317</v>
      </c>
      <c r="H18" s="146"/>
      <c r="I18" s="146"/>
      <c r="J18" s="146"/>
      <c r="K18" s="80">
        <f t="shared" si="15"/>
        <v>0.99429363759329448</v>
      </c>
      <c r="L18" s="373">
        <f t="shared" ref="L18:L31" si="16">D11</f>
        <v>2</v>
      </c>
      <c r="M18" s="374">
        <f>M17</f>
        <v>0.1041</v>
      </c>
      <c r="N18" s="374">
        <f>L18*M18</f>
        <v>0.2082</v>
      </c>
      <c r="O18" s="374">
        <f>O17</f>
        <v>4.9079999999999999E-2</v>
      </c>
      <c r="P18" s="374">
        <f>INT(N18/O18*100)/100</f>
        <v>4.24</v>
      </c>
      <c r="Q18" s="375">
        <f t="shared" ref="Q18:Q27" si="17">INT((G11-P18)*100)/100</f>
        <v>0.97</v>
      </c>
      <c r="V18" s="55">
        <f t="shared" si="8"/>
        <v>150</v>
      </c>
      <c r="W18" s="51">
        <f t="shared" si="9"/>
        <v>1.8614671186269023</v>
      </c>
      <c r="X18" s="51">
        <f t="shared" si="10"/>
        <v>0.125</v>
      </c>
      <c r="Y18" s="51">
        <f t="shared" si="11"/>
        <v>5.0000000000000001E-4</v>
      </c>
      <c r="Z18" s="51">
        <f t="shared" si="3"/>
        <v>5.2083333333333336E-2</v>
      </c>
      <c r="AA18" s="56">
        <f t="shared" si="4"/>
        <v>75</v>
      </c>
      <c r="AB18" s="76">
        <f t="shared" si="0"/>
        <v>45.615270375969459</v>
      </c>
      <c r="AC18" s="57">
        <f t="shared" si="5"/>
        <v>45.615270375969459</v>
      </c>
      <c r="AE18" s="56">
        <f t="shared" si="6"/>
        <v>75</v>
      </c>
      <c r="AF18" s="57">
        <f>AC18-$P$3</f>
        <v>21.365270428753625</v>
      </c>
    </row>
    <row r="19" spans="1:32" s="51" customFormat="1" ht="21" customHeight="1">
      <c r="A19" s="140"/>
      <c r="B19" s="140"/>
      <c r="C19" s="142"/>
      <c r="D19" s="143">
        <v>30</v>
      </c>
      <c r="E19" s="133">
        <f t="shared" si="12"/>
        <v>2.0833333333333332E-2</v>
      </c>
      <c r="F19" s="144">
        <f t="shared" si="13"/>
        <v>20.882418652296494</v>
      </c>
      <c r="G19" s="144">
        <f t="shared" si="14"/>
        <v>17.282418652296492</v>
      </c>
      <c r="H19" s="146"/>
      <c r="I19" s="146"/>
      <c r="J19" s="146"/>
      <c r="K19" s="80">
        <f t="shared" si="15"/>
        <v>0.81239705493917569</v>
      </c>
      <c r="L19" s="373">
        <f t="shared" si="16"/>
        <v>3</v>
      </c>
      <c r="M19" s="374">
        <f>M18</f>
        <v>0.1041</v>
      </c>
      <c r="N19" s="374">
        <f t="shared" ref="N19:N27" si="18">L19*M19</f>
        <v>0.31230000000000002</v>
      </c>
      <c r="O19" s="374">
        <f t="shared" ref="O19:O31" si="19">O18</f>
        <v>4.9079999999999999E-2</v>
      </c>
      <c r="P19" s="374">
        <f>INT(N19/O19*100)/100</f>
        <v>6.36</v>
      </c>
      <c r="Q19" s="375">
        <f t="shared" si="17"/>
        <v>0.66</v>
      </c>
      <c r="V19" s="55">
        <f t="shared" si="8"/>
        <v>150</v>
      </c>
      <c r="W19" s="51">
        <f t="shared" si="9"/>
        <v>1.8614671186269023</v>
      </c>
      <c r="X19" s="51">
        <f t="shared" si="10"/>
        <v>0.125</v>
      </c>
      <c r="Y19" s="51">
        <f t="shared" si="11"/>
        <v>5.0000000000000001E-4</v>
      </c>
      <c r="Z19" s="51">
        <f t="shared" si="3"/>
        <v>6.25E-2</v>
      </c>
      <c r="AA19" s="56">
        <f t="shared" si="4"/>
        <v>90</v>
      </c>
      <c r="AB19" s="76">
        <f t="shared" si="0"/>
        <v>46.427667430908627</v>
      </c>
      <c r="AC19" s="57">
        <f t="shared" si="5"/>
        <v>46.427667430908627</v>
      </c>
      <c r="AE19" s="56">
        <f t="shared" si="6"/>
        <v>90</v>
      </c>
      <c r="AF19" s="57">
        <f>AC19-$P$3</f>
        <v>22.177667483692794</v>
      </c>
    </row>
    <row r="20" spans="1:32" s="51" customFormat="1" ht="21" customHeight="1">
      <c r="A20" s="140"/>
      <c r="B20" s="140"/>
      <c r="C20" s="142"/>
      <c r="D20" s="143">
        <v>35</v>
      </c>
      <c r="E20" s="133">
        <f t="shared" si="12"/>
        <v>2.4305555555555556E-2</v>
      </c>
      <c r="F20" s="144">
        <f t="shared" si="13"/>
        <v>21.56929057523682</v>
      </c>
      <c r="G20" s="144">
        <f t="shared" si="14"/>
        <v>17.969290575236819</v>
      </c>
      <c r="H20" s="146"/>
      <c r="I20" s="146"/>
      <c r="J20" s="146"/>
      <c r="K20" s="80">
        <f t="shared" si="15"/>
        <v>0.68687192294032684</v>
      </c>
      <c r="L20" s="373">
        <f t="shared" si="16"/>
        <v>4</v>
      </c>
      <c r="M20" s="374">
        <f>M19</f>
        <v>0.1041</v>
      </c>
      <c r="N20" s="374">
        <f>L20*M20</f>
        <v>0.41639999999999999</v>
      </c>
      <c r="O20" s="374">
        <f>O19</f>
        <v>4.9079999999999999E-2</v>
      </c>
      <c r="P20" s="374">
        <f>INT(N20/O20*100)/100</f>
        <v>8.48</v>
      </c>
      <c r="Q20" s="375">
        <f t="shared" si="17"/>
        <v>-0.18</v>
      </c>
      <c r="V20" s="55">
        <f t="shared" si="8"/>
        <v>150</v>
      </c>
      <c r="W20" s="51">
        <f t="shared" si="9"/>
        <v>1.8614671186269023</v>
      </c>
      <c r="X20" s="51">
        <f t="shared" si="10"/>
        <v>0.125</v>
      </c>
      <c r="Y20" s="51">
        <f t="shared" si="11"/>
        <v>5.0000000000000001E-4</v>
      </c>
      <c r="Z20" s="51">
        <f t="shared" si="3"/>
        <v>7.2916666666666671E-2</v>
      </c>
      <c r="AA20" s="56">
        <f t="shared" si="4"/>
        <v>105</v>
      </c>
      <c r="AB20" s="76">
        <f t="shared" si="0"/>
        <v>47.114539353848947</v>
      </c>
      <c r="AC20" s="57">
        <f t="shared" si="5"/>
        <v>47.114539353848947</v>
      </c>
      <c r="AE20" s="56">
        <f t="shared" si="6"/>
        <v>105</v>
      </c>
      <c r="AF20" s="57">
        <f t="shared" ref="AF20:AF69" si="20">AC20-$P$3</f>
        <v>22.864539406633114</v>
      </c>
    </row>
    <row r="21" spans="1:32" s="51" customFormat="1" ht="21" customHeight="1">
      <c r="A21" s="140"/>
      <c r="B21" s="140"/>
      <c r="C21" s="142"/>
      <c r="D21" s="143">
        <v>40</v>
      </c>
      <c r="E21" s="133">
        <f t="shared" si="12"/>
        <v>2.7777777777777776E-2</v>
      </c>
      <c r="F21" s="144">
        <f t="shared" si="13"/>
        <v>22.164286098627855</v>
      </c>
      <c r="G21" s="144">
        <f t="shared" si="14"/>
        <v>18.564286098627854</v>
      </c>
      <c r="H21" s="146"/>
      <c r="I21" s="146"/>
      <c r="J21" s="146"/>
      <c r="K21" s="80">
        <f t="shared" si="15"/>
        <v>0.59499552339103445</v>
      </c>
      <c r="L21" s="373">
        <f t="shared" si="16"/>
        <v>5</v>
      </c>
      <c r="M21" s="374">
        <f>M20</f>
        <v>0.1041</v>
      </c>
      <c r="N21" s="374">
        <f t="shared" si="18"/>
        <v>0.52049999999999996</v>
      </c>
      <c r="O21" s="374">
        <f t="shared" si="19"/>
        <v>4.9079999999999999E-2</v>
      </c>
      <c r="P21" s="374">
        <f>INT(N21/O21*100)/100</f>
        <v>10.6</v>
      </c>
      <c r="Q21" s="375">
        <f t="shared" si="17"/>
        <v>-1.31</v>
      </c>
      <c r="V21" s="55">
        <f t="shared" si="8"/>
        <v>150</v>
      </c>
      <c r="W21" s="51">
        <f t="shared" si="9"/>
        <v>1.8614671186269023</v>
      </c>
      <c r="X21" s="51">
        <f t="shared" si="10"/>
        <v>0.125</v>
      </c>
      <c r="Y21" s="51">
        <f t="shared" si="11"/>
        <v>5.0000000000000001E-4</v>
      </c>
      <c r="Z21" s="51">
        <f t="shared" si="3"/>
        <v>8.3333333333333329E-2</v>
      </c>
      <c r="AA21" s="56">
        <f t="shared" si="4"/>
        <v>120</v>
      </c>
      <c r="AB21" s="76">
        <f t="shared" si="0"/>
        <v>47.709534877239996</v>
      </c>
      <c r="AC21" s="57">
        <f t="shared" si="5"/>
        <v>47.709534877239996</v>
      </c>
      <c r="AE21" s="56">
        <f t="shared" si="6"/>
        <v>120</v>
      </c>
      <c r="AF21" s="57">
        <f t="shared" si="20"/>
        <v>23.459534930024162</v>
      </c>
    </row>
    <row r="22" spans="1:32" s="51" customFormat="1" ht="21" customHeight="1">
      <c r="A22" s="140"/>
      <c r="B22" s="140"/>
      <c r="C22" s="142"/>
      <c r="D22" s="143">
        <v>45</v>
      </c>
      <c r="E22" s="133">
        <f t="shared" si="12"/>
        <v>3.125E-2</v>
      </c>
      <c r="F22" s="144">
        <f t="shared" si="13"/>
        <v>22.689109344828964</v>
      </c>
      <c r="G22" s="144">
        <f t="shared" si="14"/>
        <v>19.089109344828962</v>
      </c>
      <c r="H22" s="146"/>
      <c r="I22" s="146"/>
      <c r="J22" s="146"/>
      <c r="K22" s="80">
        <f t="shared" si="15"/>
        <v>0.52482324620110887</v>
      </c>
      <c r="L22" s="373">
        <f t="shared" si="16"/>
        <v>10</v>
      </c>
      <c r="M22" s="374">
        <f t="shared" ref="M22:M31" si="21">M21</f>
        <v>0.1041</v>
      </c>
      <c r="N22" s="374">
        <f>L22*M22</f>
        <v>1.0409999999999999</v>
      </c>
      <c r="O22" s="374">
        <f>O21</f>
        <v>4.9079999999999999E-2</v>
      </c>
      <c r="P22" s="374">
        <f t="shared" ref="P22:P27" si="22">INT(N22/O22*100)/100</f>
        <v>21.21</v>
      </c>
      <c r="Q22" s="375">
        <f t="shared" si="17"/>
        <v>-8.83</v>
      </c>
      <c r="V22" s="55">
        <f t="shared" si="8"/>
        <v>150</v>
      </c>
      <c r="W22" s="51">
        <f t="shared" si="9"/>
        <v>1.8614671186269023</v>
      </c>
      <c r="X22" s="51">
        <f t="shared" si="10"/>
        <v>0.125</v>
      </c>
      <c r="Y22" s="51">
        <f t="shared" si="11"/>
        <v>5.0000000000000001E-4</v>
      </c>
      <c r="Z22" s="51">
        <f t="shared" si="3"/>
        <v>9.7222222222222224E-2</v>
      </c>
      <c r="AA22" s="56">
        <f t="shared" si="4"/>
        <v>140</v>
      </c>
      <c r="AB22" s="76">
        <f t="shared" si="0"/>
        <v>48.396406800180316</v>
      </c>
      <c r="AC22" s="57">
        <f t="shared" si="5"/>
        <v>48.396406800180316</v>
      </c>
      <c r="AE22" s="56">
        <f t="shared" si="6"/>
        <v>140</v>
      </c>
      <c r="AF22" s="57">
        <f t="shared" si="20"/>
        <v>24.146406852964482</v>
      </c>
    </row>
    <row r="23" spans="1:32" s="51" customFormat="1" ht="21" customHeight="1">
      <c r="A23" s="140"/>
      <c r="B23" s="140"/>
      <c r="C23" s="142"/>
      <c r="D23" s="143">
        <v>50</v>
      </c>
      <c r="E23" s="133">
        <f t="shared" si="12"/>
        <v>3.4722222222222224E-2</v>
      </c>
      <c r="F23" s="144">
        <f t="shared" si="13"/>
        <v>23.158579736221157</v>
      </c>
      <c r="G23" s="144">
        <f t="shared" si="14"/>
        <v>19.558579736221155</v>
      </c>
      <c r="H23" s="146"/>
      <c r="I23" s="146"/>
      <c r="J23" s="146"/>
      <c r="K23" s="80">
        <f t="shared" si="15"/>
        <v>0.46947039139219271</v>
      </c>
      <c r="L23" s="373">
        <f t="shared" si="16"/>
        <v>15</v>
      </c>
      <c r="M23" s="374">
        <f t="shared" si="21"/>
        <v>0.1041</v>
      </c>
      <c r="N23" s="374">
        <f t="shared" si="18"/>
        <v>1.5614999999999999</v>
      </c>
      <c r="O23" s="374">
        <f t="shared" si="19"/>
        <v>4.9079999999999999E-2</v>
      </c>
      <c r="P23" s="374">
        <f t="shared" si="22"/>
        <v>31.81</v>
      </c>
      <c r="Q23" s="375">
        <f t="shared" si="17"/>
        <v>-17.62</v>
      </c>
      <c r="V23" s="55">
        <f t="shared" si="8"/>
        <v>150</v>
      </c>
      <c r="W23" s="51">
        <f t="shared" si="9"/>
        <v>1.8614671186269023</v>
      </c>
      <c r="X23" s="51">
        <f t="shared" si="10"/>
        <v>0.125</v>
      </c>
      <c r="Y23" s="51">
        <f t="shared" si="11"/>
        <v>5.0000000000000001E-4</v>
      </c>
      <c r="Z23" s="51">
        <f t="shared" si="3"/>
        <v>0.1111111111111111</v>
      </c>
      <c r="AA23" s="56">
        <f t="shared" si="4"/>
        <v>160</v>
      </c>
      <c r="AB23" s="76">
        <f t="shared" si="0"/>
        <v>48.991402323571364</v>
      </c>
      <c r="AC23" s="57">
        <f t="shared" si="5"/>
        <v>48.991402323571364</v>
      </c>
      <c r="AE23" s="56">
        <f t="shared" si="6"/>
        <v>160</v>
      </c>
      <c r="AF23" s="57">
        <f t="shared" si="20"/>
        <v>24.741402376355531</v>
      </c>
    </row>
    <row r="24" spans="1:32" s="51" customFormat="1" ht="21" customHeight="1">
      <c r="A24" s="140"/>
      <c r="B24" s="140"/>
      <c r="C24" s="142"/>
      <c r="D24" s="143">
        <v>55</v>
      </c>
      <c r="E24" s="133">
        <f t="shared" si="12"/>
        <v>3.8194444444444448E-2</v>
      </c>
      <c r="F24" s="144">
        <f t="shared" si="13"/>
        <v>23.583267363621466</v>
      </c>
      <c r="G24" s="144">
        <f t="shared" si="14"/>
        <v>19.983267363621465</v>
      </c>
      <c r="H24" s="146"/>
      <c r="I24" s="146"/>
      <c r="J24" s="146"/>
      <c r="K24" s="80">
        <f t="shared" si="15"/>
        <v>0.42468762740030996</v>
      </c>
      <c r="L24" s="373">
        <f t="shared" si="16"/>
        <v>20</v>
      </c>
      <c r="M24" s="374">
        <f t="shared" si="21"/>
        <v>0.1041</v>
      </c>
      <c r="N24" s="374">
        <f t="shared" si="18"/>
        <v>2.0819999999999999</v>
      </c>
      <c r="O24" s="374">
        <f t="shared" si="19"/>
        <v>4.9079999999999999E-2</v>
      </c>
      <c r="P24" s="374">
        <f t="shared" si="22"/>
        <v>42.42</v>
      </c>
      <c r="Q24" s="375">
        <f t="shared" si="17"/>
        <v>-26.95</v>
      </c>
      <c r="V24" s="55">
        <f t="shared" si="8"/>
        <v>150</v>
      </c>
      <c r="W24" s="51">
        <f t="shared" si="9"/>
        <v>1.8614671186269023</v>
      </c>
      <c r="X24" s="51">
        <f t="shared" si="10"/>
        <v>0.125</v>
      </c>
      <c r="Y24" s="51">
        <f t="shared" si="11"/>
        <v>5.0000000000000001E-4</v>
      </c>
      <c r="Z24" s="51">
        <f t="shared" si="3"/>
        <v>0.125</v>
      </c>
      <c r="AA24" s="56">
        <f t="shared" si="4"/>
        <v>180</v>
      </c>
      <c r="AB24" s="76">
        <f t="shared" si="0"/>
        <v>49.516225569772466</v>
      </c>
      <c r="AC24" s="57">
        <f t="shared" si="5"/>
        <v>49.516225569772466</v>
      </c>
      <c r="AE24" s="56">
        <f t="shared" si="6"/>
        <v>180</v>
      </c>
      <c r="AF24" s="57">
        <f t="shared" si="20"/>
        <v>25.266225622556632</v>
      </c>
    </row>
    <row r="25" spans="1:32" s="51" customFormat="1" ht="21" customHeight="1">
      <c r="A25" s="140"/>
      <c r="B25" s="140"/>
      <c r="C25" s="142">
        <f>$C$10+D25/1440</f>
        <v>45389.520833333328</v>
      </c>
      <c r="D25" s="143">
        <v>60</v>
      </c>
      <c r="E25" s="133">
        <f t="shared" si="12"/>
        <v>4.1666666666666664E-2</v>
      </c>
      <c r="F25" s="144">
        <f t="shared" si="13"/>
        <v>23.970976791160325</v>
      </c>
      <c r="G25" s="144">
        <f t="shared" si="14"/>
        <v>20.370976791160324</v>
      </c>
      <c r="H25" s="146"/>
      <c r="I25" s="146"/>
      <c r="J25" s="146"/>
      <c r="K25" s="80">
        <f t="shared" si="15"/>
        <v>0.38770942753885862</v>
      </c>
      <c r="L25" s="373">
        <f t="shared" si="16"/>
        <v>25</v>
      </c>
      <c r="M25" s="374">
        <f t="shared" si="21"/>
        <v>0.1041</v>
      </c>
      <c r="N25" s="374">
        <f t="shared" si="18"/>
        <v>2.6025</v>
      </c>
      <c r="O25" s="374">
        <f t="shared" si="19"/>
        <v>4.9079999999999999E-2</v>
      </c>
      <c r="P25" s="374">
        <f t="shared" si="22"/>
        <v>53.02</v>
      </c>
      <c r="Q25" s="375">
        <f t="shared" si="17"/>
        <v>-36.549999999999997</v>
      </c>
      <c r="V25" s="55">
        <f t="shared" si="8"/>
        <v>150</v>
      </c>
      <c r="W25" s="51">
        <f t="shared" si="9"/>
        <v>1.8614671186269023</v>
      </c>
      <c r="X25" s="51">
        <f t="shared" si="10"/>
        <v>0.125</v>
      </c>
      <c r="Y25" s="51">
        <f t="shared" si="11"/>
        <v>5.0000000000000001E-4</v>
      </c>
      <c r="Z25" s="51">
        <f t="shared" si="3"/>
        <v>0.16666666666666666</v>
      </c>
      <c r="AA25" s="56">
        <f t="shared" si="4"/>
        <v>240</v>
      </c>
      <c r="AB25" s="76">
        <f t="shared" si="0"/>
        <v>50.798093016103834</v>
      </c>
      <c r="AC25" s="57">
        <f t="shared" si="5"/>
        <v>50.798093016103834</v>
      </c>
      <c r="AE25" s="56">
        <f t="shared" si="6"/>
        <v>240</v>
      </c>
      <c r="AF25" s="57">
        <f t="shared" si="20"/>
        <v>26.548093068888001</v>
      </c>
    </row>
    <row r="26" spans="1:32" s="51" customFormat="1" ht="21" customHeight="1">
      <c r="A26" s="140"/>
      <c r="B26" s="140"/>
      <c r="C26" s="142"/>
      <c r="D26" s="143">
        <v>75</v>
      </c>
      <c r="E26" s="133">
        <f t="shared" si="12"/>
        <v>5.2083333333333336E-2</v>
      </c>
      <c r="F26" s="144">
        <f t="shared" si="13"/>
        <v>24.965270428753627</v>
      </c>
      <c r="G26" s="144">
        <f t="shared" si="14"/>
        <v>21.365270428753625</v>
      </c>
      <c r="H26" s="146"/>
      <c r="I26" s="146"/>
      <c r="J26" s="146"/>
      <c r="K26" s="80">
        <f t="shared" si="15"/>
        <v>0.99429363759330158</v>
      </c>
      <c r="L26" s="373">
        <f t="shared" si="16"/>
        <v>30</v>
      </c>
      <c r="M26" s="374">
        <f t="shared" si="21"/>
        <v>0.1041</v>
      </c>
      <c r="N26" s="374">
        <f t="shared" si="18"/>
        <v>3.1229999999999998</v>
      </c>
      <c r="O26" s="374">
        <f t="shared" si="19"/>
        <v>4.9079999999999999E-2</v>
      </c>
      <c r="P26" s="374">
        <f t="shared" si="22"/>
        <v>63.63</v>
      </c>
      <c r="Q26" s="375">
        <f t="shared" si="17"/>
        <v>-46.35</v>
      </c>
      <c r="V26" s="55">
        <f t="shared" si="8"/>
        <v>150</v>
      </c>
      <c r="W26" s="51">
        <f t="shared" si="9"/>
        <v>1.8614671186269023</v>
      </c>
      <c r="X26" s="51">
        <f t="shared" si="10"/>
        <v>0.125</v>
      </c>
      <c r="Y26" s="51">
        <f t="shared" si="11"/>
        <v>5.0000000000000001E-4</v>
      </c>
      <c r="Z26" s="51">
        <f t="shared" si="3"/>
        <v>0.20833333333333334</v>
      </c>
      <c r="AA26" s="56">
        <f t="shared" si="4"/>
        <v>300</v>
      </c>
      <c r="AB26" s="76">
        <f t="shared" si="0"/>
        <v>51.792386653697122</v>
      </c>
      <c r="AC26" s="57">
        <f t="shared" si="5"/>
        <v>51.792386653697122</v>
      </c>
      <c r="AE26" s="56">
        <f t="shared" si="6"/>
        <v>300</v>
      </c>
      <c r="AF26" s="57">
        <f t="shared" si="20"/>
        <v>27.542386706481288</v>
      </c>
    </row>
    <row r="27" spans="1:32" s="51" customFormat="1" ht="21" customHeight="1">
      <c r="A27" s="140"/>
      <c r="B27" s="140"/>
      <c r="C27" s="142"/>
      <c r="D27" s="143">
        <v>90</v>
      </c>
      <c r="E27" s="133">
        <f t="shared" si="12"/>
        <v>6.25E-2</v>
      </c>
      <c r="F27" s="144">
        <f t="shared" si="13"/>
        <v>25.777667483692795</v>
      </c>
      <c r="G27" s="144">
        <f t="shared" si="14"/>
        <v>22.177667483692794</v>
      </c>
      <c r="H27" s="146"/>
      <c r="I27" s="146"/>
      <c r="J27" s="146"/>
      <c r="K27" s="80">
        <f t="shared" si="15"/>
        <v>0.81239705493916858</v>
      </c>
      <c r="L27" s="373">
        <f t="shared" si="16"/>
        <v>35</v>
      </c>
      <c r="M27" s="374">
        <f t="shared" si="21"/>
        <v>0.1041</v>
      </c>
      <c r="N27" s="374">
        <f t="shared" si="18"/>
        <v>3.6435</v>
      </c>
      <c r="O27" s="374">
        <f t="shared" si="19"/>
        <v>4.9079999999999999E-2</v>
      </c>
      <c r="P27" s="374">
        <f t="shared" si="22"/>
        <v>74.23</v>
      </c>
      <c r="Q27" s="375">
        <f t="shared" si="17"/>
        <v>-56.27</v>
      </c>
      <c r="V27" s="55">
        <f t="shared" si="8"/>
        <v>150</v>
      </c>
      <c r="W27" s="51">
        <f t="shared" si="9"/>
        <v>1.8614671186269023</v>
      </c>
      <c r="X27" s="51">
        <f t="shared" si="10"/>
        <v>0.125</v>
      </c>
      <c r="Y27" s="51">
        <f t="shared" si="11"/>
        <v>5.0000000000000001E-4</v>
      </c>
      <c r="Z27" s="51">
        <f t="shared" si="3"/>
        <v>0.25</v>
      </c>
      <c r="AA27" s="56">
        <f t="shared" si="4"/>
        <v>360</v>
      </c>
      <c r="AB27" s="76">
        <f t="shared" si="0"/>
        <v>52.604783708636305</v>
      </c>
      <c r="AC27" s="57">
        <f t="shared" si="5"/>
        <v>52.604783708636305</v>
      </c>
      <c r="AE27" s="56">
        <f t="shared" si="6"/>
        <v>360</v>
      </c>
      <c r="AF27" s="57">
        <f t="shared" si="20"/>
        <v>28.354783761420471</v>
      </c>
    </row>
    <row r="28" spans="1:32" s="51" customFormat="1" ht="21" customHeight="1">
      <c r="A28" s="140"/>
      <c r="B28" s="140"/>
      <c r="C28" s="142"/>
      <c r="D28" s="143">
        <v>105</v>
      </c>
      <c r="E28" s="133">
        <f t="shared" si="12"/>
        <v>7.2916666666666671E-2</v>
      </c>
      <c r="F28" s="144">
        <f t="shared" si="13"/>
        <v>26.464539406633115</v>
      </c>
      <c r="G28" s="144">
        <f t="shared" si="14"/>
        <v>22.864539406633114</v>
      </c>
      <c r="H28" s="146"/>
      <c r="I28" s="146"/>
      <c r="J28" s="146"/>
      <c r="K28" s="80">
        <f t="shared" si="15"/>
        <v>0.68687192294031973</v>
      </c>
      <c r="L28" s="373">
        <f t="shared" si="16"/>
        <v>40</v>
      </c>
      <c r="M28" s="374">
        <f t="shared" si="21"/>
        <v>0.1041</v>
      </c>
      <c r="N28" s="374">
        <f>L28*M28</f>
        <v>4.1639999999999997</v>
      </c>
      <c r="O28" s="374">
        <f t="shared" si="19"/>
        <v>4.9079999999999999E-2</v>
      </c>
      <c r="P28" s="374">
        <f>INT(N28/O28*100)/100</f>
        <v>84.84</v>
      </c>
      <c r="Q28" s="375">
        <f>INT((G21-P28)*100)/100</f>
        <v>-66.28</v>
      </c>
      <c r="S28"/>
      <c r="V28" s="55">
        <f t="shared" si="8"/>
        <v>150</v>
      </c>
      <c r="W28" s="51">
        <f t="shared" si="9"/>
        <v>1.8614671186269023</v>
      </c>
      <c r="X28" s="51">
        <f t="shared" si="10"/>
        <v>0.125</v>
      </c>
      <c r="Y28" s="51">
        <f t="shared" si="11"/>
        <v>5.0000000000000001E-4</v>
      </c>
      <c r="Z28" s="51">
        <f t="shared" si="3"/>
        <v>0.29166666666666669</v>
      </c>
      <c r="AA28" s="83">
        <f t="shared" si="4"/>
        <v>420</v>
      </c>
      <c r="AB28" s="76">
        <f t="shared" si="0"/>
        <v>53.291655631576624</v>
      </c>
      <c r="AC28" s="57">
        <f t="shared" si="5"/>
        <v>53.291655631576624</v>
      </c>
      <c r="AE28" s="56">
        <f t="shared" si="6"/>
        <v>420</v>
      </c>
      <c r="AF28" s="57">
        <f t="shared" si="20"/>
        <v>29.041655684360791</v>
      </c>
    </row>
    <row r="29" spans="1:32" s="51" customFormat="1" ht="21" customHeight="1">
      <c r="A29" s="140"/>
      <c r="B29" s="140"/>
      <c r="C29" s="142"/>
      <c r="D29" s="143">
        <v>120</v>
      </c>
      <c r="E29" s="133">
        <f t="shared" si="12"/>
        <v>8.3333333333333329E-2</v>
      </c>
      <c r="F29" s="144">
        <f t="shared" si="13"/>
        <v>27.059534930024164</v>
      </c>
      <c r="G29" s="144">
        <f t="shared" si="14"/>
        <v>23.459534930024162</v>
      </c>
      <c r="H29" s="146"/>
      <c r="I29" s="146"/>
      <c r="J29" s="146"/>
      <c r="K29" s="80">
        <f t="shared" si="15"/>
        <v>0.59499552339104866</v>
      </c>
      <c r="L29" s="373">
        <f t="shared" si="16"/>
        <v>45</v>
      </c>
      <c r="M29" s="374">
        <f t="shared" si="21"/>
        <v>0.1041</v>
      </c>
      <c r="N29" s="374">
        <f>L29*M29</f>
        <v>4.6844999999999999</v>
      </c>
      <c r="O29" s="374">
        <f t="shared" si="19"/>
        <v>4.9079999999999999E-2</v>
      </c>
      <c r="P29" s="374">
        <f>INT(N29/O29*100)/100</f>
        <v>95.44</v>
      </c>
      <c r="Q29" s="375">
        <f>INT((G22-P29)*100)/100</f>
        <v>-76.36</v>
      </c>
      <c r="V29" s="55">
        <f t="shared" si="8"/>
        <v>150</v>
      </c>
      <c r="W29" s="51">
        <f t="shared" si="9"/>
        <v>1.8614671186269023</v>
      </c>
      <c r="X29" s="51">
        <f t="shared" si="10"/>
        <v>0.125</v>
      </c>
      <c r="Y29" s="51">
        <f t="shared" si="11"/>
        <v>5.0000000000000001E-4</v>
      </c>
      <c r="Z29" s="51">
        <f t="shared" si="3"/>
        <v>0.33333333333333331</v>
      </c>
      <c r="AA29" s="56">
        <f t="shared" si="4"/>
        <v>480</v>
      </c>
      <c r="AB29" s="76">
        <f t="shared" si="0"/>
        <v>53.886651154967666</v>
      </c>
      <c r="AC29" s="57">
        <f t="shared" si="5"/>
        <v>53.886651154967666</v>
      </c>
      <c r="AE29" s="56">
        <f t="shared" si="6"/>
        <v>480</v>
      </c>
      <c r="AF29" s="57">
        <f t="shared" si="20"/>
        <v>29.636651207751832</v>
      </c>
    </row>
    <row r="30" spans="1:32" s="51" customFormat="1" ht="21" customHeight="1">
      <c r="A30" s="140" t="s">
        <v>4</v>
      </c>
      <c r="B30" s="140" t="s">
        <v>4</v>
      </c>
      <c r="C30" s="142" t="s">
        <v>4</v>
      </c>
      <c r="D30" s="143">
        <v>140</v>
      </c>
      <c r="E30" s="133">
        <f t="shared" si="12"/>
        <v>9.7222222222222224E-2</v>
      </c>
      <c r="F30" s="144">
        <f t="shared" si="13"/>
        <v>27.746406852964483</v>
      </c>
      <c r="G30" s="144">
        <f t="shared" si="14"/>
        <v>24.146406852964482</v>
      </c>
      <c r="H30" s="146"/>
      <c r="I30" s="146"/>
      <c r="J30" s="146"/>
      <c r="K30" s="80">
        <f t="shared" si="15"/>
        <v>0.68687192294031973</v>
      </c>
      <c r="L30" s="373">
        <f t="shared" si="16"/>
        <v>50</v>
      </c>
      <c r="M30" s="374">
        <f t="shared" si="21"/>
        <v>0.1041</v>
      </c>
      <c r="N30" s="374">
        <f>L30*M30</f>
        <v>5.2050000000000001</v>
      </c>
      <c r="O30" s="374">
        <f t="shared" si="19"/>
        <v>4.9079999999999999E-2</v>
      </c>
      <c r="P30" s="374">
        <f>INT(N30/O30*100)/100</f>
        <v>106.05</v>
      </c>
      <c r="Q30" s="375">
        <f>INT((G23-P30)*100)/100</f>
        <v>-86.5</v>
      </c>
      <c r="V30" s="55">
        <f t="shared" si="8"/>
        <v>150</v>
      </c>
      <c r="W30" s="51">
        <f t="shared" si="9"/>
        <v>1.8614671186269023</v>
      </c>
      <c r="X30" s="51">
        <f t="shared" si="10"/>
        <v>0.125</v>
      </c>
      <c r="Y30" s="51">
        <f t="shared" si="11"/>
        <v>5.0000000000000001E-4</v>
      </c>
      <c r="Z30" s="51">
        <f t="shared" si="3"/>
        <v>0.375</v>
      </c>
      <c r="AA30" s="83">
        <f t="shared" si="4"/>
        <v>540</v>
      </c>
      <c r="AB30" s="76">
        <f t="shared" si="0"/>
        <v>54.411474401168775</v>
      </c>
      <c r="AC30" s="57">
        <f t="shared" si="5"/>
        <v>54.411474401168775</v>
      </c>
      <c r="AE30" s="56">
        <f t="shared" si="6"/>
        <v>540</v>
      </c>
      <c r="AF30" s="57">
        <f t="shared" si="20"/>
        <v>30.161474453952941</v>
      </c>
    </row>
    <row r="31" spans="1:32" s="51" customFormat="1" ht="21" customHeight="1">
      <c r="A31" s="140"/>
      <c r="B31" s="140"/>
      <c r="C31" s="142"/>
      <c r="D31" s="143">
        <v>160</v>
      </c>
      <c r="E31" s="133">
        <f t="shared" si="12"/>
        <v>0.1111111111111111</v>
      </c>
      <c r="F31" s="144">
        <f t="shared" si="13"/>
        <v>28.341402376355532</v>
      </c>
      <c r="G31" s="144">
        <f t="shared" si="14"/>
        <v>24.741402376355531</v>
      </c>
      <c r="H31" s="146"/>
      <c r="I31" s="146"/>
      <c r="J31" s="146"/>
      <c r="K31" s="80">
        <f t="shared" si="15"/>
        <v>0.59499552339104866</v>
      </c>
      <c r="L31" s="373">
        <f t="shared" si="16"/>
        <v>55</v>
      </c>
      <c r="M31" s="374">
        <f t="shared" si="21"/>
        <v>0.1041</v>
      </c>
      <c r="N31" s="374">
        <f>L31*M31</f>
        <v>5.7255000000000003</v>
      </c>
      <c r="O31" s="374">
        <f t="shared" si="19"/>
        <v>4.9079999999999999E-2</v>
      </c>
      <c r="P31" s="374">
        <f>INT(N31/O31*100)/100</f>
        <v>116.65</v>
      </c>
      <c r="Q31" s="375">
        <f>INT((G24-P31)*100)/100</f>
        <v>-96.67</v>
      </c>
      <c r="V31" s="55">
        <f t="shared" si="8"/>
        <v>150</v>
      </c>
      <c r="W31" s="51">
        <f t="shared" si="9"/>
        <v>1.8614671186269023</v>
      </c>
      <c r="X31" s="51">
        <f t="shared" si="10"/>
        <v>0.125</v>
      </c>
      <c r="Y31" s="51">
        <f t="shared" si="11"/>
        <v>5.0000000000000001E-4</v>
      </c>
      <c r="Z31" s="51">
        <f t="shared" si="3"/>
        <v>0.41666666666666669</v>
      </c>
      <c r="AA31" s="56">
        <f t="shared" si="4"/>
        <v>600</v>
      </c>
      <c r="AB31" s="76">
        <f t="shared" si="0"/>
        <v>54.88094479256096</v>
      </c>
      <c r="AC31" s="57">
        <f t="shared" si="5"/>
        <v>54.88094479256096</v>
      </c>
      <c r="AE31" s="56">
        <f t="shared" si="6"/>
        <v>600</v>
      </c>
      <c r="AF31" s="57">
        <f t="shared" si="20"/>
        <v>30.630944845345127</v>
      </c>
    </row>
    <row r="32" spans="1:32" s="51" customFormat="1" ht="21" customHeight="1">
      <c r="A32" s="140"/>
      <c r="B32" s="140"/>
      <c r="C32" s="142"/>
      <c r="D32" s="143">
        <v>180</v>
      </c>
      <c r="E32" s="133">
        <f t="shared" si="12"/>
        <v>0.125</v>
      </c>
      <c r="F32" s="144">
        <f t="shared" si="13"/>
        <v>28.866225622556634</v>
      </c>
      <c r="G32" s="144">
        <f t="shared" si="14"/>
        <v>25.266225622556632</v>
      </c>
      <c r="H32" s="146"/>
      <c r="I32" s="146"/>
      <c r="J32" s="146"/>
      <c r="K32" s="80">
        <f t="shared" si="15"/>
        <v>0.52482324620110177</v>
      </c>
      <c r="L32" s="82" t="s">
        <v>21</v>
      </c>
      <c r="O32" s="84"/>
      <c r="V32" s="55">
        <f t="shared" si="8"/>
        <v>150</v>
      </c>
      <c r="W32" s="51">
        <f t="shared" si="9"/>
        <v>1.8614671186269023</v>
      </c>
      <c r="X32" s="51">
        <f t="shared" si="10"/>
        <v>0.125</v>
      </c>
      <c r="Y32" s="51">
        <f t="shared" si="11"/>
        <v>5.0000000000000001E-4</v>
      </c>
      <c r="Z32" s="51">
        <f t="shared" si="3"/>
        <v>0.45833333333333331</v>
      </c>
      <c r="AA32" s="83">
        <f t="shared" si="4"/>
        <v>660</v>
      </c>
      <c r="AB32" s="76">
        <f t="shared" si="0"/>
        <v>55.305632419961277</v>
      </c>
      <c r="AC32" s="57">
        <f t="shared" si="5"/>
        <v>55.305632419961277</v>
      </c>
      <c r="AE32" s="56">
        <f t="shared" si="6"/>
        <v>660</v>
      </c>
      <c r="AF32" s="57">
        <f t="shared" si="20"/>
        <v>31.055632472745444</v>
      </c>
    </row>
    <row r="33" spans="1:32" s="51" customFormat="1" ht="21" customHeight="1">
      <c r="A33" s="140"/>
      <c r="B33" s="140"/>
      <c r="C33" s="142">
        <f>$C$10+D33/1440</f>
        <v>45389.645833333328</v>
      </c>
      <c r="D33" s="143">
        <f t="shared" ref="D33:D76" si="23">D32+60</f>
        <v>240</v>
      </c>
      <c r="E33" s="133">
        <f t="shared" si="12"/>
        <v>0.16666666666666666</v>
      </c>
      <c r="F33" s="144">
        <f t="shared" si="13"/>
        <v>30.148093068888002</v>
      </c>
      <c r="G33" s="144">
        <f t="shared" si="14"/>
        <v>26.548093068888001</v>
      </c>
      <c r="H33" s="146"/>
      <c r="I33" s="146"/>
      <c r="J33" s="146"/>
      <c r="K33" s="80">
        <f t="shared" si="15"/>
        <v>1.2818674463313684</v>
      </c>
      <c r="L33" s="75" t="s">
        <v>21</v>
      </c>
      <c r="O33" s="84"/>
      <c r="V33" s="55">
        <f t="shared" si="8"/>
        <v>150</v>
      </c>
      <c r="W33" s="51">
        <f t="shared" si="9"/>
        <v>1.8614671186269023</v>
      </c>
      <c r="X33" s="51">
        <f t="shared" si="10"/>
        <v>0.125</v>
      </c>
      <c r="Y33" s="51">
        <f t="shared" si="11"/>
        <v>5.0000000000000001E-4</v>
      </c>
      <c r="Z33" s="51">
        <f t="shared" si="3"/>
        <v>0.5</v>
      </c>
      <c r="AA33" s="56">
        <f t="shared" si="4"/>
        <v>720</v>
      </c>
      <c r="AB33" s="76">
        <f t="shared" si="0"/>
        <v>55.693341847500136</v>
      </c>
      <c r="AC33" s="57">
        <f t="shared" si="5"/>
        <v>55.693341847500136</v>
      </c>
      <c r="AE33" s="56">
        <f t="shared" si="6"/>
        <v>720</v>
      </c>
      <c r="AF33" s="57">
        <f t="shared" si="20"/>
        <v>31.443341900284302</v>
      </c>
    </row>
    <row r="34" spans="1:32" s="51" customFormat="1" ht="21" customHeight="1">
      <c r="A34" s="140"/>
      <c r="B34" s="140"/>
      <c r="C34" s="142"/>
      <c r="D34" s="143">
        <f t="shared" si="23"/>
        <v>300</v>
      </c>
      <c r="E34" s="133">
        <f t="shared" si="12"/>
        <v>0.20833333333333334</v>
      </c>
      <c r="F34" s="144">
        <f t="shared" si="13"/>
        <v>31.14238670648129</v>
      </c>
      <c r="G34" s="144">
        <f t="shared" si="14"/>
        <v>27.542386706481288</v>
      </c>
      <c r="H34" s="146"/>
      <c r="I34" s="146"/>
      <c r="J34" s="146"/>
      <c r="K34" s="80">
        <f t="shared" si="15"/>
        <v>0.99429363759328737</v>
      </c>
      <c r="L34" s="75" t="s">
        <v>21</v>
      </c>
      <c r="P34" s="84"/>
      <c r="V34" s="55">
        <f t="shared" si="8"/>
        <v>150</v>
      </c>
      <c r="W34" s="51">
        <f t="shared" si="9"/>
        <v>1.8614671186269023</v>
      </c>
      <c r="X34" s="51">
        <f t="shared" si="10"/>
        <v>0.125</v>
      </c>
      <c r="Y34" s="51">
        <f t="shared" si="11"/>
        <v>5.0000000000000001E-4</v>
      </c>
      <c r="Z34" s="51">
        <f t="shared" si="3"/>
        <v>0.54166666666666663</v>
      </c>
      <c r="AA34" s="83">
        <f t="shared" si="4"/>
        <v>780</v>
      </c>
      <c r="AB34" s="76">
        <f t="shared" si="0"/>
        <v>56.049999947215831</v>
      </c>
      <c r="AC34" s="57">
        <f t="shared" si="5"/>
        <v>56.049999947215831</v>
      </c>
      <c r="AE34" s="56">
        <f t="shared" si="6"/>
        <v>780</v>
      </c>
      <c r="AF34" s="57">
        <f t="shared" si="20"/>
        <v>31.799999999999997</v>
      </c>
    </row>
    <row r="35" spans="1:32" s="51" customFormat="1" ht="21" customHeight="1">
      <c r="A35" s="140" t="s">
        <v>4</v>
      </c>
      <c r="B35" s="140" t="s">
        <v>4</v>
      </c>
      <c r="C35" s="142" t="s">
        <v>4</v>
      </c>
      <c r="D35" s="143">
        <f t="shared" si="23"/>
        <v>360</v>
      </c>
      <c r="E35" s="133">
        <f t="shared" si="12"/>
        <v>0.25</v>
      </c>
      <c r="F35" s="144">
        <f t="shared" si="13"/>
        <v>31.954783761420472</v>
      </c>
      <c r="G35" s="144">
        <f t="shared" si="14"/>
        <v>28.354783761420471</v>
      </c>
      <c r="H35" s="146"/>
      <c r="I35" s="146"/>
      <c r="J35" s="146"/>
      <c r="K35" s="80">
        <f t="shared" si="15"/>
        <v>0.81239705493918279</v>
      </c>
      <c r="L35" s="75" t="s">
        <v>21</v>
      </c>
      <c r="O35" s="84"/>
      <c r="V35" s="55">
        <f t="shared" si="8"/>
        <v>150</v>
      </c>
      <c r="W35" s="51">
        <f t="shared" si="9"/>
        <v>1.8614671186269023</v>
      </c>
      <c r="X35" s="51">
        <f t="shared" si="10"/>
        <v>0.125</v>
      </c>
      <c r="Y35" s="51">
        <f t="shared" si="11"/>
        <v>5.0000000000000001E-4</v>
      </c>
      <c r="Z35" s="51">
        <f t="shared" si="3"/>
        <v>0.58333333333333337</v>
      </c>
      <c r="AA35" s="56">
        <f t="shared" si="4"/>
        <v>840</v>
      </c>
      <c r="AB35" s="76">
        <f t="shared" si="0"/>
        <v>56.049999947215831</v>
      </c>
      <c r="AC35" s="57">
        <f t="shared" ref="AC35:AC38" si="24">AC34</f>
        <v>56.049999947215831</v>
      </c>
      <c r="AE35" s="56">
        <f t="shared" si="6"/>
        <v>840</v>
      </c>
      <c r="AF35" s="57">
        <f t="shared" si="20"/>
        <v>31.799999999999997</v>
      </c>
    </row>
    <row r="36" spans="1:32" s="51" customFormat="1" ht="21" customHeight="1">
      <c r="A36" s="140"/>
      <c r="B36" s="140"/>
      <c r="C36" s="142"/>
      <c r="D36" s="143">
        <f t="shared" si="23"/>
        <v>420</v>
      </c>
      <c r="E36" s="133">
        <f t="shared" si="12"/>
        <v>0.29166666666666669</v>
      </c>
      <c r="F36" s="144">
        <f t="shared" si="13"/>
        <v>32.641655684360792</v>
      </c>
      <c r="G36" s="144">
        <f t="shared" si="14"/>
        <v>29.041655684360791</v>
      </c>
      <c r="H36" s="146"/>
      <c r="I36" s="146"/>
      <c r="J36" s="146"/>
      <c r="K36" s="80">
        <f t="shared" si="15"/>
        <v>0.68687192294031973</v>
      </c>
      <c r="L36" s="75" t="s">
        <v>21</v>
      </c>
      <c r="V36" s="55">
        <f t="shared" si="8"/>
        <v>150</v>
      </c>
      <c r="W36" s="51">
        <f t="shared" si="9"/>
        <v>1.8614671186269023</v>
      </c>
      <c r="X36" s="51">
        <f t="shared" si="10"/>
        <v>0.125</v>
      </c>
      <c r="Y36" s="51">
        <f t="shared" si="11"/>
        <v>5.0000000000000001E-4</v>
      </c>
      <c r="Z36" s="51">
        <f t="shared" si="3"/>
        <v>0.625</v>
      </c>
      <c r="AA36" s="83">
        <f t="shared" si="4"/>
        <v>900</v>
      </c>
      <c r="AB36" s="76">
        <f t="shared" si="0"/>
        <v>56.049999947215831</v>
      </c>
      <c r="AC36" s="57">
        <f t="shared" si="24"/>
        <v>56.049999947215831</v>
      </c>
      <c r="AE36" s="56">
        <f t="shared" si="6"/>
        <v>900</v>
      </c>
      <c r="AF36" s="57">
        <f t="shared" si="20"/>
        <v>31.799999999999997</v>
      </c>
    </row>
    <row r="37" spans="1:32" s="51" customFormat="1" ht="21" customHeight="1">
      <c r="A37" s="140"/>
      <c r="B37" s="140"/>
      <c r="C37" s="142"/>
      <c r="D37" s="143">
        <f t="shared" si="23"/>
        <v>480</v>
      </c>
      <c r="E37" s="133">
        <f t="shared" si="12"/>
        <v>0.33333333333333331</v>
      </c>
      <c r="F37" s="144">
        <f t="shared" si="13"/>
        <v>33.236651207751834</v>
      </c>
      <c r="G37" s="144">
        <f t="shared" si="14"/>
        <v>29.636651207751832</v>
      </c>
      <c r="H37" s="146"/>
      <c r="I37" s="146"/>
      <c r="J37" s="146"/>
      <c r="K37" s="80">
        <f t="shared" si="15"/>
        <v>0.59499552339104156</v>
      </c>
      <c r="L37" s="75" t="s">
        <v>21</v>
      </c>
      <c r="V37" s="55">
        <f t="shared" si="8"/>
        <v>150</v>
      </c>
      <c r="W37" s="51">
        <f t="shared" si="9"/>
        <v>1.8614671186269023</v>
      </c>
      <c r="X37" s="51">
        <f t="shared" si="10"/>
        <v>0.125</v>
      </c>
      <c r="Y37" s="51">
        <f t="shared" si="11"/>
        <v>5.0000000000000001E-4</v>
      </c>
      <c r="Z37" s="51">
        <f t="shared" si="3"/>
        <v>0.66666666666666663</v>
      </c>
      <c r="AA37" s="56">
        <f t="shared" si="4"/>
        <v>960</v>
      </c>
      <c r="AB37" s="76">
        <f t="shared" si="0"/>
        <v>56.049999947215831</v>
      </c>
      <c r="AC37" s="57">
        <f t="shared" si="24"/>
        <v>56.049999947215831</v>
      </c>
      <c r="AD37" s="51">
        <v>37</v>
      </c>
      <c r="AE37" s="56">
        <f t="shared" si="6"/>
        <v>960</v>
      </c>
      <c r="AF37" s="57">
        <f t="shared" si="20"/>
        <v>31.799999999999997</v>
      </c>
    </row>
    <row r="38" spans="1:32" s="51" customFormat="1" ht="21" customHeight="1">
      <c r="A38" s="140"/>
      <c r="B38" s="140"/>
      <c r="C38" s="142"/>
      <c r="D38" s="143">
        <f t="shared" si="23"/>
        <v>540</v>
      </c>
      <c r="E38" s="133">
        <f t="shared" si="12"/>
        <v>0.375</v>
      </c>
      <c r="F38" s="144">
        <f t="shared" si="13"/>
        <v>33.761474453952943</v>
      </c>
      <c r="G38" s="144">
        <f t="shared" si="14"/>
        <v>30.161474453952941</v>
      </c>
      <c r="H38" s="146"/>
      <c r="I38" s="146"/>
      <c r="J38" s="146"/>
      <c r="K38" s="80">
        <f t="shared" si="15"/>
        <v>0.52482324620110887</v>
      </c>
      <c r="L38" s="75" t="s">
        <v>21</v>
      </c>
      <c r="V38" s="55">
        <f t="shared" si="8"/>
        <v>150</v>
      </c>
      <c r="W38" s="51">
        <f t="shared" si="9"/>
        <v>1.8614671186269023</v>
      </c>
      <c r="X38" s="51">
        <f t="shared" si="10"/>
        <v>0.125</v>
      </c>
      <c r="Y38" s="51">
        <f t="shared" si="11"/>
        <v>5.0000000000000001E-4</v>
      </c>
      <c r="Z38" s="51">
        <f t="shared" si="3"/>
        <v>0.70833333333333337</v>
      </c>
      <c r="AA38" s="56">
        <f t="shared" si="4"/>
        <v>1020</v>
      </c>
      <c r="AB38" s="76">
        <f t="shared" si="0"/>
        <v>56.049999947215831</v>
      </c>
      <c r="AC38" s="57">
        <f t="shared" si="24"/>
        <v>56.049999947215831</v>
      </c>
      <c r="AD38" s="52" t="s">
        <v>40</v>
      </c>
      <c r="AE38" s="56">
        <f t="shared" si="6"/>
        <v>1020</v>
      </c>
      <c r="AF38" s="57">
        <f t="shared" si="20"/>
        <v>31.799999999999997</v>
      </c>
    </row>
    <row r="39" spans="1:32" s="51" customFormat="1" ht="21" customHeight="1">
      <c r="A39" s="140"/>
      <c r="B39" s="140"/>
      <c r="C39" s="142">
        <f>$C$10+D39/1440</f>
        <v>45389.895833333328</v>
      </c>
      <c r="D39" s="143">
        <f t="shared" si="23"/>
        <v>600</v>
      </c>
      <c r="E39" s="133">
        <f t="shared" si="12"/>
        <v>0.41666666666666669</v>
      </c>
      <c r="F39" s="144">
        <f t="shared" si="13"/>
        <v>34.230944845345128</v>
      </c>
      <c r="G39" s="144">
        <f t="shared" si="14"/>
        <v>30.630944845345127</v>
      </c>
      <c r="H39" s="146"/>
      <c r="I39" s="146"/>
      <c r="J39" s="146"/>
      <c r="K39" s="80">
        <f t="shared" si="15"/>
        <v>0.4694703913921856</v>
      </c>
      <c r="L39" s="75" t="s">
        <v>21</v>
      </c>
      <c r="V39" s="55">
        <f t="shared" si="8"/>
        <v>150</v>
      </c>
      <c r="W39" s="51">
        <f t="shared" si="9"/>
        <v>1.8614671186269023</v>
      </c>
      <c r="X39" s="51">
        <f t="shared" si="10"/>
        <v>0.125</v>
      </c>
      <c r="Y39" s="51">
        <f t="shared" si="11"/>
        <v>5.0000000000000001E-4</v>
      </c>
      <c r="Z39" s="51">
        <f t="shared" si="3"/>
        <v>0.75</v>
      </c>
      <c r="AA39" s="56">
        <f t="shared" si="4"/>
        <v>1080</v>
      </c>
      <c r="AB39" s="76">
        <f t="shared" si="0"/>
        <v>56.049999947215831</v>
      </c>
      <c r="AC39" s="57">
        <f t="shared" ref="AC39:AC40" si="25">AC38</f>
        <v>56.049999947215831</v>
      </c>
      <c r="AD39" s="85">
        <v>39</v>
      </c>
      <c r="AE39" s="56">
        <f t="shared" si="6"/>
        <v>1080</v>
      </c>
      <c r="AF39" s="57">
        <f t="shared" si="20"/>
        <v>31.799999999999997</v>
      </c>
    </row>
    <row r="40" spans="1:32" s="51" customFormat="1" ht="21" customHeight="1">
      <c r="A40" s="140" t="s">
        <v>4</v>
      </c>
      <c r="B40" s="140" t="s">
        <v>4</v>
      </c>
      <c r="C40" s="142" t="s">
        <v>4</v>
      </c>
      <c r="D40" s="143">
        <f t="shared" si="23"/>
        <v>660</v>
      </c>
      <c r="E40" s="133">
        <f t="shared" si="12"/>
        <v>0.45833333333333331</v>
      </c>
      <c r="F40" s="144">
        <f t="shared" si="13"/>
        <v>34.655632472745445</v>
      </c>
      <c r="G40" s="144">
        <f t="shared" si="14"/>
        <v>31.055632472745444</v>
      </c>
      <c r="H40" s="146"/>
      <c r="I40" s="146"/>
      <c r="J40" s="146"/>
      <c r="K40" s="80">
        <f t="shared" si="15"/>
        <v>0.42468762740031707</v>
      </c>
      <c r="L40" s="75" t="s">
        <v>21</v>
      </c>
      <c r="V40" s="55">
        <f t="shared" si="8"/>
        <v>150</v>
      </c>
      <c r="W40" s="51">
        <f t="shared" si="9"/>
        <v>1.8614671186269023</v>
      </c>
      <c r="X40" s="51">
        <f t="shared" si="10"/>
        <v>0.125</v>
      </c>
      <c r="Y40" s="51">
        <f t="shared" si="11"/>
        <v>5.0000000000000001E-4</v>
      </c>
      <c r="Z40" s="51">
        <f t="shared" si="3"/>
        <v>0.79166666666666663</v>
      </c>
      <c r="AA40" s="56">
        <f t="shared" si="4"/>
        <v>1140</v>
      </c>
      <c r="AB40" s="76">
        <f t="shared" si="0"/>
        <v>56.049999947215831</v>
      </c>
      <c r="AC40" s="57">
        <f t="shared" si="25"/>
        <v>56.049999947215831</v>
      </c>
      <c r="AD40" s="85">
        <v>40</v>
      </c>
      <c r="AE40" s="56">
        <f t="shared" si="6"/>
        <v>1140</v>
      </c>
      <c r="AF40" s="57">
        <f t="shared" si="20"/>
        <v>31.799999999999997</v>
      </c>
    </row>
    <row r="41" spans="1:32" s="51" customFormat="1" ht="21" customHeight="1">
      <c r="A41" s="140"/>
      <c r="B41" s="140"/>
      <c r="C41" s="142"/>
      <c r="D41" s="143">
        <f t="shared" si="23"/>
        <v>720</v>
      </c>
      <c r="E41" s="133">
        <f t="shared" si="12"/>
        <v>0.5</v>
      </c>
      <c r="F41" s="144">
        <f t="shared" si="13"/>
        <v>35.043341900284304</v>
      </c>
      <c r="G41" s="144">
        <f t="shared" si="14"/>
        <v>31.443341900284302</v>
      </c>
      <c r="H41" s="146"/>
      <c r="I41" s="146"/>
      <c r="J41" s="146"/>
      <c r="K41" s="80">
        <f t="shared" si="15"/>
        <v>0.38770942753885862</v>
      </c>
      <c r="L41" s="75" t="s">
        <v>21</v>
      </c>
      <c r="V41" s="86">
        <f t="shared" si="8"/>
        <v>150</v>
      </c>
      <c r="W41" s="87">
        <f t="shared" si="9"/>
        <v>1.8614671186269023</v>
      </c>
      <c r="X41" s="87">
        <f t="shared" si="10"/>
        <v>0.125</v>
      </c>
      <c r="Y41" s="87">
        <f t="shared" si="11"/>
        <v>5.0000000000000001E-4</v>
      </c>
      <c r="Z41" s="87">
        <f t="shared" si="3"/>
        <v>0.83333333333333337</v>
      </c>
      <c r="AA41" s="88">
        <f t="shared" si="4"/>
        <v>1200</v>
      </c>
      <c r="AB41" s="89">
        <f t="shared" si="0"/>
        <v>56.049999947215831</v>
      </c>
      <c r="AC41" s="57">
        <f t="shared" ref="AC41:AC46" si="26">AC40</f>
        <v>56.049999947215831</v>
      </c>
      <c r="AD41" s="90">
        <v>41</v>
      </c>
      <c r="AE41" s="56">
        <f t="shared" si="6"/>
        <v>1200</v>
      </c>
      <c r="AF41" s="57">
        <f t="shared" si="20"/>
        <v>31.799999999999997</v>
      </c>
    </row>
    <row r="42" spans="1:32" s="51" customFormat="1" ht="21" customHeight="1">
      <c r="A42" s="140"/>
      <c r="B42" s="140"/>
      <c r="C42" s="142"/>
      <c r="D42" s="143">
        <f t="shared" si="23"/>
        <v>780</v>
      </c>
      <c r="E42" s="133">
        <f t="shared" si="12"/>
        <v>0.54166666666666663</v>
      </c>
      <c r="F42" s="144">
        <f t="shared" si="13"/>
        <v>35.4</v>
      </c>
      <c r="G42" s="144">
        <f t="shared" si="14"/>
        <v>31.799999999999997</v>
      </c>
      <c r="H42" s="146"/>
      <c r="I42" s="146"/>
      <c r="J42" s="146"/>
      <c r="K42" s="80">
        <f t="shared" si="15"/>
        <v>0.35665809971569473</v>
      </c>
      <c r="L42" s="75" t="s">
        <v>21</v>
      </c>
      <c r="V42" s="55">
        <f t="shared" si="8"/>
        <v>150</v>
      </c>
      <c r="W42" s="51">
        <f t="shared" si="9"/>
        <v>1.8614671186269023</v>
      </c>
      <c r="X42" s="51">
        <f t="shared" si="10"/>
        <v>0.125</v>
      </c>
      <c r="Y42" s="51">
        <f t="shared" si="11"/>
        <v>5.0000000000000001E-4</v>
      </c>
      <c r="Z42" s="51">
        <f t="shared" si="3"/>
        <v>0.875</v>
      </c>
      <c r="AA42" s="56">
        <f t="shared" si="4"/>
        <v>1260</v>
      </c>
      <c r="AB42" s="76">
        <f t="shared" si="0"/>
        <v>56.049999947215831</v>
      </c>
      <c r="AC42" s="57">
        <f t="shared" si="26"/>
        <v>56.049999947215831</v>
      </c>
      <c r="AD42" s="85">
        <v>42</v>
      </c>
      <c r="AE42" s="56">
        <f t="shared" si="6"/>
        <v>1260</v>
      </c>
      <c r="AF42" s="57">
        <f t="shared" si="20"/>
        <v>31.799999999999997</v>
      </c>
    </row>
    <row r="43" spans="1:32" s="51" customFormat="1" ht="21" customHeight="1">
      <c r="A43" s="140"/>
      <c r="B43" s="140"/>
      <c r="C43" s="142"/>
      <c r="D43" s="143">
        <f t="shared" si="23"/>
        <v>840</v>
      </c>
      <c r="E43" s="133">
        <f t="shared" si="12"/>
        <v>0.58333333333333337</v>
      </c>
      <c r="F43" s="144">
        <f t="shared" si="13"/>
        <v>35.4</v>
      </c>
      <c r="G43" s="144">
        <f t="shared" si="14"/>
        <v>31.799999999999997</v>
      </c>
      <c r="H43" s="146"/>
      <c r="I43" s="146"/>
      <c r="J43" s="146"/>
      <c r="K43" s="80">
        <f t="shared" si="15"/>
        <v>0</v>
      </c>
      <c r="L43" s="75" t="s">
        <v>21</v>
      </c>
      <c r="V43" s="86">
        <f t="shared" si="8"/>
        <v>150</v>
      </c>
      <c r="W43" s="87">
        <f t="shared" si="9"/>
        <v>1.8614671186269023</v>
      </c>
      <c r="X43" s="87">
        <f t="shared" si="10"/>
        <v>0.125</v>
      </c>
      <c r="Y43" s="87">
        <f t="shared" si="11"/>
        <v>5.0000000000000001E-4</v>
      </c>
      <c r="Z43" s="87">
        <f t="shared" si="3"/>
        <v>0.91666666666666663</v>
      </c>
      <c r="AA43" s="88">
        <f t="shared" si="4"/>
        <v>1320</v>
      </c>
      <c r="AB43" s="89">
        <f t="shared" si="0"/>
        <v>56.049999947215831</v>
      </c>
      <c r="AC43" s="57">
        <f t="shared" si="26"/>
        <v>56.049999947215831</v>
      </c>
      <c r="AD43" s="90">
        <v>43</v>
      </c>
      <c r="AE43" s="56">
        <f t="shared" si="6"/>
        <v>1320</v>
      </c>
      <c r="AF43" s="57">
        <f t="shared" si="20"/>
        <v>31.799999999999997</v>
      </c>
    </row>
    <row r="44" spans="1:32" s="51" customFormat="1" ht="21" customHeight="1">
      <c r="A44" s="140"/>
      <c r="B44" s="140"/>
      <c r="C44" s="142"/>
      <c r="D44" s="143">
        <f t="shared" si="23"/>
        <v>900</v>
      </c>
      <c r="E44" s="133">
        <f t="shared" si="12"/>
        <v>0.625</v>
      </c>
      <c r="F44" s="144">
        <f t="shared" si="13"/>
        <v>35.4</v>
      </c>
      <c r="G44" s="144">
        <f t="shared" si="14"/>
        <v>31.799999999999997</v>
      </c>
      <c r="H44" s="146"/>
      <c r="I44" s="146"/>
      <c r="J44" s="146"/>
      <c r="K44" s="80">
        <f t="shared" si="15"/>
        <v>0</v>
      </c>
      <c r="L44" s="75" t="s">
        <v>21</v>
      </c>
      <c r="V44" s="55">
        <f t="shared" si="8"/>
        <v>150</v>
      </c>
      <c r="W44" s="51">
        <f t="shared" si="9"/>
        <v>1.8614671186269023</v>
      </c>
      <c r="X44" s="51">
        <f t="shared" si="10"/>
        <v>0.125</v>
      </c>
      <c r="Y44" s="51">
        <f t="shared" si="11"/>
        <v>5.0000000000000001E-4</v>
      </c>
      <c r="Z44" s="51">
        <f t="shared" si="3"/>
        <v>0.95833333333333337</v>
      </c>
      <c r="AA44" s="56">
        <f t="shared" si="4"/>
        <v>1380</v>
      </c>
      <c r="AB44" s="76">
        <f t="shared" si="0"/>
        <v>56.049999947215831</v>
      </c>
      <c r="AC44" s="57">
        <f t="shared" si="26"/>
        <v>56.049999947215831</v>
      </c>
      <c r="AD44" s="85">
        <v>44</v>
      </c>
      <c r="AE44" s="56">
        <f t="shared" si="6"/>
        <v>1380</v>
      </c>
      <c r="AF44" s="57">
        <f t="shared" si="20"/>
        <v>31.799999999999997</v>
      </c>
    </row>
    <row r="45" spans="1:32" s="51" customFormat="1" ht="21" customHeight="1">
      <c r="A45" s="140" t="s">
        <v>4</v>
      </c>
      <c r="B45" s="140" t="s">
        <v>4</v>
      </c>
      <c r="C45" s="142">
        <f>$C$10+D45/1440</f>
        <v>45390.145833333328</v>
      </c>
      <c r="D45" s="143">
        <f t="shared" si="23"/>
        <v>960</v>
      </c>
      <c r="E45" s="133">
        <f t="shared" si="12"/>
        <v>0.66666666666666663</v>
      </c>
      <c r="F45" s="144">
        <f t="shared" si="13"/>
        <v>35.4</v>
      </c>
      <c r="G45" s="144">
        <f t="shared" si="14"/>
        <v>31.799999999999997</v>
      </c>
      <c r="H45" s="146"/>
      <c r="I45" s="146"/>
      <c r="J45" s="146"/>
      <c r="K45" s="80">
        <f t="shared" si="15"/>
        <v>0</v>
      </c>
      <c r="L45" s="75" t="s">
        <v>21</v>
      </c>
      <c r="V45" s="86">
        <f t="shared" si="8"/>
        <v>150</v>
      </c>
      <c r="W45" s="87">
        <f t="shared" si="9"/>
        <v>1.8614671186269023</v>
      </c>
      <c r="X45" s="87">
        <f t="shared" si="10"/>
        <v>0.125</v>
      </c>
      <c r="Y45" s="87">
        <f t="shared" si="11"/>
        <v>5.0000000000000001E-4</v>
      </c>
      <c r="Z45" s="87">
        <f t="shared" si="3"/>
        <v>1</v>
      </c>
      <c r="AA45" s="88">
        <f t="shared" si="4"/>
        <v>1440</v>
      </c>
      <c r="AB45" s="89">
        <f t="shared" si="0"/>
        <v>56.049999947215831</v>
      </c>
      <c r="AC45" s="57">
        <f t="shared" si="26"/>
        <v>56.049999947215831</v>
      </c>
      <c r="AD45" s="90">
        <v>45</v>
      </c>
      <c r="AE45" s="56">
        <f t="shared" si="6"/>
        <v>1440</v>
      </c>
      <c r="AF45" s="57">
        <f t="shared" si="20"/>
        <v>31.799999999999997</v>
      </c>
    </row>
    <row r="46" spans="1:32" s="51" customFormat="1" ht="21" customHeight="1">
      <c r="A46" s="140"/>
      <c r="B46" s="140"/>
      <c r="C46" s="140"/>
      <c r="D46" s="147">
        <f t="shared" si="23"/>
        <v>1020</v>
      </c>
      <c r="E46" s="133">
        <f t="shared" si="12"/>
        <v>0.70833333333333337</v>
      </c>
      <c r="F46" s="144">
        <f t="shared" si="13"/>
        <v>35.4</v>
      </c>
      <c r="G46" s="144">
        <f t="shared" si="14"/>
        <v>31.799999999999997</v>
      </c>
      <c r="H46" s="146"/>
      <c r="I46" s="146"/>
      <c r="J46" s="146"/>
      <c r="K46" s="80">
        <f t="shared" si="15"/>
        <v>0</v>
      </c>
      <c r="L46" s="75" t="s">
        <v>21</v>
      </c>
      <c r="V46" s="55">
        <f t="shared" si="8"/>
        <v>150</v>
      </c>
      <c r="W46" s="51">
        <f t="shared" si="9"/>
        <v>1.8614671186269023</v>
      </c>
      <c r="X46" s="51">
        <f t="shared" si="10"/>
        <v>0.125</v>
      </c>
      <c r="Y46" s="51">
        <f t="shared" si="11"/>
        <v>5.0000000000000001E-4</v>
      </c>
      <c r="Z46" s="51">
        <f t="shared" si="3"/>
        <v>1.0416666666666667</v>
      </c>
      <c r="AA46" s="91">
        <f t="shared" si="4"/>
        <v>1500</v>
      </c>
      <c r="AB46" s="92">
        <f t="shared" si="0"/>
        <v>56.049999947215831</v>
      </c>
      <c r="AC46" s="57">
        <f t="shared" si="26"/>
        <v>56.049999947215831</v>
      </c>
      <c r="AD46" s="85">
        <v>46</v>
      </c>
      <c r="AE46" s="91">
        <f t="shared" si="6"/>
        <v>1500</v>
      </c>
      <c r="AF46" s="93">
        <f t="shared" si="20"/>
        <v>31.799999999999997</v>
      </c>
    </row>
    <row r="47" spans="1:32" s="51" customFormat="1" ht="21" customHeight="1">
      <c r="A47" s="140"/>
      <c r="B47" s="140"/>
      <c r="C47" s="142"/>
      <c r="D47" s="143">
        <f t="shared" si="23"/>
        <v>1080</v>
      </c>
      <c r="E47" s="133">
        <f t="shared" si="12"/>
        <v>0.75</v>
      </c>
      <c r="F47" s="144">
        <f t="shared" si="13"/>
        <v>35.4</v>
      </c>
      <c r="G47" s="144">
        <f t="shared" si="14"/>
        <v>31.799999999999997</v>
      </c>
      <c r="H47" s="146"/>
      <c r="I47" s="146"/>
      <c r="J47" s="146"/>
      <c r="K47" s="80">
        <f t="shared" si="15"/>
        <v>0</v>
      </c>
      <c r="L47" s="75" t="s">
        <v>21</v>
      </c>
      <c r="V47" s="55">
        <f t="shared" si="8"/>
        <v>150</v>
      </c>
      <c r="W47" s="51">
        <f t="shared" si="9"/>
        <v>1.8614671186269023</v>
      </c>
      <c r="X47" s="51">
        <f t="shared" si="10"/>
        <v>0.125</v>
      </c>
      <c r="Y47" s="51">
        <f t="shared" si="11"/>
        <v>5.0000000000000001E-4</v>
      </c>
      <c r="Z47" s="51">
        <f t="shared" si="3"/>
        <v>1.0833333333333333</v>
      </c>
      <c r="AA47" s="56">
        <f t="shared" si="4"/>
        <v>1560</v>
      </c>
      <c r="AB47" s="76">
        <f t="shared" si="0"/>
        <v>56.049999947215831</v>
      </c>
      <c r="AC47" s="57">
        <f t="shared" ref="AC47:AC69" si="27">AC46</f>
        <v>56.049999947215831</v>
      </c>
      <c r="AE47" s="56">
        <f t="shared" si="6"/>
        <v>1560</v>
      </c>
      <c r="AF47" s="57">
        <f t="shared" si="20"/>
        <v>31.799999999999997</v>
      </c>
    </row>
    <row r="48" spans="1:32" s="51" customFormat="1" ht="21" customHeight="1">
      <c r="A48" s="140"/>
      <c r="B48" s="140"/>
      <c r="C48" s="142"/>
      <c r="D48" s="143">
        <f t="shared" si="23"/>
        <v>1140</v>
      </c>
      <c r="E48" s="133">
        <f t="shared" si="12"/>
        <v>0.79166666666666663</v>
      </c>
      <c r="F48" s="144">
        <f t="shared" si="13"/>
        <v>35.4</v>
      </c>
      <c r="G48" s="144">
        <f t="shared" si="14"/>
        <v>31.799999999999997</v>
      </c>
      <c r="H48" s="146"/>
      <c r="I48" s="146"/>
      <c r="J48" s="146"/>
      <c r="K48" s="51" t="s">
        <v>21</v>
      </c>
      <c r="L48" s="75" t="s">
        <v>21</v>
      </c>
      <c r="V48" s="55">
        <f t="shared" si="8"/>
        <v>150</v>
      </c>
      <c r="W48" s="51">
        <f t="shared" si="9"/>
        <v>1.8614671186269023</v>
      </c>
      <c r="X48" s="51">
        <f t="shared" si="10"/>
        <v>0.125</v>
      </c>
      <c r="Y48" s="51">
        <f t="shared" si="11"/>
        <v>5.0000000000000001E-4</v>
      </c>
      <c r="Z48" s="51">
        <f t="shared" si="3"/>
        <v>1.125</v>
      </c>
      <c r="AA48" s="56">
        <f t="shared" si="4"/>
        <v>1620</v>
      </c>
      <c r="AB48" s="76">
        <f t="shared" si="0"/>
        <v>56.049999947215831</v>
      </c>
      <c r="AC48" s="57">
        <f t="shared" si="27"/>
        <v>56.049999947215831</v>
      </c>
      <c r="AE48" s="56">
        <f t="shared" si="6"/>
        <v>1620</v>
      </c>
      <c r="AF48" s="57">
        <f t="shared" si="20"/>
        <v>31.799999999999997</v>
      </c>
    </row>
    <row r="49" spans="1:32" s="51" customFormat="1" ht="21" customHeight="1">
      <c r="A49" s="140"/>
      <c r="B49" s="140"/>
      <c r="C49" s="142"/>
      <c r="D49" s="143">
        <f t="shared" si="23"/>
        <v>1200</v>
      </c>
      <c r="E49" s="133">
        <f t="shared" si="12"/>
        <v>0.83333333333333337</v>
      </c>
      <c r="F49" s="144">
        <f t="shared" si="13"/>
        <v>35.4</v>
      </c>
      <c r="G49" s="144">
        <f t="shared" si="14"/>
        <v>31.799999999999997</v>
      </c>
      <c r="H49" s="146"/>
      <c r="I49" s="146"/>
      <c r="J49" s="146"/>
      <c r="K49" s="51" t="s">
        <v>21</v>
      </c>
      <c r="L49" s="75" t="s">
        <v>21</v>
      </c>
      <c r="V49" s="55">
        <f t="shared" si="8"/>
        <v>150</v>
      </c>
      <c r="W49" s="51">
        <f t="shared" si="9"/>
        <v>1.8614671186269023</v>
      </c>
      <c r="X49" s="51">
        <f t="shared" si="10"/>
        <v>0.125</v>
      </c>
      <c r="Y49" s="51">
        <f t="shared" si="11"/>
        <v>5.0000000000000001E-4</v>
      </c>
      <c r="Z49" s="51">
        <f t="shared" si="3"/>
        <v>1.1666666666666667</v>
      </c>
      <c r="AA49" s="56">
        <f t="shared" si="4"/>
        <v>1680</v>
      </c>
      <c r="AB49" s="76">
        <f t="shared" si="0"/>
        <v>56.049999947215831</v>
      </c>
      <c r="AC49" s="57">
        <f t="shared" si="27"/>
        <v>56.049999947215831</v>
      </c>
      <c r="AE49" s="56">
        <f t="shared" si="6"/>
        <v>1680</v>
      </c>
      <c r="AF49" s="57">
        <f t="shared" si="20"/>
        <v>31.799999999999997</v>
      </c>
    </row>
    <row r="50" spans="1:32" s="51" customFormat="1" ht="21" customHeight="1">
      <c r="A50" s="140"/>
      <c r="B50" s="140"/>
      <c r="C50" s="142"/>
      <c r="D50" s="143">
        <f t="shared" si="23"/>
        <v>1260</v>
      </c>
      <c r="E50" s="133">
        <f t="shared" si="12"/>
        <v>0.875</v>
      </c>
      <c r="F50" s="144">
        <f t="shared" si="13"/>
        <v>35.4</v>
      </c>
      <c r="G50" s="144">
        <f t="shared" si="14"/>
        <v>31.799999999999997</v>
      </c>
      <c r="H50" s="146"/>
      <c r="I50" s="146"/>
      <c r="J50" s="146"/>
      <c r="K50" s="51" t="s">
        <v>21</v>
      </c>
      <c r="L50" s="75" t="s">
        <v>21</v>
      </c>
      <c r="V50" s="55">
        <f t="shared" si="8"/>
        <v>150</v>
      </c>
      <c r="W50" s="51">
        <f t="shared" si="9"/>
        <v>1.8614671186269023</v>
      </c>
      <c r="X50" s="51">
        <f t="shared" si="10"/>
        <v>0.125</v>
      </c>
      <c r="Y50" s="51">
        <f t="shared" si="11"/>
        <v>5.0000000000000001E-4</v>
      </c>
      <c r="Z50" s="51">
        <f t="shared" si="3"/>
        <v>1.2083333333333333</v>
      </c>
      <c r="AA50" s="56">
        <f t="shared" si="4"/>
        <v>1740</v>
      </c>
      <c r="AB50" s="76">
        <f t="shared" si="0"/>
        <v>56.049999947215831</v>
      </c>
      <c r="AC50" s="57">
        <f t="shared" si="27"/>
        <v>56.049999947215831</v>
      </c>
      <c r="AE50" s="56">
        <f t="shared" si="6"/>
        <v>1740</v>
      </c>
      <c r="AF50" s="57">
        <f t="shared" si="20"/>
        <v>31.799999999999997</v>
      </c>
    </row>
    <row r="51" spans="1:32" s="51" customFormat="1" ht="21" customHeight="1">
      <c r="A51" s="140"/>
      <c r="B51" s="140"/>
      <c r="C51" s="142">
        <f>$C$10+D51/1440</f>
        <v>45390.395833333328</v>
      </c>
      <c r="D51" s="143">
        <f t="shared" si="23"/>
        <v>1320</v>
      </c>
      <c r="E51" s="133">
        <f t="shared" si="12"/>
        <v>0.91666666666666663</v>
      </c>
      <c r="F51" s="144">
        <f t="shared" si="13"/>
        <v>35.4</v>
      </c>
      <c r="G51" s="144">
        <f t="shared" si="14"/>
        <v>31.799999999999997</v>
      </c>
      <c r="H51" s="146"/>
      <c r="I51" s="146"/>
      <c r="J51" s="146"/>
      <c r="K51" s="51" t="s">
        <v>21</v>
      </c>
      <c r="L51" s="75" t="s">
        <v>21</v>
      </c>
      <c r="V51" s="55">
        <f t="shared" si="8"/>
        <v>150</v>
      </c>
      <c r="W51" s="51">
        <f t="shared" si="9"/>
        <v>1.8614671186269023</v>
      </c>
      <c r="X51" s="51">
        <f t="shared" si="10"/>
        <v>0.125</v>
      </c>
      <c r="Y51" s="51">
        <f t="shared" si="11"/>
        <v>5.0000000000000001E-4</v>
      </c>
      <c r="Z51" s="51">
        <f t="shared" si="3"/>
        <v>1.25</v>
      </c>
      <c r="AA51" s="56">
        <f t="shared" si="4"/>
        <v>1800</v>
      </c>
      <c r="AB51" s="76">
        <f t="shared" si="0"/>
        <v>56.049999947215831</v>
      </c>
      <c r="AC51" s="57">
        <f t="shared" si="27"/>
        <v>56.049999947215831</v>
      </c>
      <c r="AE51" s="56">
        <f t="shared" si="6"/>
        <v>1800</v>
      </c>
      <c r="AF51" s="57">
        <f t="shared" si="20"/>
        <v>31.799999999999997</v>
      </c>
    </row>
    <row r="52" spans="1:32" s="51" customFormat="1" ht="21" customHeight="1">
      <c r="A52" s="140"/>
      <c r="B52" s="140"/>
      <c r="C52" s="142"/>
      <c r="D52" s="143">
        <f t="shared" si="23"/>
        <v>1380</v>
      </c>
      <c r="E52" s="133">
        <f t="shared" si="12"/>
        <v>0.95833333333333337</v>
      </c>
      <c r="F52" s="144">
        <f t="shared" si="13"/>
        <v>35.4</v>
      </c>
      <c r="G52" s="144">
        <f t="shared" si="14"/>
        <v>31.799999999999997</v>
      </c>
      <c r="H52" s="146"/>
      <c r="I52" s="146"/>
      <c r="J52" s="146"/>
      <c r="K52" s="51" t="s">
        <v>21</v>
      </c>
      <c r="L52" s="75" t="s">
        <v>21</v>
      </c>
      <c r="V52" s="55">
        <f t="shared" si="8"/>
        <v>150</v>
      </c>
      <c r="W52" s="51">
        <f t="shared" si="9"/>
        <v>1.8614671186269023</v>
      </c>
      <c r="X52" s="51">
        <f t="shared" si="10"/>
        <v>0.125</v>
      </c>
      <c r="Y52" s="51">
        <f t="shared" si="11"/>
        <v>5.0000000000000001E-4</v>
      </c>
      <c r="Z52" s="51">
        <f t="shared" si="3"/>
        <v>1.2916666666666667</v>
      </c>
      <c r="AA52" s="56">
        <f t="shared" si="4"/>
        <v>1860</v>
      </c>
      <c r="AB52" s="76">
        <f t="shared" si="0"/>
        <v>56.049999947215831</v>
      </c>
      <c r="AC52" s="57">
        <f t="shared" si="27"/>
        <v>56.049999947215831</v>
      </c>
      <c r="AE52" s="56">
        <f t="shared" si="6"/>
        <v>1860</v>
      </c>
      <c r="AF52" s="57">
        <f t="shared" si="20"/>
        <v>31.799999999999997</v>
      </c>
    </row>
    <row r="53" spans="1:32" s="51" customFormat="1" ht="21" customHeight="1">
      <c r="A53" s="140"/>
      <c r="B53" s="140"/>
      <c r="C53" s="142"/>
      <c r="D53" s="143">
        <f t="shared" si="23"/>
        <v>1440</v>
      </c>
      <c r="E53" s="133">
        <f t="shared" si="12"/>
        <v>1</v>
      </c>
      <c r="F53" s="144">
        <f t="shared" si="13"/>
        <v>35.4</v>
      </c>
      <c r="G53" s="144">
        <f t="shared" si="14"/>
        <v>31.799999999999997</v>
      </c>
      <c r="H53" s="146"/>
      <c r="I53" s="146"/>
      <c r="J53" s="146"/>
      <c r="K53" s="51" t="s">
        <v>21</v>
      </c>
      <c r="L53" s="75" t="s">
        <v>21</v>
      </c>
      <c r="V53" s="55">
        <f t="shared" si="8"/>
        <v>150</v>
      </c>
      <c r="W53" s="51">
        <f t="shared" si="9"/>
        <v>1.8614671186269023</v>
      </c>
      <c r="X53" s="51">
        <f t="shared" si="10"/>
        <v>0.125</v>
      </c>
      <c r="Y53" s="51">
        <f t="shared" si="11"/>
        <v>5.0000000000000001E-4</v>
      </c>
      <c r="Z53" s="51">
        <f t="shared" si="3"/>
        <v>1.3333333333333333</v>
      </c>
      <c r="AA53" s="56">
        <f t="shared" si="4"/>
        <v>1920</v>
      </c>
      <c r="AB53" s="76">
        <f t="shared" si="0"/>
        <v>56.049999947215831</v>
      </c>
      <c r="AC53" s="57">
        <f t="shared" si="27"/>
        <v>56.049999947215831</v>
      </c>
      <c r="AE53" s="56">
        <f t="shared" si="6"/>
        <v>1920</v>
      </c>
      <c r="AF53" s="57">
        <f t="shared" si="20"/>
        <v>31.799999999999997</v>
      </c>
    </row>
    <row r="54" spans="1:32" s="51" customFormat="1" ht="21" customHeight="1">
      <c r="A54" s="140"/>
      <c r="B54" s="140"/>
      <c r="C54" s="142"/>
      <c r="D54" s="143">
        <f t="shared" si="23"/>
        <v>1500</v>
      </c>
      <c r="E54" s="133">
        <f t="shared" si="12"/>
        <v>1.0416666666666667</v>
      </c>
      <c r="F54" s="144">
        <f t="shared" si="13"/>
        <v>35.4</v>
      </c>
      <c r="G54" s="144">
        <f t="shared" si="14"/>
        <v>31.799999999999997</v>
      </c>
      <c r="H54" s="146"/>
      <c r="I54" s="146"/>
      <c r="J54" s="146"/>
      <c r="K54" s="51" t="s">
        <v>21</v>
      </c>
      <c r="L54" s="75" t="s">
        <v>21</v>
      </c>
      <c r="V54" s="55">
        <f t="shared" si="8"/>
        <v>150</v>
      </c>
      <c r="W54" s="51">
        <f t="shared" si="9"/>
        <v>1.8614671186269023</v>
      </c>
      <c r="X54" s="51">
        <f t="shared" si="10"/>
        <v>0.125</v>
      </c>
      <c r="Y54" s="51">
        <f t="shared" si="11"/>
        <v>5.0000000000000001E-4</v>
      </c>
      <c r="Z54" s="51">
        <f t="shared" si="3"/>
        <v>1.375</v>
      </c>
      <c r="AA54" s="56">
        <f t="shared" si="4"/>
        <v>1980</v>
      </c>
      <c r="AB54" s="76">
        <f t="shared" si="0"/>
        <v>56.049999947215831</v>
      </c>
      <c r="AC54" s="57">
        <f t="shared" si="27"/>
        <v>56.049999947215831</v>
      </c>
      <c r="AE54" s="56">
        <f t="shared" si="6"/>
        <v>1980</v>
      </c>
      <c r="AF54" s="57">
        <f t="shared" si="20"/>
        <v>31.799999999999997</v>
      </c>
    </row>
    <row r="55" spans="1:32" s="51" customFormat="1" ht="21" customHeight="1">
      <c r="A55" s="140"/>
      <c r="B55" s="140"/>
      <c r="C55" s="142" t="s">
        <v>4</v>
      </c>
      <c r="D55" s="143">
        <f t="shared" si="23"/>
        <v>1560</v>
      </c>
      <c r="E55" s="133">
        <f t="shared" si="12"/>
        <v>1.0833333333333333</v>
      </c>
      <c r="F55" s="144">
        <f t="shared" si="13"/>
        <v>35.4</v>
      </c>
      <c r="G55" s="144">
        <f t="shared" si="14"/>
        <v>31.799999999999997</v>
      </c>
      <c r="H55" s="146"/>
      <c r="I55" s="146"/>
      <c r="J55" s="146"/>
      <c r="K55" s="51" t="s">
        <v>21</v>
      </c>
      <c r="L55" s="75" t="s">
        <v>21</v>
      </c>
      <c r="V55" s="55">
        <f t="shared" si="8"/>
        <v>150</v>
      </c>
      <c r="W55" s="51">
        <f t="shared" si="9"/>
        <v>1.8614671186269023</v>
      </c>
      <c r="X55" s="51">
        <f t="shared" si="10"/>
        <v>0.125</v>
      </c>
      <c r="Y55" s="51">
        <f t="shared" si="11"/>
        <v>5.0000000000000001E-4</v>
      </c>
      <c r="Z55" s="51">
        <f t="shared" si="3"/>
        <v>1.4166666666666667</v>
      </c>
      <c r="AA55" s="56">
        <f t="shared" si="4"/>
        <v>2040</v>
      </c>
      <c r="AB55" s="76">
        <f t="shared" si="0"/>
        <v>56.049999947215831</v>
      </c>
      <c r="AC55" s="57">
        <f t="shared" si="27"/>
        <v>56.049999947215831</v>
      </c>
      <c r="AE55" s="56">
        <f t="shared" si="6"/>
        <v>2040</v>
      </c>
      <c r="AF55" s="57">
        <f t="shared" si="20"/>
        <v>31.799999999999997</v>
      </c>
    </row>
    <row r="56" spans="1:32" s="51" customFormat="1" ht="21.6" customHeight="1">
      <c r="A56" s="140"/>
      <c r="B56" s="140"/>
      <c r="C56" s="142">
        <f>$C$10+D56/1440</f>
        <v>45390.604166666664</v>
      </c>
      <c r="D56" s="143">
        <f t="shared" si="23"/>
        <v>1620</v>
      </c>
      <c r="E56" s="133">
        <f t="shared" si="12"/>
        <v>1.125</v>
      </c>
      <c r="F56" s="144">
        <f t="shared" si="13"/>
        <v>35.4</v>
      </c>
      <c r="G56" s="144">
        <f t="shared" si="14"/>
        <v>31.799999999999997</v>
      </c>
      <c r="H56" s="146"/>
      <c r="I56" s="146"/>
      <c r="J56" s="146"/>
      <c r="K56" s="51" t="s">
        <v>21</v>
      </c>
      <c r="L56" s="75" t="s">
        <v>21</v>
      </c>
      <c r="V56" s="55">
        <f t="shared" si="8"/>
        <v>150</v>
      </c>
      <c r="W56" s="51">
        <f t="shared" si="9"/>
        <v>1.8614671186269023</v>
      </c>
      <c r="X56" s="51">
        <f t="shared" si="10"/>
        <v>0.125</v>
      </c>
      <c r="Y56" s="51">
        <f t="shared" si="11"/>
        <v>5.0000000000000001E-4</v>
      </c>
      <c r="Z56" s="51">
        <f t="shared" si="3"/>
        <v>1.4583333333333333</v>
      </c>
      <c r="AA56" s="56">
        <f t="shared" si="4"/>
        <v>2100</v>
      </c>
      <c r="AB56" s="76">
        <f t="shared" si="0"/>
        <v>56.049999947215831</v>
      </c>
      <c r="AC56" s="57">
        <f t="shared" si="27"/>
        <v>56.049999947215831</v>
      </c>
      <c r="AE56" s="56">
        <f t="shared" si="6"/>
        <v>2100</v>
      </c>
      <c r="AF56" s="57">
        <f t="shared" si="20"/>
        <v>31.799999999999997</v>
      </c>
    </row>
    <row r="57" spans="1:32" s="51" customFormat="1" ht="21.6" customHeight="1">
      <c r="A57" s="140"/>
      <c r="B57" s="140"/>
      <c r="C57" s="142"/>
      <c r="D57" s="143">
        <f t="shared" si="23"/>
        <v>1680</v>
      </c>
      <c r="E57" s="133">
        <f t="shared" si="12"/>
        <v>1.1666666666666667</v>
      </c>
      <c r="F57" s="144">
        <f t="shared" si="13"/>
        <v>35.4</v>
      </c>
      <c r="G57" s="144">
        <f t="shared" si="14"/>
        <v>31.799999999999997</v>
      </c>
      <c r="H57" s="146"/>
      <c r="I57" s="146"/>
      <c r="J57" s="146"/>
      <c r="K57" s="51" t="s">
        <v>21</v>
      </c>
      <c r="L57" s="75" t="s">
        <v>21</v>
      </c>
      <c r="V57" s="55">
        <f t="shared" si="8"/>
        <v>150</v>
      </c>
      <c r="W57" s="51">
        <f t="shared" si="9"/>
        <v>1.8614671186269023</v>
      </c>
      <c r="X57" s="51">
        <f t="shared" si="10"/>
        <v>0.125</v>
      </c>
      <c r="Y57" s="51">
        <f t="shared" si="11"/>
        <v>5.0000000000000001E-4</v>
      </c>
      <c r="Z57" s="51">
        <f t="shared" si="3"/>
        <v>1.5</v>
      </c>
      <c r="AA57" s="56">
        <f t="shared" si="4"/>
        <v>2160</v>
      </c>
      <c r="AB57" s="76">
        <f t="shared" si="0"/>
        <v>56.049999947215831</v>
      </c>
      <c r="AC57" s="57">
        <f t="shared" si="27"/>
        <v>56.049999947215831</v>
      </c>
      <c r="AE57" s="56">
        <f t="shared" si="6"/>
        <v>2160</v>
      </c>
      <c r="AF57" s="57">
        <f t="shared" si="20"/>
        <v>31.799999999999997</v>
      </c>
    </row>
    <row r="58" spans="1:32" s="51" customFormat="1" ht="21.6" customHeight="1">
      <c r="A58" s="140"/>
      <c r="B58" s="140"/>
      <c r="C58" s="142"/>
      <c r="D58" s="143">
        <f t="shared" si="23"/>
        <v>1740</v>
      </c>
      <c r="E58" s="133">
        <f t="shared" si="12"/>
        <v>1.2083333333333333</v>
      </c>
      <c r="F58" s="144">
        <f t="shared" si="13"/>
        <v>35.4</v>
      </c>
      <c r="G58" s="144">
        <f t="shared" si="14"/>
        <v>31.799999999999997</v>
      </c>
      <c r="H58" s="146"/>
      <c r="I58" s="146"/>
      <c r="J58" s="146"/>
      <c r="K58" s="51" t="s">
        <v>21</v>
      </c>
      <c r="L58" s="75" t="s">
        <v>21</v>
      </c>
      <c r="V58" s="55">
        <f t="shared" si="8"/>
        <v>150</v>
      </c>
      <c r="W58" s="51">
        <f t="shared" si="9"/>
        <v>1.8614671186269023</v>
      </c>
      <c r="X58" s="51">
        <f t="shared" si="10"/>
        <v>0.125</v>
      </c>
      <c r="Y58" s="51">
        <f t="shared" si="11"/>
        <v>5.0000000000000001E-4</v>
      </c>
      <c r="Z58" s="51">
        <f t="shared" si="3"/>
        <v>1.5416666666666667</v>
      </c>
      <c r="AA58" s="56">
        <f t="shared" si="4"/>
        <v>2220</v>
      </c>
      <c r="AB58" s="76">
        <f t="shared" si="0"/>
        <v>56.049999947215831</v>
      </c>
      <c r="AC58" s="57">
        <f t="shared" si="27"/>
        <v>56.049999947215831</v>
      </c>
      <c r="AE58" s="56">
        <f t="shared" si="6"/>
        <v>2220</v>
      </c>
      <c r="AF58" s="57">
        <f t="shared" si="20"/>
        <v>31.799999999999997</v>
      </c>
    </row>
    <row r="59" spans="1:32" s="51" customFormat="1" ht="21.6" customHeight="1">
      <c r="A59" s="140"/>
      <c r="B59" s="140"/>
      <c r="C59" s="142"/>
      <c r="D59" s="143">
        <f t="shared" si="23"/>
        <v>1800</v>
      </c>
      <c r="E59" s="133">
        <f t="shared" si="12"/>
        <v>1.25</v>
      </c>
      <c r="F59" s="144">
        <f t="shared" si="13"/>
        <v>35.4</v>
      </c>
      <c r="G59" s="144">
        <f t="shared" si="14"/>
        <v>31.799999999999997</v>
      </c>
      <c r="H59" s="146"/>
      <c r="I59" s="146"/>
      <c r="J59" s="146"/>
      <c r="K59" s="51" t="s">
        <v>21</v>
      </c>
      <c r="L59" s="75" t="s">
        <v>21</v>
      </c>
      <c r="V59" s="55">
        <f t="shared" si="8"/>
        <v>150</v>
      </c>
      <c r="W59" s="51">
        <f t="shared" si="9"/>
        <v>1.8614671186269023</v>
      </c>
      <c r="X59" s="51">
        <f t="shared" si="10"/>
        <v>0.125</v>
      </c>
      <c r="Y59" s="51">
        <f t="shared" si="11"/>
        <v>5.0000000000000001E-4</v>
      </c>
      <c r="Z59" s="51">
        <f t="shared" si="3"/>
        <v>1.5833333333333333</v>
      </c>
      <c r="AA59" s="56">
        <f t="shared" si="4"/>
        <v>2280</v>
      </c>
      <c r="AB59" s="76">
        <f t="shared" si="0"/>
        <v>56.049999947215831</v>
      </c>
      <c r="AC59" s="57">
        <f t="shared" si="27"/>
        <v>56.049999947215831</v>
      </c>
      <c r="AE59" s="56">
        <f t="shared" si="6"/>
        <v>2280</v>
      </c>
      <c r="AF59" s="57">
        <f t="shared" si="20"/>
        <v>31.799999999999997</v>
      </c>
    </row>
    <row r="60" spans="1:32" s="51" customFormat="1" ht="21.6" customHeight="1">
      <c r="A60" s="140"/>
      <c r="B60" s="140"/>
      <c r="C60" s="142"/>
      <c r="D60" s="143">
        <f t="shared" si="23"/>
        <v>1860</v>
      </c>
      <c r="E60" s="133">
        <f t="shared" si="12"/>
        <v>1.2916666666666667</v>
      </c>
      <c r="F60" s="144">
        <f t="shared" si="13"/>
        <v>35.4</v>
      </c>
      <c r="G60" s="144">
        <f t="shared" si="14"/>
        <v>31.799999999999997</v>
      </c>
      <c r="H60" s="146"/>
      <c r="I60" s="146"/>
      <c r="J60" s="146"/>
      <c r="K60" s="51" t="s">
        <v>21</v>
      </c>
      <c r="L60" s="75" t="s">
        <v>21</v>
      </c>
      <c r="V60" s="55">
        <f t="shared" si="8"/>
        <v>150</v>
      </c>
      <c r="W60" s="51">
        <f t="shared" si="9"/>
        <v>1.8614671186269023</v>
      </c>
      <c r="X60" s="51">
        <f t="shared" si="10"/>
        <v>0.125</v>
      </c>
      <c r="Y60" s="51">
        <f t="shared" si="11"/>
        <v>5.0000000000000001E-4</v>
      </c>
      <c r="Z60" s="51">
        <f t="shared" si="3"/>
        <v>1.625</v>
      </c>
      <c r="AA60" s="56">
        <f t="shared" si="4"/>
        <v>2340</v>
      </c>
      <c r="AB60" s="76">
        <f t="shared" si="0"/>
        <v>56.049999947215831</v>
      </c>
      <c r="AC60" s="57">
        <f t="shared" si="27"/>
        <v>56.049999947215831</v>
      </c>
      <c r="AE60" s="56">
        <f t="shared" si="6"/>
        <v>2340</v>
      </c>
      <c r="AF60" s="57">
        <f t="shared" si="20"/>
        <v>31.799999999999997</v>
      </c>
    </row>
    <row r="61" spans="1:32" s="51" customFormat="1" ht="21.6" customHeight="1">
      <c r="A61" s="140"/>
      <c r="B61" s="140"/>
      <c r="C61" s="142">
        <f>$C$10+D61/1440</f>
        <v>45390.8125</v>
      </c>
      <c r="D61" s="143">
        <f t="shared" si="23"/>
        <v>1920</v>
      </c>
      <c r="E61" s="133">
        <f t="shared" si="12"/>
        <v>1.3333333333333333</v>
      </c>
      <c r="F61" s="144">
        <f t="shared" si="13"/>
        <v>35.4</v>
      </c>
      <c r="G61" s="144">
        <f t="shared" si="14"/>
        <v>31.799999999999997</v>
      </c>
      <c r="H61" s="146"/>
      <c r="I61" s="146"/>
      <c r="J61" s="146"/>
      <c r="K61" s="51" t="s">
        <v>21</v>
      </c>
      <c r="L61" s="75" t="s">
        <v>21</v>
      </c>
      <c r="V61" s="55">
        <f t="shared" si="8"/>
        <v>150</v>
      </c>
      <c r="W61" s="51">
        <f t="shared" si="9"/>
        <v>1.8614671186269023</v>
      </c>
      <c r="X61" s="51">
        <f t="shared" si="10"/>
        <v>0.125</v>
      </c>
      <c r="Y61" s="51">
        <f t="shared" si="11"/>
        <v>5.0000000000000001E-4</v>
      </c>
      <c r="Z61" s="51">
        <f t="shared" si="3"/>
        <v>1.6666666666666667</v>
      </c>
      <c r="AA61" s="56">
        <f t="shared" si="4"/>
        <v>2400</v>
      </c>
      <c r="AB61" s="76">
        <f t="shared" si="0"/>
        <v>56.049999947215831</v>
      </c>
      <c r="AC61" s="57">
        <f t="shared" si="27"/>
        <v>56.049999947215831</v>
      </c>
      <c r="AE61" s="56">
        <f t="shared" si="6"/>
        <v>2400</v>
      </c>
      <c r="AF61" s="57">
        <f t="shared" si="20"/>
        <v>31.799999999999997</v>
      </c>
    </row>
    <row r="62" spans="1:32" s="51" customFormat="1" ht="21.6" customHeight="1">
      <c r="A62" s="140"/>
      <c r="B62" s="140"/>
      <c r="C62" s="142"/>
      <c r="D62" s="143">
        <f t="shared" si="23"/>
        <v>1980</v>
      </c>
      <c r="E62" s="133">
        <f t="shared" si="12"/>
        <v>1.375</v>
      </c>
      <c r="F62" s="144">
        <f t="shared" si="13"/>
        <v>35.4</v>
      </c>
      <c r="G62" s="144">
        <f t="shared" si="14"/>
        <v>31.799999999999997</v>
      </c>
      <c r="H62" s="146"/>
      <c r="I62" s="146"/>
      <c r="J62" s="146"/>
      <c r="K62" s="51" t="s">
        <v>21</v>
      </c>
      <c r="L62" s="75" t="s">
        <v>21</v>
      </c>
      <c r="V62" s="55">
        <f t="shared" si="8"/>
        <v>150</v>
      </c>
      <c r="W62" s="51">
        <f t="shared" si="9"/>
        <v>1.8614671186269023</v>
      </c>
      <c r="X62" s="51">
        <f t="shared" si="10"/>
        <v>0.125</v>
      </c>
      <c r="Y62" s="51">
        <f t="shared" si="11"/>
        <v>5.0000000000000001E-4</v>
      </c>
      <c r="Z62" s="51">
        <f t="shared" si="3"/>
        <v>1.7083333333333333</v>
      </c>
      <c r="AA62" s="56">
        <f t="shared" si="4"/>
        <v>2460</v>
      </c>
      <c r="AB62" s="76">
        <f t="shared" si="0"/>
        <v>56.049999947215831</v>
      </c>
      <c r="AC62" s="57">
        <f t="shared" si="27"/>
        <v>56.049999947215831</v>
      </c>
      <c r="AE62" s="56">
        <f t="shared" si="6"/>
        <v>2460</v>
      </c>
      <c r="AF62" s="57">
        <f t="shared" si="20"/>
        <v>31.799999999999997</v>
      </c>
    </row>
    <row r="63" spans="1:32" s="51" customFormat="1" ht="21.6" customHeight="1">
      <c r="A63" s="140"/>
      <c r="B63" s="140"/>
      <c r="C63" s="142"/>
      <c r="D63" s="143">
        <f t="shared" si="23"/>
        <v>2040</v>
      </c>
      <c r="E63" s="133">
        <f t="shared" si="12"/>
        <v>1.4166666666666667</v>
      </c>
      <c r="F63" s="144">
        <f>F62</f>
        <v>35.4</v>
      </c>
      <c r="G63" s="144">
        <f t="shared" si="14"/>
        <v>31.799999999999997</v>
      </c>
      <c r="H63" s="146"/>
      <c r="I63" s="146"/>
      <c r="J63" s="146"/>
      <c r="K63" s="51" t="s">
        <v>21</v>
      </c>
      <c r="L63" s="75" t="s">
        <v>21</v>
      </c>
      <c r="V63" s="55">
        <f t="shared" si="8"/>
        <v>150</v>
      </c>
      <c r="W63" s="51">
        <f t="shared" si="9"/>
        <v>1.8614671186269023</v>
      </c>
      <c r="X63" s="51">
        <f t="shared" si="10"/>
        <v>0.125</v>
      </c>
      <c r="Y63" s="51">
        <f t="shared" si="11"/>
        <v>5.0000000000000001E-4</v>
      </c>
      <c r="Z63" s="51">
        <f t="shared" si="3"/>
        <v>1.75</v>
      </c>
      <c r="AA63" s="56">
        <f t="shared" si="4"/>
        <v>2520</v>
      </c>
      <c r="AB63" s="76">
        <f t="shared" si="0"/>
        <v>56.049999947215831</v>
      </c>
      <c r="AC63" s="57">
        <f t="shared" si="27"/>
        <v>56.049999947215831</v>
      </c>
      <c r="AE63" s="56">
        <f t="shared" si="6"/>
        <v>2520</v>
      </c>
      <c r="AF63" s="57">
        <f t="shared" si="20"/>
        <v>31.799999999999997</v>
      </c>
    </row>
    <row r="64" spans="1:32" s="51" customFormat="1" ht="21.6" customHeight="1">
      <c r="A64" s="140"/>
      <c r="B64" s="140"/>
      <c r="C64" s="142"/>
      <c r="D64" s="143">
        <f t="shared" si="23"/>
        <v>2100</v>
      </c>
      <c r="E64" s="133">
        <f t="shared" si="12"/>
        <v>1.4583333333333333</v>
      </c>
      <c r="F64" s="144">
        <f t="shared" ref="F64:F77" si="28">F63</f>
        <v>35.4</v>
      </c>
      <c r="G64" s="144">
        <f t="shared" si="14"/>
        <v>31.799999999999997</v>
      </c>
      <c r="H64" s="146"/>
      <c r="I64" s="146"/>
      <c r="J64" s="146"/>
      <c r="K64" s="51" t="s">
        <v>21</v>
      </c>
      <c r="L64" s="75" t="s">
        <v>21</v>
      </c>
      <c r="V64" s="55">
        <f t="shared" si="8"/>
        <v>150</v>
      </c>
      <c r="W64" s="51">
        <f t="shared" si="9"/>
        <v>1.8614671186269023</v>
      </c>
      <c r="X64" s="51">
        <f t="shared" si="10"/>
        <v>0.125</v>
      </c>
      <c r="Y64" s="51">
        <f t="shared" si="11"/>
        <v>5.0000000000000001E-4</v>
      </c>
      <c r="Z64" s="51">
        <f t="shared" si="3"/>
        <v>1.7916666666666667</v>
      </c>
      <c r="AA64" s="56">
        <f t="shared" si="4"/>
        <v>2580</v>
      </c>
      <c r="AB64" s="76">
        <f t="shared" si="0"/>
        <v>56.049999947215831</v>
      </c>
      <c r="AC64" s="57">
        <f t="shared" si="27"/>
        <v>56.049999947215831</v>
      </c>
      <c r="AE64" s="56">
        <f t="shared" si="6"/>
        <v>2580</v>
      </c>
      <c r="AF64" s="57">
        <f t="shared" si="20"/>
        <v>31.799999999999997</v>
      </c>
    </row>
    <row r="65" spans="1:32" s="51" customFormat="1" ht="21.6" customHeight="1">
      <c r="A65" s="140"/>
      <c r="B65" s="140"/>
      <c r="C65" s="142"/>
      <c r="D65" s="143">
        <f t="shared" si="23"/>
        <v>2160</v>
      </c>
      <c r="E65" s="133">
        <f t="shared" si="12"/>
        <v>1.5</v>
      </c>
      <c r="F65" s="144">
        <f t="shared" si="28"/>
        <v>35.4</v>
      </c>
      <c r="G65" s="144">
        <f t="shared" si="14"/>
        <v>31.799999999999997</v>
      </c>
      <c r="H65" s="146"/>
      <c r="I65" s="146"/>
      <c r="J65" s="146"/>
      <c r="K65" s="51" t="s">
        <v>21</v>
      </c>
      <c r="L65" s="75" t="s">
        <v>21</v>
      </c>
      <c r="V65" s="55">
        <f t="shared" si="8"/>
        <v>150</v>
      </c>
      <c r="W65" s="51">
        <f t="shared" si="9"/>
        <v>1.8614671186269023</v>
      </c>
      <c r="X65" s="51">
        <f t="shared" si="10"/>
        <v>0.125</v>
      </c>
      <c r="Y65" s="51">
        <f t="shared" si="11"/>
        <v>5.0000000000000001E-4</v>
      </c>
      <c r="Z65" s="51">
        <f t="shared" si="3"/>
        <v>1.8333333333333333</v>
      </c>
      <c r="AA65" s="56">
        <f t="shared" si="4"/>
        <v>2640</v>
      </c>
      <c r="AB65" s="76">
        <f t="shared" si="0"/>
        <v>56.049999947215831</v>
      </c>
      <c r="AC65" s="57">
        <f t="shared" si="27"/>
        <v>56.049999947215831</v>
      </c>
      <c r="AE65" s="56">
        <f t="shared" si="6"/>
        <v>2640</v>
      </c>
      <c r="AF65" s="57">
        <f t="shared" si="20"/>
        <v>31.799999999999997</v>
      </c>
    </row>
    <row r="66" spans="1:32" s="51" customFormat="1" ht="21.6" customHeight="1">
      <c r="A66" s="140"/>
      <c r="B66" s="140"/>
      <c r="C66" s="142">
        <f>$C$10+D66/1440</f>
        <v>45391.020833333328</v>
      </c>
      <c r="D66" s="143">
        <f t="shared" si="23"/>
        <v>2220</v>
      </c>
      <c r="E66" s="133">
        <f t="shared" si="12"/>
        <v>1.5416666666666667</v>
      </c>
      <c r="F66" s="144">
        <f t="shared" si="28"/>
        <v>35.4</v>
      </c>
      <c r="G66" s="144">
        <f t="shared" si="14"/>
        <v>31.799999999999997</v>
      </c>
      <c r="H66" s="146"/>
      <c r="I66" s="146"/>
      <c r="J66" s="146"/>
      <c r="K66" s="51" t="s">
        <v>21</v>
      </c>
      <c r="L66" s="75" t="s">
        <v>21</v>
      </c>
      <c r="V66" s="55">
        <f t="shared" si="8"/>
        <v>150</v>
      </c>
      <c r="W66" s="51">
        <f t="shared" si="9"/>
        <v>1.8614671186269023</v>
      </c>
      <c r="X66" s="51">
        <f t="shared" si="10"/>
        <v>0.125</v>
      </c>
      <c r="Y66" s="51">
        <f t="shared" si="11"/>
        <v>5.0000000000000001E-4</v>
      </c>
      <c r="Z66" s="51">
        <f t="shared" si="3"/>
        <v>1.875</v>
      </c>
      <c r="AA66" s="56">
        <f t="shared" si="4"/>
        <v>2700</v>
      </c>
      <c r="AB66" s="76">
        <f>AC66+AD$2</f>
        <v>56.049999947215831</v>
      </c>
      <c r="AC66" s="57">
        <f t="shared" si="27"/>
        <v>56.049999947215831</v>
      </c>
      <c r="AE66" s="56">
        <f t="shared" si="6"/>
        <v>2700</v>
      </c>
      <c r="AF66" s="57">
        <f t="shared" si="20"/>
        <v>31.799999999999997</v>
      </c>
    </row>
    <row r="67" spans="1:32" s="51" customFormat="1" ht="21.6" customHeight="1">
      <c r="A67" s="140"/>
      <c r="B67" s="140"/>
      <c r="C67" s="142"/>
      <c r="D67" s="143">
        <f t="shared" si="23"/>
        <v>2280</v>
      </c>
      <c r="E67" s="133">
        <f t="shared" si="12"/>
        <v>1.5833333333333333</v>
      </c>
      <c r="F67" s="144">
        <f t="shared" si="28"/>
        <v>35.4</v>
      </c>
      <c r="G67" s="144">
        <f t="shared" si="14"/>
        <v>31.799999999999997</v>
      </c>
      <c r="H67" s="146"/>
      <c r="I67" s="146"/>
      <c r="J67" s="146"/>
      <c r="K67" s="51" t="s">
        <v>21</v>
      </c>
      <c r="L67" s="75" t="s">
        <v>21</v>
      </c>
      <c r="V67" s="55">
        <f t="shared" si="8"/>
        <v>150</v>
      </c>
      <c r="W67" s="51">
        <f t="shared" si="9"/>
        <v>1.8614671186269023</v>
      </c>
      <c r="X67" s="51">
        <f t="shared" si="10"/>
        <v>0.125</v>
      </c>
      <c r="Y67" s="51">
        <f t="shared" si="11"/>
        <v>5.0000000000000001E-4</v>
      </c>
      <c r="Z67" s="51">
        <f t="shared" ref="Z67:Z79" si="29">E75</f>
        <v>1.9166666666666667</v>
      </c>
      <c r="AA67" s="56">
        <f t="shared" ref="AA67:AA79" si="30">D75</f>
        <v>2760</v>
      </c>
      <c r="AB67" s="76">
        <f>AC67+AD$2</f>
        <v>56.049999947215831</v>
      </c>
      <c r="AC67" s="57">
        <f t="shared" si="27"/>
        <v>56.049999947215831</v>
      </c>
      <c r="AE67" s="56">
        <f>AA67</f>
        <v>2760</v>
      </c>
      <c r="AF67" s="57">
        <f t="shared" si="20"/>
        <v>31.799999999999997</v>
      </c>
    </row>
    <row r="68" spans="1:32" s="51" customFormat="1" ht="21.6" customHeight="1">
      <c r="A68" s="140"/>
      <c r="B68" s="140"/>
      <c r="C68" s="142" t="s">
        <v>4</v>
      </c>
      <c r="D68" s="143">
        <f t="shared" si="23"/>
        <v>2340</v>
      </c>
      <c r="E68" s="133">
        <f t="shared" si="12"/>
        <v>1.625</v>
      </c>
      <c r="F68" s="144">
        <f t="shared" si="28"/>
        <v>35.4</v>
      </c>
      <c r="G68" s="144">
        <f t="shared" si="14"/>
        <v>31.799999999999997</v>
      </c>
      <c r="H68" s="146"/>
      <c r="I68" s="146"/>
      <c r="J68" s="146"/>
      <c r="K68" s="51" t="s">
        <v>21</v>
      </c>
      <c r="L68" s="75" t="s">
        <v>21</v>
      </c>
      <c r="V68" s="55">
        <f>V67</f>
        <v>150</v>
      </c>
      <c r="W68" s="51">
        <f t="shared" ref="W68:W83" si="31">W$2</f>
        <v>1.8614671186269023</v>
      </c>
      <c r="X68" s="51">
        <f t="shared" ref="X68:X83" si="32">X67</f>
        <v>0.125</v>
      </c>
      <c r="Y68" s="51">
        <f t="shared" ref="Y68:Y83" si="33">Y$2</f>
        <v>5.0000000000000001E-4</v>
      </c>
      <c r="Z68" s="51">
        <f t="shared" si="29"/>
        <v>1.9583333333333333</v>
      </c>
      <c r="AA68" s="56">
        <f t="shared" si="30"/>
        <v>2820</v>
      </c>
      <c r="AB68" s="76">
        <f>AC68+AD$2</f>
        <v>56.049999947215831</v>
      </c>
      <c r="AC68" s="57">
        <f t="shared" si="27"/>
        <v>56.049999947215831</v>
      </c>
      <c r="AE68" s="56">
        <f>AA68</f>
        <v>2820</v>
      </c>
      <c r="AF68" s="57">
        <f t="shared" si="20"/>
        <v>31.799999999999997</v>
      </c>
    </row>
    <row r="69" spans="1:32" s="51" customFormat="1" ht="21.6" customHeight="1">
      <c r="A69" s="140"/>
      <c r="B69" s="140"/>
      <c r="C69" s="142"/>
      <c r="D69" s="143">
        <f t="shared" si="23"/>
        <v>2400</v>
      </c>
      <c r="E69" s="133">
        <f t="shared" si="12"/>
        <v>1.6666666666666667</v>
      </c>
      <c r="F69" s="144">
        <f t="shared" si="28"/>
        <v>35.4</v>
      </c>
      <c r="G69" s="144">
        <f t="shared" si="14"/>
        <v>31.799999999999997</v>
      </c>
      <c r="H69" s="146"/>
      <c r="I69" s="146"/>
      <c r="J69" s="146"/>
      <c r="K69" s="51" t="s">
        <v>21</v>
      </c>
      <c r="L69" s="75" t="s">
        <v>21</v>
      </c>
      <c r="V69" s="55">
        <f>V68</f>
        <v>150</v>
      </c>
      <c r="W69" s="51">
        <f t="shared" si="31"/>
        <v>1.8614671186269023</v>
      </c>
      <c r="X69" s="51">
        <f t="shared" si="32"/>
        <v>0.125</v>
      </c>
      <c r="Y69" s="51">
        <f t="shared" si="33"/>
        <v>5.0000000000000001E-4</v>
      </c>
      <c r="Z69" s="51">
        <f t="shared" si="29"/>
        <v>2</v>
      </c>
      <c r="AA69" s="56">
        <f t="shared" si="30"/>
        <v>2880</v>
      </c>
      <c r="AB69" s="76">
        <f>AC69+AD$2</f>
        <v>56.049999947215831</v>
      </c>
      <c r="AC69" s="57">
        <f t="shared" si="27"/>
        <v>56.049999947215831</v>
      </c>
      <c r="AE69" s="56">
        <f>AA69</f>
        <v>2880</v>
      </c>
      <c r="AF69" s="57">
        <f t="shared" si="20"/>
        <v>31.799999999999997</v>
      </c>
    </row>
    <row r="70" spans="1:32" s="51" customFormat="1" ht="21.6" customHeight="1">
      <c r="A70" s="140"/>
      <c r="B70" s="140"/>
      <c r="C70" s="142"/>
      <c r="D70" s="143">
        <f t="shared" si="23"/>
        <v>2460</v>
      </c>
      <c r="E70" s="133">
        <f t="shared" si="12"/>
        <v>1.7083333333333333</v>
      </c>
      <c r="F70" s="144">
        <f t="shared" si="28"/>
        <v>35.4</v>
      </c>
      <c r="G70" s="144">
        <f t="shared" si="14"/>
        <v>31.799999999999997</v>
      </c>
      <c r="H70" s="146"/>
      <c r="I70" s="146"/>
      <c r="J70" s="146"/>
      <c r="K70" s="51" t="s">
        <v>21</v>
      </c>
      <c r="L70" s="75" t="s">
        <v>21</v>
      </c>
      <c r="V70" s="55"/>
      <c r="W70" s="51">
        <f t="shared" si="31"/>
        <v>1.8614671186269023</v>
      </c>
      <c r="X70" s="51">
        <f t="shared" si="32"/>
        <v>0.125</v>
      </c>
      <c r="Y70" s="51">
        <f t="shared" si="33"/>
        <v>5.0000000000000001E-4</v>
      </c>
      <c r="Z70" s="51">
        <f t="shared" si="29"/>
        <v>6.9444444444444447E-4</v>
      </c>
      <c r="AA70" s="56">
        <f t="shared" si="30"/>
        <v>1</v>
      </c>
      <c r="AB70" s="76"/>
      <c r="AC70" s="57"/>
      <c r="AF70" s="57"/>
    </row>
    <row r="71" spans="1:32" s="51" customFormat="1" ht="21.6" customHeight="1">
      <c r="A71" s="140"/>
      <c r="B71" s="140"/>
      <c r="C71" s="142">
        <f>$C$10+D71/1440</f>
        <v>45391.229166666664</v>
      </c>
      <c r="D71" s="143">
        <f t="shared" si="23"/>
        <v>2520</v>
      </c>
      <c r="E71" s="133">
        <f t="shared" si="12"/>
        <v>1.75</v>
      </c>
      <c r="F71" s="144">
        <f t="shared" si="28"/>
        <v>35.4</v>
      </c>
      <c r="G71" s="144">
        <f t="shared" si="14"/>
        <v>31.799999999999997</v>
      </c>
      <c r="H71" s="146"/>
      <c r="I71" s="146"/>
      <c r="J71" s="146"/>
      <c r="K71" s="51" t="s">
        <v>21</v>
      </c>
      <c r="L71" s="75" t="s">
        <v>21</v>
      </c>
      <c r="V71" s="55"/>
      <c r="W71" s="51">
        <f t="shared" si="31"/>
        <v>1.8614671186269023</v>
      </c>
      <c r="X71" s="51">
        <f t="shared" si="32"/>
        <v>0.125</v>
      </c>
      <c r="Y71" s="51">
        <f t="shared" si="33"/>
        <v>5.0000000000000001E-4</v>
      </c>
      <c r="Z71" s="51">
        <f t="shared" si="29"/>
        <v>1.3888888888888889E-3</v>
      </c>
      <c r="AA71" s="56">
        <f t="shared" si="30"/>
        <v>2</v>
      </c>
      <c r="AB71" s="76"/>
      <c r="AC71" s="57"/>
      <c r="AF71" s="57"/>
    </row>
    <row r="72" spans="1:32" s="51" customFormat="1" ht="21.6" customHeight="1">
      <c r="A72" s="140"/>
      <c r="B72" s="140"/>
      <c r="C72" s="142"/>
      <c r="D72" s="143">
        <f t="shared" si="23"/>
        <v>2580</v>
      </c>
      <c r="E72" s="133">
        <f t="shared" si="12"/>
        <v>1.7916666666666667</v>
      </c>
      <c r="F72" s="144">
        <f t="shared" si="28"/>
        <v>35.4</v>
      </c>
      <c r="G72" s="144">
        <f t="shared" si="14"/>
        <v>31.799999999999997</v>
      </c>
      <c r="H72" s="146"/>
      <c r="I72" s="146"/>
      <c r="J72" s="146"/>
      <c r="K72" s="51" t="s">
        <v>21</v>
      </c>
      <c r="L72" s="75" t="s">
        <v>21</v>
      </c>
      <c r="V72" s="55"/>
      <c r="W72" s="51">
        <f t="shared" si="31"/>
        <v>1.8614671186269023</v>
      </c>
      <c r="X72" s="51">
        <f t="shared" si="32"/>
        <v>0.125</v>
      </c>
      <c r="Y72" s="51">
        <f t="shared" si="33"/>
        <v>5.0000000000000001E-4</v>
      </c>
      <c r="Z72" s="51">
        <f t="shared" si="29"/>
        <v>2.0833333333333333E-3</v>
      </c>
      <c r="AA72" s="56">
        <f t="shared" si="30"/>
        <v>3</v>
      </c>
      <c r="AB72" s="76"/>
      <c r="AC72" s="57"/>
      <c r="AF72" s="57"/>
    </row>
    <row r="73" spans="1:32" s="51" customFormat="1" ht="21.6" customHeight="1">
      <c r="A73" s="140"/>
      <c r="B73" s="140"/>
      <c r="C73" s="142"/>
      <c r="D73" s="143">
        <f t="shared" si="23"/>
        <v>2640</v>
      </c>
      <c r="E73" s="133">
        <f t="shared" si="12"/>
        <v>1.8333333333333333</v>
      </c>
      <c r="F73" s="144">
        <f t="shared" si="28"/>
        <v>35.4</v>
      </c>
      <c r="G73" s="144">
        <f t="shared" si="14"/>
        <v>31.799999999999997</v>
      </c>
      <c r="H73" s="146"/>
      <c r="I73" s="146"/>
      <c r="J73" s="146"/>
      <c r="K73" s="51" t="s">
        <v>21</v>
      </c>
      <c r="L73" s="75" t="s">
        <v>21</v>
      </c>
      <c r="V73" s="55"/>
      <c r="W73" s="51">
        <f t="shared" si="31"/>
        <v>1.8614671186269023</v>
      </c>
      <c r="X73" s="51">
        <f t="shared" si="32"/>
        <v>0.125</v>
      </c>
      <c r="Y73" s="51">
        <f t="shared" si="33"/>
        <v>5.0000000000000001E-4</v>
      </c>
      <c r="Z73" s="51">
        <f t="shared" si="29"/>
        <v>2.7777777777777779E-3</v>
      </c>
      <c r="AA73" s="56">
        <f t="shared" si="30"/>
        <v>4</v>
      </c>
      <c r="AB73" s="76"/>
      <c r="AC73" s="57"/>
      <c r="AF73" s="57"/>
    </row>
    <row r="74" spans="1:32" s="51" customFormat="1" ht="21.6" customHeight="1">
      <c r="A74" s="140"/>
      <c r="B74" s="140"/>
      <c r="C74" s="142"/>
      <c r="D74" s="143">
        <f t="shared" si="23"/>
        <v>2700</v>
      </c>
      <c r="E74" s="133">
        <f t="shared" si="12"/>
        <v>1.875</v>
      </c>
      <c r="F74" s="144">
        <f t="shared" si="28"/>
        <v>35.4</v>
      </c>
      <c r="G74" s="144">
        <f t="shared" si="14"/>
        <v>31.799999999999997</v>
      </c>
      <c r="H74" s="146"/>
      <c r="I74" s="146"/>
      <c r="J74" s="146"/>
      <c r="K74" s="51" t="s">
        <v>21</v>
      </c>
      <c r="L74" s="75" t="s">
        <v>21</v>
      </c>
      <c r="V74" s="55"/>
      <c r="W74" s="51">
        <f t="shared" si="31"/>
        <v>1.8614671186269023</v>
      </c>
      <c r="X74" s="51">
        <f t="shared" si="32"/>
        <v>0.125</v>
      </c>
      <c r="Y74" s="51">
        <f t="shared" si="33"/>
        <v>5.0000000000000001E-4</v>
      </c>
      <c r="Z74" s="51">
        <f t="shared" si="29"/>
        <v>3.472222222222222E-3</v>
      </c>
      <c r="AA74" s="56">
        <f t="shared" si="30"/>
        <v>5</v>
      </c>
      <c r="AB74" s="76"/>
      <c r="AC74" s="57"/>
      <c r="AF74" s="57"/>
    </row>
    <row r="75" spans="1:32" s="51" customFormat="1" ht="21.6" customHeight="1">
      <c r="A75" s="140"/>
      <c r="B75" s="140"/>
      <c r="C75" s="142"/>
      <c r="D75" s="143">
        <f t="shared" si="23"/>
        <v>2760</v>
      </c>
      <c r="E75" s="133">
        <f>D75/1440</f>
        <v>1.9166666666666667</v>
      </c>
      <c r="F75" s="144">
        <f t="shared" si="28"/>
        <v>35.4</v>
      </c>
      <c r="G75" s="144">
        <f>AF67</f>
        <v>31.799999999999997</v>
      </c>
      <c r="H75" s="146"/>
      <c r="I75" s="146"/>
      <c r="J75" s="146"/>
      <c r="K75" s="51" t="s">
        <v>21</v>
      </c>
      <c r="L75" s="75" t="s">
        <v>21</v>
      </c>
      <c r="V75" s="55"/>
      <c r="W75" s="51">
        <f t="shared" si="31"/>
        <v>1.8614671186269023</v>
      </c>
      <c r="X75" s="51">
        <f t="shared" si="32"/>
        <v>0.125</v>
      </c>
      <c r="Y75" s="51">
        <f t="shared" si="33"/>
        <v>5.0000000000000001E-4</v>
      </c>
      <c r="Z75" s="51">
        <f t="shared" si="29"/>
        <v>6.9444444444444441E-3</v>
      </c>
      <c r="AA75" s="56">
        <f t="shared" si="30"/>
        <v>10</v>
      </c>
      <c r="AB75" s="76"/>
      <c r="AC75" s="57"/>
      <c r="AF75" s="57"/>
    </row>
    <row r="76" spans="1:32" s="51" customFormat="1" ht="21.6" customHeight="1">
      <c r="A76" s="140"/>
      <c r="B76" s="140"/>
      <c r="C76" s="142"/>
      <c r="D76" s="143">
        <f t="shared" si="23"/>
        <v>2820</v>
      </c>
      <c r="E76" s="133">
        <f>D76/1440</f>
        <v>1.9583333333333333</v>
      </c>
      <c r="F76" s="144">
        <f t="shared" si="28"/>
        <v>35.4</v>
      </c>
      <c r="G76" s="144">
        <f>AF68</f>
        <v>31.799999999999997</v>
      </c>
      <c r="H76" s="146"/>
      <c r="I76" s="146"/>
      <c r="J76" s="146"/>
      <c r="K76" s="51" t="s">
        <v>21</v>
      </c>
      <c r="L76" s="75" t="s">
        <v>21</v>
      </c>
      <c r="V76" s="55"/>
      <c r="W76" s="51">
        <f t="shared" si="31"/>
        <v>1.8614671186269023</v>
      </c>
      <c r="X76" s="51">
        <f t="shared" si="32"/>
        <v>0.125</v>
      </c>
      <c r="Y76" s="51">
        <f t="shared" si="33"/>
        <v>5.0000000000000001E-4</v>
      </c>
      <c r="Z76" s="51">
        <f t="shared" si="29"/>
        <v>1.0416666666666666E-2</v>
      </c>
      <c r="AA76" s="56">
        <f t="shared" si="30"/>
        <v>15</v>
      </c>
      <c r="AB76" s="76"/>
      <c r="AC76" s="57"/>
      <c r="AF76" s="57"/>
    </row>
    <row r="77" spans="1:32" s="51" customFormat="1" ht="21.6" customHeight="1">
      <c r="A77" s="140"/>
      <c r="B77" s="140"/>
      <c r="C77" s="142">
        <f>$C$10+D77/1440</f>
        <v>45391.479166666664</v>
      </c>
      <c r="D77" s="143">
        <f>D76+60</f>
        <v>2880</v>
      </c>
      <c r="E77" s="133">
        <f>D77/1440</f>
        <v>2</v>
      </c>
      <c r="F77" s="145">
        <f t="shared" si="28"/>
        <v>35.4</v>
      </c>
      <c r="G77" s="144">
        <f>AF69</f>
        <v>31.799999999999997</v>
      </c>
      <c r="H77" s="146" t="s">
        <v>180</v>
      </c>
      <c r="I77" s="146"/>
      <c r="J77" s="146"/>
      <c r="K77" s="51" t="s">
        <v>21</v>
      </c>
      <c r="L77" s="75" t="s">
        <v>21</v>
      </c>
      <c r="V77" s="55"/>
      <c r="W77" s="51">
        <f t="shared" si="31"/>
        <v>1.8614671186269023</v>
      </c>
      <c r="X77" s="51">
        <f t="shared" si="32"/>
        <v>0.125</v>
      </c>
      <c r="Y77" s="51">
        <f t="shared" si="33"/>
        <v>5.0000000000000001E-4</v>
      </c>
      <c r="Z77" s="51">
        <f t="shared" si="29"/>
        <v>1.3888888888888888E-2</v>
      </c>
      <c r="AA77" s="56">
        <f t="shared" si="30"/>
        <v>20</v>
      </c>
      <c r="AB77" s="76"/>
      <c r="AC77" s="57"/>
      <c r="AF77" s="57"/>
    </row>
    <row r="78" spans="1:32" s="51" customFormat="1" ht="20.45" customHeight="1">
      <c r="A78" s="140">
        <v>2</v>
      </c>
      <c r="B78" s="140">
        <v>0</v>
      </c>
      <c r="C78" s="142">
        <f>$C$10+(D78+2880)/1440</f>
        <v>45391.479861111111</v>
      </c>
      <c r="D78" s="143">
        <v>1</v>
      </c>
      <c r="E78" s="133">
        <f t="shared" ref="E78:E101" si="34">D78/1440</f>
        <v>6.9444444444444447E-4</v>
      </c>
      <c r="F78" s="144">
        <f>G78+D$8</f>
        <v>23.192385761778837</v>
      </c>
      <c r="G78" s="144">
        <f>H114</f>
        <v>19.592385761778836</v>
      </c>
      <c r="H78" s="438" t="s">
        <v>191</v>
      </c>
      <c r="I78" s="438"/>
      <c r="J78" s="438"/>
      <c r="K78" s="51" t="s">
        <v>21</v>
      </c>
      <c r="L78" s="75"/>
      <c r="V78" s="55"/>
      <c r="W78" s="51">
        <f t="shared" si="31"/>
        <v>1.8614671186269023</v>
      </c>
      <c r="X78" s="51">
        <f t="shared" si="32"/>
        <v>0.125</v>
      </c>
      <c r="Y78" s="51">
        <f t="shared" si="33"/>
        <v>5.0000000000000001E-4</v>
      </c>
      <c r="Z78" s="51">
        <f t="shared" si="29"/>
        <v>1.7361111111111112E-2</v>
      </c>
      <c r="AA78" s="56">
        <f t="shared" si="30"/>
        <v>25</v>
      </c>
      <c r="AB78" s="76"/>
      <c r="AC78" s="57"/>
      <c r="AF78" s="57"/>
    </row>
    <row r="79" spans="1:32" s="51" customFormat="1" ht="20.45" customHeight="1">
      <c r="A79" s="140"/>
      <c r="B79" s="140"/>
      <c r="C79" s="140" t="s">
        <v>21</v>
      </c>
      <c r="D79" s="143">
        <v>2</v>
      </c>
      <c r="E79" s="133">
        <f t="shared" si="34"/>
        <v>1.3888888888888889E-3</v>
      </c>
      <c r="F79" s="144">
        <f t="shared" ref="F79:F101" si="35">G79+D$8</f>
        <v>21.260968242164143</v>
      </c>
      <c r="G79" s="144">
        <f>H115</f>
        <v>17.660968242164142</v>
      </c>
      <c r="H79" s="438"/>
      <c r="I79" s="438"/>
      <c r="J79" s="438"/>
      <c r="K79" s="51" t="s">
        <v>21</v>
      </c>
      <c r="L79" s="75" t="s">
        <v>21</v>
      </c>
      <c r="V79" s="55"/>
      <c r="W79" s="51">
        <f t="shared" si="31"/>
        <v>1.8614671186269023</v>
      </c>
      <c r="X79" s="51">
        <f t="shared" si="32"/>
        <v>0.125</v>
      </c>
      <c r="Y79" s="51">
        <f t="shared" si="33"/>
        <v>5.0000000000000001E-4</v>
      </c>
      <c r="Z79" s="51">
        <f t="shared" si="29"/>
        <v>2.0833333333333332E-2</v>
      </c>
      <c r="AA79" s="56">
        <f t="shared" si="30"/>
        <v>30</v>
      </c>
      <c r="AB79" s="76"/>
      <c r="AC79" s="57"/>
      <c r="AF79" s="57"/>
    </row>
    <row r="80" spans="1:32" s="51" customFormat="1" ht="20.45" customHeight="1">
      <c r="A80" s="140"/>
      <c r="B80" s="140"/>
      <c r="C80" s="142" t="s">
        <v>21</v>
      </c>
      <c r="D80" s="143">
        <v>3</v>
      </c>
      <c r="E80" s="133">
        <f t="shared" si="34"/>
        <v>2.0833333333333333E-3</v>
      </c>
      <c r="F80" s="144">
        <f t="shared" si="35"/>
        <v>19.519949874568585</v>
      </c>
      <c r="G80" s="144">
        <f>H116</f>
        <v>15.919949874568585</v>
      </c>
      <c r="H80" s="438"/>
      <c r="I80" s="438"/>
      <c r="J80" s="438"/>
      <c r="K80" s="51" t="s">
        <v>21</v>
      </c>
      <c r="L80" s="75" t="s">
        <v>21</v>
      </c>
      <c r="V80" s="55"/>
      <c r="W80" s="51">
        <f t="shared" si="31"/>
        <v>1.8614671186269023</v>
      </c>
      <c r="X80" s="51">
        <f t="shared" si="32"/>
        <v>0.125</v>
      </c>
      <c r="Y80" s="51">
        <f t="shared" si="33"/>
        <v>5.0000000000000001E-4</v>
      </c>
      <c r="Z80" s="51">
        <f>E90</f>
        <v>3.125E-2</v>
      </c>
      <c r="AA80" s="56">
        <f>D90</f>
        <v>45</v>
      </c>
      <c r="AB80" s="76"/>
      <c r="AC80" s="57"/>
      <c r="AF80" s="57"/>
    </row>
    <row r="81" spans="1:32" s="51" customFormat="1" ht="20.45" customHeight="1">
      <c r="A81" s="140"/>
      <c r="B81" s="140"/>
      <c r="C81" s="142" t="s">
        <v>21</v>
      </c>
      <c r="D81" s="143">
        <v>4</v>
      </c>
      <c r="E81" s="133">
        <f t="shared" si="34"/>
        <v>2.7777777777777779E-3</v>
      </c>
      <c r="F81" s="144">
        <f t="shared" si="35"/>
        <v>17.950561109310943</v>
      </c>
      <c r="G81" s="144">
        <f>H117</f>
        <v>14.350561109310942</v>
      </c>
      <c r="H81" s="438"/>
      <c r="I81" s="438"/>
      <c r="J81" s="438"/>
      <c r="K81" s="51" t="s">
        <v>21</v>
      </c>
      <c r="L81" s="75" t="s">
        <v>21</v>
      </c>
      <c r="V81" s="55"/>
      <c r="W81" s="51">
        <f t="shared" si="31"/>
        <v>1.8614671186269023</v>
      </c>
      <c r="X81" s="51">
        <f t="shared" si="32"/>
        <v>0.125</v>
      </c>
      <c r="Y81" s="51">
        <f t="shared" si="33"/>
        <v>5.0000000000000001E-4</v>
      </c>
      <c r="Z81" s="51">
        <f>E93</f>
        <v>4.1666666666666664E-2</v>
      </c>
      <c r="AA81" s="56">
        <f>D93</f>
        <v>60</v>
      </c>
      <c r="AB81" s="76"/>
      <c r="AC81" s="57"/>
      <c r="AF81" s="57"/>
    </row>
    <row r="82" spans="1:32" s="51" customFormat="1" ht="20.45" customHeight="1">
      <c r="A82" s="140"/>
      <c r="B82" s="140"/>
      <c r="C82" s="142" t="s">
        <v>21</v>
      </c>
      <c r="D82" s="143">
        <v>5</v>
      </c>
      <c r="E82" s="133">
        <f t="shared" si="34"/>
        <v>3.472222222222222E-3</v>
      </c>
      <c r="F82" s="144">
        <f t="shared" si="35"/>
        <v>16.535882699043253</v>
      </c>
      <c r="G82" s="144">
        <f>H118</f>
        <v>12.935882699043253</v>
      </c>
      <c r="H82" s="438"/>
      <c r="I82" s="438"/>
      <c r="J82" s="438"/>
      <c r="K82" s="51" t="s">
        <v>21</v>
      </c>
      <c r="L82" s="75" t="s">
        <v>21</v>
      </c>
      <c r="V82" s="55"/>
      <c r="W82" s="51">
        <f t="shared" si="31"/>
        <v>1.8614671186269023</v>
      </c>
      <c r="X82" s="51">
        <f t="shared" si="32"/>
        <v>0.125</v>
      </c>
      <c r="Y82" s="51">
        <f t="shared" si="33"/>
        <v>5.0000000000000001E-4</v>
      </c>
      <c r="Z82" s="51">
        <f>E97</f>
        <v>8.3333333333333329E-2</v>
      </c>
      <c r="AA82" s="56">
        <f>D97</f>
        <v>120</v>
      </c>
      <c r="AB82" s="76"/>
      <c r="AC82" s="57"/>
      <c r="AF82" s="57"/>
    </row>
    <row r="83" spans="1:32" s="51" customFormat="1" ht="20.45" customHeight="1">
      <c r="A83" s="140"/>
      <c r="B83" s="140"/>
      <c r="C83" s="142" t="s">
        <v>21</v>
      </c>
      <c r="D83" s="143">
        <v>10</v>
      </c>
      <c r="E83" s="133">
        <f t="shared" si="34"/>
        <v>6.9444444444444441E-3</v>
      </c>
      <c r="F83" s="144">
        <f t="shared" si="35"/>
        <v>13.074965296857444</v>
      </c>
      <c r="G83" s="144">
        <f>H121</f>
        <v>9.4749652968574445</v>
      </c>
      <c r="H83" s="438"/>
      <c r="I83" s="438"/>
      <c r="J83" s="438"/>
      <c r="K83" s="51" t="s">
        <v>21</v>
      </c>
      <c r="L83" s="75" t="s">
        <v>21</v>
      </c>
      <c r="V83" s="55"/>
      <c r="W83" s="51">
        <f t="shared" si="31"/>
        <v>1.8614671186269023</v>
      </c>
      <c r="X83" s="51">
        <f t="shared" si="32"/>
        <v>0.125</v>
      </c>
      <c r="Y83" s="51">
        <f t="shared" si="33"/>
        <v>5.0000000000000001E-4</v>
      </c>
      <c r="Z83" s="51">
        <f>E98</f>
        <v>0.125</v>
      </c>
      <c r="AA83" s="56">
        <f>D98</f>
        <v>180</v>
      </c>
      <c r="AB83" s="76"/>
      <c r="AC83" s="57"/>
      <c r="AF83" s="57"/>
    </row>
    <row r="84" spans="1:32" s="51" customFormat="1" ht="20.45" customHeight="1">
      <c r="A84" s="140"/>
      <c r="B84" s="140"/>
      <c r="C84" s="142" t="s">
        <v>21</v>
      </c>
      <c r="D84" s="143">
        <v>15</v>
      </c>
      <c r="E84" s="133">
        <f t="shared" si="34"/>
        <v>1.0416666666666666E-2</v>
      </c>
      <c r="F84" s="144">
        <f t="shared" si="35"/>
        <v>12.441563809798767</v>
      </c>
      <c r="G84" s="144">
        <f>H124</f>
        <v>8.8415638097987674</v>
      </c>
      <c r="H84" s="438"/>
      <c r="I84" s="438"/>
      <c r="J84" s="438"/>
      <c r="K84" s="51" t="s">
        <v>21</v>
      </c>
      <c r="L84" s="75" t="s">
        <v>21</v>
      </c>
      <c r="V84" s="55"/>
      <c r="AA84" s="56">
        <f>D99</f>
        <v>240</v>
      </c>
      <c r="AB84" s="76"/>
      <c r="AC84" s="57"/>
      <c r="AF84" s="57"/>
    </row>
    <row r="85" spans="1:32" s="51" customFormat="1" ht="20.45" customHeight="1">
      <c r="A85" s="140"/>
      <c r="B85" s="140"/>
      <c r="C85" s="142" t="s">
        <v>21</v>
      </c>
      <c r="D85" s="143">
        <v>20</v>
      </c>
      <c r="E85" s="133">
        <f t="shared" si="34"/>
        <v>1.3888888888888888E-2</v>
      </c>
      <c r="F85" s="144">
        <f t="shared" si="35"/>
        <v>10.784283444407656</v>
      </c>
      <c r="G85" s="144">
        <f>H126</f>
        <v>7.1842834444076562</v>
      </c>
      <c r="H85" s="438"/>
      <c r="I85" s="438"/>
      <c r="J85" s="438"/>
      <c r="K85" s="51" t="s">
        <v>21</v>
      </c>
      <c r="L85" s="75" t="s">
        <v>21</v>
      </c>
      <c r="V85" s="55"/>
      <c r="AA85" s="56">
        <f>D100</f>
        <v>300</v>
      </c>
      <c r="AB85" s="94"/>
      <c r="AF85" s="57"/>
    </row>
    <row r="86" spans="1:32" s="51" customFormat="1" ht="20.45" customHeight="1">
      <c r="A86" s="140"/>
      <c r="B86" s="140"/>
      <c r="C86" s="142" t="s">
        <v>21</v>
      </c>
      <c r="D86" s="143">
        <v>25</v>
      </c>
      <c r="E86" s="133">
        <f t="shared" si="34"/>
        <v>1.7361111111111112E-2</v>
      </c>
      <c r="F86" s="144">
        <f t="shared" si="35"/>
        <v>10.07605673434175</v>
      </c>
      <c r="G86" s="144">
        <f t="shared" ref="G86:G92" si="36">H127</f>
        <v>6.4760567343417499</v>
      </c>
      <c r="H86" s="438"/>
      <c r="I86" s="438"/>
      <c r="J86" s="438"/>
      <c r="K86" s="51" t="s">
        <v>21</v>
      </c>
      <c r="L86" s="75" t="s">
        <v>21</v>
      </c>
      <c r="V86" s="55"/>
      <c r="AA86" s="56">
        <f>D101</f>
        <v>360</v>
      </c>
      <c r="AB86" s="94"/>
      <c r="AF86" s="57"/>
    </row>
    <row r="87" spans="1:32" s="51" customFormat="1" ht="20.45" customHeight="1">
      <c r="A87" s="140"/>
      <c r="B87" s="140"/>
      <c r="C87" s="142" t="s">
        <v>21</v>
      </c>
      <c r="D87" s="143">
        <v>30</v>
      </c>
      <c r="E87" s="133">
        <f t="shared" si="34"/>
        <v>2.0833333333333332E-2</v>
      </c>
      <c r="F87" s="144">
        <f t="shared" si="35"/>
        <v>9.437647018097433</v>
      </c>
      <c r="G87" s="144">
        <f t="shared" si="36"/>
        <v>5.8376470180974334</v>
      </c>
      <c r="H87" s="438"/>
      <c r="I87" s="438"/>
      <c r="J87" s="438"/>
      <c r="K87" s="51" t="s">
        <v>21</v>
      </c>
      <c r="L87" s="75" t="s">
        <v>21</v>
      </c>
      <c r="V87" s="55" t="s">
        <v>21</v>
      </c>
      <c r="AA87" s="56" t="s">
        <v>21</v>
      </c>
      <c r="AB87" s="94"/>
    </row>
    <row r="88" spans="1:32" s="51" customFormat="1" ht="20.45" customHeight="1">
      <c r="A88" s="140"/>
      <c r="B88" s="140"/>
      <c r="C88" s="142"/>
      <c r="D88" s="143">
        <v>35</v>
      </c>
      <c r="E88" s="133">
        <f t="shared" si="34"/>
        <v>2.4305555555555556E-2</v>
      </c>
      <c r="F88" s="144">
        <f t="shared" si="35"/>
        <v>9.2391488719486734</v>
      </c>
      <c r="G88" s="144">
        <f t="shared" si="36"/>
        <v>5.6391488719486738</v>
      </c>
      <c r="H88" s="438"/>
      <c r="I88" s="438"/>
      <c r="J88" s="438"/>
      <c r="L88" s="75"/>
      <c r="V88" s="55"/>
      <c r="AA88" s="56"/>
      <c r="AB88" s="94"/>
    </row>
    <row r="89" spans="1:32" s="51" customFormat="1" ht="20.45" customHeight="1">
      <c r="A89" s="140"/>
      <c r="B89" s="140"/>
      <c r="C89" s="142"/>
      <c r="D89" s="143">
        <v>40</v>
      </c>
      <c r="E89" s="133">
        <f t="shared" si="34"/>
        <v>2.7777777777777776E-2</v>
      </c>
      <c r="F89" s="144">
        <f t="shared" si="35"/>
        <v>9.0474002798415238</v>
      </c>
      <c r="G89" s="144">
        <f t="shared" si="36"/>
        <v>5.4474002798415233</v>
      </c>
      <c r="H89" s="438"/>
      <c r="I89" s="438"/>
      <c r="J89" s="438"/>
      <c r="L89" s="75"/>
      <c r="V89" s="55"/>
      <c r="AA89" s="56"/>
      <c r="AB89" s="94"/>
    </row>
    <row r="90" spans="1:32" s="51" customFormat="1" ht="20.45" customHeight="1">
      <c r="A90" s="140"/>
      <c r="B90" s="140"/>
      <c r="C90" s="142" t="s">
        <v>21</v>
      </c>
      <c r="D90" s="143">
        <v>45</v>
      </c>
      <c r="E90" s="133">
        <f t="shared" si="34"/>
        <v>3.125E-2</v>
      </c>
      <c r="F90" s="144">
        <f t="shared" si="35"/>
        <v>8.8621717359561831</v>
      </c>
      <c r="G90" s="144">
        <f t="shared" si="36"/>
        <v>5.2621717359561835</v>
      </c>
      <c r="H90" s="438"/>
      <c r="I90" s="438"/>
      <c r="J90" s="438"/>
      <c r="K90" s="51" t="s">
        <v>21</v>
      </c>
      <c r="L90" s="75" t="s">
        <v>21</v>
      </c>
      <c r="V90" s="55" t="s">
        <v>21</v>
      </c>
      <c r="AA90" s="56" t="s">
        <v>21</v>
      </c>
      <c r="AB90" s="94"/>
    </row>
    <row r="91" spans="1:32" s="51" customFormat="1" ht="20.45" customHeight="1">
      <c r="A91" s="140"/>
      <c r="B91" s="140"/>
      <c r="C91" s="142"/>
      <c r="D91" s="143">
        <v>50</v>
      </c>
      <c r="E91" s="133">
        <f t="shared" si="34"/>
        <v>3.4722222222222224E-2</v>
      </c>
      <c r="F91" s="144">
        <f t="shared" si="35"/>
        <v>8.6832415383841948</v>
      </c>
      <c r="G91" s="144">
        <f t="shared" si="36"/>
        <v>5.0832415383841942</v>
      </c>
      <c r="H91" s="438"/>
      <c r="I91" s="438"/>
      <c r="J91" s="438"/>
      <c r="L91" s="75"/>
      <c r="V91" s="55"/>
      <c r="AA91" s="56"/>
      <c r="AB91" s="94"/>
    </row>
    <row r="92" spans="1:32" s="51" customFormat="1" ht="20.45" customHeight="1">
      <c r="A92" s="140"/>
      <c r="B92" s="140"/>
      <c r="C92" s="142"/>
      <c r="D92" s="143">
        <v>55</v>
      </c>
      <c r="E92" s="133">
        <f t="shared" si="34"/>
        <v>3.8194444444444448E-2</v>
      </c>
      <c r="F92" s="144">
        <f t="shared" si="35"/>
        <v>8.5103955237711908</v>
      </c>
      <c r="G92" s="144">
        <f t="shared" si="36"/>
        <v>4.9103955237711903</v>
      </c>
      <c r="H92" s="438"/>
      <c r="I92" s="438"/>
      <c r="J92" s="438"/>
      <c r="L92" s="75"/>
      <c r="V92" s="55"/>
      <c r="AA92" s="56"/>
      <c r="AB92" s="94"/>
    </row>
    <row r="93" spans="1:32" s="51" customFormat="1" ht="20.45" customHeight="1">
      <c r="A93" s="140"/>
      <c r="B93" s="140"/>
      <c r="C93" s="142">
        <f>$C$10+(D93+2880)/1440</f>
        <v>45391.520833333328</v>
      </c>
      <c r="D93" s="143">
        <v>60</v>
      </c>
      <c r="E93" s="133">
        <f t="shared" si="34"/>
        <v>4.1666666666666664E-2</v>
      </c>
      <c r="F93" s="144">
        <f t="shared" si="35"/>
        <v>8.3434268109826224</v>
      </c>
      <c r="G93" s="144">
        <f>H134</f>
        <v>4.7434268109826219</v>
      </c>
      <c r="H93" s="438"/>
      <c r="I93" s="438"/>
      <c r="J93" s="438"/>
      <c r="K93" s="51" t="s">
        <v>21</v>
      </c>
      <c r="L93" s="75" t="s">
        <v>21</v>
      </c>
      <c r="V93" s="55" t="s">
        <v>21</v>
      </c>
      <c r="AA93" s="56" t="s">
        <v>21</v>
      </c>
      <c r="AB93" s="94"/>
    </row>
    <row r="94" spans="1:32" s="51" customFormat="1" ht="20.45" customHeight="1">
      <c r="A94" s="140"/>
      <c r="B94" s="140"/>
      <c r="C94" s="142"/>
      <c r="D94" s="143">
        <v>75</v>
      </c>
      <c r="E94" s="133">
        <f t="shared" si="34"/>
        <v>5.2083333333333336E-2</v>
      </c>
      <c r="F94" s="144">
        <f t="shared" si="35"/>
        <v>8.1821355534856508</v>
      </c>
      <c r="G94" s="144">
        <f>H135</f>
        <v>4.5821355534856503</v>
      </c>
      <c r="H94" s="438"/>
      <c r="I94" s="438"/>
      <c r="J94" s="438"/>
      <c r="L94" s="75"/>
      <c r="V94" s="55"/>
      <c r="AA94" s="56"/>
      <c r="AB94" s="94"/>
    </row>
    <row r="95" spans="1:32" s="51" customFormat="1" ht="20.45" customHeight="1">
      <c r="A95" s="140"/>
      <c r="B95" s="140"/>
      <c r="C95" s="142"/>
      <c r="D95" s="143">
        <v>90</v>
      </c>
      <c r="E95" s="133">
        <f t="shared" si="34"/>
        <v>6.25E-2</v>
      </c>
      <c r="F95" s="144">
        <f t="shared" si="35"/>
        <v>8.0263287001508186</v>
      </c>
      <c r="G95" s="144">
        <f>H136</f>
        <v>4.4263287001508189</v>
      </c>
      <c r="H95" s="438"/>
      <c r="I95" s="438"/>
      <c r="J95" s="438"/>
      <c r="L95" s="75"/>
      <c r="V95" s="55"/>
      <c r="AA95" s="56"/>
      <c r="AB95" s="94"/>
    </row>
    <row r="96" spans="1:32" s="51" customFormat="1" ht="20.45" customHeight="1">
      <c r="A96" s="140"/>
      <c r="B96" s="140"/>
      <c r="C96" s="142"/>
      <c r="D96" s="143">
        <v>105</v>
      </c>
      <c r="E96" s="133">
        <f t="shared" si="34"/>
        <v>7.2916666666666671E-2</v>
      </c>
      <c r="F96" s="144">
        <f t="shared" si="35"/>
        <v>7.8758197641872076</v>
      </c>
      <c r="G96" s="144">
        <f>H137</f>
        <v>4.275819764187208</v>
      </c>
      <c r="H96" s="438"/>
      <c r="I96" s="438"/>
      <c r="J96" s="438"/>
      <c r="L96" s="75"/>
      <c r="V96" s="55"/>
      <c r="AA96" s="56"/>
      <c r="AB96" s="94"/>
    </row>
    <row r="97" spans="1:28" s="51" customFormat="1" ht="20.45" customHeight="1">
      <c r="A97" s="140"/>
      <c r="B97" s="140"/>
      <c r="C97" s="142">
        <f>$C$10+(D97+2880)/1440</f>
        <v>45391.5625</v>
      </c>
      <c r="D97" s="143">
        <v>120</v>
      </c>
      <c r="E97" s="133">
        <f t="shared" si="34"/>
        <v>8.3333333333333329E-2</v>
      </c>
      <c r="F97" s="144">
        <f t="shared" si="35"/>
        <v>7.4543094231966496</v>
      </c>
      <c r="G97" s="144">
        <f>H138</f>
        <v>3.8543094231966499</v>
      </c>
      <c r="H97" s="438"/>
      <c r="I97" s="438"/>
      <c r="J97" s="438"/>
      <c r="K97" s="51" t="s">
        <v>21</v>
      </c>
      <c r="L97" s="75" t="s">
        <v>21</v>
      </c>
      <c r="V97" s="55" t="s">
        <v>21</v>
      </c>
      <c r="AA97" s="56" t="s">
        <v>21</v>
      </c>
      <c r="AB97" s="94"/>
    </row>
    <row r="98" spans="1:28" s="51" customFormat="1" ht="20.45" customHeight="1">
      <c r="A98" s="140"/>
      <c r="B98" s="140"/>
      <c r="C98" s="142" t="s">
        <v>21</v>
      </c>
      <c r="D98" s="143">
        <v>180</v>
      </c>
      <c r="E98" s="133">
        <f t="shared" si="34"/>
        <v>0.125</v>
      </c>
      <c r="F98" s="144">
        <f t="shared" si="35"/>
        <v>7.3232509208897429</v>
      </c>
      <c r="G98" s="144">
        <f>H140</f>
        <v>3.7232509208897429</v>
      </c>
      <c r="H98" s="438"/>
      <c r="I98" s="438"/>
      <c r="J98" s="438"/>
      <c r="K98" s="80"/>
      <c r="L98" s="75" t="s">
        <v>21</v>
      </c>
      <c r="V98" s="55" t="str">
        <f t="shared" ref="V98:V103" si="37">V97</f>
        <v xml:space="preserve"> </v>
      </c>
      <c r="AA98" s="56" t="s">
        <v>21</v>
      </c>
      <c r="AB98" s="94"/>
    </row>
    <row r="99" spans="1:28" s="51" customFormat="1" ht="20.45" customHeight="1">
      <c r="A99" s="140"/>
      <c r="B99" s="140"/>
      <c r="C99" s="142">
        <f>$C$10+(D99+2880)/1440</f>
        <v>45391.645833333328</v>
      </c>
      <c r="D99" s="143">
        <v>240</v>
      </c>
      <c r="E99" s="133">
        <f t="shared" si="34"/>
        <v>0.16666666666666666</v>
      </c>
      <c r="F99" s="144">
        <f t="shared" si="35"/>
        <v>6.6253573378816739</v>
      </c>
      <c r="G99" s="144">
        <f>H142</f>
        <v>3.0253573378816734</v>
      </c>
      <c r="H99" s="438"/>
      <c r="I99" s="438"/>
      <c r="J99" s="438"/>
      <c r="V99" s="55" t="str">
        <f t="shared" si="37"/>
        <v xml:space="preserve"> </v>
      </c>
      <c r="AA99" s="56" t="s">
        <v>21</v>
      </c>
      <c r="AB99" s="94"/>
    </row>
    <row r="100" spans="1:28" s="51" customFormat="1" ht="20.45" customHeight="1">
      <c r="A100" s="140"/>
      <c r="B100" s="140"/>
      <c r="C100" s="142" t="s">
        <v>21</v>
      </c>
      <c r="D100" s="143">
        <v>300</v>
      </c>
      <c r="E100" s="133">
        <f t="shared" si="34"/>
        <v>0.20833333333333334</v>
      </c>
      <c r="F100" s="144">
        <f t="shared" si="35"/>
        <v>6.0582783208409845</v>
      </c>
      <c r="G100" s="144">
        <f>H144</f>
        <v>2.4582783208409844</v>
      </c>
      <c r="H100" s="438"/>
      <c r="I100" s="438"/>
      <c r="J100" s="438"/>
      <c r="V100" s="55" t="str">
        <f t="shared" si="37"/>
        <v xml:space="preserve"> </v>
      </c>
      <c r="AA100" s="56" t="s">
        <v>21</v>
      </c>
      <c r="AB100" s="94"/>
    </row>
    <row r="101" spans="1:28" s="51" customFormat="1" ht="20.45" customHeight="1">
      <c r="A101" s="140"/>
      <c r="B101" s="140"/>
      <c r="C101" s="142">
        <f>$C$10+(D101+2880)/1440</f>
        <v>45391.729166666664</v>
      </c>
      <c r="D101" s="143">
        <v>360</v>
      </c>
      <c r="E101" s="133">
        <f t="shared" si="34"/>
        <v>0.25</v>
      </c>
      <c r="F101" s="145">
        <f t="shared" si="35"/>
        <v>5.5974937264594713</v>
      </c>
      <c r="G101" s="148">
        <f>H146</f>
        <v>1.9974937264594714</v>
      </c>
      <c r="H101" s="438"/>
      <c r="I101" s="438"/>
      <c r="J101" s="438"/>
      <c r="V101" s="55" t="str">
        <f t="shared" si="37"/>
        <v xml:space="preserve"> </v>
      </c>
      <c r="AA101" s="56" t="s">
        <v>21</v>
      </c>
      <c r="AB101" s="94"/>
    </row>
    <row r="102" spans="1:28" s="51" customFormat="1" ht="17.25" customHeight="1">
      <c r="D102" s="95"/>
      <c r="V102" s="55" t="str">
        <f t="shared" si="37"/>
        <v xml:space="preserve"> </v>
      </c>
      <c r="AA102" s="56" t="s">
        <v>21</v>
      </c>
      <c r="AB102" s="94"/>
    </row>
    <row r="103" spans="1:28" s="51" customFormat="1" ht="17.25" customHeight="1">
      <c r="D103" s="95"/>
      <c r="V103" s="55" t="str">
        <f t="shared" si="37"/>
        <v xml:space="preserve"> </v>
      </c>
      <c r="AA103" s="56"/>
      <c r="AB103" s="94"/>
    </row>
    <row r="104" spans="1:28" s="51" customFormat="1" ht="17.25" customHeight="1">
      <c r="D104" s="95"/>
      <c r="AA104" s="56"/>
      <c r="AB104" s="94"/>
    </row>
    <row r="105" spans="1:28" s="51" customFormat="1" ht="17.25" customHeight="1">
      <c r="D105" s="95"/>
      <c r="AA105" s="56"/>
      <c r="AB105" s="94"/>
    </row>
    <row r="106" spans="1:28" s="51" customFormat="1" ht="17.25" customHeight="1">
      <c r="AA106" s="56"/>
      <c r="AB106" s="94"/>
    </row>
    <row r="107" spans="1:28" s="51" customFormat="1" ht="17.25" customHeight="1">
      <c r="AA107" s="56"/>
      <c r="AB107" s="94"/>
    </row>
    <row r="108" spans="1:28" s="51" customFormat="1" ht="17.25" customHeight="1">
      <c r="AA108" s="56"/>
      <c r="AB108" s="94"/>
    </row>
    <row r="109" spans="1:28" s="51" customFormat="1" ht="17.25" customHeight="1">
      <c r="A109" s="331"/>
      <c r="B109" s="331"/>
      <c r="C109" s="331"/>
      <c r="D109" s="331"/>
      <c r="E109" s="331"/>
      <c r="F109" s="331"/>
      <c r="G109" s="331"/>
      <c r="H109" s="331"/>
      <c r="I109" s="331"/>
      <c r="J109" s="331"/>
      <c r="AA109" s="56"/>
      <c r="AB109" s="94"/>
    </row>
    <row r="110" spans="1:28" s="51" customFormat="1" ht="17.25" customHeight="1">
      <c r="A110" s="331"/>
      <c r="B110" s="331"/>
      <c r="C110" s="332">
        <v>3</v>
      </c>
      <c r="D110" s="333">
        <f>G77</f>
        <v>31.799999999999997</v>
      </c>
      <c r="E110" s="331"/>
      <c r="F110" s="334" t="s">
        <v>192</v>
      </c>
      <c r="G110" s="331"/>
      <c r="H110" s="335" t="s">
        <v>193</v>
      </c>
      <c r="I110" s="336"/>
      <c r="J110" s="331"/>
      <c r="AA110" s="56"/>
      <c r="AB110" s="94"/>
    </row>
    <row r="111" spans="1:28" s="51" customFormat="1" ht="17.25" hidden="1" customHeight="1">
      <c r="A111" s="331"/>
      <c r="B111" s="331">
        <v>1</v>
      </c>
      <c r="C111" s="331">
        <v>95</v>
      </c>
      <c r="D111" s="337">
        <f>D110</f>
        <v>31.799999999999997</v>
      </c>
      <c r="E111" s="338">
        <f>C111/100</f>
        <v>0.95</v>
      </c>
      <c r="F111" s="339" t="s">
        <v>21</v>
      </c>
      <c r="G111" s="331">
        <v>1</v>
      </c>
      <c r="H111" s="340">
        <f t="shared" ref="H111:H146" si="38">D111^E111</f>
        <v>26.748889950323736</v>
      </c>
      <c r="I111" s="341"/>
      <c r="J111" s="331"/>
      <c r="AA111" s="56"/>
      <c r="AB111" s="94"/>
    </row>
    <row r="112" spans="1:28" s="51" customFormat="1" ht="17.25" hidden="1" customHeight="1">
      <c r="A112" s="331"/>
      <c r="B112" s="331">
        <v>2</v>
      </c>
      <c r="C112" s="331">
        <f t="shared" ref="C112:C119" si="39">C111-C$110</f>
        <v>92</v>
      </c>
      <c r="D112" s="336">
        <f>D111</f>
        <v>31.799999999999997</v>
      </c>
      <c r="E112" s="338">
        <f t="shared" ref="E112:E141" si="40">C112/100</f>
        <v>0.92</v>
      </c>
      <c r="F112" s="342"/>
      <c r="G112" s="331">
        <v>2</v>
      </c>
      <c r="H112" s="340">
        <f t="shared" si="38"/>
        <v>24.111984199872143</v>
      </c>
      <c r="I112" s="341"/>
      <c r="J112" s="343">
        <f>H111-H112</f>
        <v>2.6369057504515929</v>
      </c>
      <c r="AA112" s="56"/>
      <c r="AB112" s="94"/>
    </row>
    <row r="113" spans="1:28" s="51" customFormat="1" ht="17.25" hidden="1" customHeight="1">
      <c r="A113" s="331"/>
      <c r="B113" s="331">
        <v>3</v>
      </c>
      <c r="C113" s="331">
        <f t="shared" si="39"/>
        <v>89</v>
      </c>
      <c r="D113" s="336">
        <f t="shared" ref="D113:D146" si="41">D112</f>
        <v>31.799999999999997</v>
      </c>
      <c r="E113" s="338">
        <f t="shared" si="40"/>
        <v>0.89</v>
      </c>
      <c r="F113" s="339" t="s">
        <v>21</v>
      </c>
      <c r="G113" s="331">
        <v>3</v>
      </c>
      <c r="H113" s="340">
        <f t="shared" si="38"/>
        <v>21.735024635960528</v>
      </c>
      <c r="I113" s="341"/>
      <c r="J113" s="343">
        <f t="shared" ref="J113:J146" si="42">H112-H113</f>
        <v>2.3769595639116154</v>
      </c>
      <c r="AA113" s="56"/>
      <c r="AB113" s="94"/>
    </row>
    <row r="114" spans="1:28" s="51" customFormat="1" ht="17.25" customHeight="1">
      <c r="A114" s="331"/>
      <c r="B114" s="331">
        <v>4</v>
      </c>
      <c r="C114" s="331">
        <f t="shared" si="39"/>
        <v>86</v>
      </c>
      <c r="D114" s="336">
        <f t="shared" si="41"/>
        <v>31.799999999999997</v>
      </c>
      <c r="E114" s="338">
        <f t="shared" si="40"/>
        <v>0.86</v>
      </c>
      <c r="F114" s="342">
        <v>1</v>
      </c>
      <c r="G114" s="344">
        <v>4</v>
      </c>
      <c r="H114" s="345">
        <f t="shared" si="38"/>
        <v>19.592385761778836</v>
      </c>
      <c r="I114" s="346"/>
      <c r="J114" s="343">
        <f t="shared" si="42"/>
        <v>2.1426388741816922</v>
      </c>
      <c r="AA114" s="56"/>
      <c r="AB114" s="94"/>
    </row>
    <row r="115" spans="1:28" s="51" customFormat="1" ht="17.25" customHeight="1">
      <c r="A115" s="331"/>
      <c r="B115" s="331">
        <v>5</v>
      </c>
      <c r="C115" s="331">
        <f t="shared" si="39"/>
        <v>83</v>
      </c>
      <c r="D115" s="336">
        <f t="shared" si="41"/>
        <v>31.799999999999997</v>
      </c>
      <c r="E115" s="338">
        <f t="shared" si="40"/>
        <v>0.83</v>
      </c>
      <c r="F115" s="342">
        <v>2</v>
      </c>
      <c r="G115" s="344">
        <v>5</v>
      </c>
      <c r="H115" s="345">
        <f t="shared" si="38"/>
        <v>17.660968242164142</v>
      </c>
      <c r="I115" s="346"/>
      <c r="J115" s="343">
        <f t="shared" si="42"/>
        <v>1.9314175196146941</v>
      </c>
      <c r="AA115" s="56"/>
      <c r="AB115" s="94"/>
    </row>
    <row r="116" spans="1:28" s="51" customFormat="1" ht="17.25" customHeight="1">
      <c r="A116" s="331"/>
      <c r="B116" s="331">
        <v>6</v>
      </c>
      <c r="C116" s="331">
        <f t="shared" si="39"/>
        <v>80</v>
      </c>
      <c r="D116" s="336">
        <f t="shared" si="41"/>
        <v>31.799999999999997</v>
      </c>
      <c r="E116" s="338">
        <f t="shared" si="40"/>
        <v>0.8</v>
      </c>
      <c r="F116" s="342">
        <v>3</v>
      </c>
      <c r="G116" s="344">
        <v>6</v>
      </c>
      <c r="H116" s="345">
        <f t="shared" si="38"/>
        <v>15.919949874568585</v>
      </c>
      <c r="I116" s="346"/>
      <c r="J116" s="343">
        <f t="shared" si="42"/>
        <v>1.7410183675955562</v>
      </c>
      <c r="AA116" s="56"/>
      <c r="AB116" s="94"/>
    </row>
    <row r="117" spans="1:28" s="51" customFormat="1" ht="17.25" customHeight="1">
      <c r="A117" s="331"/>
      <c r="B117" s="331">
        <v>7</v>
      </c>
      <c r="C117" s="331">
        <f t="shared" si="39"/>
        <v>77</v>
      </c>
      <c r="D117" s="336">
        <f t="shared" si="41"/>
        <v>31.799999999999997</v>
      </c>
      <c r="E117" s="338">
        <f t="shared" si="40"/>
        <v>0.77</v>
      </c>
      <c r="F117" s="342">
        <v>4</v>
      </c>
      <c r="G117" s="344">
        <v>7</v>
      </c>
      <c r="H117" s="345">
        <f t="shared" si="38"/>
        <v>14.350561109310942</v>
      </c>
      <c r="I117" s="346"/>
      <c r="J117" s="343">
        <f t="shared" si="42"/>
        <v>1.5693887652576439</v>
      </c>
      <c r="AA117" s="56"/>
      <c r="AB117" s="94"/>
    </row>
    <row r="118" spans="1:28" s="51" customFormat="1" ht="17.25" customHeight="1">
      <c r="A118" s="331"/>
      <c r="B118" s="331">
        <v>8</v>
      </c>
      <c r="C118" s="331">
        <f t="shared" si="39"/>
        <v>74</v>
      </c>
      <c r="D118" s="336">
        <f t="shared" si="41"/>
        <v>31.799999999999997</v>
      </c>
      <c r="E118" s="338">
        <f t="shared" si="40"/>
        <v>0.74</v>
      </c>
      <c r="F118" s="342">
        <v>5</v>
      </c>
      <c r="G118" s="344">
        <v>8</v>
      </c>
      <c r="H118" s="345">
        <f t="shared" si="38"/>
        <v>12.935882699043253</v>
      </c>
      <c r="I118" s="346"/>
      <c r="J118" s="343">
        <f t="shared" si="42"/>
        <v>1.4146784102676886</v>
      </c>
      <c r="AA118" s="56"/>
      <c r="AB118" s="94"/>
    </row>
    <row r="119" spans="1:28" s="51" customFormat="1" ht="17.25" hidden="1" customHeight="1">
      <c r="A119" s="331"/>
      <c r="B119" s="331">
        <v>9</v>
      </c>
      <c r="C119" s="331">
        <f t="shared" si="39"/>
        <v>71</v>
      </c>
      <c r="D119" s="336">
        <f t="shared" si="41"/>
        <v>31.799999999999997</v>
      </c>
      <c r="E119" s="338">
        <f t="shared" si="40"/>
        <v>0.71</v>
      </c>
      <c r="F119" s="339"/>
      <c r="G119" s="331">
        <v>9</v>
      </c>
      <c r="H119" s="347">
        <f t="shared" si="38"/>
        <v>11.660663295934462</v>
      </c>
      <c r="I119" s="348"/>
      <c r="J119" s="343">
        <f t="shared" si="42"/>
        <v>1.2752194031087907</v>
      </c>
      <c r="AA119" s="56"/>
      <c r="AB119" s="94"/>
    </row>
    <row r="120" spans="1:28" s="51" customFormat="1" ht="17.25" hidden="1" customHeight="1">
      <c r="A120" s="331">
        <f>C110</f>
        <v>3</v>
      </c>
      <c r="B120" s="331">
        <v>10</v>
      </c>
      <c r="C120" s="331">
        <f>C119-A$120</f>
        <v>68</v>
      </c>
      <c r="D120" s="336">
        <f t="shared" si="41"/>
        <v>31.799999999999997</v>
      </c>
      <c r="E120" s="338">
        <f t="shared" si="40"/>
        <v>0.68</v>
      </c>
      <c r="F120" s="339" t="s">
        <v>21</v>
      </c>
      <c r="G120" s="331">
        <v>10</v>
      </c>
      <c r="H120" s="340">
        <f t="shared" si="38"/>
        <v>10.511155030124824</v>
      </c>
      <c r="I120" s="341"/>
      <c r="J120" s="343">
        <f t="shared" si="42"/>
        <v>1.1495082658096383</v>
      </c>
      <c r="AA120" s="56"/>
      <c r="AB120" s="94"/>
    </row>
    <row r="121" spans="1:28" s="51" customFormat="1" ht="17.25" customHeight="1">
      <c r="A121" s="331"/>
      <c r="B121" s="331">
        <v>11</v>
      </c>
      <c r="C121" s="331">
        <f t="shared" ref="C121:C128" si="43">C120-A$120</f>
        <v>65</v>
      </c>
      <c r="D121" s="336">
        <f t="shared" si="41"/>
        <v>31.799999999999997</v>
      </c>
      <c r="E121" s="338">
        <f t="shared" si="40"/>
        <v>0.65</v>
      </c>
      <c r="F121" s="342">
        <v>10</v>
      </c>
      <c r="G121" s="344">
        <v>12</v>
      </c>
      <c r="H121" s="345">
        <f t="shared" si="38"/>
        <v>9.4749652968574445</v>
      </c>
      <c r="I121" s="346"/>
      <c r="J121" s="343">
        <f t="shared" si="42"/>
        <v>1.0361897332673795</v>
      </c>
      <c r="AA121" s="56"/>
      <c r="AB121" s="94"/>
    </row>
    <row r="122" spans="1:28" s="51" customFormat="1" ht="17.25" hidden="1" customHeight="1">
      <c r="A122" s="331"/>
      <c r="B122" s="331">
        <v>12</v>
      </c>
      <c r="C122" s="331">
        <f t="shared" si="43"/>
        <v>62</v>
      </c>
      <c r="D122" s="336">
        <f t="shared" si="41"/>
        <v>31.799999999999997</v>
      </c>
      <c r="E122" s="338">
        <f t="shared" si="40"/>
        <v>0.62</v>
      </c>
      <c r="F122" s="339"/>
      <c r="G122" s="331">
        <v>14</v>
      </c>
      <c r="H122" s="340">
        <f t="shared" si="38"/>
        <v>8.5409231544353652</v>
      </c>
      <c r="I122" s="341"/>
      <c r="J122" s="343">
        <f t="shared" si="42"/>
        <v>0.93404214242207928</v>
      </c>
      <c r="AA122" s="56"/>
      <c r="AB122" s="94"/>
    </row>
    <row r="123" spans="1:28" s="51" customFormat="1" ht="17.25" hidden="1" customHeight="1">
      <c r="A123" s="331"/>
      <c r="B123" s="331"/>
      <c r="C123" s="331">
        <v>37</v>
      </c>
      <c r="D123" s="336">
        <f t="shared" si="41"/>
        <v>31.799999999999997</v>
      </c>
      <c r="E123" s="338">
        <f t="shared" si="40"/>
        <v>0.37</v>
      </c>
      <c r="F123" s="339"/>
      <c r="G123" s="331">
        <v>15</v>
      </c>
      <c r="H123" s="340">
        <f t="shared" si="38"/>
        <v>3.5966488150837375</v>
      </c>
      <c r="I123" s="341"/>
      <c r="J123" s="343">
        <f t="shared" si="42"/>
        <v>4.9442743393516277</v>
      </c>
      <c r="AA123" s="56"/>
      <c r="AB123" s="94"/>
    </row>
    <row r="124" spans="1:28" s="51" customFormat="1" ht="17.25" customHeight="1">
      <c r="A124" s="331"/>
      <c r="B124" s="331">
        <v>13</v>
      </c>
      <c r="C124" s="331">
        <v>63</v>
      </c>
      <c r="D124" s="336">
        <f t="shared" si="41"/>
        <v>31.799999999999997</v>
      </c>
      <c r="E124" s="338">
        <f t="shared" si="40"/>
        <v>0.63</v>
      </c>
      <c r="F124" s="342">
        <v>15</v>
      </c>
      <c r="G124" s="344">
        <v>16</v>
      </c>
      <c r="H124" s="345">
        <f t="shared" si="38"/>
        <v>8.8415638097987674</v>
      </c>
      <c r="I124" s="346"/>
      <c r="J124" s="343">
        <f t="shared" si="42"/>
        <v>-5.24491499471503</v>
      </c>
      <c r="AA124" s="56"/>
      <c r="AB124" s="94"/>
    </row>
    <row r="125" spans="1:28" s="51" customFormat="1" ht="17.25" hidden="1" customHeight="1">
      <c r="A125" s="331"/>
      <c r="B125" s="331">
        <v>14</v>
      </c>
      <c r="C125" s="331">
        <f t="shared" si="43"/>
        <v>60</v>
      </c>
      <c r="D125" s="336">
        <f t="shared" si="41"/>
        <v>31.799999999999997</v>
      </c>
      <c r="E125" s="338">
        <f t="shared" si="40"/>
        <v>0.6</v>
      </c>
      <c r="F125" s="339"/>
      <c r="G125" s="331">
        <v>18</v>
      </c>
      <c r="H125" s="340">
        <f t="shared" si="38"/>
        <v>7.9699623902130901</v>
      </c>
      <c r="I125" s="341"/>
      <c r="J125" s="343">
        <f t="shared" si="42"/>
        <v>0.87160141958567738</v>
      </c>
      <c r="AA125" s="56"/>
      <c r="AB125" s="94"/>
    </row>
    <row r="126" spans="1:28" s="51" customFormat="1" ht="17.25" customHeight="1">
      <c r="A126" s="331"/>
      <c r="B126" s="331">
        <v>15</v>
      </c>
      <c r="C126" s="331">
        <f t="shared" si="43"/>
        <v>57</v>
      </c>
      <c r="D126" s="336">
        <f t="shared" si="41"/>
        <v>31.799999999999997</v>
      </c>
      <c r="E126" s="338">
        <f t="shared" si="40"/>
        <v>0.56999999999999995</v>
      </c>
      <c r="F126" s="342">
        <v>20</v>
      </c>
      <c r="G126" s="344">
        <v>20</v>
      </c>
      <c r="H126" s="345">
        <f t="shared" si="38"/>
        <v>7.1842834444076562</v>
      </c>
      <c r="I126" s="346"/>
      <c r="J126" s="343">
        <f t="shared" si="42"/>
        <v>0.78567894580543385</v>
      </c>
      <c r="AA126" s="56"/>
      <c r="AB126" s="94"/>
    </row>
    <row r="127" spans="1:28" s="51" customFormat="1" ht="17.25" customHeight="1">
      <c r="A127" s="331"/>
      <c r="B127" s="331">
        <v>16</v>
      </c>
      <c r="C127" s="331">
        <f t="shared" si="43"/>
        <v>54</v>
      </c>
      <c r="D127" s="336">
        <f t="shared" si="41"/>
        <v>31.799999999999997</v>
      </c>
      <c r="E127" s="338">
        <f t="shared" si="40"/>
        <v>0.54</v>
      </c>
      <c r="F127" s="342">
        <v>25</v>
      </c>
      <c r="G127" s="344">
        <v>25</v>
      </c>
      <c r="H127" s="345">
        <f t="shared" si="38"/>
        <v>6.4760567343417499</v>
      </c>
      <c r="I127" s="346"/>
      <c r="J127" s="343">
        <f t="shared" si="42"/>
        <v>0.70822671006590632</v>
      </c>
      <c r="AA127" s="56"/>
      <c r="AB127" s="94"/>
    </row>
    <row r="128" spans="1:28" s="51" customFormat="1" ht="17.25" customHeight="1">
      <c r="A128" s="331"/>
      <c r="B128" s="331">
        <v>17</v>
      </c>
      <c r="C128" s="331">
        <f t="shared" si="43"/>
        <v>51</v>
      </c>
      <c r="D128" s="336">
        <f t="shared" si="41"/>
        <v>31.799999999999997</v>
      </c>
      <c r="E128" s="338">
        <f t="shared" si="40"/>
        <v>0.51</v>
      </c>
      <c r="F128" s="342">
        <v>30</v>
      </c>
      <c r="G128" s="344">
        <v>30</v>
      </c>
      <c r="H128" s="345">
        <f>D128^E128</f>
        <v>5.8376470180974334</v>
      </c>
      <c r="I128" s="346"/>
      <c r="J128" s="343">
        <f t="shared" si="42"/>
        <v>0.63840971624431653</v>
      </c>
      <c r="AA128" s="56"/>
      <c r="AB128" s="94"/>
    </row>
    <row r="129" spans="1:28" s="51" customFormat="1" ht="17.25" customHeight="1">
      <c r="A129" s="331"/>
      <c r="B129" s="331"/>
      <c r="C129" s="331">
        <v>50</v>
      </c>
      <c r="D129" s="336">
        <f t="shared" si="41"/>
        <v>31.799999999999997</v>
      </c>
      <c r="E129" s="338">
        <f t="shared" si="40"/>
        <v>0.5</v>
      </c>
      <c r="F129" s="342">
        <v>35</v>
      </c>
      <c r="G129" s="344">
        <v>35</v>
      </c>
      <c r="H129" s="345">
        <f t="shared" si="38"/>
        <v>5.6391488719486738</v>
      </c>
      <c r="I129" s="346"/>
      <c r="J129" s="343">
        <f t="shared" si="42"/>
        <v>0.1984981461487596</v>
      </c>
      <c r="AA129" s="56"/>
      <c r="AB129" s="94"/>
    </row>
    <row r="130" spans="1:28" s="51" customFormat="1" ht="17.25" customHeight="1">
      <c r="A130" s="331"/>
      <c r="B130" s="331"/>
      <c r="C130" s="331">
        <v>49</v>
      </c>
      <c r="D130" s="336">
        <f t="shared" si="41"/>
        <v>31.799999999999997</v>
      </c>
      <c r="E130" s="338">
        <f t="shared" si="40"/>
        <v>0.49</v>
      </c>
      <c r="F130" s="342">
        <v>40</v>
      </c>
      <c r="G130" s="344">
        <v>40</v>
      </c>
      <c r="H130" s="345">
        <f t="shared" si="38"/>
        <v>5.4474002798415233</v>
      </c>
      <c r="I130" s="346"/>
      <c r="J130" s="343">
        <f t="shared" si="42"/>
        <v>0.19174859210715045</v>
      </c>
      <c r="AA130" s="56"/>
      <c r="AB130" s="94"/>
    </row>
    <row r="131" spans="1:28" s="51" customFormat="1" ht="17.25" customHeight="1">
      <c r="A131" s="331">
        <f>A120</f>
        <v>3</v>
      </c>
      <c r="B131" s="331">
        <v>18</v>
      </c>
      <c r="C131" s="331">
        <f>C128-A$131</f>
        <v>48</v>
      </c>
      <c r="D131" s="336">
        <f t="shared" si="41"/>
        <v>31.799999999999997</v>
      </c>
      <c r="E131" s="338">
        <f t="shared" si="40"/>
        <v>0.48</v>
      </c>
      <c r="F131" s="342">
        <v>45</v>
      </c>
      <c r="G131" s="344">
        <v>45</v>
      </c>
      <c r="H131" s="345">
        <f t="shared" si="38"/>
        <v>5.2621717359561835</v>
      </c>
      <c r="I131" s="346"/>
      <c r="J131" s="343">
        <f t="shared" si="42"/>
        <v>0.18522854388533982</v>
      </c>
      <c r="AA131" s="56"/>
      <c r="AB131" s="94"/>
    </row>
    <row r="132" spans="1:28" s="51" customFormat="1" ht="17.25" customHeight="1">
      <c r="A132" s="331"/>
      <c r="B132" s="331"/>
      <c r="C132" s="331">
        <v>47</v>
      </c>
      <c r="D132" s="336">
        <f t="shared" si="41"/>
        <v>31.799999999999997</v>
      </c>
      <c r="E132" s="338">
        <f t="shared" si="40"/>
        <v>0.47</v>
      </c>
      <c r="F132" s="342">
        <v>50</v>
      </c>
      <c r="G132" s="344">
        <v>50</v>
      </c>
      <c r="H132" s="345">
        <f t="shared" si="38"/>
        <v>5.0832415383841942</v>
      </c>
      <c r="I132" s="346"/>
      <c r="J132" s="343">
        <f t="shared" si="42"/>
        <v>0.17893019757198925</v>
      </c>
      <c r="AA132" s="56"/>
      <c r="AB132" s="94"/>
    </row>
    <row r="133" spans="1:28" s="51" customFormat="1" ht="17.25" customHeight="1">
      <c r="A133" s="331"/>
      <c r="B133" s="331"/>
      <c r="C133" s="331">
        <v>46</v>
      </c>
      <c r="D133" s="336">
        <f t="shared" si="41"/>
        <v>31.799999999999997</v>
      </c>
      <c r="E133" s="338">
        <f t="shared" si="40"/>
        <v>0.46</v>
      </c>
      <c r="F133" s="342">
        <v>55</v>
      </c>
      <c r="G133" s="344">
        <v>55</v>
      </c>
      <c r="H133" s="345">
        <f t="shared" si="38"/>
        <v>4.9103955237711903</v>
      </c>
      <c r="I133" s="346"/>
      <c r="J133" s="343">
        <f t="shared" si="42"/>
        <v>0.17284601461300397</v>
      </c>
      <c r="AA133" s="56"/>
      <c r="AB133" s="94"/>
    </row>
    <row r="134" spans="1:28" s="51" customFormat="1" ht="17.25" customHeight="1">
      <c r="A134" s="331"/>
      <c r="B134" s="331">
        <v>19</v>
      </c>
      <c r="C134" s="331">
        <f>C131-A$131</f>
        <v>45</v>
      </c>
      <c r="D134" s="336">
        <f t="shared" si="41"/>
        <v>31.799999999999997</v>
      </c>
      <c r="E134" s="338">
        <f t="shared" si="40"/>
        <v>0.45</v>
      </c>
      <c r="F134" s="342">
        <v>60</v>
      </c>
      <c r="G134" s="344">
        <v>60</v>
      </c>
      <c r="H134" s="345">
        <f t="shared" si="38"/>
        <v>4.7434268109826219</v>
      </c>
      <c r="I134" s="346"/>
      <c r="J134" s="343">
        <f t="shared" si="42"/>
        <v>0.1669687127885684</v>
      </c>
      <c r="AA134" s="56"/>
      <c r="AB134" s="94"/>
    </row>
    <row r="135" spans="1:28" s="51" customFormat="1" ht="17.25" customHeight="1">
      <c r="A135" s="331"/>
      <c r="B135" s="331"/>
      <c r="C135" s="331">
        <v>44</v>
      </c>
      <c r="D135" s="336">
        <f t="shared" si="41"/>
        <v>31.799999999999997</v>
      </c>
      <c r="E135" s="338">
        <f t="shared" si="40"/>
        <v>0.44</v>
      </c>
      <c r="F135" s="342">
        <v>75</v>
      </c>
      <c r="G135" s="344">
        <v>75</v>
      </c>
      <c r="H135" s="345">
        <f t="shared" si="38"/>
        <v>4.5821355534856503</v>
      </c>
      <c r="I135" s="346"/>
      <c r="J135" s="343">
        <f t="shared" si="42"/>
        <v>0.1612912574969716</v>
      </c>
      <c r="AA135" s="56"/>
      <c r="AB135" s="94"/>
    </row>
    <row r="136" spans="1:28" s="51" customFormat="1" ht="17.25" customHeight="1">
      <c r="A136" s="331"/>
      <c r="B136" s="331"/>
      <c r="C136" s="331">
        <v>43</v>
      </c>
      <c r="D136" s="336">
        <f t="shared" si="41"/>
        <v>31.799999999999997</v>
      </c>
      <c r="E136" s="338">
        <f t="shared" si="40"/>
        <v>0.43</v>
      </c>
      <c r="F136" s="342">
        <v>90</v>
      </c>
      <c r="G136" s="344">
        <v>90</v>
      </c>
      <c r="H136" s="345">
        <f t="shared" si="38"/>
        <v>4.4263287001508189</v>
      </c>
      <c r="I136" s="346"/>
      <c r="J136" s="343">
        <f t="shared" si="42"/>
        <v>0.15580685333483135</v>
      </c>
      <c r="AA136" s="56"/>
      <c r="AB136" s="94"/>
    </row>
    <row r="137" spans="1:28" s="51" customFormat="1" ht="17.25" customHeight="1">
      <c r="A137" s="331"/>
      <c r="B137" s="331">
        <v>20</v>
      </c>
      <c r="C137" s="331">
        <f>C134-A$131</f>
        <v>42</v>
      </c>
      <c r="D137" s="336">
        <f t="shared" si="41"/>
        <v>31.799999999999997</v>
      </c>
      <c r="E137" s="338">
        <f t="shared" si="40"/>
        <v>0.42</v>
      </c>
      <c r="F137" s="342">
        <v>105</v>
      </c>
      <c r="G137" s="344">
        <v>105</v>
      </c>
      <c r="H137" s="345">
        <f t="shared" si="38"/>
        <v>4.275819764187208</v>
      </c>
      <c r="I137" s="346"/>
      <c r="J137" s="343">
        <f t="shared" si="42"/>
        <v>0.15050893596361092</v>
      </c>
      <c r="AA137" s="56"/>
      <c r="AB137" s="94"/>
    </row>
    <row r="138" spans="1:28" s="51" customFormat="1" ht="17.25" customHeight="1">
      <c r="A138" s="331">
        <f>A131</f>
        <v>3</v>
      </c>
      <c r="B138" s="331"/>
      <c r="C138" s="331">
        <f>C137-A$138</f>
        <v>39</v>
      </c>
      <c r="D138" s="336">
        <f t="shared" si="41"/>
        <v>31.799999999999997</v>
      </c>
      <c r="E138" s="338">
        <f t="shared" si="40"/>
        <v>0.39</v>
      </c>
      <c r="F138" s="342">
        <v>120</v>
      </c>
      <c r="G138" s="344">
        <v>120</v>
      </c>
      <c r="H138" s="345">
        <f t="shared" si="38"/>
        <v>3.8543094231966499</v>
      </c>
      <c r="I138" s="346"/>
      <c r="J138" s="343">
        <f t="shared" si="42"/>
        <v>0.42151034099055806</v>
      </c>
      <c r="AA138" s="56"/>
      <c r="AB138" s="94"/>
    </row>
    <row r="139" spans="1:28" s="51" customFormat="1" ht="17.25" hidden="1" customHeight="1">
      <c r="A139" s="331"/>
      <c r="B139" s="331"/>
      <c r="C139" s="331">
        <f t="shared" ref="C139:C146" si="44">C138-A$138</f>
        <v>36</v>
      </c>
      <c r="D139" s="336">
        <f t="shared" si="41"/>
        <v>31.799999999999997</v>
      </c>
      <c r="E139" s="338">
        <f t="shared" si="40"/>
        <v>0.36</v>
      </c>
      <c r="F139" s="339"/>
      <c r="G139" s="331">
        <v>150</v>
      </c>
      <c r="H139" s="340">
        <f t="shared" si="38"/>
        <v>3.4743515744439746</v>
      </c>
      <c r="I139" s="341"/>
      <c r="J139" s="343">
        <f t="shared" si="42"/>
        <v>0.37995784875267535</v>
      </c>
      <c r="AA139" s="56"/>
      <c r="AB139" s="94"/>
    </row>
    <row r="140" spans="1:28" s="51" customFormat="1" ht="17.25" customHeight="1">
      <c r="A140" s="331"/>
      <c r="B140" s="331"/>
      <c r="C140" s="331">
        <v>38</v>
      </c>
      <c r="D140" s="336">
        <f t="shared" si="41"/>
        <v>31.799999999999997</v>
      </c>
      <c r="E140" s="338">
        <f t="shared" si="40"/>
        <v>0.38</v>
      </c>
      <c r="F140" s="342">
        <v>180</v>
      </c>
      <c r="G140" s="344">
        <v>180</v>
      </c>
      <c r="H140" s="345">
        <f t="shared" si="38"/>
        <v>3.7232509208897429</v>
      </c>
      <c r="I140" s="346"/>
      <c r="J140" s="343">
        <f t="shared" si="42"/>
        <v>-0.24889934644576828</v>
      </c>
      <c r="AA140" s="56"/>
      <c r="AB140" s="94"/>
    </row>
    <row r="141" spans="1:28" s="51" customFormat="1" ht="17.25" hidden="1" customHeight="1">
      <c r="A141" s="331"/>
      <c r="B141" s="331"/>
      <c r="C141" s="331">
        <f t="shared" si="44"/>
        <v>35</v>
      </c>
      <c r="D141" s="336">
        <f t="shared" si="41"/>
        <v>31.799999999999997</v>
      </c>
      <c r="E141" s="338">
        <f t="shared" si="40"/>
        <v>0.35</v>
      </c>
      <c r="F141" s="339"/>
      <c r="G141" s="331">
        <v>210</v>
      </c>
      <c r="H141" s="340">
        <f t="shared" si="38"/>
        <v>3.356212820172237</v>
      </c>
      <c r="I141" s="341"/>
      <c r="J141" s="343">
        <f t="shared" si="42"/>
        <v>0.36703810071750587</v>
      </c>
      <c r="AA141" s="56"/>
      <c r="AB141" s="94"/>
    </row>
    <row r="142" spans="1:28" s="51" customFormat="1" ht="17.25" customHeight="1">
      <c r="A142" s="331"/>
      <c r="B142" s="331"/>
      <c r="C142" s="331">
        <f t="shared" si="44"/>
        <v>32</v>
      </c>
      <c r="D142" s="336">
        <f t="shared" si="41"/>
        <v>31.799999999999997</v>
      </c>
      <c r="E142" s="338">
        <f>C142/100</f>
        <v>0.32</v>
      </c>
      <c r="F142" s="342">
        <v>240</v>
      </c>
      <c r="G142" s="344">
        <v>240</v>
      </c>
      <c r="H142" s="345">
        <f t="shared" si="38"/>
        <v>3.0253573378816734</v>
      </c>
      <c r="I142" s="346"/>
      <c r="J142" s="343">
        <f t="shared" si="42"/>
        <v>0.33085548229056361</v>
      </c>
      <c r="AA142" s="56"/>
      <c r="AB142" s="94"/>
    </row>
    <row r="143" spans="1:28" s="51" customFormat="1" ht="17.25" hidden="1" customHeight="1">
      <c r="A143" s="331"/>
      <c r="B143" s="331"/>
      <c r="C143" s="331">
        <f t="shared" si="44"/>
        <v>29</v>
      </c>
      <c r="D143" s="336">
        <f t="shared" si="41"/>
        <v>31.799999999999997</v>
      </c>
      <c r="E143" s="338">
        <f>C143/100</f>
        <v>0.28999999999999998</v>
      </c>
      <c r="F143" s="339"/>
      <c r="G143" s="331">
        <v>270</v>
      </c>
      <c r="H143" s="340">
        <f t="shared" si="38"/>
        <v>2.7271175912511931</v>
      </c>
      <c r="I143" s="341"/>
      <c r="J143" s="343">
        <f t="shared" si="42"/>
        <v>0.29823974663048025</v>
      </c>
      <c r="AA143" s="56"/>
      <c r="AB143" s="94"/>
    </row>
    <row r="144" spans="1:28" s="51" customFormat="1" ht="17.25" customHeight="1">
      <c r="A144" s="331"/>
      <c r="B144" s="331"/>
      <c r="C144" s="331">
        <f t="shared" si="44"/>
        <v>26</v>
      </c>
      <c r="D144" s="336">
        <f t="shared" si="41"/>
        <v>31.799999999999997</v>
      </c>
      <c r="E144" s="338">
        <f>C144/100</f>
        <v>0.26</v>
      </c>
      <c r="F144" s="342">
        <v>300</v>
      </c>
      <c r="G144" s="344">
        <v>300</v>
      </c>
      <c r="H144" s="345">
        <f t="shared" si="38"/>
        <v>2.4582783208409844</v>
      </c>
      <c r="I144" s="346"/>
      <c r="J144" s="343">
        <f t="shared" si="42"/>
        <v>0.26883927041020872</v>
      </c>
      <c r="AA144" s="56"/>
      <c r="AB144" s="94"/>
    </row>
    <row r="145" spans="1:28" s="51" customFormat="1" ht="17.25" hidden="1" customHeight="1">
      <c r="A145" s="331"/>
      <c r="B145" s="331"/>
      <c r="C145" s="331">
        <f t="shared" si="44"/>
        <v>23</v>
      </c>
      <c r="D145" s="336">
        <f t="shared" si="41"/>
        <v>31.799999999999997</v>
      </c>
      <c r="E145" s="338">
        <f>C145/100</f>
        <v>0.23</v>
      </c>
      <c r="F145" s="339"/>
      <c r="G145" s="331">
        <v>330</v>
      </c>
      <c r="H145" s="340">
        <f t="shared" si="38"/>
        <v>2.215941227508345</v>
      </c>
      <c r="I145" s="341"/>
      <c r="J145" s="343">
        <f t="shared" si="42"/>
        <v>0.24233709333263942</v>
      </c>
      <c r="AA145" s="56"/>
      <c r="AB145" s="94"/>
    </row>
    <row r="146" spans="1:28" s="51" customFormat="1" ht="17.25" customHeight="1">
      <c r="A146" s="331"/>
      <c r="B146" s="331"/>
      <c r="C146" s="331">
        <f t="shared" si="44"/>
        <v>20</v>
      </c>
      <c r="D146" s="336">
        <f t="shared" si="41"/>
        <v>31.799999999999997</v>
      </c>
      <c r="E146" s="338">
        <f>C146/100</f>
        <v>0.2</v>
      </c>
      <c r="F146" s="342">
        <v>360</v>
      </c>
      <c r="G146" s="344">
        <v>360</v>
      </c>
      <c r="H146" s="345">
        <f t="shared" si="38"/>
        <v>1.9974937264594714</v>
      </c>
      <c r="I146" s="346"/>
      <c r="J146" s="343">
        <f t="shared" si="42"/>
        <v>0.21844750104887356</v>
      </c>
      <c r="AA146" s="56"/>
      <c r="AB146" s="94"/>
    </row>
    <row r="147" spans="1:28" s="51" customFormat="1" ht="17.25" customHeight="1">
      <c r="C147" s="51" t="s">
        <v>21</v>
      </c>
      <c r="D147" s="53" t="s">
        <v>21</v>
      </c>
      <c r="E147" s="74" t="s">
        <v>21</v>
      </c>
      <c r="F147" s="51" t="s">
        <v>21</v>
      </c>
      <c r="G147" s="57" t="s">
        <v>21</v>
      </c>
      <c r="AA147" s="56"/>
      <c r="AB147" s="94"/>
    </row>
    <row r="148" spans="1:28" s="51" customFormat="1" ht="17.25" customHeight="1">
      <c r="C148" s="51" t="s">
        <v>21</v>
      </c>
      <c r="D148" s="53" t="s">
        <v>21</v>
      </c>
      <c r="E148" s="74" t="s">
        <v>21</v>
      </c>
      <c r="F148" s="51" t="s">
        <v>21</v>
      </c>
      <c r="G148" s="57" t="s">
        <v>21</v>
      </c>
      <c r="AB148" s="94"/>
    </row>
    <row r="149" spans="1:28" s="51" customFormat="1" ht="17.25" customHeight="1">
      <c r="C149" s="51" t="s">
        <v>21</v>
      </c>
      <c r="D149" s="53" t="s">
        <v>21</v>
      </c>
      <c r="E149" s="74" t="s">
        <v>21</v>
      </c>
      <c r="F149" s="51" t="s">
        <v>21</v>
      </c>
      <c r="G149" s="57" t="s">
        <v>21</v>
      </c>
      <c r="AB149" s="94"/>
    </row>
    <row r="150" spans="1:28" s="51" customFormat="1" ht="17.25" customHeight="1">
      <c r="C150" s="51" t="s">
        <v>21</v>
      </c>
      <c r="D150" s="53" t="s">
        <v>21</v>
      </c>
      <c r="E150" s="74" t="s">
        <v>21</v>
      </c>
      <c r="F150" s="51" t="s">
        <v>21</v>
      </c>
      <c r="G150" s="57" t="s">
        <v>21</v>
      </c>
      <c r="AB150" s="94"/>
    </row>
    <row r="151" spans="1:28" s="51" customFormat="1" ht="17.25" customHeight="1">
      <c r="C151" s="51" t="s">
        <v>21</v>
      </c>
      <c r="D151" s="53" t="s">
        <v>21</v>
      </c>
      <c r="E151" s="74" t="s">
        <v>21</v>
      </c>
      <c r="F151" s="51" t="s">
        <v>21</v>
      </c>
      <c r="G151" s="57" t="s">
        <v>21</v>
      </c>
      <c r="AB151" s="94"/>
    </row>
    <row r="152" spans="1:28" s="51" customFormat="1" ht="17.25" customHeight="1">
      <c r="C152" s="51" t="s">
        <v>21</v>
      </c>
      <c r="D152" s="53" t="s">
        <v>21</v>
      </c>
      <c r="E152" s="74" t="s">
        <v>21</v>
      </c>
      <c r="F152" s="51" t="s">
        <v>21</v>
      </c>
      <c r="G152" s="57" t="s">
        <v>21</v>
      </c>
      <c r="AB152" s="94"/>
    </row>
    <row r="153" spans="1:28" s="51" customFormat="1" ht="17.25" customHeight="1">
      <c r="C153" s="51" t="s">
        <v>21</v>
      </c>
      <c r="D153" s="53" t="s">
        <v>21</v>
      </c>
      <c r="E153" s="74" t="s">
        <v>21</v>
      </c>
      <c r="F153" s="51" t="s">
        <v>21</v>
      </c>
      <c r="G153" s="57" t="s">
        <v>21</v>
      </c>
      <c r="AB153" s="94"/>
    </row>
    <row r="154" spans="1:28" s="51" customFormat="1" ht="17.25" customHeight="1">
      <c r="C154" s="51" t="s">
        <v>21</v>
      </c>
      <c r="D154" s="53" t="s">
        <v>21</v>
      </c>
      <c r="E154" s="74" t="s">
        <v>21</v>
      </c>
      <c r="F154" s="51" t="s">
        <v>21</v>
      </c>
      <c r="G154" s="57" t="s">
        <v>21</v>
      </c>
      <c r="AB154" s="94"/>
    </row>
    <row r="155" spans="1:28" s="51" customFormat="1" ht="17.25" customHeight="1">
      <c r="C155" s="51" t="s">
        <v>21</v>
      </c>
      <c r="D155" s="53" t="s">
        <v>21</v>
      </c>
      <c r="E155" s="74" t="s">
        <v>21</v>
      </c>
      <c r="F155" s="51" t="s">
        <v>21</v>
      </c>
      <c r="G155" s="57" t="s">
        <v>21</v>
      </c>
      <c r="AB155" s="94"/>
    </row>
    <row r="156" spans="1:28" s="51" customFormat="1" ht="17.25" customHeight="1">
      <c r="C156" s="51" t="s">
        <v>21</v>
      </c>
      <c r="D156" s="53" t="s">
        <v>21</v>
      </c>
      <c r="E156" s="74" t="s">
        <v>21</v>
      </c>
      <c r="F156" s="51" t="s">
        <v>21</v>
      </c>
      <c r="G156" s="57" t="s">
        <v>21</v>
      </c>
      <c r="AB156" s="94"/>
    </row>
    <row r="157" spans="1:28" s="51" customFormat="1" ht="17.25" customHeight="1">
      <c r="C157" s="51" t="s">
        <v>21</v>
      </c>
      <c r="D157" s="53" t="s">
        <v>21</v>
      </c>
      <c r="E157" s="74" t="s">
        <v>21</v>
      </c>
      <c r="F157" s="51" t="s">
        <v>21</v>
      </c>
      <c r="G157" s="57" t="s">
        <v>21</v>
      </c>
      <c r="AB157" s="94"/>
    </row>
    <row r="158" spans="1:28" s="51" customFormat="1" ht="17.25" customHeight="1">
      <c r="C158" s="51" t="s">
        <v>21</v>
      </c>
      <c r="D158" s="53" t="s">
        <v>21</v>
      </c>
      <c r="E158" s="74" t="s">
        <v>21</v>
      </c>
      <c r="F158" s="51" t="s">
        <v>21</v>
      </c>
      <c r="G158" s="57" t="s">
        <v>21</v>
      </c>
      <c r="AB158" s="94"/>
    </row>
    <row r="159" spans="1:28" s="51" customFormat="1" ht="17.25" customHeight="1">
      <c r="C159" s="51" t="s">
        <v>21</v>
      </c>
      <c r="D159" s="53" t="s">
        <v>21</v>
      </c>
      <c r="E159" s="74" t="s">
        <v>21</v>
      </c>
      <c r="F159" s="51" t="s">
        <v>21</v>
      </c>
      <c r="G159" s="57" t="s">
        <v>21</v>
      </c>
      <c r="AB159" s="94"/>
    </row>
    <row r="160" spans="1:28" s="51" customFormat="1" ht="17.25" customHeight="1">
      <c r="C160" s="51" t="s">
        <v>21</v>
      </c>
      <c r="D160" s="53" t="s">
        <v>21</v>
      </c>
      <c r="E160" s="74" t="s">
        <v>21</v>
      </c>
      <c r="F160" s="51" t="s">
        <v>21</v>
      </c>
      <c r="G160" s="57" t="s">
        <v>21</v>
      </c>
      <c r="AB160" s="94"/>
    </row>
    <row r="161" spans="3:28" s="51" customFormat="1" ht="17.25" customHeight="1">
      <c r="C161" s="51" t="s">
        <v>21</v>
      </c>
      <c r="D161" s="53" t="s">
        <v>21</v>
      </c>
      <c r="E161" s="74" t="s">
        <v>21</v>
      </c>
      <c r="F161" s="51" t="s">
        <v>21</v>
      </c>
      <c r="G161" s="57" t="s">
        <v>21</v>
      </c>
      <c r="AB161" s="94"/>
    </row>
    <row r="162" spans="3:28" s="51" customFormat="1" ht="17.25" customHeight="1">
      <c r="C162" s="51" t="s">
        <v>21</v>
      </c>
      <c r="D162" s="53" t="s">
        <v>21</v>
      </c>
      <c r="E162" s="74" t="s">
        <v>21</v>
      </c>
      <c r="F162" s="51" t="s">
        <v>21</v>
      </c>
      <c r="G162" s="57" t="s">
        <v>21</v>
      </c>
      <c r="AB162" s="94"/>
    </row>
    <row r="163" spans="3:28" s="51" customFormat="1" ht="17.25" customHeight="1">
      <c r="C163" s="51" t="s">
        <v>21</v>
      </c>
      <c r="D163" s="53" t="s">
        <v>21</v>
      </c>
      <c r="E163" s="74" t="s">
        <v>21</v>
      </c>
      <c r="F163" s="51" t="s">
        <v>21</v>
      </c>
      <c r="G163" s="57" t="s">
        <v>21</v>
      </c>
      <c r="AB163" s="94"/>
    </row>
    <row r="164" spans="3:28" s="51" customFormat="1" ht="17.25" customHeight="1">
      <c r="C164" s="51" t="s">
        <v>21</v>
      </c>
      <c r="D164" s="53" t="s">
        <v>21</v>
      </c>
      <c r="E164" s="74" t="s">
        <v>21</v>
      </c>
      <c r="F164" s="51" t="s">
        <v>21</v>
      </c>
      <c r="G164" s="57" t="s">
        <v>21</v>
      </c>
      <c r="AB164" s="94"/>
    </row>
    <row r="165" spans="3:28" s="51" customFormat="1" ht="17.25" customHeight="1">
      <c r="C165" s="51" t="s">
        <v>21</v>
      </c>
      <c r="D165" s="53" t="s">
        <v>21</v>
      </c>
      <c r="E165" s="74" t="s">
        <v>21</v>
      </c>
      <c r="F165" s="51" t="s">
        <v>21</v>
      </c>
      <c r="G165" s="57" t="s">
        <v>21</v>
      </c>
      <c r="AB165" s="94"/>
    </row>
    <row r="166" spans="3:28" s="51" customFormat="1" ht="17.25" customHeight="1">
      <c r="C166" s="51" t="s">
        <v>21</v>
      </c>
      <c r="D166" s="53" t="s">
        <v>21</v>
      </c>
      <c r="E166" s="74" t="s">
        <v>21</v>
      </c>
      <c r="F166" s="51" t="s">
        <v>21</v>
      </c>
      <c r="G166" s="57" t="s">
        <v>21</v>
      </c>
      <c r="AB166" s="94"/>
    </row>
    <row r="167" spans="3:28" s="51" customFormat="1" ht="17.25" customHeight="1">
      <c r="C167" s="51" t="s">
        <v>21</v>
      </c>
      <c r="D167" s="53" t="s">
        <v>21</v>
      </c>
      <c r="E167" s="74" t="s">
        <v>21</v>
      </c>
      <c r="F167" s="51" t="s">
        <v>21</v>
      </c>
      <c r="G167" s="57" t="s">
        <v>21</v>
      </c>
      <c r="AB167" s="94"/>
    </row>
    <row r="168" spans="3:28" s="51" customFormat="1" ht="17.25" customHeight="1">
      <c r="C168" s="51" t="s">
        <v>21</v>
      </c>
      <c r="D168" s="53" t="s">
        <v>21</v>
      </c>
      <c r="E168" s="74" t="s">
        <v>21</v>
      </c>
      <c r="F168" s="51" t="s">
        <v>21</v>
      </c>
      <c r="G168" s="57" t="s">
        <v>21</v>
      </c>
      <c r="AB168" s="94"/>
    </row>
    <row r="169" spans="3:28" s="51" customFormat="1" ht="17.25" customHeight="1">
      <c r="C169" s="51" t="s">
        <v>21</v>
      </c>
      <c r="D169" s="53" t="s">
        <v>21</v>
      </c>
      <c r="E169" s="74" t="s">
        <v>21</v>
      </c>
      <c r="F169" s="51" t="s">
        <v>21</v>
      </c>
      <c r="G169" s="57" t="s">
        <v>21</v>
      </c>
      <c r="AB169" s="94"/>
    </row>
    <row r="170" spans="3:28" s="51" customFormat="1" ht="17.25" customHeight="1">
      <c r="C170" s="51" t="s">
        <v>21</v>
      </c>
      <c r="D170" s="53" t="s">
        <v>21</v>
      </c>
      <c r="E170" s="74" t="s">
        <v>21</v>
      </c>
      <c r="F170" s="51" t="s">
        <v>21</v>
      </c>
      <c r="G170" s="57" t="s">
        <v>21</v>
      </c>
      <c r="AB170" s="94"/>
    </row>
    <row r="171" spans="3:28" s="51" customFormat="1" ht="17.25" customHeight="1">
      <c r="C171" s="51" t="s">
        <v>21</v>
      </c>
      <c r="D171" s="53" t="s">
        <v>21</v>
      </c>
      <c r="E171" s="74" t="s">
        <v>21</v>
      </c>
      <c r="F171" s="51" t="s">
        <v>21</v>
      </c>
      <c r="G171" s="57" t="s">
        <v>21</v>
      </c>
      <c r="AB171" s="94"/>
    </row>
    <row r="172" spans="3:28" s="51" customFormat="1" ht="17.25" customHeight="1">
      <c r="C172" s="51" t="s">
        <v>21</v>
      </c>
      <c r="D172" s="53" t="s">
        <v>21</v>
      </c>
      <c r="E172" s="74" t="s">
        <v>21</v>
      </c>
      <c r="F172" s="51" t="s">
        <v>21</v>
      </c>
      <c r="G172" s="57" t="s">
        <v>21</v>
      </c>
      <c r="AB172" s="94"/>
    </row>
    <row r="173" spans="3:28" s="51" customFormat="1" ht="17.25" customHeight="1">
      <c r="C173" s="51" t="s">
        <v>21</v>
      </c>
      <c r="D173" s="53" t="s">
        <v>21</v>
      </c>
      <c r="E173" s="74" t="s">
        <v>21</v>
      </c>
      <c r="F173" s="51" t="s">
        <v>21</v>
      </c>
      <c r="G173" s="57" t="s">
        <v>21</v>
      </c>
      <c r="AB173" s="94"/>
    </row>
    <row r="174" spans="3:28" s="51" customFormat="1" ht="17.25" customHeight="1">
      <c r="C174" s="51" t="s">
        <v>21</v>
      </c>
      <c r="D174" s="53" t="s">
        <v>21</v>
      </c>
      <c r="E174" s="74" t="s">
        <v>21</v>
      </c>
      <c r="F174" s="51" t="s">
        <v>21</v>
      </c>
      <c r="G174" s="57" t="s">
        <v>21</v>
      </c>
      <c r="AB174" s="94"/>
    </row>
    <row r="175" spans="3:28" s="51" customFormat="1" ht="17.25" customHeight="1">
      <c r="C175" s="51" t="s">
        <v>21</v>
      </c>
      <c r="D175" s="53" t="s">
        <v>21</v>
      </c>
      <c r="E175" s="74" t="s">
        <v>21</v>
      </c>
      <c r="F175" s="51" t="s">
        <v>21</v>
      </c>
      <c r="G175" s="57" t="s">
        <v>21</v>
      </c>
      <c r="AB175" s="94"/>
    </row>
    <row r="176" spans="3:28" s="51" customFormat="1" ht="17.25" customHeight="1">
      <c r="C176" s="51" t="s">
        <v>21</v>
      </c>
      <c r="D176" s="53" t="s">
        <v>21</v>
      </c>
      <c r="E176" s="74" t="s">
        <v>21</v>
      </c>
      <c r="F176" s="51" t="s">
        <v>21</v>
      </c>
      <c r="G176" s="57" t="s">
        <v>21</v>
      </c>
      <c r="AB176" s="94"/>
    </row>
    <row r="177" spans="3:28" s="51" customFormat="1" ht="17.25" customHeight="1">
      <c r="C177" s="51" t="s">
        <v>21</v>
      </c>
      <c r="D177" s="53" t="s">
        <v>21</v>
      </c>
      <c r="E177" s="74" t="s">
        <v>21</v>
      </c>
      <c r="F177" s="51" t="s">
        <v>21</v>
      </c>
      <c r="G177" s="57" t="s">
        <v>21</v>
      </c>
      <c r="AB177" s="94"/>
    </row>
    <row r="178" spans="3:28" s="51" customFormat="1" ht="17.25" customHeight="1">
      <c r="C178" s="51" t="s">
        <v>21</v>
      </c>
      <c r="D178" s="53" t="s">
        <v>21</v>
      </c>
      <c r="E178" s="74" t="s">
        <v>21</v>
      </c>
      <c r="F178" s="51" t="s">
        <v>21</v>
      </c>
      <c r="G178" s="57" t="s">
        <v>21</v>
      </c>
      <c r="AB178" s="94"/>
    </row>
    <row r="179" spans="3:28" s="51" customFormat="1" ht="17.25" customHeight="1">
      <c r="C179" s="51" t="s">
        <v>21</v>
      </c>
      <c r="D179" s="53" t="s">
        <v>21</v>
      </c>
      <c r="E179" s="74" t="s">
        <v>21</v>
      </c>
      <c r="F179" s="51" t="s">
        <v>21</v>
      </c>
      <c r="G179" s="57" t="s">
        <v>21</v>
      </c>
      <c r="AB179" s="94"/>
    </row>
    <row r="180" spans="3:28" s="51" customFormat="1" ht="17.25" customHeight="1">
      <c r="C180" s="51" t="s">
        <v>21</v>
      </c>
      <c r="D180" s="53" t="s">
        <v>21</v>
      </c>
      <c r="E180" s="74" t="s">
        <v>21</v>
      </c>
      <c r="F180" s="51" t="s">
        <v>21</v>
      </c>
      <c r="G180" s="57" t="s">
        <v>21</v>
      </c>
      <c r="AB180" s="94"/>
    </row>
    <row r="181" spans="3:28" s="51" customFormat="1" ht="17.25" customHeight="1">
      <c r="C181" s="51" t="s">
        <v>21</v>
      </c>
      <c r="D181" s="53" t="s">
        <v>21</v>
      </c>
      <c r="E181" s="74" t="s">
        <v>21</v>
      </c>
      <c r="F181" s="51" t="s">
        <v>21</v>
      </c>
      <c r="G181" s="57" t="s">
        <v>21</v>
      </c>
      <c r="AB181" s="94"/>
    </row>
    <row r="182" spans="3:28" s="51" customFormat="1" ht="17.25" customHeight="1">
      <c r="C182" s="51" t="s">
        <v>21</v>
      </c>
      <c r="D182" s="53" t="s">
        <v>21</v>
      </c>
      <c r="E182" s="74" t="s">
        <v>21</v>
      </c>
      <c r="F182" s="51" t="s">
        <v>21</v>
      </c>
      <c r="G182" s="57" t="s">
        <v>21</v>
      </c>
      <c r="AB182" s="94"/>
    </row>
    <row r="183" spans="3:28" s="51" customFormat="1" ht="17.25" customHeight="1">
      <c r="C183" s="51" t="s">
        <v>21</v>
      </c>
      <c r="D183" s="53" t="s">
        <v>21</v>
      </c>
      <c r="E183" s="74" t="s">
        <v>21</v>
      </c>
      <c r="F183" s="51" t="s">
        <v>21</v>
      </c>
      <c r="G183" s="57" t="s">
        <v>21</v>
      </c>
      <c r="AB183" s="94"/>
    </row>
    <row r="184" spans="3:28" s="51" customFormat="1" ht="17.25" customHeight="1">
      <c r="C184" s="51" t="s">
        <v>21</v>
      </c>
      <c r="D184" s="53" t="s">
        <v>21</v>
      </c>
      <c r="E184" s="74" t="s">
        <v>21</v>
      </c>
      <c r="F184" s="51" t="s">
        <v>21</v>
      </c>
      <c r="G184" s="57" t="s">
        <v>21</v>
      </c>
      <c r="AB184" s="94"/>
    </row>
    <row r="185" spans="3:28" s="51" customFormat="1" ht="17.25" customHeight="1">
      <c r="C185" s="51" t="s">
        <v>21</v>
      </c>
      <c r="D185" s="53" t="s">
        <v>21</v>
      </c>
      <c r="E185" s="74" t="s">
        <v>21</v>
      </c>
      <c r="F185" s="51" t="s">
        <v>21</v>
      </c>
      <c r="G185" s="57" t="s">
        <v>21</v>
      </c>
      <c r="AB185" s="94"/>
    </row>
    <row r="186" spans="3:28" s="51" customFormat="1" ht="17.25" customHeight="1">
      <c r="C186" s="51" t="s">
        <v>21</v>
      </c>
      <c r="D186" s="53" t="s">
        <v>21</v>
      </c>
      <c r="E186" s="74" t="s">
        <v>21</v>
      </c>
      <c r="F186" s="51" t="s">
        <v>21</v>
      </c>
      <c r="G186" s="57" t="s">
        <v>21</v>
      </c>
      <c r="AB186" s="94"/>
    </row>
    <row r="187" spans="3:28" s="51" customFormat="1" ht="17.25" customHeight="1">
      <c r="C187" s="51" t="s">
        <v>21</v>
      </c>
      <c r="D187" s="53" t="s">
        <v>21</v>
      </c>
      <c r="E187" s="74" t="s">
        <v>21</v>
      </c>
      <c r="F187" s="51" t="s">
        <v>21</v>
      </c>
      <c r="G187" s="57" t="s">
        <v>21</v>
      </c>
      <c r="AB187" s="94"/>
    </row>
    <row r="188" spans="3:28" s="51" customFormat="1" ht="17.25" customHeight="1">
      <c r="C188" s="51" t="s">
        <v>21</v>
      </c>
      <c r="D188" s="53" t="s">
        <v>21</v>
      </c>
      <c r="E188" s="74" t="s">
        <v>21</v>
      </c>
      <c r="F188" s="51" t="s">
        <v>21</v>
      </c>
      <c r="G188" s="57" t="s">
        <v>21</v>
      </c>
      <c r="AB188" s="94"/>
    </row>
    <row r="189" spans="3:28" s="51" customFormat="1" ht="17.25" customHeight="1">
      <c r="C189" s="51" t="s">
        <v>21</v>
      </c>
      <c r="D189" s="53" t="s">
        <v>21</v>
      </c>
      <c r="E189" s="74" t="s">
        <v>21</v>
      </c>
      <c r="F189" s="51" t="s">
        <v>21</v>
      </c>
      <c r="G189" s="57" t="s">
        <v>21</v>
      </c>
      <c r="AB189" s="94"/>
    </row>
    <row r="190" spans="3:28" s="51" customFormat="1" ht="17.25" customHeight="1">
      <c r="C190" s="51" t="s">
        <v>21</v>
      </c>
      <c r="D190" s="53" t="s">
        <v>21</v>
      </c>
      <c r="E190" s="74" t="s">
        <v>21</v>
      </c>
      <c r="F190" s="51" t="s">
        <v>21</v>
      </c>
      <c r="G190" s="57" t="s">
        <v>21</v>
      </c>
      <c r="AB190" s="94"/>
    </row>
    <row r="191" spans="3:28" s="51" customFormat="1" ht="17.25" customHeight="1">
      <c r="C191" s="51" t="s">
        <v>21</v>
      </c>
      <c r="D191" s="53" t="s">
        <v>21</v>
      </c>
      <c r="E191" s="74" t="s">
        <v>21</v>
      </c>
      <c r="F191" s="51" t="s">
        <v>21</v>
      </c>
      <c r="G191" s="57" t="s">
        <v>21</v>
      </c>
      <c r="AB191" s="94"/>
    </row>
    <row r="192" spans="3:28" s="51" customFormat="1" ht="17.25" customHeight="1">
      <c r="C192" s="51" t="s">
        <v>21</v>
      </c>
      <c r="D192" s="53" t="s">
        <v>21</v>
      </c>
      <c r="E192" s="74" t="s">
        <v>21</v>
      </c>
      <c r="F192" s="51" t="s">
        <v>21</v>
      </c>
      <c r="G192" s="57" t="s">
        <v>21</v>
      </c>
      <c r="AB192" s="94"/>
    </row>
    <row r="193" spans="3:28" s="51" customFormat="1" ht="17.25" customHeight="1">
      <c r="C193" s="51" t="s">
        <v>21</v>
      </c>
      <c r="D193" s="53" t="s">
        <v>21</v>
      </c>
      <c r="E193" s="74" t="s">
        <v>21</v>
      </c>
      <c r="F193" s="51" t="s">
        <v>21</v>
      </c>
      <c r="G193" s="57" t="s">
        <v>21</v>
      </c>
      <c r="AB193" s="94"/>
    </row>
    <row r="194" spans="3:28" s="51" customFormat="1" ht="17.25" customHeight="1">
      <c r="C194" s="51" t="s">
        <v>21</v>
      </c>
      <c r="D194" s="53" t="s">
        <v>21</v>
      </c>
      <c r="E194" s="74" t="s">
        <v>21</v>
      </c>
      <c r="F194" s="51" t="s">
        <v>21</v>
      </c>
      <c r="G194" s="57" t="s">
        <v>21</v>
      </c>
      <c r="AB194" s="94"/>
    </row>
    <row r="195" spans="3:28" s="51" customFormat="1" ht="17.25" customHeight="1">
      <c r="C195" s="51" t="s">
        <v>21</v>
      </c>
      <c r="D195" s="53" t="s">
        <v>21</v>
      </c>
      <c r="E195" s="74" t="s">
        <v>21</v>
      </c>
      <c r="F195" s="51" t="s">
        <v>21</v>
      </c>
      <c r="G195" s="57" t="s">
        <v>21</v>
      </c>
      <c r="AB195" s="94"/>
    </row>
    <row r="196" spans="3:28" s="51" customFormat="1" ht="17.25" customHeight="1">
      <c r="C196" s="51" t="s">
        <v>21</v>
      </c>
      <c r="D196" s="53" t="s">
        <v>21</v>
      </c>
      <c r="E196" s="74" t="s">
        <v>21</v>
      </c>
      <c r="F196" s="51" t="s">
        <v>21</v>
      </c>
      <c r="G196" s="57" t="s">
        <v>21</v>
      </c>
      <c r="AB196" s="94"/>
    </row>
    <row r="197" spans="3:28" s="51" customFormat="1" ht="17.25" customHeight="1">
      <c r="C197" s="51" t="s">
        <v>21</v>
      </c>
      <c r="D197" s="53" t="s">
        <v>21</v>
      </c>
      <c r="E197" s="74" t="s">
        <v>21</v>
      </c>
      <c r="F197" s="51" t="s">
        <v>21</v>
      </c>
      <c r="G197" s="57" t="s">
        <v>21</v>
      </c>
      <c r="AB197" s="94"/>
    </row>
    <row r="198" spans="3:28" s="51" customFormat="1" ht="17.25" customHeight="1">
      <c r="C198" s="51" t="s">
        <v>21</v>
      </c>
      <c r="D198" s="53" t="s">
        <v>21</v>
      </c>
      <c r="E198" s="74" t="s">
        <v>21</v>
      </c>
      <c r="F198" s="51" t="s">
        <v>21</v>
      </c>
      <c r="G198" s="57" t="s">
        <v>21</v>
      </c>
      <c r="AB198" s="94"/>
    </row>
    <row r="199" spans="3:28" s="51" customFormat="1" ht="17.25" customHeight="1">
      <c r="C199" s="51" t="s">
        <v>21</v>
      </c>
      <c r="D199" s="53" t="s">
        <v>21</v>
      </c>
      <c r="E199" s="74" t="s">
        <v>21</v>
      </c>
      <c r="F199" s="51" t="s">
        <v>21</v>
      </c>
      <c r="G199" s="57" t="s">
        <v>21</v>
      </c>
      <c r="AB199" s="94"/>
    </row>
    <row r="200" spans="3:28" s="51" customFormat="1" ht="17.25" customHeight="1">
      <c r="C200" s="51" t="s">
        <v>21</v>
      </c>
      <c r="D200" s="53" t="s">
        <v>21</v>
      </c>
      <c r="E200" s="74" t="s">
        <v>21</v>
      </c>
      <c r="F200" s="51" t="s">
        <v>21</v>
      </c>
      <c r="G200" s="57" t="s">
        <v>21</v>
      </c>
      <c r="AB200" s="94"/>
    </row>
    <row r="201" spans="3:28" s="51" customFormat="1" ht="17.25" customHeight="1">
      <c r="C201" s="51" t="s">
        <v>21</v>
      </c>
      <c r="D201" s="53" t="s">
        <v>21</v>
      </c>
      <c r="E201" s="74" t="s">
        <v>21</v>
      </c>
      <c r="F201" s="51" t="s">
        <v>21</v>
      </c>
      <c r="G201" s="57" t="s">
        <v>21</v>
      </c>
      <c r="AB201" s="94"/>
    </row>
    <row r="202" spans="3:28" s="51" customFormat="1" ht="17.25" customHeight="1">
      <c r="C202" s="51" t="s">
        <v>21</v>
      </c>
      <c r="D202" s="53" t="s">
        <v>21</v>
      </c>
      <c r="E202" s="74" t="s">
        <v>21</v>
      </c>
      <c r="F202" s="51" t="s">
        <v>21</v>
      </c>
      <c r="G202" s="57" t="s">
        <v>21</v>
      </c>
      <c r="AB202" s="94"/>
    </row>
    <row r="203" spans="3:28" s="51" customFormat="1" ht="17.25" customHeight="1">
      <c r="C203" s="51" t="s">
        <v>21</v>
      </c>
      <c r="D203" s="53" t="s">
        <v>21</v>
      </c>
      <c r="E203" s="74" t="s">
        <v>21</v>
      </c>
      <c r="F203" s="51" t="s">
        <v>21</v>
      </c>
      <c r="G203" s="57" t="s">
        <v>21</v>
      </c>
      <c r="AB203" s="94"/>
    </row>
    <row r="204" spans="3:28" s="51" customFormat="1" ht="17.25" customHeight="1">
      <c r="C204" s="51" t="s">
        <v>21</v>
      </c>
      <c r="D204" s="53" t="s">
        <v>21</v>
      </c>
      <c r="E204" s="74" t="s">
        <v>21</v>
      </c>
      <c r="F204" s="51" t="s">
        <v>21</v>
      </c>
      <c r="G204" s="57" t="s">
        <v>21</v>
      </c>
      <c r="AB204" s="94"/>
    </row>
    <row r="205" spans="3:28" s="51" customFormat="1" ht="17.25" customHeight="1">
      <c r="C205" s="51" t="s">
        <v>21</v>
      </c>
      <c r="D205" s="53" t="s">
        <v>21</v>
      </c>
      <c r="E205" s="74" t="s">
        <v>21</v>
      </c>
      <c r="F205" s="51" t="s">
        <v>21</v>
      </c>
      <c r="G205" s="57" t="s">
        <v>21</v>
      </c>
      <c r="AB205" s="94"/>
    </row>
    <row r="206" spans="3:28" s="51" customFormat="1" ht="17.25" customHeight="1">
      <c r="C206" s="51" t="s">
        <v>21</v>
      </c>
      <c r="D206" s="53" t="s">
        <v>21</v>
      </c>
      <c r="E206" s="74" t="s">
        <v>21</v>
      </c>
      <c r="F206" s="51" t="s">
        <v>21</v>
      </c>
      <c r="G206" s="57" t="s">
        <v>21</v>
      </c>
      <c r="AB206" s="94"/>
    </row>
    <row r="207" spans="3:28" s="51" customFormat="1" ht="17.25" customHeight="1">
      <c r="C207" s="51" t="s">
        <v>21</v>
      </c>
      <c r="D207" s="53" t="s">
        <v>21</v>
      </c>
      <c r="E207" s="74" t="s">
        <v>21</v>
      </c>
      <c r="F207" s="51" t="s">
        <v>21</v>
      </c>
      <c r="G207" s="57" t="s">
        <v>21</v>
      </c>
      <c r="AB207" s="94"/>
    </row>
    <row r="208" spans="3:28" s="51" customFormat="1" ht="17.25" customHeight="1">
      <c r="C208" s="51" t="s">
        <v>21</v>
      </c>
      <c r="D208" s="53" t="s">
        <v>21</v>
      </c>
      <c r="E208" s="74" t="s">
        <v>21</v>
      </c>
      <c r="F208" s="51" t="s">
        <v>21</v>
      </c>
      <c r="G208" s="57" t="s">
        <v>21</v>
      </c>
      <c r="AB208" s="94"/>
    </row>
    <row r="209" spans="3:28" s="51" customFormat="1" ht="17.25" customHeight="1">
      <c r="C209" s="51" t="s">
        <v>21</v>
      </c>
      <c r="D209" s="53" t="s">
        <v>21</v>
      </c>
      <c r="E209" s="74" t="s">
        <v>21</v>
      </c>
      <c r="F209" s="51" t="s">
        <v>21</v>
      </c>
      <c r="G209" s="57" t="s">
        <v>21</v>
      </c>
      <c r="AB209" s="94"/>
    </row>
    <row r="210" spans="3:28" s="51" customFormat="1" ht="17.25" customHeight="1">
      <c r="C210" s="51" t="s">
        <v>21</v>
      </c>
      <c r="D210" s="53" t="s">
        <v>21</v>
      </c>
      <c r="E210" s="74" t="s">
        <v>21</v>
      </c>
      <c r="F210" s="51" t="s">
        <v>21</v>
      </c>
      <c r="G210" s="57" t="s">
        <v>21</v>
      </c>
      <c r="AB210" s="94"/>
    </row>
    <row r="211" spans="3:28" s="51" customFormat="1" ht="17.25" customHeight="1">
      <c r="C211" s="51" t="s">
        <v>21</v>
      </c>
      <c r="D211" s="53" t="s">
        <v>21</v>
      </c>
      <c r="E211" s="74" t="s">
        <v>21</v>
      </c>
      <c r="F211" s="51" t="s">
        <v>21</v>
      </c>
      <c r="G211" s="57" t="s">
        <v>21</v>
      </c>
      <c r="AB211" s="94"/>
    </row>
    <row r="212" spans="3:28" s="51" customFormat="1" ht="17.25" customHeight="1">
      <c r="C212" s="51" t="s">
        <v>21</v>
      </c>
      <c r="D212" s="53" t="s">
        <v>21</v>
      </c>
      <c r="E212" s="74" t="s">
        <v>21</v>
      </c>
      <c r="F212" s="51" t="s">
        <v>21</v>
      </c>
      <c r="G212" s="57" t="s">
        <v>21</v>
      </c>
      <c r="AB212" s="94"/>
    </row>
    <row r="213" spans="3:28" s="51" customFormat="1" ht="17.25" customHeight="1">
      <c r="C213" s="51" t="s">
        <v>21</v>
      </c>
      <c r="D213" s="53" t="s">
        <v>21</v>
      </c>
      <c r="E213" s="74" t="s">
        <v>21</v>
      </c>
      <c r="F213" s="51" t="s">
        <v>21</v>
      </c>
      <c r="G213" s="57" t="s">
        <v>21</v>
      </c>
      <c r="AB213" s="94"/>
    </row>
    <row r="214" spans="3:28" s="51" customFormat="1" ht="17.25" customHeight="1">
      <c r="C214" s="51" t="s">
        <v>21</v>
      </c>
      <c r="D214" s="53" t="s">
        <v>21</v>
      </c>
      <c r="E214" s="74" t="s">
        <v>21</v>
      </c>
      <c r="F214" s="51" t="s">
        <v>21</v>
      </c>
      <c r="G214" s="57" t="s">
        <v>21</v>
      </c>
      <c r="AB214" s="94"/>
    </row>
    <row r="215" spans="3:28" s="51" customFormat="1" ht="17.25" customHeight="1">
      <c r="C215" s="51" t="s">
        <v>21</v>
      </c>
      <c r="D215" s="53" t="s">
        <v>21</v>
      </c>
      <c r="E215" s="74" t="s">
        <v>21</v>
      </c>
      <c r="F215" s="51" t="s">
        <v>21</v>
      </c>
      <c r="G215" s="57" t="s">
        <v>21</v>
      </c>
      <c r="AB215" s="94"/>
    </row>
    <row r="216" spans="3:28" s="51" customFormat="1" ht="17.25" customHeight="1">
      <c r="C216" s="51" t="s">
        <v>21</v>
      </c>
      <c r="D216" s="53" t="s">
        <v>21</v>
      </c>
      <c r="E216" s="74" t="s">
        <v>21</v>
      </c>
      <c r="F216" s="51" t="s">
        <v>21</v>
      </c>
      <c r="G216" s="57" t="s">
        <v>21</v>
      </c>
      <c r="AB216" s="94"/>
    </row>
    <row r="217" spans="3:28" s="51" customFormat="1" ht="17.25" customHeight="1">
      <c r="C217" s="51" t="s">
        <v>21</v>
      </c>
      <c r="D217" s="53" t="s">
        <v>21</v>
      </c>
      <c r="E217" s="74" t="s">
        <v>21</v>
      </c>
      <c r="F217" s="51" t="s">
        <v>21</v>
      </c>
      <c r="G217" s="57" t="s">
        <v>21</v>
      </c>
      <c r="AB217" s="94"/>
    </row>
    <row r="218" spans="3:28" s="51" customFormat="1" ht="17.25" customHeight="1">
      <c r="C218" s="51" t="s">
        <v>21</v>
      </c>
      <c r="D218" s="53" t="s">
        <v>21</v>
      </c>
      <c r="E218" s="74" t="s">
        <v>21</v>
      </c>
      <c r="F218" s="51" t="s">
        <v>21</v>
      </c>
      <c r="G218" s="57" t="s">
        <v>21</v>
      </c>
      <c r="AB218" s="94"/>
    </row>
    <row r="219" spans="3:28" s="51" customFormat="1" ht="17.25" customHeight="1">
      <c r="C219" s="51" t="s">
        <v>21</v>
      </c>
      <c r="D219" s="53" t="s">
        <v>21</v>
      </c>
      <c r="E219" s="74" t="s">
        <v>21</v>
      </c>
      <c r="F219" s="51" t="s">
        <v>21</v>
      </c>
      <c r="G219" s="57" t="s">
        <v>21</v>
      </c>
      <c r="AB219" s="94"/>
    </row>
    <row r="220" spans="3:28" s="51" customFormat="1" ht="17.25" customHeight="1">
      <c r="C220" s="51" t="s">
        <v>21</v>
      </c>
      <c r="D220" s="53" t="s">
        <v>21</v>
      </c>
      <c r="E220" s="74" t="s">
        <v>21</v>
      </c>
      <c r="F220" s="51" t="s">
        <v>21</v>
      </c>
      <c r="G220" s="57" t="s">
        <v>21</v>
      </c>
      <c r="AB220" s="94"/>
    </row>
    <row r="221" spans="3:28" s="51" customFormat="1" ht="17.25" customHeight="1">
      <c r="C221" s="51" t="s">
        <v>21</v>
      </c>
      <c r="D221" s="53" t="s">
        <v>21</v>
      </c>
      <c r="E221" s="74" t="s">
        <v>21</v>
      </c>
      <c r="F221" s="51" t="s">
        <v>21</v>
      </c>
      <c r="G221" s="57" t="s">
        <v>21</v>
      </c>
      <c r="AB221" s="94"/>
    </row>
    <row r="222" spans="3:28" s="51" customFormat="1" ht="17.25" customHeight="1">
      <c r="C222" s="51" t="s">
        <v>21</v>
      </c>
      <c r="D222" s="53" t="s">
        <v>21</v>
      </c>
      <c r="E222" s="74" t="s">
        <v>21</v>
      </c>
      <c r="F222" s="51" t="s">
        <v>21</v>
      </c>
      <c r="G222" s="57" t="s">
        <v>21</v>
      </c>
      <c r="AB222" s="94"/>
    </row>
    <row r="223" spans="3:28" s="51" customFormat="1" ht="17.25" customHeight="1">
      <c r="C223" s="51" t="s">
        <v>21</v>
      </c>
      <c r="D223" s="53" t="s">
        <v>21</v>
      </c>
      <c r="E223" s="74" t="s">
        <v>21</v>
      </c>
      <c r="F223" s="51" t="s">
        <v>21</v>
      </c>
      <c r="G223" s="57" t="s">
        <v>21</v>
      </c>
      <c r="AB223" s="94"/>
    </row>
    <row r="224" spans="3:28" s="51" customFormat="1" ht="17.25" customHeight="1">
      <c r="C224" s="51" t="s">
        <v>21</v>
      </c>
      <c r="D224" s="53" t="s">
        <v>21</v>
      </c>
      <c r="E224" s="74" t="s">
        <v>21</v>
      </c>
      <c r="F224" s="51" t="s">
        <v>21</v>
      </c>
      <c r="G224" s="57" t="s">
        <v>21</v>
      </c>
      <c r="AB224" s="94"/>
    </row>
    <row r="225" spans="3:28" s="51" customFormat="1" ht="17.25" customHeight="1">
      <c r="C225" s="51" t="s">
        <v>21</v>
      </c>
      <c r="D225" s="53" t="s">
        <v>21</v>
      </c>
      <c r="E225" s="74" t="s">
        <v>21</v>
      </c>
      <c r="F225" s="51" t="s">
        <v>21</v>
      </c>
      <c r="G225" s="57" t="s">
        <v>21</v>
      </c>
      <c r="AB225" s="94"/>
    </row>
    <row r="226" spans="3:28" s="51" customFormat="1" ht="17.25" customHeight="1">
      <c r="C226" s="51" t="s">
        <v>21</v>
      </c>
      <c r="D226" s="53" t="s">
        <v>21</v>
      </c>
      <c r="E226" s="74" t="s">
        <v>21</v>
      </c>
      <c r="F226" s="51" t="s">
        <v>21</v>
      </c>
      <c r="G226" s="57" t="s">
        <v>21</v>
      </c>
      <c r="AB226" s="94"/>
    </row>
    <row r="227" spans="3:28" s="51" customFormat="1" ht="17.25" customHeight="1">
      <c r="C227" s="51" t="s">
        <v>21</v>
      </c>
      <c r="D227" s="53" t="s">
        <v>21</v>
      </c>
      <c r="E227" s="74" t="s">
        <v>21</v>
      </c>
      <c r="F227" s="51" t="s">
        <v>21</v>
      </c>
      <c r="G227" s="57" t="s">
        <v>21</v>
      </c>
      <c r="AB227" s="94"/>
    </row>
    <row r="228" spans="3:28" s="51" customFormat="1" ht="17.25" customHeight="1">
      <c r="AB228" s="94"/>
    </row>
    <row r="229" spans="3:28" s="51" customFormat="1" ht="17.25" customHeight="1">
      <c r="AB229" s="94"/>
    </row>
    <row r="230" spans="3:28" s="51" customFormat="1" ht="17.25" customHeight="1">
      <c r="AB230" s="94"/>
    </row>
    <row r="231" spans="3:28" s="51" customFormat="1" ht="17.25" customHeight="1">
      <c r="AB231" s="94"/>
    </row>
    <row r="232" spans="3:28" s="51" customFormat="1" ht="17.25" customHeight="1">
      <c r="AB232" s="94"/>
    </row>
    <row r="233" spans="3:28" s="51" customFormat="1" ht="17.25" customHeight="1">
      <c r="AB233" s="94"/>
    </row>
    <row r="234" spans="3:28" s="51" customFormat="1" ht="17.25" customHeight="1">
      <c r="AB234" s="94"/>
    </row>
    <row r="235" spans="3:28" s="51" customFormat="1" ht="17.25" customHeight="1">
      <c r="AB235" s="94"/>
    </row>
    <row r="236" spans="3:28" s="51" customFormat="1" ht="17.25" customHeight="1">
      <c r="AB236" s="94"/>
    </row>
    <row r="237" spans="3:28" s="51" customFormat="1" ht="17.25" customHeight="1">
      <c r="AB237" s="94"/>
    </row>
    <row r="238" spans="3:28" s="51" customFormat="1" ht="17.25" customHeight="1">
      <c r="AB238" s="94"/>
    </row>
    <row r="239" spans="3:28" s="51" customFormat="1" ht="17.25" customHeight="1">
      <c r="AB239" s="94"/>
    </row>
    <row r="240" spans="3:28" s="51" customFormat="1" ht="17.25" customHeight="1">
      <c r="AB240" s="94"/>
    </row>
    <row r="241" spans="28:28" s="51" customFormat="1" ht="17.25" customHeight="1">
      <c r="AB241" s="94"/>
    </row>
    <row r="242" spans="28:28" s="51" customFormat="1" ht="17.25" customHeight="1">
      <c r="AB242" s="94"/>
    </row>
    <row r="243" spans="28:28" s="51" customFormat="1" ht="17.25" customHeight="1">
      <c r="AB243" s="94"/>
    </row>
    <row r="244" spans="28:28" s="51" customFormat="1" ht="17.25" customHeight="1">
      <c r="AB244" s="94"/>
    </row>
    <row r="245" spans="28:28" s="51" customFormat="1" ht="17.25" customHeight="1">
      <c r="AB245" s="94"/>
    </row>
    <row r="246" spans="28:28" s="51" customFormat="1" ht="17.25" customHeight="1">
      <c r="AB246" s="94"/>
    </row>
    <row r="247" spans="28:28" s="51" customFormat="1" ht="17.25" customHeight="1">
      <c r="AB247" s="94"/>
    </row>
    <row r="248" spans="28:28" s="51" customFormat="1" ht="17.25" customHeight="1">
      <c r="AB248" s="94"/>
    </row>
    <row r="249" spans="28:28" s="51" customFormat="1" ht="17.25" customHeight="1">
      <c r="AB249" s="94"/>
    </row>
    <row r="250" spans="28:28" s="51" customFormat="1" ht="17.25" customHeight="1">
      <c r="AB250" s="94"/>
    </row>
    <row r="251" spans="28:28" s="51" customFormat="1" ht="17.25" customHeight="1">
      <c r="AB251" s="94"/>
    </row>
    <row r="252" spans="28:28" s="51" customFormat="1" ht="17.25" customHeight="1">
      <c r="AB252" s="94"/>
    </row>
    <row r="253" spans="28:28" s="51" customFormat="1" ht="17.25" customHeight="1">
      <c r="AB253" s="94"/>
    </row>
    <row r="254" spans="28:28" s="51" customFormat="1" ht="17.25" customHeight="1">
      <c r="AB254" s="94"/>
    </row>
    <row r="255" spans="28:28" s="51" customFormat="1" ht="17.25" customHeight="1">
      <c r="AB255" s="94"/>
    </row>
    <row r="256" spans="28:28" s="51" customFormat="1" ht="17.25" customHeight="1">
      <c r="AB256" s="94"/>
    </row>
    <row r="257" spans="28:28" s="51" customFormat="1" ht="17.25" customHeight="1">
      <c r="AB257" s="94"/>
    </row>
    <row r="258" spans="28:28" s="51" customFormat="1" ht="17.25" customHeight="1">
      <c r="AB258" s="94"/>
    </row>
    <row r="259" spans="28:28" s="51" customFormat="1" ht="17.25" customHeight="1">
      <c r="AB259" s="94"/>
    </row>
    <row r="260" spans="28:28" s="51" customFormat="1" ht="17.25" customHeight="1">
      <c r="AB260" s="94"/>
    </row>
    <row r="261" spans="28:28" s="51" customFormat="1" ht="17.25" customHeight="1">
      <c r="AB261" s="94"/>
    </row>
    <row r="262" spans="28:28" s="51" customFormat="1" ht="17.25" customHeight="1">
      <c r="AB262" s="94"/>
    </row>
    <row r="263" spans="28:28" s="51" customFormat="1" ht="17.25" customHeight="1">
      <c r="AB263" s="94"/>
    </row>
    <row r="264" spans="28:28" s="51" customFormat="1" ht="17.25" customHeight="1">
      <c r="AB264" s="94"/>
    </row>
    <row r="265" spans="28:28" s="51" customFormat="1" ht="17.25" customHeight="1">
      <c r="AB265" s="94"/>
    </row>
    <row r="266" spans="28:28" s="51" customFormat="1" ht="17.25" customHeight="1">
      <c r="AB266" s="94"/>
    </row>
    <row r="267" spans="28:28" s="51" customFormat="1" ht="17.25" customHeight="1">
      <c r="AB267" s="94"/>
    </row>
    <row r="268" spans="28:28" s="51" customFormat="1" ht="17.25" customHeight="1">
      <c r="AB268" s="94"/>
    </row>
    <row r="269" spans="28:28" s="51" customFormat="1" ht="17.25" customHeight="1">
      <c r="AB269" s="94"/>
    </row>
    <row r="270" spans="28:28" s="51" customFormat="1" ht="17.25" customHeight="1">
      <c r="AB270" s="94"/>
    </row>
    <row r="271" spans="28:28" s="51" customFormat="1" ht="17.25" customHeight="1">
      <c r="AB271" s="94"/>
    </row>
    <row r="272" spans="28:28" s="51" customFormat="1" ht="17.25" customHeight="1">
      <c r="AB272" s="94"/>
    </row>
    <row r="273" spans="28:28" s="51" customFormat="1" ht="17.25" customHeight="1">
      <c r="AB273" s="94"/>
    </row>
    <row r="274" spans="28:28" s="51" customFormat="1" ht="17.25" customHeight="1">
      <c r="AB274" s="94"/>
    </row>
    <row r="275" spans="28:28" s="51" customFormat="1" ht="17.25" customHeight="1">
      <c r="AB275" s="94"/>
    </row>
    <row r="276" spans="28:28" s="51" customFormat="1" ht="17.25" customHeight="1">
      <c r="AB276" s="94"/>
    </row>
    <row r="277" spans="28:28" s="51" customFormat="1" ht="17.25" customHeight="1">
      <c r="AB277" s="94"/>
    </row>
    <row r="278" spans="28:28" s="51" customFormat="1" ht="17.25" customHeight="1">
      <c r="AB278" s="94"/>
    </row>
    <row r="279" spans="28:28" s="51" customFormat="1" ht="17.25" customHeight="1">
      <c r="AB279" s="94"/>
    </row>
    <row r="280" spans="28:28" s="51" customFormat="1" ht="17.25" customHeight="1">
      <c r="AB280" s="94"/>
    </row>
    <row r="281" spans="28:28" s="51" customFormat="1" ht="17.25" customHeight="1">
      <c r="AB281" s="94"/>
    </row>
    <row r="282" spans="28:28" s="51" customFormat="1" ht="17.25" customHeight="1">
      <c r="AB282" s="94"/>
    </row>
    <row r="283" spans="28:28" s="51" customFormat="1" ht="17.25" customHeight="1">
      <c r="AB283" s="94"/>
    </row>
    <row r="284" spans="28:28" s="51" customFormat="1" ht="17.25" customHeight="1">
      <c r="AB284" s="94"/>
    </row>
    <row r="285" spans="28:28" s="51" customFormat="1" ht="17.25" customHeight="1">
      <c r="AB285" s="94"/>
    </row>
    <row r="286" spans="28:28" s="51" customFormat="1" ht="17.25" customHeight="1">
      <c r="AB286" s="94"/>
    </row>
    <row r="287" spans="28:28" s="51" customFormat="1" ht="17.25" customHeight="1">
      <c r="AB287" s="94"/>
    </row>
    <row r="288" spans="28:28" s="51" customFormat="1" ht="17.25" customHeight="1">
      <c r="AB288" s="94"/>
    </row>
    <row r="289" spans="28:28" s="51" customFormat="1" ht="17.25" customHeight="1">
      <c r="AB289" s="94"/>
    </row>
    <row r="290" spans="28:28" s="51" customFormat="1" ht="17.25" customHeight="1">
      <c r="AB290" s="94"/>
    </row>
    <row r="291" spans="28:28" s="51" customFormat="1" ht="17.25" customHeight="1">
      <c r="AB291" s="94"/>
    </row>
    <row r="292" spans="28:28" s="51" customFormat="1" ht="17.25" customHeight="1">
      <c r="AB292" s="94"/>
    </row>
    <row r="293" spans="28:28" s="51" customFormat="1" ht="17.25" customHeight="1">
      <c r="AB293" s="94"/>
    </row>
    <row r="294" spans="28:28" s="51" customFormat="1" ht="17.25" customHeight="1">
      <c r="AB294" s="94"/>
    </row>
    <row r="295" spans="28:28" s="51" customFormat="1" ht="17.25" customHeight="1">
      <c r="AB295" s="94"/>
    </row>
    <row r="296" spans="28:28" s="51" customFormat="1" ht="17.25" customHeight="1">
      <c r="AB296" s="94"/>
    </row>
    <row r="297" spans="28:28" s="51" customFormat="1" ht="17.25" customHeight="1">
      <c r="AB297" s="94"/>
    </row>
    <row r="298" spans="28:28" s="51" customFormat="1" ht="17.25" customHeight="1">
      <c r="AB298" s="94"/>
    </row>
    <row r="299" spans="28:28" s="51" customFormat="1" ht="17.25" customHeight="1">
      <c r="AB299" s="94"/>
    </row>
    <row r="300" spans="28:28" s="51" customFormat="1" ht="17.25" customHeight="1">
      <c r="AB300" s="94"/>
    </row>
    <row r="301" spans="28:28" s="51" customFormat="1" ht="17.25" customHeight="1">
      <c r="AB301" s="94"/>
    </row>
    <row r="302" spans="28:28" s="51" customFormat="1" ht="17.25" customHeight="1">
      <c r="AB302" s="94"/>
    </row>
    <row r="303" spans="28:28" s="51" customFormat="1" ht="17.25" customHeight="1">
      <c r="AB303" s="94"/>
    </row>
    <row r="304" spans="28:28" s="51" customFormat="1" ht="17.25" customHeight="1">
      <c r="AB304" s="94"/>
    </row>
    <row r="305" spans="28:28" s="51" customFormat="1" ht="17.25" customHeight="1">
      <c r="AB305" s="94"/>
    </row>
    <row r="306" spans="28:28" s="51" customFormat="1" ht="17.25" customHeight="1">
      <c r="AB306" s="94"/>
    </row>
    <row r="307" spans="28:28" s="51" customFormat="1" ht="17.25" customHeight="1">
      <c r="AB307" s="94"/>
    </row>
    <row r="308" spans="28:28" s="51" customFormat="1" ht="17.25" customHeight="1">
      <c r="AB308" s="94"/>
    </row>
    <row r="309" spans="28:28" s="51" customFormat="1" ht="17.25" customHeight="1">
      <c r="AB309" s="94"/>
    </row>
    <row r="310" spans="28:28" s="51" customFormat="1" ht="17.25" customHeight="1">
      <c r="AB310" s="94"/>
    </row>
    <row r="311" spans="28:28" s="51" customFormat="1" ht="17.25" customHeight="1">
      <c r="AB311" s="94"/>
    </row>
    <row r="312" spans="28:28" s="51" customFormat="1" ht="17.25" customHeight="1">
      <c r="AB312" s="94"/>
    </row>
    <row r="313" spans="28:28" s="51" customFormat="1" ht="17.25" customHeight="1">
      <c r="AB313" s="94"/>
    </row>
    <row r="314" spans="28:28" s="51" customFormat="1" ht="17.25" customHeight="1">
      <c r="AB314" s="94"/>
    </row>
    <row r="315" spans="28:28" s="51" customFormat="1" ht="17.25" customHeight="1">
      <c r="AB315" s="94"/>
    </row>
    <row r="316" spans="28:28" s="51" customFormat="1" ht="17.25" customHeight="1">
      <c r="AB316" s="94"/>
    </row>
    <row r="317" spans="28:28" s="51" customFormat="1" ht="17.25" customHeight="1">
      <c r="AB317" s="94"/>
    </row>
    <row r="318" spans="28:28" s="51" customFormat="1" ht="17.25" customHeight="1">
      <c r="AB318" s="94"/>
    </row>
    <row r="319" spans="28:28" s="51" customFormat="1" ht="17.25" customHeight="1">
      <c r="AB319" s="94"/>
    </row>
    <row r="320" spans="28:28" s="51" customFormat="1" ht="17.25" customHeight="1">
      <c r="AB320" s="94"/>
    </row>
    <row r="321" spans="28:28" s="51" customFormat="1" ht="17.25" customHeight="1">
      <c r="AB321" s="94"/>
    </row>
    <row r="322" spans="28:28" s="51" customFormat="1" ht="17.25" customHeight="1">
      <c r="AB322" s="94"/>
    </row>
    <row r="323" spans="28:28" s="51" customFormat="1" ht="17.25" customHeight="1">
      <c r="AB323" s="94"/>
    </row>
    <row r="324" spans="28:28" s="51" customFormat="1" ht="17.25" customHeight="1">
      <c r="AB324" s="94"/>
    </row>
    <row r="325" spans="28:28" s="51" customFormat="1" ht="17.25" customHeight="1">
      <c r="AB325" s="94"/>
    </row>
    <row r="326" spans="28:28" s="51" customFormat="1" ht="17.25" customHeight="1">
      <c r="AB326" s="94"/>
    </row>
    <row r="327" spans="28:28" s="51" customFormat="1" ht="17.25" customHeight="1">
      <c r="AB327" s="94"/>
    </row>
    <row r="328" spans="28:28" s="51" customFormat="1" ht="17.25" customHeight="1">
      <c r="AB328" s="94"/>
    </row>
    <row r="329" spans="28:28" s="51" customFormat="1" ht="17.25" customHeight="1">
      <c r="AB329" s="94"/>
    </row>
    <row r="330" spans="28:28" s="51" customFormat="1" ht="17.25" customHeight="1">
      <c r="AB330" s="94"/>
    </row>
    <row r="331" spans="28:28" s="51" customFormat="1" ht="17.25" customHeight="1">
      <c r="AB331" s="94"/>
    </row>
    <row r="332" spans="28:28" s="51" customFormat="1" ht="17.25" customHeight="1">
      <c r="AB332" s="94"/>
    </row>
    <row r="333" spans="28:28" s="51" customFormat="1" ht="17.25" customHeight="1">
      <c r="AB333" s="94"/>
    </row>
    <row r="334" spans="28:28" s="51" customFormat="1" ht="17.25" customHeight="1">
      <c r="AB334" s="94"/>
    </row>
    <row r="335" spans="28:28" s="51" customFormat="1" ht="17.25" customHeight="1">
      <c r="AB335" s="94"/>
    </row>
    <row r="336" spans="28:28" s="51" customFormat="1" ht="17.25" customHeight="1">
      <c r="AB336" s="94"/>
    </row>
    <row r="337" spans="28:28" s="51" customFormat="1" ht="17.25" customHeight="1">
      <c r="AB337" s="94"/>
    </row>
    <row r="338" spans="28:28" s="51" customFormat="1" ht="17.25" customHeight="1">
      <c r="AB338" s="94"/>
    </row>
    <row r="339" spans="28:28" s="51" customFormat="1" ht="17.25" customHeight="1">
      <c r="AB339" s="94"/>
    </row>
    <row r="340" spans="28:28" s="51" customFormat="1" ht="17.25" customHeight="1">
      <c r="AB340" s="94"/>
    </row>
    <row r="341" spans="28:28" s="51" customFormat="1" ht="17.25" customHeight="1">
      <c r="AB341" s="94"/>
    </row>
    <row r="342" spans="28:28" s="51" customFormat="1" ht="17.25" customHeight="1">
      <c r="AB342" s="94"/>
    </row>
    <row r="343" spans="28:28" s="51" customFormat="1" ht="17.25" customHeight="1">
      <c r="AB343" s="94"/>
    </row>
    <row r="344" spans="28:28" s="51" customFormat="1" ht="17.25" customHeight="1">
      <c r="AB344" s="94"/>
    </row>
    <row r="345" spans="28:28" s="51" customFormat="1" ht="17.25" customHeight="1">
      <c r="AB345" s="94"/>
    </row>
    <row r="346" spans="28:28" s="51" customFormat="1" ht="17.25" customHeight="1">
      <c r="AB346" s="94"/>
    </row>
    <row r="347" spans="28:28" s="51" customFormat="1" ht="17.25" customHeight="1">
      <c r="AB347" s="94"/>
    </row>
    <row r="348" spans="28:28" s="51" customFormat="1" ht="17.25" customHeight="1">
      <c r="AB348" s="94"/>
    </row>
    <row r="349" spans="28:28" s="51" customFormat="1" ht="17.25" customHeight="1">
      <c r="AB349" s="94"/>
    </row>
    <row r="350" spans="28:28" s="51" customFormat="1" ht="17.25" customHeight="1">
      <c r="AB350" s="94"/>
    </row>
    <row r="351" spans="28:28" s="51" customFormat="1" ht="17.25" customHeight="1">
      <c r="AB351" s="94"/>
    </row>
    <row r="352" spans="28:28" s="51" customFormat="1" ht="17.25" customHeight="1">
      <c r="AB352" s="94"/>
    </row>
    <row r="353" spans="28:28" s="51" customFormat="1" ht="17.25" customHeight="1">
      <c r="AB353" s="94"/>
    </row>
    <row r="354" spans="28:28" s="51" customFormat="1" ht="17.25" customHeight="1">
      <c r="AB354" s="94"/>
    </row>
    <row r="355" spans="28:28" s="51" customFormat="1" ht="17.25" customHeight="1">
      <c r="AB355" s="94"/>
    </row>
    <row r="356" spans="28:28" s="51" customFormat="1" ht="17.25" customHeight="1">
      <c r="AB356" s="94"/>
    </row>
    <row r="357" spans="28:28" s="51" customFormat="1" ht="17.25" customHeight="1">
      <c r="AB357" s="94"/>
    </row>
    <row r="358" spans="28:28" s="51" customFormat="1" ht="17.25" customHeight="1">
      <c r="AB358" s="94"/>
    </row>
    <row r="359" spans="28:28" s="51" customFormat="1" ht="17.25" customHeight="1">
      <c r="AB359" s="94"/>
    </row>
    <row r="360" spans="28:28" s="51" customFormat="1" ht="17.25" customHeight="1">
      <c r="AB360" s="94"/>
    </row>
    <row r="361" spans="28:28" s="51" customFormat="1" ht="17.25" customHeight="1">
      <c r="AB361" s="94"/>
    </row>
    <row r="362" spans="28:28" s="51" customFormat="1" ht="17.25" customHeight="1">
      <c r="AB362" s="94"/>
    </row>
    <row r="363" spans="28:28" s="51" customFormat="1" ht="17.25" customHeight="1">
      <c r="AB363" s="94"/>
    </row>
    <row r="364" spans="28:28" s="51" customFormat="1" ht="17.25" customHeight="1">
      <c r="AB364" s="94"/>
    </row>
    <row r="365" spans="28:28" s="51" customFormat="1" ht="17.25" customHeight="1">
      <c r="AB365" s="94"/>
    </row>
    <row r="366" spans="28:28" s="51" customFormat="1" ht="17.25" customHeight="1">
      <c r="AB366" s="94"/>
    </row>
    <row r="367" spans="28:28" s="51" customFormat="1" ht="17.25" customHeight="1">
      <c r="AB367" s="94"/>
    </row>
    <row r="368" spans="28:28" s="51" customFormat="1" ht="17.25" customHeight="1">
      <c r="AB368" s="94"/>
    </row>
    <row r="369" spans="28:28" s="51" customFormat="1" ht="17.25" customHeight="1">
      <c r="AB369" s="94"/>
    </row>
    <row r="370" spans="28:28" s="51" customFormat="1" ht="17.25" customHeight="1">
      <c r="AB370" s="94"/>
    </row>
    <row r="371" spans="28:28" s="51" customFormat="1" ht="17.25" customHeight="1">
      <c r="AB371" s="94"/>
    </row>
    <row r="372" spans="28:28" s="51" customFormat="1" ht="17.25" customHeight="1">
      <c r="AB372" s="94"/>
    </row>
    <row r="373" spans="28:28" s="51" customFormat="1" ht="17.25" customHeight="1">
      <c r="AB373" s="94"/>
    </row>
    <row r="374" spans="28:28" s="51" customFormat="1" ht="17.25" customHeight="1">
      <c r="AB374" s="94"/>
    </row>
    <row r="375" spans="28:28" s="51" customFormat="1" ht="17.25" customHeight="1">
      <c r="AB375" s="94"/>
    </row>
    <row r="376" spans="28:28" s="51" customFormat="1" ht="17.25" customHeight="1">
      <c r="AB376" s="94"/>
    </row>
    <row r="377" spans="28:28" s="51" customFormat="1" ht="17.25" customHeight="1">
      <c r="AB377" s="94"/>
    </row>
    <row r="378" spans="28:28" s="51" customFormat="1" ht="17.25" customHeight="1">
      <c r="AB378" s="94"/>
    </row>
    <row r="379" spans="28:28" s="51" customFormat="1" ht="17.25" customHeight="1">
      <c r="AB379" s="94"/>
    </row>
    <row r="380" spans="28:28" s="51" customFormat="1" ht="17.25" customHeight="1">
      <c r="AB380" s="94"/>
    </row>
    <row r="381" spans="28:28" s="51" customFormat="1" ht="17.25" customHeight="1">
      <c r="AB381" s="94"/>
    </row>
    <row r="382" spans="28:28" s="51" customFormat="1" ht="17.25" customHeight="1">
      <c r="AB382" s="94"/>
    </row>
    <row r="383" spans="28:28" s="51" customFormat="1" ht="17.25" customHeight="1">
      <c r="AB383" s="94"/>
    </row>
    <row r="384" spans="28:28" s="51" customFormat="1" ht="17.25" customHeight="1">
      <c r="AB384" s="94"/>
    </row>
    <row r="385" spans="28:28" s="51" customFormat="1" ht="17.25" customHeight="1">
      <c r="AB385" s="94"/>
    </row>
    <row r="386" spans="28:28" s="51" customFormat="1" ht="17.25" customHeight="1">
      <c r="AB386" s="94"/>
    </row>
    <row r="387" spans="28:28" s="51" customFormat="1" ht="17.25" customHeight="1">
      <c r="AB387" s="94"/>
    </row>
    <row r="388" spans="28:28" s="51" customFormat="1" ht="17.25" customHeight="1">
      <c r="AB388" s="94"/>
    </row>
    <row r="389" spans="28:28" s="51" customFormat="1" ht="17.25" customHeight="1">
      <c r="AB389" s="94"/>
    </row>
    <row r="390" spans="28:28" s="51" customFormat="1" ht="17.25" customHeight="1">
      <c r="AB390" s="94"/>
    </row>
    <row r="391" spans="28:28" s="51" customFormat="1" ht="17.25" customHeight="1">
      <c r="AB391" s="94"/>
    </row>
    <row r="392" spans="28:28" s="51" customFormat="1" ht="17.25" customHeight="1">
      <c r="AB392" s="94"/>
    </row>
    <row r="393" spans="28:28" s="51" customFormat="1" ht="17.25" customHeight="1">
      <c r="AB393" s="94"/>
    </row>
    <row r="394" spans="28:28" s="51" customFormat="1" ht="17.25" customHeight="1">
      <c r="AB394" s="94"/>
    </row>
    <row r="395" spans="28:28" s="51" customFormat="1" ht="17.25" customHeight="1">
      <c r="AB395" s="94"/>
    </row>
    <row r="396" spans="28:28" s="51" customFormat="1" ht="17.25" customHeight="1">
      <c r="AB396" s="94"/>
    </row>
    <row r="397" spans="28:28" s="51" customFormat="1" ht="17.25" customHeight="1">
      <c r="AB397" s="94"/>
    </row>
    <row r="398" spans="28:28" s="51" customFormat="1" ht="17.25" customHeight="1">
      <c r="AB398" s="94"/>
    </row>
    <row r="399" spans="28:28" s="51" customFormat="1" ht="17.25" customHeight="1">
      <c r="AB399" s="94"/>
    </row>
    <row r="400" spans="28:28" s="51" customFormat="1" ht="17.25" customHeight="1">
      <c r="AB400" s="94"/>
    </row>
    <row r="401" spans="28:28" s="51" customFormat="1" ht="17.25" customHeight="1">
      <c r="AB401" s="94"/>
    </row>
    <row r="402" spans="28:28" s="51" customFormat="1" ht="17.25" customHeight="1">
      <c r="AB402" s="94"/>
    </row>
    <row r="403" spans="28:28" s="51" customFormat="1" ht="17.25" customHeight="1">
      <c r="AB403" s="94"/>
    </row>
    <row r="404" spans="28:28" s="51" customFormat="1" ht="17.25" customHeight="1">
      <c r="AB404" s="94"/>
    </row>
    <row r="405" spans="28:28" s="51" customFormat="1" ht="17.25" customHeight="1">
      <c r="AB405" s="94"/>
    </row>
    <row r="406" spans="28:28" s="51" customFormat="1" ht="17.25" customHeight="1">
      <c r="AB406" s="94"/>
    </row>
    <row r="407" spans="28:28" s="51" customFormat="1" ht="17.25" customHeight="1">
      <c r="AB407" s="94"/>
    </row>
    <row r="408" spans="28:28" s="51" customFormat="1" ht="17.25" customHeight="1">
      <c r="AB408" s="94"/>
    </row>
    <row r="409" spans="28:28" s="51" customFormat="1" ht="17.25" customHeight="1">
      <c r="AB409" s="94"/>
    </row>
    <row r="410" spans="28:28" s="51" customFormat="1" ht="17.25" customHeight="1">
      <c r="AB410" s="94"/>
    </row>
    <row r="411" spans="28:28" s="51" customFormat="1" ht="17.25" customHeight="1">
      <c r="AB411" s="94"/>
    </row>
    <row r="412" spans="28:28" s="51" customFormat="1" ht="17.25" customHeight="1">
      <c r="AB412" s="94"/>
    </row>
    <row r="413" spans="28:28" s="51" customFormat="1" ht="17.25" customHeight="1">
      <c r="AB413" s="94"/>
    </row>
    <row r="414" spans="28:28" s="51" customFormat="1" ht="17.25" customHeight="1">
      <c r="AB414" s="94"/>
    </row>
    <row r="415" spans="28:28" s="51" customFormat="1" ht="17.25" customHeight="1">
      <c r="AB415" s="94"/>
    </row>
    <row r="416" spans="28:28" s="51" customFormat="1" ht="17.25" customHeight="1">
      <c r="AB416" s="94"/>
    </row>
    <row r="417" spans="28:28" s="51" customFormat="1" ht="17.25" customHeight="1">
      <c r="AB417" s="94"/>
    </row>
    <row r="418" spans="28:28" s="51" customFormat="1" ht="17.25" customHeight="1">
      <c r="AB418" s="94"/>
    </row>
    <row r="419" spans="28:28" s="51" customFormat="1" ht="17.25" customHeight="1">
      <c r="AB419" s="94"/>
    </row>
    <row r="420" spans="28:28" s="51" customFormat="1" ht="17.25" customHeight="1">
      <c r="AB420" s="94"/>
    </row>
    <row r="421" spans="28:28" s="51" customFormat="1" ht="17.25" customHeight="1">
      <c r="AB421" s="94"/>
    </row>
    <row r="422" spans="28:28" s="51" customFormat="1" ht="17.25" customHeight="1">
      <c r="AB422" s="94"/>
    </row>
    <row r="423" spans="28:28" s="51" customFormat="1" ht="17.25" customHeight="1">
      <c r="AB423" s="94"/>
    </row>
    <row r="424" spans="28:28" s="51" customFormat="1" ht="17.25" customHeight="1">
      <c r="AB424" s="94"/>
    </row>
    <row r="425" spans="28:28" s="51" customFormat="1" ht="17.25" customHeight="1">
      <c r="AB425" s="94"/>
    </row>
    <row r="426" spans="28:28" s="51" customFormat="1" ht="17.25" customHeight="1">
      <c r="AB426" s="94"/>
    </row>
    <row r="427" spans="28:28" s="51" customFormat="1" ht="17.25" customHeight="1">
      <c r="AB427" s="94"/>
    </row>
    <row r="428" spans="28:28" s="51" customFormat="1" ht="17.25" customHeight="1">
      <c r="AB428" s="94"/>
    </row>
    <row r="429" spans="28:28" s="51" customFormat="1" ht="17.25" customHeight="1">
      <c r="AB429" s="94"/>
    </row>
    <row r="430" spans="28:28" s="51" customFormat="1" ht="17.25" customHeight="1">
      <c r="AB430" s="94"/>
    </row>
    <row r="431" spans="28:28" s="51" customFormat="1" ht="17.25" customHeight="1">
      <c r="AB431" s="94"/>
    </row>
    <row r="432" spans="28:28" s="51" customFormat="1" ht="17.25" customHeight="1">
      <c r="AB432" s="94"/>
    </row>
    <row r="433" spans="28:28" s="51" customFormat="1" ht="17.25" customHeight="1">
      <c r="AB433" s="94"/>
    </row>
    <row r="434" spans="28:28" s="51" customFormat="1" ht="17.25" customHeight="1">
      <c r="AB434" s="94"/>
    </row>
    <row r="435" spans="28:28" s="51" customFormat="1" ht="17.25" customHeight="1">
      <c r="AB435" s="94"/>
    </row>
    <row r="436" spans="28:28" s="51" customFormat="1" ht="17.25" customHeight="1">
      <c r="AB436" s="94"/>
    </row>
    <row r="437" spans="28:28" s="51" customFormat="1" ht="17.25" customHeight="1">
      <c r="AB437" s="94"/>
    </row>
    <row r="438" spans="28:28" s="51" customFormat="1" ht="17.25" customHeight="1">
      <c r="AB438" s="94"/>
    </row>
    <row r="439" spans="28:28" s="51" customFormat="1" ht="17.25" customHeight="1">
      <c r="AB439" s="94"/>
    </row>
    <row r="440" spans="28:28" s="51" customFormat="1" ht="17.25" customHeight="1">
      <c r="AB440" s="94"/>
    </row>
    <row r="441" spans="28:28" s="51" customFormat="1" ht="17.25" customHeight="1">
      <c r="AB441" s="94"/>
    </row>
    <row r="442" spans="28:28" s="51" customFormat="1" ht="17.25" customHeight="1">
      <c r="AB442" s="94"/>
    </row>
    <row r="443" spans="28:28" s="51" customFormat="1" ht="17.25" customHeight="1">
      <c r="AB443" s="94"/>
    </row>
    <row r="444" spans="28:28" s="51" customFormat="1" ht="17.25" customHeight="1">
      <c r="AB444" s="94"/>
    </row>
    <row r="445" spans="28:28" s="51" customFormat="1" ht="17.25" customHeight="1">
      <c r="AB445" s="94"/>
    </row>
    <row r="446" spans="28:28" s="51" customFormat="1" ht="17.25" customHeight="1">
      <c r="AB446" s="94"/>
    </row>
    <row r="447" spans="28:28" s="51" customFormat="1" ht="17.25" customHeight="1">
      <c r="AB447" s="94"/>
    </row>
    <row r="448" spans="28:28" s="51" customFormat="1" ht="17.25" customHeight="1">
      <c r="AB448" s="94"/>
    </row>
    <row r="449" spans="28:28" s="51" customFormat="1" ht="17.25" customHeight="1">
      <c r="AB449" s="94"/>
    </row>
    <row r="450" spans="28:28" s="51" customFormat="1" ht="17.25" customHeight="1">
      <c r="AB450" s="94"/>
    </row>
    <row r="451" spans="28:28" s="51" customFormat="1" ht="17.25" customHeight="1">
      <c r="AB451" s="94"/>
    </row>
    <row r="452" spans="28:28" s="51" customFormat="1" ht="17.25" customHeight="1">
      <c r="AB452" s="94"/>
    </row>
    <row r="453" spans="28:28" s="51" customFormat="1" ht="17.25" customHeight="1">
      <c r="AB453" s="94"/>
    </row>
    <row r="454" spans="28:28" s="51" customFormat="1" ht="17.25" customHeight="1">
      <c r="AB454" s="94"/>
    </row>
    <row r="455" spans="28:28" s="51" customFormat="1" ht="17.25" customHeight="1">
      <c r="AB455" s="94"/>
    </row>
    <row r="456" spans="28:28" s="51" customFormat="1" ht="17.25" customHeight="1">
      <c r="AB456" s="94"/>
    </row>
    <row r="457" spans="28:28" s="51" customFormat="1">
      <c r="AB457" s="94"/>
    </row>
    <row r="458" spans="28:28" s="51" customFormat="1">
      <c r="AB458" s="94"/>
    </row>
    <row r="459" spans="28:28" s="51" customFormat="1">
      <c r="AB459" s="94"/>
    </row>
    <row r="460" spans="28:28" s="51" customFormat="1">
      <c r="AB460" s="94"/>
    </row>
    <row r="461" spans="28:28" s="51" customFormat="1">
      <c r="AB461" s="94"/>
    </row>
    <row r="462" spans="28:28" s="51" customFormat="1">
      <c r="AB462" s="94"/>
    </row>
    <row r="463" spans="28:28" s="51" customFormat="1">
      <c r="AB463" s="94"/>
    </row>
    <row r="464" spans="28:28" s="51" customFormat="1">
      <c r="AB464" s="94"/>
    </row>
    <row r="465" spans="28:28" s="51" customFormat="1">
      <c r="AB465" s="94"/>
    </row>
    <row r="466" spans="28:28" s="51" customFormat="1">
      <c r="AB466" s="94"/>
    </row>
    <row r="467" spans="28:28" s="51" customFormat="1">
      <c r="AB467" s="94"/>
    </row>
    <row r="468" spans="28:28" s="51" customFormat="1">
      <c r="AB468" s="94"/>
    </row>
    <row r="469" spans="28:28" s="51" customFormat="1">
      <c r="AB469" s="94"/>
    </row>
    <row r="470" spans="28:28" s="51" customFormat="1">
      <c r="AB470" s="94"/>
    </row>
    <row r="471" spans="28:28" s="51" customFormat="1">
      <c r="AB471" s="94"/>
    </row>
    <row r="472" spans="28:28" s="51" customFormat="1">
      <c r="AB472" s="94"/>
    </row>
    <row r="473" spans="28:28" s="51" customFormat="1">
      <c r="AB473" s="94"/>
    </row>
    <row r="474" spans="28:28" s="51" customFormat="1">
      <c r="AB474" s="94"/>
    </row>
    <row r="475" spans="28:28" s="51" customFormat="1">
      <c r="AB475" s="94"/>
    </row>
    <row r="476" spans="28:28" s="51" customFormat="1">
      <c r="AB476" s="94"/>
    </row>
    <row r="477" spans="28:28" s="51" customFormat="1">
      <c r="AB477" s="94"/>
    </row>
    <row r="478" spans="28:28" s="51" customFormat="1">
      <c r="AB478" s="94"/>
    </row>
    <row r="479" spans="28:28" s="51" customFormat="1">
      <c r="AB479" s="94"/>
    </row>
    <row r="480" spans="28:28" s="51" customFormat="1">
      <c r="AB480" s="94"/>
    </row>
    <row r="481" spans="28:28" s="51" customFormat="1">
      <c r="AB481" s="94"/>
    </row>
    <row r="482" spans="28:28" s="51" customFormat="1">
      <c r="AB482" s="94"/>
    </row>
    <row r="483" spans="28:28" s="51" customFormat="1">
      <c r="AB483" s="94"/>
    </row>
    <row r="484" spans="28:28" s="51" customFormat="1">
      <c r="AB484" s="94"/>
    </row>
    <row r="485" spans="28:28" s="51" customFormat="1">
      <c r="AB485" s="94"/>
    </row>
    <row r="486" spans="28:28" s="51" customFormat="1">
      <c r="AB486" s="94"/>
    </row>
    <row r="487" spans="28:28" s="51" customFormat="1">
      <c r="AB487" s="94"/>
    </row>
    <row r="488" spans="28:28" s="51" customFormat="1">
      <c r="AB488" s="94"/>
    </row>
    <row r="489" spans="28:28" s="51" customFormat="1">
      <c r="AB489" s="94"/>
    </row>
    <row r="490" spans="28:28" s="51" customFormat="1">
      <c r="AB490" s="94"/>
    </row>
    <row r="491" spans="28:28" s="51" customFormat="1">
      <c r="AB491" s="94"/>
    </row>
    <row r="492" spans="28:28" s="51" customFormat="1">
      <c r="AB492" s="94"/>
    </row>
    <row r="493" spans="28:28" s="51" customFormat="1">
      <c r="AB493" s="94"/>
    </row>
    <row r="494" spans="28:28" s="51" customFormat="1">
      <c r="AB494" s="94"/>
    </row>
    <row r="495" spans="28:28" s="51" customFormat="1">
      <c r="AB495" s="94"/>
    </row>
    <row r="496" spans="28:28" s="51" customFormat="1">
      <c r="AB496" s="94"/>
    </row>
    <row r="497" spans="28:28" s="51" customFormat="1">
      <c r="AB497" s="94"/>
    </row>
    <row r="498" spans="28:28" s="51" customFormat="1">
      <c r="AB498" s="94"/>
    </row>
    <row r="499" spans="28:28" s="51" customFormat="1">
      <c r="AB499" s="94"/>
    </row>
    <row r="500" spans="28:28" s="51" customFormat="1">
      <c r="AB500" s="94"/>
    </row>
    <row r="501" spans="28:28" s="51" customFormat="1">
      <c r="AB501" s="94"/>
    </row>
    <row r="502" spans="28:28" s="51" customFormat="1">
      <c r="AB502" s="94"/>
    </row>
    <row r="503" spans="28:28" s="51" customFormat="1">
      <c r="AB503" s="94"/>
    </row>
    <row r="504" spans="28:28" s="51" customFormat="1">
      <c r="AB504" s="94"/>
    </row>
    <row r="505" spans="28:28" s="51" customFormat="1">
      <c r="AB505" s="94"/>
    </row>
    <row r="506" spans="28:28" s="51" customFormat="1">
      <c r="AB506" s="94"/>
    </row>
    <row r="507" spans="28:28" s="51" customFormat="1">
      <c r="AB507" s="94"/>
    </row>
    <row r="508" spans="28:28" s="51" customFormat="1">
      <c r="AB508" s="94"/>
    </row>
    <row r="509" spans="28:28" s="51" customFormat="1">
      <c r="AB509" s="94"/>
    </row>
    <row r="510" spans="28:28" s="51" customFormat="1">
      <c r="AB510" s="94"/>
    </row>
    <row r="511" spans="28:28" s="51" customFormat="1">
      <c r="AB511" s="94"/>
    </row>
    <row r="512" spans="28:28" s="51" customFormat="1">
      <c r="AB512" s="94"/>
    </row>
    <row r="513" spans="28:28" s="51" customFormat="1">
      <c r="AB513" s="94"/>
    </row>
    <row r="514" spans="28:28" s="51" customFormat="1">
      <c r="AB514" s="94"/>
    </row>
    <row r="515" spans="28:28" s="51" customFormat="1">
      <c r="AB515" s="94"/>
    </row>
    <row r="516" spans="28:28" s="51" customFormat="1">
      <c r="AB516" s="94"/>
    </row>
    <row r="517" spans="28:28" s="51" customFormat="1">
      <c r="AB517" s="94"/>
    </row>
    <row r="518" spans="28:28" s="51" customFormat="1">
      <c r="AB518" s="94"/>
    </row>
    <row r="519" spans="28:28" s="51" customFormat="1">
      <c r="AB519" s="94"/>
    </row>
    <row r="520" spans="28:28" s="51" customFormat="1">
      <c r="AB520" s="94"/>
    </row>
    <row r="521" spans="28:28" s="51" customFormat="1">
      <c r="AB521" s="94"/>
    </row>
    <row r="522" spans="28:28" s="51" customFormat="1">
      <c r="AB522" s="94"/>
    </row>
    <row r="523" spans="28:28" s="51" customFormat="1">
      <c r="AB523" s="94"/>
    </row>
    <row r="524" spans="28:28" s="51" customFormat="1">
      <c r="AB524" s="94"/>
    </row>
    <row r="525" spans="28:28" s="51" customFormat="1">
      <c r="AB525" s="94"/>
    </row>
    <row r="526" spans="28:28" s="51" customFormat="1">
      <c r="AB526" s="94"/>
    </row>
    <row r="527" spans="28:28" s="51" customFormat="1">
      <c r="AB527" s="94"/>
    </row>
    <row r="528" spans="28:28" s="51" customFormat="1">
      <c r="AB528" s="94"/>
    </row>
    <row r="529" spans="28:28" s="51" customFormat="1">
      <c r="AB529" s="94"/>
    </row>
    <row r="530" spans="28:28" s="51" customFormat="1">
      <c r="AB530" s="94"/>
    </row>
    <row r="531" spans="28:28" s="51" customFormat="1">
      <c r="AB531" s="94"/>
    </row>
    <row r="532" spans="28:28" s="51" customFormat="1">
      <c r="AB532" s="94"/>
    </row>
    <row r="533" spans="28:28" s="51" customFormat="1">
      <c r="AB533" s="94"/>
    </row>
    <row r="534" spans="28:28" s="51" customFormat="1">
      <c r="AB534" s="94"/>
    </row>
    <row r="535" spans="28:28" s="51" customFormat="1">
      <c r="AB535" s="94"/>
    </row>
    <row r="536" spans="28:28" s="51" customFormat="1">
      <c r="AB536" s="94"/>
    </row>
    <row r="537" spans="28:28" s="51" customFormat="1">
      <c r="AB537" s="94"/>
    </row>
    <row r="538" spans="28:28" s="51" customFormat="1">
      <c r="AB538" s="94"/>
    </row>
    <row r="539" spans="28:28" s="51" customFormat="1">
      <c r="AB539" s="94"/>
    </row>
    <row r="540" spans="28:28" s="51" customFormat="1">
      <c r="AB540" s="94"/>
    </row>
    <row r="541" spans="28:28" s="51" customFormat="1">
      <c r="AB541" s="94"/>
    </row>
    <row r="542" spans="28:28" s="51" customFormat="1">
      <c r="AB542" s="94"/>
    </row>
    <row r="543" spans="28:28" s="51" customFormat="1">
      <c r="AB543" s="94"/>
    </row>
    <row r="544" spans="28:28" s="51" customFormat="1">
      <c r="AB544" s="94"/>
    </row>
    <row r="545" spans="28:28" s="51" customFormat="1">
      <c r="AB545" s="94"/>
    </row>
    <row r="546" spans="28:28" s="51" customFormat="1">
      <c r="AB546" s="94"/>
    </row>
    <row r="547" spans="28:28" s="51" customFormat="1">
      <c r="AB547" s="94"/>
    </row>
    <row r="548" spans="28:28" s="51" customFormat="1">
      <c r="AB548" s="94"/>
    </row>
    <row r="549" spans="28:28" s="51" customFormat="1">
      <c r="AB549" s="94"/>
    </row>
    <row r="550" spans="28:28" s="51" customFormat="1">
      <c r="AB550" s="94"/>
    </row>
    <row r="551" spans="28:28" s="51" customFormat="1">
      <c r="AB551" s="94"/>
    </row>
    <row r="552" spans="28:28" s="51" customFormat="1">
      <c r="AB552" s="94"/>
    </row>
    <row r="553" spans="28:28" s="51" customFormat="1">
      <c r="AB553" s="94"/>
    </row>
    <row r="554" spans="28:28" s="51" customFormat="1">
      <c r="AB554" s="94"/>
    </row>
    <row r="555" spans="28:28" s="51" customFormat="1">
      <c r="AB555" s="94"/>
    </row>
    <row r="556" spans="28:28" s="51" customFormat="1">
      <c r="AB556" s="94"/>
    </row>
    <row r="557" spans="28:28" s="51" customFormat="1">
      <c r="AB557" s="94"/>
    </row>
    <row r="558" spans="28:28" s="51" customFormat="1">
      <c r="AB558" s="94"/>
    </row>
    <row r="559" spans="28:28" s="51" customFormat="1">
      <c r="AB559" s="94"/>
    </row>
    <row r="560" spans="28:28" s="51" customFormat="1">
      <c r="AB560" s="94"/>
    </row>
    <row r="561" spans="28:28" s="51" customFormat="1">
      <c r="AB561" s="94"/>
    </row>
    <row r="562" spans="28:28" s="51" customFormat="1">
      <c r="AB562" s="94"/>
    </row>
    <row r="563" spans="28:28" s="51" customFormat="1">
      <c r="AB563" s="94"/>
    </row>
    <row r="564" spans="28:28" s="51" customFormat="1">
      <c r="AB564" s="94"/>
    </row>
    <row r="565" spans="28:28" s="51" customFormat="1">
      <c r="AB565" s="94"/>
    </row>
    <row r="566" spans="28:28" s="51" customFormat="1">
      <c r="AB566" s="94"/>
    </row>
    <row r="567" spans="28:28" s="51" customFormat="1">
      <c r="AB567" s="94"/>
    </row>
    <row r="568" spans="28:28" s="51" customFormat="1">
      <c r="AB568" s="94"/>
    </row>
    <row r="569" spans="28:28" s="51" customFormat="1">
      <c r="AB569" s="94"/>
    </row>
    <row r="570" spans="28:28" s="51" customFormat="1">
      <c r="AB570" s="94"/>
    </row>
    <row r="571" spans="28:28" s="51" customFormat="1">
      <c r="AB571" s="94"/>
    </row>
    <row r="572" spans="28:28" s="51" customFormat="1">
      <c r="AB572" s="94"/>
    </row>
    <row r="573" spans="28:28" s="51" customFormat="1">
      <c r="AB573" s="94"/>
    </row>
    <row r="574" spans="28:28" s="51" customFormat="1">
      <c r="AB574" s="94"/>
    </row>
    <row r="575" spans="28:28" s="51" customFormat="1">
      <c r="AB575" s="94"/>
    </row>
    <row r="576" spans="28:28" s="51" customFormat="1">
      <c r="AB576" s="94"/>
    </row>
    <row r="577" spans="28:28" s="51" customFormat="1">
      <c r="AB577" s="94"/>
    </row>
    <row r="578" spans="28:28" s="51" customFormat="1">
      <c r="AB578" s="94"/>
    </row>
    <row r="579" spans="28:28" s="51" customFormat="1">
      <c r="AB579" s="94"/>
    </row>
    <row r="580" spans="28:28" s="51" customFormat="1">
      <c r="AB580" s="94"/>
    </row>
    <row r="581" spans="28:28" s="51" customFormat="1">
      <c r="AB581" s="94"/>
    </row>
    <row r="582" spans="28:28" s="51" customFormat="1">
      <c r="AB582" s="94"/>
    </row>
    <row r="583" spans="28:28" s="51" customFormat="1">
      <c r="AB583" s="94"/>
    </row>
    <row r="584" spans="28:28" s="51" customFormat="1">
      <c r="AB584" s="94"/>
    </row>
    <row r="585" spans="28:28" s="51" customFormat="1">
      <c r="AB585" s="94"/>
    </row>
    <row r="586" spans="28:28" s="51" customFormat="1">
      <c r="AB586" s="94"/>
    </row>
    <row r="587" spans="28:28" s="51" customFormat="1">
      <c r="AB587" s="94"/>
    </row>
    <row r="588" spans="28:28" s="51" customFormat="1">
      <c r="AB588" s="94"/>
    </row>
    <row r="589" spans="28:28" s="51" customFormat="1">
      <c r="AB589" s="94"/>
    </row>
    <row r="590" spans="28:28" s="51" customFormat="1">
      <c r="AB590" s="94"/>
    </row>
    <row r="591" spans="28:28" s="51" customFormat="1">
      <c r="AB591" s="94"/>
    </row>
    <row r="592" spans="28:28" s="51" customFormat="1">
      <c r="AB592" s="94"/>
    </row>
    <row r="593" spans="28:28" s="51" customFormat="1">
      <c r="AB593" s="94"/>
    </row>
    <row r="594" spans="28:28" s="51" customFormat="1">
      <c r="AB594" s="94"/>
    </row>
    <row r="595" spans="28:28" s="51" customFormat="1">
      <c r="AB595" s="94"/>
    </row>
    <row r="596" spans="28:28" s="51" customFormat="1">
      <c r="AB596" s="94"/>
    </row>
    <row r="597" spans="28:28" s="51" customFormat="1">
      <c r="AB597" s="94"/>
    </row>
    <row r="598" spans="28:28" s="51" customFormat="1">
      <c r="AB598" s="94"/>
    </row>
    <row r="599" spans="28:28" s="51" customFormat="1">
      <c r="AB599" s="94"/>
    </row>
    <row r="600" spans="28:28" s="51" customFormat="1">
      <c r="AB600" s="94"/>
    </row>
    <row r="601" spans="28:28" s="51" customFormat="1">
      <c r="AB601" s="94"/>
    </row>
    <row r="602" spans="28:28" s="51" customFormat="1">
      <c r="AB602" s="94"/>
    </row>
    <row r="603" spans="28:28" s="51" customFormat="1">
      <c r="AB603" s="94"/>
    </row>
    <row r="604" spans="28:28" s="51" customFormat="1">
      <c r="AB604" s="94"/>
    </row>
    <row r="605" spans="28:28" s="51" customFormat="1">
      <c r="AB605" s="94"/>
    </row>
    <row r="606" spans="28:28" s="51" customFormat="1">
      <c r="AB606" s="94"/>
    </row>
    <row r="607" spans="28:28" s="51" customFormat="1">
      <c r="AB607" s="94"/>
    </row>
    <row r="608" spans="28:28" s="51" customFormat="1">
      <c r="AB608" s="94"/>
    </row>
    <row r="609" spans="28:28" s="51" customFormat="1">
      <c r="AB609" s="94"/>
    </row>
    <row r="610" spans="28:28" s="51" customFormat="1">
      <c r="AB610" s="94"/>
    </row>
    <row r="611" spans="28:28" s="51" customFormat="1">
      <c r="AB611" s="94"/>
    </row>
    <row r="612" spans="28:28" s="51" customFormat="1">
      <c r="AB612" s="94"/>
    </row>
    <row r="613" spans="28:28" s="51" customFormat="1">
      <c r="AB613" s="94"/>
    </row>
    <row r="614" spans="28:28" s="51" customFormat="1">
      <c r="AB614" s="94"/>
    </row>
    <row r="615" spans="28:28" s="51" customFormat="1">
      <c r="AB615" s="94"/>
    </row>
    <row r="616" spans="28:28" s="51" customFormat="1">
      <c r="AB616" s="94"/>
    </row>
    <row r="617" spans="28:28" s="51" customFormat="1">
      <c r="AB617" s="94"/>
    </row>
    <row r="618" spans="28:28" s="51" customFormat="1">
      <c r="AB618" s="94"/>
    </row>
    <row r="619" spans="28:28" s="51" customFormat="1">
      <c r="AB619" s="94"/>
    </row>
    <row r="620" spans="28:28" s="51" customFormat="1">
      <c r="AB620" s="94"/>
    </row>
    <row r="621" spans="28:28" s="51" customFormat="1">
      <c r="AB621" s="94"/>
    </row>
    <row r="622" spans="28:28" s="51" customFormat="1">
      <c r="AB622" s="94"/>
    </row>
    <row r="623" spans="28:28" s="51" customFormat="1">
      <c r="AB623" s="94"/>
    </row>
    <row r="624" spans="28:28" s="51" customFormat="1">
      <c r="AB624" s="94"/>
    </row>
    <row r="625" spans="28:28" s="51" customFormat="1">
      <c r="AB625" s="94"/>
    </row>
    <row r="626" spans="28:28" s="51" customFormat="1">
      <c r="AB626" s="94"/>
    </row>
    <row r="627" spans="28:28" s="51" customFormat="1">
      <c r="AB627" s="94"/>
    </row>
    <row r="628" spans="28:28" s="51" customFormat="1">
      <c r="AB628" s="94"/>
    </row>
    <row r="629" spans="28:28" s="51" customFormat="1">
      <c r="AB629" s="94"/>
    </row>
    <row r="630" spans="28:28" s="51" customFormat="1">
      <c r="AB630" s="94"/>
    </row>
    <row r="631" spans="28:28" s="51" customFormat="1">
      <c r="AB631" s="94"/>
    </row>
    <row r="632" spans="28:28" s="51" customFormat="1">
      <c r="AB632" s="94"/>
    </row>
    <row r="633" spans="28:28" s="51" customFormat="1">
      <c r="AB633" s="94"/>
    </row>
    <row r="634" spans="28:28" s="51" customFormat="1">
      <c r="AB634" s="94"/>
    </row>
    <row r="635" spans="28:28" s="51" customFormat="1">
      <c r="AB635" s="94"/>
    </row>
    <row r="636" spans="28:28" s="51" customFormat="1">
      <c r="AB636" s="94"/>
    </row>
    <row r="637" spans="28:28" s="51" customFormat="1">
      <c r="AB637" s="94"/>
    </row>
    <row r="638" spans="28:28" s="51" customFormat="1">
      <c r="AB638" s="94"/>
    </row>
    <row r="639" spans="28:28" s="51" customFormat="1">
      <c r="AB639" s="94"/>
    </row>
    <row r="640" spans="28:28" s="51" customFormat="1">
      <c r="AB640" s="94"/>
    </row>
    <row r="641" spans="28:28" s="51" customFormat="1">
      <c r="AB641" s="94"/>
    </row>
    <row r="642" spans="28:28" s="51" customFormat="1">
      <c r="AB642" s="94"/>
    </row>
    <row r="643" spans="28:28" s="51" customFormat="1">
      <c r="AB643" s="94"/>
    </row>
    <row r="644" spans="28:28" s="51" customFormat="1">
      <c r="AB644" s="94"/>
    </row>
    <row r="645" spans="28:28" s="51" customFormat="1">
      <c r="AB645" s="94"/>
    </row>
    <row r="646" spans="28:28" s="51" customFormat="1">
      <c r="AB646" s="94"/>
    </row>
    <row r="647" spans="28:28" s="51" customFormat="1">
      <c r="AB647" s="94"/>
    </row>
    <row r="648" spans="28:28" s="51" customFormat="1">
      <c r="AB648" s="94"/>
    </row>
    <row r="649" spans="28:28" s="51" customFormat="1">
      <c r="AB649" s="94"/>
    </row>
    <row r="650" spans="28:28" s="51" customFormat="1">
      <c r="AB650" s="94"/>
    </row>
    <row r="651" spans="28:28" s="51" customFormat="1">
      <c r="AB651" s="94"/>
    </row>
    <row r="652" spans="28:28" s="51" customFormat="1">
      <c r="AB652" s="94"/>
    </row>
    <row r="653" spans="28:28" s="51" customFormat="1">
      <c r="AB653" s="94"/>
    </row>
    <row r="654" spans="28:28" s="51" customFormat="1">
      <c r="AB654" s="94"/>
    </row>
    <row r="655" spans="28:28" s="51" customFormat="1">
      <c r="AB655" s="94"/>
    </row>
    <row r="656" spans="28:28" s="51" customFormat="1">
      <c r="AB656" s="94"/>
    </row>
    <row r="657" spans="28:28" s="51" customFormat="1">
      <c r="AB657" s="94"/>
    </row>
    <row r="658" spans="28:28" s="51" customFormat="1">
      <c r="AB658" s="94"/>
    </row>
    <row r="659" spans="28:28" s="51" customFormat="1">
      <c r="AB659" s="94"/>
    </row>
    <row r="660" spans="28:28" s="51" customFormat="1">
      <c r="AB660" s="94"/>
    </row>
    <row r="661" spans="28:28" s="51" customFormat="1">
      <c r="AB661" s="94"/>
    </row>
    <row r="662" spans="28:28" s="51" customFormat="1">
      <c r="AB662" s="94"/>
    </row>
    <row r="663" spans="28:28" s="51" customFormat="1">
      <c r="AB663" s="94"/>
    </row>
    <row r="664" spans="28:28" s="51" customFormat="1">
      <c r="AB664" s="94"/>
    </row>
    <row r="665" spans="28:28" s="51" customFormat="1">
      <c r="AB665" s="94"/>
    </row>
    <row r="666" spans="28:28" s="51" customFormat="1">
      <c r="AB666" s="94"/>
    </row>
    <row r="667" spans="28:28" s="51" customFormat="1">
      <c r="AB667" s="94"/>
    </row>
    <row r="668" spans="28:28" s="51" customFormat="1">
      <c r="AB668" s="94"/>
    </row>
    <row r="669" spans="28:28" s="51" customFormat="1">
      <c r="AB669" s="94"/>
    </row>
    <row r="670" spans="28:28" s="51" customFormat="1">
      <c r="AB670" s="94"/>
    </row>
    <row r="671" spans="28:28" s="51" customFormat="1">
      <c r="AB671" s="94"/>
    </row>
    <row r="672" spans="28:28" s="51" customFormat="1">
      <c r="AB672" s="94"/>
    </row>
    <row r="673" spans="28:28" s="51" customFormat="1">
      <c r="AB673" s="94"/>
    </row>
    <row r="674" spans="28:28" s="51" customFormat="1">
      <c r="AB674" s="94"/>
    </row>
    <row r="675" spans="28:28" s="51" customFormat="1">
      <c r="AB675" s="94"/>
    </row>
    <row r="676" spans="28:28" s="51" customFormat="1">
      <c r="AB676" s="94"/>
    </row>
    <row r="677" spans="28:28" s="51" customFormat="1">
      <c r="AB677" s="94"/>
    </row>
    <row r="678" spans="28:28" s="51" customFormat="1">
      <c r="AB678" s="94"/>
    </row>
    <row r="679" spans="28:28" s="51" customFormat="1">
      <c r="AB679" s="94"/>
    </row>
    <row r="680" spans="28:28" s="51" customFormat="1">
      <c r="AB680" s="94"/>
    </row>
    <row r="681" spans="28:28" s="51" customFormat="1">
      <c r="AB681" s="94"/>
    </row>
    <row r="682" spans="28:28" s="51" customFormat="1">
      <c r="AB682" s="94"/>
    </row>
    <row r="683" spans="28:28" s="51" customFormat="1">
      <c r="AB683" s="94"/>
    </row>
    <row r="684" spans="28:28" s="51" customFormat="1">
      <c r="AB684" s="94"/>
    </row>
    <row r="685" spans="28:28" s="51" customFormat="1">
      <c r="AB685" s="94"/>
    </row>
    <row r="686" spans="28:28" s="51" customFormat="1">
      <c r="AB686" s="94"/>
    </row>
    <row r="687" spans="28:28" s="51" customFormat="1">
      <c r="AB687" s="94"/>
    </row>
    <row r="688" spans="28:28" s="51" customFormat="1">
      <c r="AB688" s="94"/>
    </row>
    <row r="689" spans="1:28" s="51" customFormat="1">
      <c r="AB689" s="94"/>
    </row>
    <row r="690" spans="1:28" s="51" customFormat="1">
      <c r="AB690" s="94"/>
    </row>
    <row r="691" spans="1:28" s="51" customFormat="1">
      <c r="AB691" s="94"/>
    </row>
    <row r="692" spans="1:28">
      <c r="A692" s="51"/>
      <c r="B692" s="51"/>
      <c r="C692" s="51"/>
      <c r="D692" s="51"/>
      <c r="E692" s="51"/>
      <c r="F692" s="51"/>
      <c r="G692" s="51"/>
      <c r="H692" s="51"/>
      <c r="I692" s="51"/>
      <c r="J692" s="51"/>
    </row>
    <row r="693" spans="1:28">
      <c r="A693" s="51"/>
      <c r="B693" s="51"/>
      <c r="C693" s="51"/>
      <c r="D693" s="51"/>
      <c r="E693" s="51"/>
      <c r="F693" s="51"/>
      <c r="G693" s="51"/>
      <c r="H693" s="51"/>
      <c r="I693" s="51"/>
      <c r="J693" s="51"/>
    </row>
    <row r="694" spans="1:28">
      <c r="A694" s="51"/>
      <c r="B694" s="51"/>
      <c r="C694" s="51"/>
      <c r="D694" s="51"/>
      <c r="E694" s="51"/>
      <c r="F694" s="51"/>
      <c r="G694" s="51"/>
      <c r="H694" s="51"/>
      <c r="I694" s="51"/>
      <c r="J694" s="51"/>
    </row>
    <row r="695" spans="1:28">
      <c r="J695" s="47"/>
    </row>
    <row r="696" spans="1:28">
      <c r="J696" s="47"/>
    </row>
    <row r="697" spans="1:28">
      <c r="J697" s="47"/>
    </row>
    <row r="698" spans="1:28">
      <c r="J698" s="47"/>
    </row>
    <row r="699" spans="1:28">
      <c r="J699" s="47"/>
    </row>
    <row r="700" spans="1:28">
      <c r="J700" s="47"/>
    </row>
    <row r="701" spans="1:28">
      <c r="J701" s="47"/>
    </row>
    <row r="702" spans="1:28">
      <c r="J702" s="47"/>
    </row>
    <row r="703" spans="1:28">
      <c r="J703" s="47"/>
    </row>
    <row r="704" spans="1:28">
      <c r="J704" s="47"/>
    </row>
    <row r="705" spans="10:10">
      <c r="J705" s="47"/>
    </row>
    <row r="706" spans="10:10">
      <c r="J706" s="47"/>
    </row>
    <row r="707" spans="10:10">
      <c r="J707" s="47"/>
    </row>
    <row r="708" spans="10:10">
      <c r="J708" s="47"/>
    </row>
    <row r="709" spans="10:10">
      <c r="J709" s="47"/>
    </row>
    <row r="710" spans="10:10">
      <c r="J710" s="47"/>
    </row>
    <row r="711" spans="10:10">
      <c r="J711" s="47"/>
    </row>
    <row r="712" spans="10:10">
      <c r="J712" s="47"/>
    </row>
    <row r="713" spans="10:10">
      <c r="J713" s="47"/>
    </row>
    <row r="714" spans="10:10">
      <c r="J714" s="47"/>
    </row>
    <row r="715" spans="10:10">
      <c r="J715" s="47"/>
    </row>
    <row r="716" spans="10:10">
      <c r="J716" s="47"/>
    </row>
    <row r="717" spans="10:10">
      <c r="J717" s="47"/>
    </row>
    <row r="718" spans="10:10">
      <c r="J718" s="47"/>
    </row>
    <row r="719" spans="10:10">
      <c r="J719" s="47"/>
    </row>
    <row r="720" spans="10:10">
      <c r="J720" s="47"/>
    </row>
    <row r="721" spans="10:10">
      <c r="J721" s="47"/>
    </row>
    <row r="722" spans="10:10">
      <c r="J722" s="47"/>
    </row>
    <row r="723" spans="10:10">
      <c r="J723" s="47"/>
    </row>
    <row r="724" spans="10:10">
      <c r="J724" s="47"/>
    </row>
    <row r="725" spans="10:10">
      <c r="J725" s="47"/>
    </row>
    <row r="726" spans="10:10">
      <c r="J726" s="47"/>
    </row>
    <row r="727" spans="10:10">
      <c r="J727" s="47"/>
    </row>
    <row r="728" spans="10:10">
      <c r="J728" s="47"/>
    </row>
    <row r="729" spans="10:10">
      <c r="J729" s="47"/>
    </row>
    <row r="730" spans="10:10">
      <c r="J730" s="47"/>
    </row>
    <row r="731" spans="10:10">
      <c r="J731" s="47"/>
    </row>
    <row r="732" spans="10:10">
      <c r="J732" s="47"/>
    </row>
    <row r="733" spans="10:10">
      <c r="J733" s="47"/>
    </row>
    <row r="734" spans="10:10">
      <c r="J734" s="47"/>
    </row>
    <row r="735" spans="10:10">
      <c r="J735" s="47"/>
    </row>
    <row r="736" spans="10:10">
      <c r="J736" s="47"/>
    </row>
    <row r="737" spans="10:10">
      <c r="J737" s="47"/>
    </row>
    <row r="738" spans="10:10">
      <c r="J738" s="47"/>
    </row>
    <row r="739" spans="10:10">
      <c r="J739" s="47"/>
    </row>
    <row r="740" spans="10:10">
      <c r="J740" s="47"/>
    </row>
    <row r="741" spans="10:10">
      <c r="J741" s="47"/>
    </row>
    <row r="742" spans="10:10">
      <c r="J742" s="47"/>
    </row>
    <row r="743" spans="10:10">
      <c r="J743" s="47"/>
    </row>
    <row r="744" spans="10:10">
      <c r="J744" s="47"/>
    </row>
    <row r="745" spans="10:10">
      <c r="J745" s="47"/>
    </row>
    <row r="746" spans="10:10">
      <c r="J746" s="47"/>
    </row>
    <row r="747" spans="10:10">
      <c r="J747" s="47"/>
    </row>
    <row r="748" spans="10:10">
      <c r="J748" s="47"/>
    </row>
    <row r="749" spans="10:10">
      <c r="J749" s="47"/>
    </row>
    <row r="750" spans="10:10">
      <c r="J750" s="47"/>
    </row>
    <row r="751" spans="10:10">
      <c r="J751" s="47"/>
    </row>
    <row r="752" spans="10:10">
      <c r="J752" s="47"/>
    </row>
    <row r="753" spans="10:10">
      <c r="J753" s="47"/>
    </row>
    <row r="754" spans="10:10">
      <c r="J754" s="47"/>
    </row>
    <row r="755" spans="10:10">
      <c r="J755" s="47"/>
    </row>
    <row r="756" spans="10:10">
      <c r="J756" s="47"/>
    </row>
    <row r="757" spans="10:10">
      <c r="J757" s="47"/>
    </row>
    <row r="758" spans="10:10">
      <c r="J758" s="47"/>
    </row>
    <row r="759" spans="10:10">
      <c r="J759" s="47"/>
    </row>
    <row r="760" spans="10:10">
      <c r="J760" s="47"/>
    </row>
    <row r="761" spans="10:10">
      <c r="J761" s="47"/>
    </row>
    <row r="762" spans="10:10">
      <c r="J762" s="47"/>
    </row>
    <row r="763" spans="10:10">
      <c r="J763" s="47"/>
    </row>
    <row r="764" spans="10:10">
      <c r="J764" s="47"/>
    </row>
    <row r="765" spans="10:10">
      <c r="J765" s="47"/>
    </row>
    <row r="766" spans="10:10">
      <c r="J766" s="47"/>
    </row>
    <row r="767" spans="10:10">
      <c r="J767" s="47"/>
    </row>
    <row r="768" spans="10:10">
      <c r="J768" s="47"/>
    </row>
    <row r="769" spans="10:10">
      <c r="J769" s="47"/>
    </row>
    <row r="770" spans="10:10">
      <c r="J770" s="47"/>
    </row>
    <row r="771" spans="10:10">
      <c r="J771" s="47"/>
    </row>
    <row r="772" spans="10:10">
      <c r="J772" s="47"/>
    </row>
    <row r="773" spans="10:10">
      <c r="J773" s="47"/>
    </row>
    <row r="774" spans="10:10">
      <c r="J774" s="47"/>
    </row>
    <row r="775" spans="10:10">
      <c r="J775" s="47"/>
    </row>
    <row r="776" spans="10:10">
      <c r="J776" s="47"/>
    </row>
    <row r="777" spans="10:10">
      <c r="J777" s="47"/>
    </row>
    <row r="778" spans="10:10">
      <c r="J778" s="47"/>
    </row>
    <row r="779" spans="10:10">
      <c r="J779" s="47"/>
    </row>
    <row r="780" spans="10:10">
      <c r="J780" s="47"/>
    </row>
    <row r="781" spans="10:10">
      <c r="J781" s="47"/>
    </row>
    <row r="782" spans="10:10">
      <c r="J782" s="47"/>
    </row>
    <row r="783" spans="10:10">
      <c r="J783" s="47"/>
    </row>
    <row r="784" spans="10:10">
      <c r="J784" s="47"/>
    </row>
    <row r="785" spans="10:10">
      <c r="J785" s="47"/>
    </row>
    <row r="786" spans="10:10">
      <c r="J786" s="47"/>
    </row>
    <row r="787" spans="10:10">
      <c r="J787" s="47"/>
    </row>
    <row r="788" spans="10:10">
      <c r="J788" s="47"/>
    </row>
    <row r="789" spans="10:10">
      <c r="J789" s="47"/>
    </row>
    <row r="790" spans="10:10">
      <c r="J790" s="47"/>
    </row>
    <row r="791" spans="10:10">
      <c r="J791" s="47"/>
    </row>
    <row r="792" spans="10:10">
      <c r="J792" s="47"/>
    </row>
    <row r="793" spans="10:10">
      <c r="J793" s="47"/>
    </row>
    <row r="794" spans="10:10">
      <c r="J794" s="47"/>
    </row>
    <row r="795" spans="10:10">
      <c r="J795" s="47"/>
    </row>
    <row r="796" spans="10:10">
      <c r="J796" s="47"/>
    </row>
    <row r="797" spans="10:10">
      <c r="J797" s="47"/>
    </row>
    <row r="798" spans="10:10">
      <c r="J798" s="47"/>
    </row>
    <row r="799" spans="10:10">
      <c r="J799" s="47"/>
    </row>
    <row r="800" spans="10:10">
      <c r="J800" s="47"/>
    </row>
    <row r="801" spans="10:10">
      <c r="J801" s="47"/>
    </row>
    <row r="802" spans="10:10">
      <c r="J802" s="47"/>
    </row>
    <row r="803" spans="10:10">
      <c r="J803" s="47"/>
    </row>
    <row r="804" spans="10:10">
      <c r="J804" s="47"/>
    </row>
    <row r="805" spans="10:10">
      <c r="J805" s="47"/>
    </row>
    <row r="806" spans="10:10">
      <c r="J806" s="47"/>
    </row>
    <row r="807" spans="10:10">
      <c r="J807" s="47"/>
    </row>
    <row r="808" spans="10:10">
      <c r="J808" s="47"/>
    </row>
    <row r="809" spans="10:10">
      <c r="J809" s="47"/>
    </row>
    <row r="810" spans="10:10">
      <c r="J810" s="47"/>
    </row>
    <row r="811" spans="10:10">
      <c r="J811" s="47"/>
    </row>
    <row r="812" spans="10:10">
      <c r="J812" s="47"/>
    </row>
    <row r="813" spans="10:10">
      <c r="J813" s="47"/>
    </row>
    <row r="814" spans="10:10">
      <c r="J814" s="47"/>
    </row>
    <row r="815" spans="10:10">
      <c r="J815" s="47"/>
    </row>
    <row r="816" spans="10:10">
      <c r="J816" s="47"/>
    </row>
    <row r="817" spans="10:10">
      <c r="J817" s="47"/>
    </row>
    <row r="818" spans="10:10">
      <c r="J818" s="47"/>
    </row>
    <row r="819" spans="10:10">
      <c r="J819" s="47"/>
    </row>
    <row r="820" spans="10:10">
      <c r="J820" s="47"/>
    </row>
    <row r="821" spans="10:10">
      <c r="J821" s="47"/>
    </row>
    <row r="822" spans="10:10">
      <c r="J822" s="47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Input!M46</f>
        <v>198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Input!N45/2/1000</f>
        <v>0.125</v>
      </c>
      <c r="B18" s="113"/>
      <c r="C18" s="114"/>
    </row>
    <row r="19" spans="1:3">
      <c r="A19" s="113">
        <f>Input!M44/2/1000</f>
        <v>0.125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5</v>
      </c>
      <c r="B23" s="113"/>
      <c r="C23" s="114"/>
    </row>
    <row r="24" spans="1:3">
      <c r="A24" s="115">
        <v>0</v>
      </c>
      <c r="B24" s="115">
        <f>Input!D3</f>
        <v>94</v>
      </c>
      <c r="C24" s="114"/>
    </row>
    <row r="25" spans="1:3">
      <c r="A25" s="115">
        <f>StepTest!D31</f>
        <v>120</v>
      </c>
      <c r="B25" s="115">
        <f>Input!D4</f>
        <v>120</v>
      </c>
      <c r="C25" s="114"/>
    </row>
    <row r="26" spans="1:3">
      <c r="A26" s="115">
        <f>StepTest!D36</f>
        <v>240</v>
      </c>
      <c r="B26" s="115">
        <f>Input!D5</f>
        <v>146.19999999999999</v>
      </c>
      <c r="C26" s="114"/>
    </row>
    <row r="27" spans="1:3">
      <c r="A27" s="115">
        <f>StepTest!D41</f>
        <v>360</v>
      </c>
      <c r="B27" s="115">
        <f>Input!D6</f>
        <v>172</v>
      </c>
      <c r="C27" s="114"/>
    </row>
    <row r="28" spans="1:3">
      <c r="A28" s="115">
        <f>StepTest!D46</f>
        <v>480</v>
      </c>
      <c r="B28" s="115">
        <f>Input!D7</f>
        <v>197.79999999999998</v>
      </c>
      <c r="C28" s="114"/>
    </row>
    <row r="29" spans="1:3">
      <c r="A29" s="113" t="s">
        <v>200</v>
      </c>
      <c r="B29" s="113"/>
      <c r="C29" s="114"/>
    </row>
    <row r="30" spans="1:3">
      <c r="A30" s="113" t="str">
        <f>A15</f>
        <v>W-1</v>
      </c>
      <c r="B30" s="113"/>
      <c r="C30" s="114"/>
    </row>
    <row r="31" spans="1:3">
      <c r="A31" s="116">
        <f>A19</f>
        <v>0.125</v>
      </c>
      <c r="B31" s="113"/>
      <c r="C31" s="114"/>
    </row>
    <row r="32" spans="1:3">
      <c r="A32" s="113">
        <v>0</v>
      </c>
      <c r="B32" s="113"/>
      <c r="C32" s="114"/>
    </row>
    <row r="33" spans="1:3">
      <c r="A33" s="113">
        <v>0</v>
      </c>
      <c r="B33" s="113"/>
      <c r="C33" s="114"/>
    </row>
    <row r="34" spans="1:3">
      <c r="A34" s="115">
        <f>SUM(C35:C134)</f>
        <v>100</v>
      </c>
      <c r="B34" s="113"/>
      <c r="C34" s="114"/>
    </row>
    <row r="35" spans="1:3">
      <c r="A35" s="113">
        <f>Sheet1!A1</f>
        <v>1</v>
      </c>
      <c r="B35" s="114">
        <f>Sheet1!B1</f>
        <v>1.45</v>
      </c>
      <c r="C35" s="115">
        <v>1</v>
      </c>
    </row>
    <row r="36" spans="1:3">
      <c r="A36" s="113">
        <f>Sheet1!A2</f>
        <v>2</v>
      </c>
      <c r="B36" s="114">
        <f>Sheet1!B2</f>
        <v>2.78</v>
      </c>
      <c r="C36" s="115">
        <v>1</v>
      </c>
    </row>
    <row r="37" spans="1:3">
      <c r="A37" s="113">
        <f>Sheet1!A3</f>
        <v>3</v>
      </c>
      <c r="B37" s="114">
        <f>Sheet1!B3</f>
        <v>3.83</v>
      </c>
      <c r="C37" s="115">
        <v>1</v>
      </c>
    </row>
    <row r="38" spans="1:3">
      <c r="A38" s="113">
        <f>Sheet1!A4</f>
        <v>4</v>
      </c>
      <c r="B38" s="114">
        <f>Sheet1!B4</f>
        <v>4.57</v>
      </c>
      <c r="C38" s="115">
        <v>1</v>
      </c>
    </row>
    <row r="39" spans="1:3">
      <c r="A39" s="113">
        <f>Sheet1!A5</f>
        <v>5</v>
      </c>
      <c r="B39" s="114">
        <f>Sheet1!B5</f>
        <v>5.14</v>
      </c>
      <c r="C39" s="115">
        <v>1</v>
      </c>
    </row>
    <row r="40" spans="1:3">
      <c r="A40" s="113">
        <f>Sheet1!A6</f>
        <v>10</v>
      </c>
      <c r="B40" s="114">
        <f>Sheet1!B6</f>
        <v>6.92</v>
      </c>
      <c r="C40" s="115">
        <v>1</v>
      </c>
    </row>
    <row r="41" spans="1:3">
      <c r="A41" s="113">
        <f>Sheet1!A7</f>
        <v>15</v>
      </c>
      <c r="B41" s="114">
        <f>Sheet1!B7</f>
        <v>7.96</v>
      </c>
      <c r="C41" s="115">
        <v>1</v>
      </c>
    </row>
    <row r="42" spans="1:3">
      <c r="A42" s="113">
        <f>Sheet1!A8</f>
        <v>20</v>
      </c>
      <c r="B42" s="114">
        <f>Sheet1!B8</f>
        <v>8.6999999999999993</v>
      </c>
      <c r="C42" s="115">
        <v>1</v>
      </c>
    </row>
    <row r="43" spans="1:3">
      <c r="A43" s="113">
        <f>Sheet1!A9</f>
        <v>25</v>
      </c>
      <c r="B43" s="114">
        <f>Sheet1!B9</f>
        <v>9.27</v>
      </c>
      <c r="C43" s="115">
        <v>1</v>
      </c>
    </row>
    <row r="44" spans="1:3">
      <c r="A44" s="113">
        <f>Sheet1!A10</f>
        <v>30</v>
      </c>
      <c r="B44" s="114">
        <f>Sheet1!B10</f>
        <v>9.74</v>
      </c>
      <c r="C44" s="115">
        <v>1</v>
      </c>
    </row>
    <row r="45" spans="1:3">
      <c r="A45" s="113">
        <f>Sheet1!A11</f>
        <v>35</v>
      </c>
      <c r="B45" s="114">
        <f>Sheet1!B11</f>
        <v>10.14</v>
      </c>
      <c r="C45" s="115">
        <v>1</v>
      </c>
    </row>
    <row r="46" spans="1:3">
      <c r="A46" s="113">
        <f>Sheet1!A12</f>
        <v>40</v>
      </c>
      <c r="B46" s="114">
        <f>Sheet1!B12</f>
        <v>10.48</v>
      </c>
      <c r="C46" s="115">
        <v>1</v>
      </c>
    </row>
    <row r="47" spans="1:3">
      <c r="A47" s="113">
        <f>Sheet1!A13</f>
        <v>45</v>
      </c>
      <c r="B47" s="114">
        <f>Sheet1!B13</f>
        <v>10.78</v>
      </c>
      <c r="C47" s="115">
        <v>1</v>
      </c>
    </row>
    <row r="48" spans="1:3">
      <c r="A48" s="113">
        <f>Sheet1!A14</f>
        <v>50</v>
      </c>
      <c r="B48" s="114">
        <f>Sheet1!B14</f>
        <v>11.06</v>
      </c>
      <c r="C48" s="115">
        <v>1</v>
      </c>
    </row>
    <row r="49" spans="1:3">
      <c r="A49" s="113">
        <f>Sheet1!A15</f>
        <v>55</v>
      </c>
      <c r="B49" s="114">
        <f>Sheet1!B15</f>
        <v>11.3</v>
      </c>
      <c r="C49" s="115">
        <v>1</v>
      </c>
    </row>
    <row r="50" spans="1:3">
      <c r="A50" s="113">
        <f>Sheet1!A16</f>
        <v>60</v>
      </c>
      <c r="B50" s="114">
        <f>Sheet1!B16</f>
        <v>11.52</v>
      </c>
      <c r="C50" s="115">
        <v>1</v>
      </c>
    </row>
    <row r="51" spans="1:3">
      <c r="A51" s="113">
        <f>Sheet1!A17</f>
        <v>75</v>
      </c>
      <c r="B51" s="114">
        <f>Sheet1!B17</f>
        <v>12.1</v>
      </c>
      <c r="C51" s="115">
        <v>1</v>
      </c>
    </row>
    <row r="52" spans="1:3">
      <c r="A52" s="113">
        <f>Sheet1!A18</f>
        <v>90</v>
      </c>
      <c r="B52" s="114">
        <f>Sheet1!B18</f>
        <v>12.57</v>
      </c>
      <c r="C52" s="115">
        <v>1</v>
      </c>
    </row>
    <row r="53" spans="1:3">
      <c r="A53" s="113">
        <f>Sheet1!A19</f>
        <v>105</v>
      </c>
      <c r="B53" s="114">
        <f>Sheet1!B19</f>
        <v>12.96</v>
      </c>
      <c r="C53" s="115">
        <v>1</v>
      </c>
    </row>
    <row r="54" spans="1:3">
      <c r="A54" s="113">
        <f>Sheet1!A20</f>
        <v>120</v>
      </c>
      <c r="B54" s="114">
        <f>Sheet1!B20</f>
        <v>13.31</v>
      </c>
      <c r="C54" s="115">
        <v>1</v>
      </c>
    </row>
    <row r="55" spans="1:3">
      <c r="A55" s="113">
        <f>Sheet1!A21</f>
        <v>121</v>
      </c>
      <c r="B55" s="114">
        <f>Sheet1!B21</f>
        <v>13.47</v>
      </c>
      <c r="C55" s="115">
        <v>1</v>
      </c>
    </row>
    <row r="56" spans="1:3">
      <c r="A56" s="113">
        <f>Sheet1!A22</f>
        <v>122</v>
      </c>
      <c r="B56" s="114">
        <f>Sheet1!B22</f>
        <v>13.620000000000001</v>
      </c>
      <c r="C56" s="115">
        <v>1</v>
      </c>
    </row>
    <row r="57" spans="1:3">
      <c r="A57" s="113">
        <f>Sheet1!A23</f>
        <v>123</v>
      </c>
      <c r="B57" s="114">
        <f>Sheet1!B23</f>
        <v>13.760000000000002</v>
      </c>
      <c r="C57" s="115">
        <v>1</v>
      </c>
    </row>
    <row r="58" spans="1:3">
      <c r="A58" s="113">
        <f>Sheet1!A24</f>
        <v>124</v>
      </c>
      <c r="B58" s="114">
        <f>Sheet1!B24</f>
        <v>13.890000000000002</v>
      </c>
      <c r="C58" s="115">
        <v>1</v>
      </c>
    </row>
    <row r="59" spans="1:3">
      <c r="A59" s="113">
        <f>Sheet1!A25</f>
        <v>125</v>
      </c>
      <c r="B59" s="114">
        <f>Sheet1!B25</f>
        <v>14.020000000000003</v>
      </c>
      <c r="C59" s="115">
        <v>1</v>
      </c>
    </row>
    <row r="60" spans="1:3">
      <c r="A60" s="113">
        <f>Sheet1!A26</f>
        <v>130</v>
      </c>
      <c r="B60" s="114">
        <f>Sheet1!B26</f>
        <v>15.96</v>
      </c>
      <c r="C60" s="115">
        <v>1</v>
      </c>
    </row>
    <row r="61" spans="1:3">
      <c r="A61" s="113">
        <f>Sheet1!A27</f>
        <v>135</v>
      </c>
      <c r="B61" s="114">
        <f>Sheet1!B27</f>
        <v>16.07</v>
      </c>
      <c r="C61" s="115">
        <v>1</v>
      </c>
    </row>
    <row r="62" spans="1:3">
      <c r="A62" s="113">
        <f>Sheet1!A28</f>
        <v>140</v>
      </c>
      <c r="B62" s="114">
        <f>Sheet1!B28</f>
        <v>16.41</v>
      </c>
      <c r="C62" s="115">
        <v>1</v>
      </c>
    </row>
    <row r="63" spans="1:3">
      <c r="A63" s="113">
        <f>Sheet1!A29</f>
        <v>145</v>
      </c>
      <c r="B63" s="114">
        <f>Sheet1!B29</f>
        <v>16.510000000000002</v>
      </c>
      <c r="C63" s="115">
        <v>1</v>
      </c>
    </row>
    <row r="64" spans="1:3">
      <c r="A64" s="113">
        <f>Sheet1!A30</f>
        <v>150</v>
      </c>
      <c r="B64" s="114">
        <f>Sheet1!B30</f>
        <v>16.850000000000001</v>
      </c>
      <c r="C64" s="115">
        <v>1</v>
      </c>
    </row>
    <row r="65" spans="1:3">
      <c r="A65" s="113">
        <f>Sheet1!A31</f>
        <v>155</v>
      </c>
      <c r="B65" s="114">
        <f>Sheet1!B31</f>
        <v>16.91</v>
      </c>
      <c r="C65" s="115">
        <v>1</v>
      </c>
    </row>
    <row r="66" spans="1:3">
      <c r="A66" s="113">
        <f>Sheet1!A32</f>
        <v>160</v>
      </c>
      <c r="B66" s="114">
        <f>Sheet1!B32</f>
        <v>16.96</v>
      </c>
      <c r="C66" s="115">
        <v>1</v>
      </c>
    </row>
    <row r="67" spans="1:3">
      <c r="A67" s="113">
        <f>Sheet1!A33</f>
        <v>165</v>
      </c>
      <c r="B67" s="114">
        <f>Sheet1!B33</f>
        <v>17</v>
      </c>
      <c r="C67" s="115">
        <v>1</v>
      </c>
    </row>
    <row r="68" spans="1:3">
      <c r="A68" s="113">
        <f>Sheet1!A34</f>
        <v>170</v>
      </c>
      <c r="B68" s="114">
        <f>Sheet1!B34</f>
        <v>17.03</v>
      </c>
      <c r="C68" s="115">
        <v>1</v>
      </c>
    </row>
    <row r="69" spans="1:3">
      <c r="A69" s="113">
        <f>Sheet1!A35</f>
        <v>175</v>
      </c>
      <c r="B69" s="114">
        <f>Sheet1!B35</f>
        <v>17.05</v>
      </c>
      <c r="C69" s="115">
        <v>1</v>
      </c>
    </row>
    <row r="70" spans="1:3">
      <c r="A70" s="113">
        <f>Sheet1!A36</f>
        <v>180</v>
      </c>
      <c r="B70" s="114">
        <f>Sheet1!B36</f>
        <v>17.29</v>
      </c>
      <c r="C70" s="115">
        <v>1</v>
      </c>
    </row>
    <row r="71" spans="1:3">
      <c r="A71" s="113">
        <f>Sheet1!A37</f>
        <v>195</v>
      </c>
      <c r="B71" s="114">
        <f>Sheet1!B37</f>
        <v>17.36</v>
      </c>
      <c r="C71" s="115">
        <v>1</v>
      </c>
    </row>
    <row r="72" spans="1:3">
      <c r="A72" s="113">
        <f>Sheet1!A38</f>
        <v>210</v>
      </c>
      <c r="B72" s="114">
        <f>Sheet1!B38</f>
        <v>17.419999999999998</v>
      </c>
      <c r="C72" s="115">
        <v>1</v>
      </c>
    </row>
    <row r="73" spans="1:3">
      <c r="A73" s="113">
        <f>Sheet1!A39</f>
        <v>225</v>
      </c>
      <c r="B73" s="114">
        <f>Sheet1!B39</f>
        <v>17.47</v>
      </c>
      <c r="C73" s="115">
        <v>1</v>
      </c>
    </row>
    <row r="74" spans="1:3">
      <c r="A74" s="113">
        <f>Sheet1!A40</f>
        <v>240</v>
      </c>
      <c r="B74" s="114">
        <f>Sheet1!B40</f>
        <v>17.739999999999998</v>
      </c>
      <c r="C74" s="115">
        <v>1</v>
      </c>
    </row>
    <row r="75" spans="1:3">
      <c r="A75" s="113">
        <f>Sheet1!A41</f>
        <v>241</v>
      </c>
      <c r="B75" s="114">
        <f>Sheet1!B41</f>
        <v>17.919999999999998</v>
      </c>
      <c r="C75" s="115">
        <v>1</v>
      </c>
    </row>
    <row r="76" spans="1:3">
      <c r="A76" s="113">
        <f>Sheet1!A42</f>
        <v>242</v>
      </c>
      <c r="B76" s="114">
        <f>Sheet1!B42</f>
        <v>18.079999999999998</v>
      </c>
      <c r="C76" s="115">
        <v>1</v>
      </c>
    </row>
    <row r="77" spans="1:3">
      <c r="A77" s="113">
        <f>Sheet1!A43</f>
        <v>243</v>
      </c>
      <c r="B77" s="114">
        <f>Sheet1!B43</f>
        <v>18.229999999999997</v>
      </c>
      <c r="C77" s="115">
        <v>1</v>
      </c>
    </row>
    <row r="78" spans="1:3">
      <c r="A78" s="113">
        <f>Sheet1!A44</f>
        <v>244</v>
      </c>
      <c r="B78" s="114">
        <f>Sheet1!B44</f>
        <v>18.369999999999997</v>
      </c>
      <c r="C78" s="115">
        <v>1</v>
      </c>
    </row>
    <row r="79" spans="1:3">
      <c r="A79" s="113">
        <f>Sheet1!A45</f>
        <v>245</v>
      </c>
      <c r="B79" s="114">
        <f>Sheet1!B45</f>
        <v>18.499999999999996</v>
      </c>
      <c r="C79" s="115">
        <v>1</v>
      </c>
    </row>
    <row r="80" spans="1:3">
      <c r="A80" s="113">
        <f>Sheet1!A46</f>
        <v>250</v>
      </c>
      <c r="B80" s="114">
        <f>Sheet1!B46</f>
        <v>20.74</v>
      </c>
      <c r="C80" s="115">
        <v>1</v>
      </c>
    </row>
    <row r="81" spans="1:3">
      <c r="A81" s="113">
        <f>Sheet1!A47</f>
        <v>255</v>
      </c>
      <c r="B81" s="114">
        <f>Sheet1!B47</f>
        <v>20.849999999999998</v>
      </c>
      <c r="C81" s="115">
        <v>1</v>
      </c>
    </row>
    <row r="82" spans="1:3">
      <c r="A82" s="113">
        <f>Sheet1!A48</f>
        <v>260</v>
      </c>
      <c r="B82" s="114">
        <f>Sheet1!B48</f>
        <v>21.24</v>
      </c>
      <c r="C82" s="115">
        <v>1</v>
      </c>
    </row>
    <row r="83" spans="1:3">
      <c r="A83" s="113">
        <f>Sheet1!A49</f>
        <v>265</v>
      </c>
      <c r="B83" s="114">
        <f>Sheet1!B49</f>
        <v>21.349999999999998</v>
      </c>
      <c r="C83" s="115">
        <v>1</v>
      </c>
    </row>
    <row r="84" spans="1:3">
      <c r="A84" s="113">
        <f>Sheet1!A50</f>
        <v>270</v>
      </c>
      <c r="B84" s="114">
        <f>Sheet1!B50</f>
        <v>21.74</v>
      </c>
      <c r="C84" s="115">
        <v>1</v>
      </c>
    </row>
    <row r="85" spans="1:3">
      <c r="A85" s="113">
        <f>Sheet1!A51</f>
        <v>275</v>
      </c>
      <c r="B85" s="114">
        <f>Sheet1!B51</f>
        <v>21.81</v>
      </c>
      <c r="C85" s="115">
        <v>1</v>
      </c>
    </row>
    <row r="86" spans="1:3">
      <c r="A86" s="113">
        <f>Sheet1!A52</f>
        <v>280</v>
      </c>
      <c r="B86" s="114">
        <f>Sheet1!B52</f>
        <v>21.86</v>
      </c>
      <c r="C86" s="115">
        <v>1</v>
      </c>
    </row>
    <row r="87" spans="1:3">
      <c r="A87" s="113">
        <f>Sheet1!A53</f>
        <v>285</v>
      </c>
      <c r="B87" s="114">
        <f>Sheet1!B53</f>
        <v>21.9</v>
      </c>
      <c r="C87" s="115">
        <v>1</v>
      </c>
    </row>
    <row r="88" spans="1:3">
      <c r="A88" s="113">
        <f>Sheet1!A54</f>
        <v>290</v>
      </c>
      <c r="B88" s="114">
        <f>Sheet1!B54</f>
        <v>21.93</v>
      </c>
      <c r="C88" s="115">
        <v>1</v>
      </c>
    </row>
    <row r="89" spans="1:3">
      <c r="A89" s="113">
        <f>Sheet1!A55</f>
        <v>295</v>
      </c>
      <c r="B89" s="114">
        <f>Sheet1!B55</f>
        <v>21.95</v>
      </c>
      <c r="C89" s="115">
        <v>1</v>
      </c>
    </row>
    <row r="90" spans="1:3">
      <c r="A90" s="113">
        <f>Sheet1!A56</f>
        <v>300</v>
      </c>
      <c r="B90" s="114">
        <f>Sheet1!B56</f>
        <v>22.24</v>
      </c>
      <c r="C90" s="115">
        <v>1</v>
      </c>
    </row>
    <row r="91" spans="1:3">
      <c r="A91" s="113">
        <f>Sheet1!A57</f>
        <v>315</v>
      </c>
      <c r="B91" s="114">
        <f>Sheet1!B57</f>
        <v>22.319999999999997</v>
      </c>
      <c r="C91" s="115">
        <v>1</v>
      </c>
    </row>
    <row r="92" spans="1:3">
      <c r="A92" s="113">
        <f>Sheet1!A58</f>
        <v>330</v>
      </c>
      <c r="B92" s="114">
        <f>Sheet1!B58</f>
        <v>22.379999999999995</v>
      </c>
      <c r="C92" s="115">
        <v>1</v>
      </c>
    </row>
    <row r="93" spans="1:3">
      <c r="A93" s="113">
        <f>Sheet1!A59</f>
        <v>345</v>
      </c>
      <c r="B93" s="114">
        <f>Sheet1!B59</f>
        <v>22.429999999999996</v>
      </c>
      <c r="C93" s="115">
        <v>1</v>
      </c>
    </row>
    <row r="94" spans="1:3">
      <c r="A94" s="113">
        <f>Sheet1!A60</f>
        <v>360</v>
      </c>
      <c r="B94" s="114">
        <f>Sheet1!B60</f>
        <v>22.74</v>
      </c>
      <c r="C94" s="115">
        <v>1</v>
      </c>
    </row>
    <row r="95" spans="1:3">
      <c r="A95" s="113">
        <f>Sheet1!A61</f>
        <v>361</v>
      </c>
      <c r="B95" s="114">
        <f>Sheet1!B61</f>
        <v>22.93</v>
      </c>
      <c r="C95" s="115">
        <v>1</v>
      </c>
    </row>
    <row r="96" spans="1:3">
      <c r="A96" s="113">
        <f>Sheet1!A62</f>
        <v>362</v>
      </c>
      <c r="B96" s="114">
        <f>Sheet1!B62</f>
        <v>23.1</v>
      </c>
      <c r="C96" s="115">
        <v>1</v>
      </c>
    </row>
    <row r="97" spans="1:3">
      <c r="A97" s="113">
        <f>Sheet1!A63</f>
        <v>363</v>
      </c>
      <c r="B97" s="114">
        <f>Sheet1!B63</f>
        <v>23.26</v>
      </c>
      <c r="C97" s="115">
        <v>1</v>
      </c>
    </row>
    <row r="98" spans="1:3">
      <c r="A98" s="113">
        <f>Sheet1!A64</f>
        <v>364</v>
      </c>
      <c r="B98" s="114">
        <f>Sheet1!B64</f>
        <v>23.41</v>
      </c>
      <c r="C98" s="115">
        <v>1</v>
      </c>
    </row>
    <row r="99" spans="1:3">
      <c r="A99" s="113">
        <f>Sheet1!A65</f>
        <v>365</v>
      </c>
      <c r="B99" s="114">
        <f>Sheet1!B65</f>
        <v>23.55</v>
      </c>
      <c r="C99" s="115">
        <v>1</v>
      </c>
    </row>
    <row r="100" spans="1:3">
      <c r="A100" s="113">
        <f>Sheet1!A66</f>
        <v>370</v>
      </c>
      <c r="B100" s="114">
        <f>Sheet1!B66</f>
        <v>26.07</v>
      </c>
      <c r="C100" s="115">
        <v>1</v>
      </c>
    </row>
    <row r="101" spans="1:3">
      <c r="A101" s="113">
        <f>Sheet1!A67</f>
        <v>375</v>
      </c>
      <c r="B101" s="114">
        <f>Sheet1!B67</f>
        <v>26.19</v>
      </c>
      <c r="C101" s="115">
        <v>1</v>
      </c>
    </row>
    <row r="102" spans="1:3">
      <c r="A102" s="113">
        <f>Sheet1!A68</f>
        <v>380</v>
      </c>
      <c r="B102" s="114">
        <f>Sheet1!B68</f>
        <v>26.63</v>
      </c>
      <c r="C102" s="115">
        <v>1</v>
      </c>
    </row>
    <row r="103" spans="1:3">
      <c r="A103" s="113">
        <f>Sheet1!A69</f>
        <v>385</v>
      </c>
      <c r="B103" s="114">
        <f>Sheet1!B69</f>
        <v>26.75</v>
      </c>
      <c r="C103" s="115">
        <v>1</v>
      </c>
    </row>
    <row r="104" spans="1:3">
      <c r="A104" s="113">
        <f>Sheet1!A70</f>
        <v>390</v>
      </c>
      <c r="B104" s="114">
        <f>Sheet1!B70</f>
        <v>27.18</v>
      </c>
      <c r="C104" s="115">
        <v>1</v>
      </c>
    </row>
    <row r="105" spans="1:3">
      <c r="A105" s="113">
        <f>Sheet1!A71</f>
        <v>395</v>
      </c>
      <c r="B105" s="114">
        <f>Sheet1!B71</f>
        <v>27.25</v>
      </c>
      <c r="C105" s="115">
        <v>1</v>
      </c>
    </row>
    <row r="106" spans="1:3">
      <c r="A106" s="113">
        <f>Sheet1!A72</f>
        <v>400</v>
      </c>
      <c r="B106" s="114">
        <f>Sheet1!B72</f>
        <v>27.3</v>
      </c>
      <c r="C106" s="115">
        <v>1</v>
      </c>
    </row>
    <row r="107" spans="1:3">
      <c r="A107" s="113">
        <f>Sheet1!A73</f>
        <v>405</v>
      </c>
      <c r="B107" s="114">
        <f>Sheet1!B73</f>
        <v>27.34</v>
      </c>
      <c r="C107" s="115">
        <v>1</v>
      </c>
    </row>
    <row r="108" spans="1:3">
      <c r="A108" s="113">
        <f>Sheet1!A74</f>
        <v>410</v>
      </c>
      <c r="B108" s="114">
        <f>Sheet1!B74</f>
        <v>27.37</v>
      </c>
      <c r="C108" s="115">
        <v>1</v>
      </c>
    </row>
    <row r="109" spans="1:3">
      <c r="A109" s="113">
        <f>Sheet1!A75</f>
        <v>415</v>
      </c>
      <c r="B109" s="114">
        <f>Sheet1!B75</f>
        <v>27.400000000000002</v>
      </c>
      <c r="C109" s="115">
        <v>1</v>
      </c>
    </row>
    <row r="110" spans="1:3">
      <c r="A110" s="113">
        <f>Sheet1!A76</f>
        <v>420</v>
      </c>
      <c r="B110" s="114">
        <f>Sheet1!B76</f>
        <v>27.74</v>
      </c>
      <c r="C110" s="115">
        <v>1</v>
      </c>
    </row>
    <row r="111" spans="1:3">
      <c r="A111" s="113">
        <f>Sheet1!A77</f>
        <v>435</v>
      </c>
      <c r="B111" s="114">
        <f>Sheet1!B77</f>
        <v>27.83</v>
      </c>
      <c r="C111" s="115">
        <v>1</v>
      </c>
    </row>
    <row r="112" spans="1:3">
      <c r="A112" s="113">
        <f>Sheet1!A78</f>
        <v>450</v>
      </c>
      <c r="B112" s="114">
        <f>Sheet1!B78</f>
        <v>27.9</v>
      </c>
      <c r="C112" s="115">
        <v>1</v>
      </c>
    </row>
    <row r="113" spans="1:3">
      <c r="A113" s="113">
        <f>Sheet1!A79</f>
        <v>465</v>
      </c>
      <c r="B113" s="114">
        <f>Sheet1!B79</f>
        <v>27.95</v>
      </c>
      <c r="C113" s="115">
        <v>1</v>
      </c>
    </row>
    <row r="114" spans="1:3">
      <c r="A114" s="113">
        <f>Sheet1!A80</f>
        <v>480</v>
      </c>
      <c r="B114" s="114">
        <f>Sheet1!B80</f>
        <v>28.3</v>
      </c>
      <c r="C114" s="115">
        <v>1</v>
      </c>
    </row>
    <row r="115" spans="1:3">
      <c r="A115" s="113">
        <f>Sheet1!A81</f>
        <v>481</v>
      </c>
      <c r="B115" s="114">
        <f>Sheet1!B81</f>
        <v>28.51</v>
      </c>
      <c r="C115" s="115">
        <v>1</v>
      </c>
    </row>
    <row r="116" spans="1:3">
      <c r="A116" s="113">
        <f>Sheet1!A82</f>
        <v>482</v>
      </c>
      <c r="B116" s="114">
        <f>Sheet1!B82</f>
        <v>28.700000000000003</v>
      </c>
      <c r="C116" s="115">
        <v>1</v>
      </c>
    </row>
    <row r="117" spans="1:3">
      <c r="A117" s="113">
        <f>Sheet1!A83</f>
        <v>483</v>
      </c>
      <c r="B117" s="114">
        <f>Sheet1!B83</f>
        <v>28.870000000000005</v>
      </c>
      <c r="C117" s="115">
        <v>1</v>
      </c>
    </row>
    <row r="118" spans="1:3">
      <c r="A118" s="113">
        <f>Sheet1!A84</f>
        <v>484</v>
      </c>
      <c r="B118" s="114">
        <f>Sheet1!B84</f>
        <v>29.030000000000005</v>
      </c>
      <c r="C118" s="115">
        <v>1</v>
      </c>
    </row>
    <row r="119" spans="1:3">
      <c r="A119" s="113">
        <f>Sheet1!A85</f>
        <v>485</v>
      </c>
      <c r="B119" s="114">
        <f>Sheet1!B85</f>
        <v>29.170000000000005</v>
      </c>
      <c r="C119" s="115">
        <v>1</v>
      </c>
    </row>
    <row r="120" spans="1:3">
      <c r="A120" s="113">
        <f>Sheet1!A86</f>
        <v>490</v>
      </c>
      <c r="B120" s="114">
        <f>Sheet1!B86</f>
        <v>31.69</v>
      </c>
      <c r="C120" s="115">
        <v>1</v>
      </c>
    </row>
    <row r="121" spans="1:3">
      <c r="A121" s="113">
        <f>Sheet1!A87</f>
        <v>495</v>
      </c>
      <c r="B121" s="114">
        <f>Sheet1!B87</f>
        <v>32</v>
      </c>
      <c r="C121" s="115">
        <v>1</v>
      </c>
    </row>
    <row r="122" spans="1:3">
      <c r="A122" s="113">
        <f>Sheet1!A88</f>
        <v>500</v>
      </c>
      <c r="B122" s="114">
        <f>Sheet1!B88</f>
        <v>32.96</v>
      </c>
      <c r="C122" s="115">
        <v>1</v>
      </c>
    </row>
    <row r="123" spans="1:3">
      <c r="A123" s="113">
        <f>Sheet1!A89</f>
        <v>505</v>
      </c>
      <c r="B123" s="114">
        <f>Sheet1!B89</f>
        <v>33.26</v>
      </c>
      <c r="C123" s="115">
        <v>1</v>
      </c>
    </row>
    <row r="124" spans="1:3">
      <c r="A124" s="113">
        <f>Sheet1!A90</f>
        <v>510</v>
      </c>
      <c r="B124" s="114">
        <f>Sheet1!B90</f>
        <v>34.24</v>
      </c>
      <c r="C124" s="115">
        <v>1</v>
      </c>
    </row>
    <row r="125" spans="1:3">
      <c r="A125" s="113">
        <f>Sheet1!A91</f>
        <v>515</v>
      </c>
      <c r="B125" s="114">
        <f>Sheet1!B91</f>
        <v>34.39</v>
      </c>
      <c r="C125" s="115">
        <v>1</v>
      </c>
    </row>
    <row r="126" spans="1:3">
      <c r="A126" s="113">
        <f>Sheet1!A92</f>
        <v>520</v>
      </c>
      <c r="B126" s="114">
        <f>Sheet1!B92</f>
        <v>34.520000000000003</v>
      </c>
      <c r="C126" s="115">
        <v>1</v>
      </c>
    </row>
    <row r="127" spans="1:3">
      <c r="A127" s="113">
        <f>Sheet1!A93</f>
        <v>525</v>
      </c>
      <c r="B127" s="114">
        <f>Sheet1!B93</f>
        <v>34.630000000000003</v>
      </c>
      <c r="C127" s="115">
        <v>1</v>
      </c>
    </row>
    <row r="128" spans="1:3">
      <c r="A128" s="113">
        <f>Sheet1!A94</f>
        <v>530</v>
      </c>
      <c r="B128" s="114">
        <f>Sheet1!B94</f>
        <v>34.71</v>
      </c>
      <c r="C128" s="115">
        <v>1</v>
      </c>
    </row>
    <row r="129" spans="1:3">
      <c r="A129" s="113">
        <f>Sheet1!A95</f>
        <v>535</v>
      </c>
      <c r="B129" s="114">
        <f>Sheet1!B95</f>
        <v>34.78</v>
      </c>
      <c r="C129" s="115">
        <v>1</v>
      </c>
    </row>
    <row r="130" spans="1:3">
      <c r="A130" s="113">
        <f>Sheet1!A96</f>
        <v>540</v>
      </c>
      <c r="B130" s="114">
        <f>Sheet1!B96</f>
        <v>35.51</v>
      </c>
      <c r="C130" s="115">
        <v>1</v>
      </c>
    </row>
    <row r="131" spans="1:3">
      <c r="A131" s="113">
        <f>Sheet1!A97</f>
        <v>555</v>
      </c>
      <c r="B131" s="114">
        <f>Sheet1!B97</f>
        <v>35.699999999999996</v>
      </c>
      <c r="C131" s="115">
        <v>1</v>
      </c>
    </row>
    <row r="132" spans="1:3">
      <c r="A132" s="113">
        <f>Sheet1!A98</f>
        <v>570</v>
      </c>
      <c r="B132" s="114">
        <f>Sheet1!B98</f>
        <v>35.859999999999992</v>
      </c>
      <c r="C132" s="115">
        <v>1</v>
      </c>
    </row>
    <row r="133" spans="1:3">
      <c r="A133" s="113">
        <f>Sheet1!A99</f>
        <v>585</v>
      </c>
      <c r="B133" s="114">
        <f>Sheet1!B99</f>
        <v>35.999999999999993</v>
      </c>
      <c r="C133" s="115">
        <v>1</v>
      </c>
    </row>
    <row r="134" spans="1:3">
      <c r="A134" s="113">
        <f>Sheet1!A100</f>
        <v>600</v>
      </c>
      <c r="B134" s="114">
        <f>Sheet1!B100</f>
        <v>36.79</v>
      </c>
      <c r="C134" s="115">
        <v>1</v>
      </c>
    </row>
    <row r="135" spans="1:3">
      <c r="A135" s="113" t="s">
        <v>201</v>
      </c>
      <c r="B135" s="114"/>
      <c r="C135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Q14" sqref="Q14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198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0.125</v>
      </c>
      <c r="B18" s="113"/>
      <c r="C18" s="114"/>
    </row>
    <row r="19" spans="1:3">
      <c r="A19" s="113">
        <f>Step.Select!A19</f>
        <v>0.125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1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3" t="s">
        <v>200</v>
      </c>
      <c r="B25" s="113"/>
      <c r="C25" s="114"/>
    </row>
    <row r="26" spans="1:3">
      <c r="A26" s="113" t="str">
        <f>A15</f>
        <v>W-1</v>
      </c>
      <c r="B26" s="113"/>
      <c r="C26" s="114"/>
    </row>
    <row r="27" spans="1:3">
      <c r="A27" s="116">
        <f>SkinFactor!C8</f>
        <v>2.194</v>
      </c>
      <c r="B27" s="113"/>
      <c r="C27" s="114"/>
    </row>
    <row r="28" spans="1:3">
      <c r="A28" s="113">
        <v>0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5">
        <f>SUM(C31:C98)</f>
        <v>68</v>
      </c>
      <c r="B30" s="113"/>
      <c r="C30" s="114"/>
    </row>
    <row r="31" spans="1:3">
      <c r="A31" s="113">
        <f>LongTest!D10</f>
        <v>1</v>
      </c>
      <c r="B31" s="117">
        <f>LongTest!G10</f>
        <v>2.7078799527896127</v>
      </c>
      <c r="C31" s="115">
        <v>1</v>
      </c>
    </row>
    <row r="32" spans="1:3">
      <c r="A32" s="113">
        <f>LongTest!D11</f>
        <v>2</v>
      </c>
      <c r="B32" s="117">
        <f>LongTest!G11</f>
        <v>5.2157599055792261</v>
      </c>
      <c r="C32" s="115">
        <v>1</v>
      </c>
    </row>
    <row r="33" spans="1:3">
      <c r="A33" s="113">
        <f>LongTest!D12</f>
        <v>3</v>
      </c>
      <c r="B33" s="117">
        <f>LongTest!G12</f>
        <v>7.0224505981116963</v>
      </c>
      <c r="C33" s="115">
        <v>1</v>
      </c>
    </row>
    <row r="34" spans="1:3">
      <c r="A34" s="113">
        <f>LongTest!D13</f>
        <v>4</v>
      </c>
      <c r="B34" s="117">
        <f>LongTest!G13</f>
        <v>8.3043180444430647</v>
      </c>
      <c r="C34" s="115">
        <v>1</v>
      </c>
    </row>
    <row r="35" spans="1:3">
      <c r="A35" s="113">
        <f>LongTest!D14</f>
        <v>5</v>
      </c>
      <c r="B35" s="117">
        <f>LongTest!G14</f>
        <v>9.298611682036352</v>
      </c>
      <c r="C35" s="115">
        <v>1</v>
      </c>
    </row>
    <row r="36" spans="1:3">
      <c r="A36" s="113">
        <f>LongTest!D15</f>
        <v>10</v>
      </c>
      <c r="B36" s="117">
        <f>LongTest!G15</f>
        <v>12.387169820900191</v>
      </c>
      <c r="C36" s="115">
        <v>1</v>
      </c>
    </row>
    <row r="37" spans="1:3">
      <c r="A37" s="113">
        <f>LongTest!D16</f>
        <v>15</v>
      </c>
      <c r="B37" s="117">
        <f>LongTest!G16</f>
        <v>14.193860513432661</v>
      </c>
      <c r="C37" s="115">
        <v>1</v>
      </c>
    </row>
    <row r="38" spans="1:3">
      <c r="A38" s="113">
        <f>LongTest!D17</f>
        <v>20</v>
      </c>
      <c r="B38" s="117">
        <f>LongTest!G17</f>
        <v>15.475727959764022</v>
      </c>
      <c r="C38" s="115">
        <v>1</v>
      </c>
    </row>
    <row r="39" spans="1:3">
      <c r="A39" s="113">
        <f>LongTest!D18</f>
        <v>25</v>
      </c>
      <c r="B39" s="117">
        <f>LongTest!G18</f>
        <v>16.470021597357317</v>
      </c>
      <c r="C39" s="115">
        <v>1</v>
      </c>
    </row>
    <row r="40" spans="1:3">
      <c r="A40" s="113">
        <f>LongTest!D19</f>
        <v>30</v>
      </c>
      <c r="B40" s="117">
        <f>LongTest!G19</f>
        <v>17.282418652296492</v>
      </c>
      <c r="C40" s="115">
        <v>1</v>
      </c>
    </row>
    <row r="41" spans="1:3">
      <c r="A41" s="113">
        <f>LongTest!D20</f>
        <v>35</v>
      </c>
      <c r="B41" s="117">
        <f>LongTest!G20</f>
        <v>17.969290575236819</v>
      </c>
      <c r="C41" s="115">
        <v>1</v>
      </c>
    </row>
    <row r="42" spans="1:3">
      <c r="A42" s="113">
        <f>LongTest!D21</f>
        <v>40</v>
      </c>
      <c r="B42" s="117">
        <f>LongTest!G21</f>
        <v>18.564286098627854</v>
      </c>
      <c r="C42" s="115">
        <v>1</v>
      </c>
    </row>
    <row r="43" spans="1:3">
      <c r="A43" s="113">
        <f>LongTest!D22</f>
        <v>45</v>
      </c>
      <c r="B43" s="117">
        <f>LongTest!G22</f>
        <v>19.089109344828962</v>
      </c>
      <c r="C43" s="115">
        <v>1</v>
      </c>
    </row>
    <row r="44" spans="1:3">
      <c r="A44" s="113">
        <f>LongTest!D23</f>
        <v>50</v>
      </c>
      <c r="B44" s="117">
        <f>LongTest!G23</f>
        <v>19.558579736221155</v>
      </c>
      <c r="C44" s="115">
        <v>1</v>
      </c>
    </row>
    <row r="45" spans="1:3">
      <c r="A45" s="113">
        <f>LongTest!D24</f>
        <v>55</v>
      </c>
      <c r="B45" s="117">
        <f>LongTest!G24</f>
        <v>19.983267363621465</v>
      </c>
      <c r="C45" s="115">
        <v>1</v>
      </c>
    </row>
    <row r="46" spans="1:3">
      <c r="A46" s="113">
        <f>LongTest!D25</f>
        <v>60</v>
      </c>
      <c r="B46" s="117">
        <f>LongTest!G25</f>
        <v>20.370976791160324</v>
      </c>
      <c r="C46" s="115">
        <v>1</v>
      </c>
    </row>
    <row r="47" spans="1:3">
      <c r="A47" s="113">
        <f>LongTest!D26</f>
        <v>75</v>
      </c>
      <c r="B47" s="117">
        <f>LongTest!G26</f>
        <v>21.365270428753625</v>
      </c>
      <c r="C47" s="115">
        <v>1</v>
      </c>
    </row>
    <row r="48" spans="1:3">
      <c r="A48" s="113">
        <f>LongTest!D27</f>
        <v>90</v>
      </c>
      <c r="B48" s="117">
        <f>LongTest!G27</f>
        <v>22.177667483692794</v>
      </c>
      <c r="C48" s="115">
        <v>1</v>
      </c>
    </row>
    <row r="49" spans="1:3">
      <c r="A49" s="113">
        <f>LongTest!D28</f>
        <v>105</v>
      </c>
      <c r="B49" s="117">
        <f>LongTest!G28</f>
        <v>22.864539406633114</v>
      </c>
      <c r="C49" s="115">
        <v>1</v>
      </c>
    </row>
    <row r="50" spans="1:3">
      <c r="A50" s="113">
        <f>LongTest!D29</f>
        <v>120</v>
      </c>
      <c r="B50" s="117">
        <f>LongTest!G29</f>
        <v>23.459534930024162</v>
      </c>
      <c r="C50" s="115">
        <v>1</v>
      </c>
    </row>
    <row r="51" spans="1:3">
      <c r="A51" s="113">
        <f>LongTest!D30</f>
        <v>140</v>
      </c>
      <c r="B51" s="117">
        <f>LongTest!G30</f>
        <v>24.146406852964482</v>
      </c>
      <c r="C51" s="115">
        <v>1</v>
      </c>
    </row>
    <row r="52" spans="1:3">
      <c r="A52" s="113">
        <f>LongTest!D31</f>
        <v>160</v>
      </c>
      <c r="B52" s="117">
        <f>LongTest!G31</f>
        <v>24.741402376355531</v>
      </c>
      <c r="C52" s="115">
        <v>1</v>
      </c>
    </row>
    <row r="53" spans="1:3">
      <c r="A53" s="113">
        <f>LongTest!D32</f>
        <v>180</v>
      </c>
      <c r="B53" s="117">
        <f>LongTest!G32</f>
        <v>25.266225622556632</v>
      </c>
      <c r="C53" s="115">
        <v>1</v>
      </c>
    </row>
    <row r="54" spans="1:3">
      <c r="A54" s="113">
        <f>LongTest!D33</f>
        <v>240</v>
      </c>
      <c r="B54" s="117">
        <f>LongTest!G33</f>
        <v>26.548093068888001</v>
      </c>
      <c r="C54" s="115">
        <v>1</v>
      </c>
    </row>
    <row r="55" spans="1:3">
      <c r="A55" s="113">
        <f>LongTest!D34</f>
        <v>300</v>
      </c>
      <c r="B55" s="117">
        <f>LongTest!G34</f>
        <v>27.542386706481288</v>
      </c>
      <c r="C55" s="115">
        <v>1</v>
      </c>
    </row>
    <row r="56" spans="1:3">
      <c r="A56" s="113">
        <f>LongTest!D35</f>
        <v>360</v>
      </c>
      <c r="B56" s="117">
        <f>LongTest!G35</f>
        <v>28.354783761420471</v>
      </c>
      <c r="C56" s="115">
        <v>1</v>
      </c>
    </row>
    <row r="57" spans="1:3">
      <c r="A57" s="113">
        <f>LongTest!D36</f>
        <v>420</v>
      </c>
      <c r="B57" s="117">
        <f>LongTest!G36</f>
        <v>29.041655684360791</v>
      </c>
      <c r="C57" s="115">
        <v>1</v>
      </c>
    </row>
    <row r="58" spans="1:3">
      <c r="A58" s="113">
        <f>LongTest!D37</f>
        <v>480</v>
      </c>
      <c r="B58" s="117">
        <f>LongTest!G37</f>
        <v>29.636651207751832</v>
      </c>
      <c r="C58" s="115">
        <v>1</v>
      </c>
    </row>
    <row r="59" spans="1:3">
      <c r="A59" s="113">
        <f>LongTest!D38</f>
        <v>540</v>
      </c>
      <c r="B59" s="117">
        <f>LongTest!G38</f>
        <v>30.161474453952941</v>
      </c>
      <c r="C59" s="115">
        <v>1</v>
      </c>
    </row>
    <row r="60" spans="1:3">
      <c r="A60" s="113">
        <f>LongTest!D39</f>
        <v>600</v>
      </c>
      <c r="B60" s="117">
        <f>LongTest!G39</f>
        <v>30.630944845345127</v>
      </c>
      <c r="C60" s="115">
        <v>1</v>
      </c>
    </row>
    <row r="61" spans="1:3">
      <c r="A61" s="113">
        <f>LongTest!D40</f>
        <v>660</v>
      </c>
      <c r="B61" s="117">
        <f>LongTest!G40</f>
        <v>31.055632472745444</v>
      </c>
      <c r="C61" s="115">
        <v>1</v>
      </c>
    </row>
    <row r="62" spans="1:3">
      <c r="A62" s="113">
        <f>LongTest!D41</f>
        <v>720</v>
      </c>
      <c r="B62" s="117">
        <f>LongTest!G41</f>
        <v>31.443341900284302</v>
      </c>
      <c r="C62" s="115">
        <v>1</v>
      </c>
    </row>
    <row r="63" spans="1:3">
      <c r="A63" s="113">
        <f>LongTest!D42</f>
        <v>780</v>
      </c>
      <c r="B63" s="117">
        <f>LongTest!G42</f>
        <v>31.799999999999997</v>
      </c>
      <c r="C63" s="115">
        <v>1</v>
      </c>
    </row>
    <row r="64" spans="1:3">
      <c r="A64" s="113">
        <f>LongTest!D43</f>
        <v>840</v>
      </c>
      <c r="B64" s="117">
        <f>LongTest!G43</f>
        <v>31.799999999999997</v>
      </c>
      <c r="C64" s="115">
        <v>1</v>
      </c>
    </row>
    <row r="65" spans="1:3">
      <c r="A65" s="113">
        <f>LongTest!D44</f>
        <v>900</v>
      </c>
      <c r="B65" s="117">
        <f>LongTest!G44</f>
        <v>31.799999999999997</v>
      </c>
      <c r="C65" s="115">
        <v>1</v>
      </c>
    </row>
    <row r="66" spans="1:3">
      <c r="A66" s="113">
        <f>LongTest!D45</f>
        <v>960</v>
      </c>
      <c r="B66" s="117">
        <f>LongTest!G45</f>
        <v>31.799999999999997</v>
      </c>
      <c r="C66" s="115">
        <v>1</v>
      </c>
    </row>
    <row r="67" spans="1:3">
      <c r="A67" s="113">
        <f>LongTest!D46</f>
        <v>1020</v>
      </c>
      <c r="B67" s="117">
        <f>LongTest!G46</f>
        <v>31.799999999999997</v>
      </c>
      <c r="C67" s="115">
        <v>1</v>
      </c>
    </row>
    <row r="68" spans="1:3">
      <c r="A68" s="113">
        <f>LongTest!D47</f>
        <v>1080</v>
      </c>
      <c r="B68" s="117">
        <f>LongTest!G47</f>
        <v>31.799999999999997</v>
      </c>
      <c r="C68" s="115">
        <v>1</v>
      </c>
    </row>
    <row r="69" spans="1:3">
      <c r="A69" s="113">
        <f>LongTest!D48</f>
        <v>1140</v>
      </c>
      <c r="B69" s="117">
        <f>LongTest!G48</f>
        <v>31.799999999999997</v>
      </c>
      <c r="C69" s="115">
        <v>1</v>
      </c>
    </row>
    <row r="70" spans="1:3">
      <c r="A70" s="113">
        <f>LongTest!D49</f>
        <v>1200</v>
      </c>
      <c r="B70" s="117">
        <f>LongTest!G49</f>
        <v>31.799999999999997</v>
      </c>
      <c r="C70" s="115">
        <v>1</v>
      </c>
    </row>
    <row r="71" spans="1:3">
      <c r="A71" s="113">
        <f>LongTest!D50</f>
        <v>1260</v>
      </c>
      <c r="B71" s="117">
        <f>LongTest!G50</f>
        <v>31.799999999999997</v>
      </c>
      <c r="C71" s="115">
        <v>1</v>
      </c>
    </row>
    <row r="72" spans="1:3">
      <c r="A72" s="113">
        <f>LongTest!D51</f>
        <v>1320</v>
      </c>
      <c r="B72" s="117">
        <f>LongTest!G51</f>
        <v>31.799999999999997</v>
      </c>
      <c r="C72" s="115">
        <v>1</v>
      </c>
    </row>
    <row r="73" spans="1:3">
      <c r="A73" s="113">
        <f>LongTest!D52</f>
        <v>1380</v>
      </c>
      <c r="B73" s="117">
        <f>LongTest!G52</f>
        <v>31.799999999999997</v>
      </c>
      <c r="C73" s="115">
        <v>1</v>
      </c>
    </row>
    <row r="74" spans="1:3">
      <c r="A74" s="113">
        <f>LongTest!D53</f>
        <v>1440</v>
      </c>
      <c r="B74" s="117">
        <f>LongTest!G53</f>
        <v>31.799999999999997</v>
      </c>
      <c r="C74" s="115">
        <v>1</v>
      </c>
    </row>
    <row r="75" spans="1:3">
      <c r="A75" s="113">
        <f>LongTest!D54</f>
        <v>1500</v>
      </c>
      <c r="B75" s="117">
        <f>LongTest!G54</f>
        <v>31.799999999999997</v>
      </c>
      <c r="C75" s="115">
        <v>1</v>
      </c>
    </row>
    <row r="76" spans="1:3">
      <c r="A76" s="113">
        <f>LongTest!D55</f>
        <v>1560</v>
      </c>
      <c r="B76" s="117">
        <f>LongTest!G55</f>
        <v>31.799999999999997</v>
      </c>
      <c r="C76" s="115">
        <v>1</v>
      </c>
    </row>
    <row r="77" spans="1:3">
      <c r="A77" s="113">
        <f>LongTest!D56</f>
        <v>1620</v>
      </c>
      <c r="B77" s="117">
        <f>LongTest!G56</f>
        <v>31.799999999999997</v>
      </c>
      <c r="C77" s="115">
        <v>1</v>
      </c>
    </row>
    <row r="78" spans="1:3">
      <c r="A78" s="113">
        <f>LongTest!D57</f>
        <v>1680</v>
      </c>
      <c r="B78" s="117">
        <f>LongTest!G57</f>
        <v>31.799999999999997</v>
      </c>
      <c r="C78" s="115">
        <v>1</v>
      </c>
    </row>
    <row r="79" spans="1:3">
      <c r="A79" s="113">
        <f>LongTest!D58</f>
        <v>1740</v>
      </c>
      <c r="B79" s="117">
        <f>LongTest!G58</f>
        <v>31.799999999999997</v>
      </c>
      <c r="C79" s="115">
        <v>1</v>
      </c>
    </row>
    <row r="80" spans="1:3">
      <c r="A80" s="113">
        <f>LongTest!D59</f>
        <v>1800</v>
      </c>
      <c r="B80" s="117">
        <f>LongTest!G59</f>
        <v>31.799999999999997</v>
      </c>
      <c r="C80" s="115">
        <v>1</v>
      </c>
    </row>
    <row r="81" spans="1:3">
      <c r="A81" s="113">
        <f>LongTest!D60</f>
        <v>1860</v>
      </c>
      <c r="B81" s="117">
        <f>LongTest!G60</f>
        <v>31.799999999999997</v>
      </c>
      <c r="C81" s="115">
        <v>1</v>
      </c>
    </row>
    <row r="82" spans="1:3">
      <c r="A82" s="113">
        <f>LongTest!D61</f>
        <v>1920</v>
      </c>
      <c r="B82" s="117">
        <f>LongTest!G61</f>
        <v>31.799999999999997</v>
      </c>
      <c r="C82" s="115">
        <v>1</v>
      </c>
    </row>
    <row r="83" spans="1:3">
      <c r="A83" s="113">
        <f>LongTest!D62</f>
        <v>1980</v>
      </c>
      <c r="B83" s="117">
        <f>LongTest!G62</f>
        <v>31.799999999999997</v>
      </c>
      <c r="C83" s="115">
        <v>1</v>
      </c>
    </row>
    <row r="84" spans="1:3">
      <c r="A84" s="113">
        <f>LongTest!D63</f>
        <v>2040</v>
      </c>
      <c r="B84" s="117">
        <f>LongTest!G63</f>
        <v>31.799999999999997</v>
      </c>
      <c r="C84" s="115">
        <v>1</v>
      </c>
    </row>
    <row r="85" spans="1:3">
      <c r="A85" s="113">
        <f>LongTest!D64</f>
        <v>2100</v>
      </c>
      <c r="B85" s="117">
        <f>LongTest!G64</f>
        <v>31.799999999999997</v>
      </c>
      <c r="C85" s="115">
        <v>1</v>
      </c>
    </row>
    <row r="86" spans="1:3">
      <c r="A86" s="113">
        <f>LongTest!D65</f>
        <v>2160</v>
      </c>
      <c r="B86" s="117">
        <f>LongTest!G65</f>
        <v>31.799999999999997</v>
      </c>
      <c r="C86" s="115">
        <v>1</v>
      </c>
    </row>
    <row r="87" spans="1:3">
      <c r="A87" s="113">
        <f>LongTest!D66</f>
        <v>2220</v>
      </c>
      <c r="B87" s="117">
        <f>LongTest!G66</f>
        <v>31.799999999999997</v>
      </c>
      <c r="C87" s="115">
        <v>1</v>
      </c>
    </row>
    <row r="88" spans="1:3">
      <c r="A88" s="113">
        <f>LongTest!D67</f>
        <v>2280</v>
      </c>
      <c r="B88" s="117">
        <f>LongTest!G67</f>
        <v>31.799999999999997</v>
      </c>
      <c r="C88" s="115">
        <v>1</v>
      </c>
    </row>
    <row r="89" spans="1:3">
      <c r="A89" s="113">
        <f>LongTest!D68</f>
        <v>2340</v>
      </c>
      <c r="B89" s="117">
        <f>LongTest!G68</f>
        <v>31.799999999999997</v>
      </c>
      <c r="C89" s="115">
        <v>1</v>
      </c>
    </row>
    <row r="90" spans="1:3">
      <c r="A90" s="113">
        <f>LongTest!D69</f>
        <v>2400</v>
      </c>
      <c r="B90" s="117">
        <f>LongTest!G69</f>
        <v>31.799999999999997</v>
      </c>
      <c r="C90" s="115">
        <v>1</v>
      </c>
    </row>
    <row r="91" spans="1:3">
      <c r="A91" s="113">
        <f>LongTest!D70</f>
        <v>2460</v>
      </c>
      <c r="B91" s="117">
        <f>LongTest!G70</f>
        <v>31.799999999999997</v>
      </c>
      <c r="C91" s="115">
        <v>1</v>
      </c>
    </row>
    <row r="92" spans="1:3">
      <c r="A92" s="113">
        <f>LongTest!D71</f>
        <v>2520</v>
      </c>
      <c r="B92" s="117">
        <f>LongTest!G71</f>
        <v>31.799999999999997</v>
      </c>
      <c r="C92" s="115">
        <v>1</v>
      </c>
    </row>
    <row r="93" spans="1:3">
      <c r="A93" s="113">
        <f>LongTest!D72</f>
        <v>2580</v>
      </c>
      <c r="B93" s="117">
        <f>LongTest!G72</f>
        <v>31.799999999999997</v>
      </c>
      <c r="C93" s="115">
        <v>1</v>
      </c>
    </row>
    <row r="94" spans="1:3">
      <c r="A94" s="113">
        <f>LongTest!D73</f>
        <v>2640</v>
      </c>
      <c r="B94" s="117">
        <f>LongTest!G73</f>
        <v>31.799999999999997</v>
      </c>
      <c r="C94" s="115">
        <v>1</v>
      </c>
    </row>
    <row r="95" spans="1:3">
      <c r="A95" s="113">
        <f>LongTest!D74</f>
        <v>2700</v>
      </c>
      <c r="B95" s="117">
        <f>LongTest!G74</f>
        <v>31.799999999999997</v>
      </c>
      <c r="C95" s="115">
        <v>1</v>
      </c>
    </row>
    <row r="96" spans="1:3">
      <c r="A96" s="113">
        <f>LongTest!D75</f>
        <v>2760</v>
      </c>
      <c r="B96" s="117">
        <f>LongTest!G75</f>
        <v>31.799999999999997</v>
      </c>
      <c r="C96" s="115">
        <v>1</v>
      </c>
    </row>
    <row r="97" spans="1:3">
      <c r="A97" s="113">
        <f>LongTest!D76</f>
        <v>2820</v>
      </c>
      <c r="B97" s="117">
        <f>LongTest!G76</f>
        <v>31.799999999999997</v>
      </c>
      <c r="C97" s="115">
        <v>1</v>
      </c>
    </row>
    <row r="98" spans="1:3">
      <c r="A98" s="113">
        <f>LongTest!D77</f>
        <v>2880</v>
      </c>
      <c r="B98" s="117">
        <f>LongTest!G77</f>
        <v>31.799999999999997</v>
      </c>
      <c r="C98" s="115">
        <v>1</v>
      </c>
    </row>
    <row r="99" spans="1:3">
      <c r="A99" s="113" t="s">
        <v>201</v>
      </c>
      <c r="B99" s="114"/>
      <c r="C99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P18" sqref="P18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198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0.125</v>
      </c>
      <c r="B18" s="113"/>
      <c r="C18" s="114"/>
    </row>
    <row r="19" spans="1:3">
      <c r="A19" s="113">
        <f>Step.Select!A19</f>
        <v>0.125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2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5">
        <v>2880</v>
      </c>
      <c r="B25" s="115">
        <v>0</v>
      </c>
      <c r="C25" s="114"/>
    </row>
    <row r="26" spans="1:3">
      <c r="A26" s="113" t="s">
        <v>200</v>
      </c>
      <c r="B26" s="113"/>
      <c r="C26" s="114"/>
    </row>
    <row r="27" spans="1:3">
      <c r="A27" s="113" t="str">
        <f>A15</f>
        <v>W-1</v>
      </c>
      <c r="B27" s="113"/>
      <c r="C27" s="114"/>
    </row>
    <row r="28" spans="1:3">
      <c r="A28" s="116">
        <f>SkinFactor!C8</f>
        <v>2.194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3">
        <v>0</v>
      </c>
      <c r="B30" s="113"/>
      <c r="C30" s="114"/>
    </row>
    <row r="31" spans="1:3">
      <c r="A31" s="115">
        <f>SUM(C32:C56)</f>
        <v>25</v>
      </c>
      <c r="B31" s="113"/>
      <c r="C31" s="114"/>
    </row>
    <row r="32" spans="1:3">
      <c r="A32" s="113">
        <f>LongTest!D77</f>
        <v>2880</v>
      </c>
      <c r="B32" s="114">
        <f>LongTest!G77</f>
        <v>31.799999999999997</v>
      </c>
      <c r="C32" s="115">
        <v>1</v>
      </c>
    </row>
    <row r="33" spans="1:3">
      <c r="A33" s="113">
        <f>$A$32+LongTest!D78</f>
        <v>2881</v>
      </c>
      <c r="B33" s="114">
        <f>LongTest!G78</f>
        <v>19.592385761778836</v>
      </c>
      <c r="C33" s="115">
        <v>1</v>
      </c>
    </row>
    <row r="34" spans="1:3">
      <c r="A34" s="113">
        <f>$A$32+LongTest!D79</f>
        <v>2882</v>
      </c>
      <c r="B34" s="114">
        <f>LongTest!G79</f>
        <v>17.660968242164142</v>
      </c>
      <c r="C34" s="115">
        <v>1</v>
      </c>
    </row>
    <row r="35" spans="1:3">
      <c r="A35" s="113">
        <f>$A$32+LongTest!D80</f>
        <v>2883</v>
      </c>
      <c r="B35" s="114">
        <f>LongTest!G80</f>
        <v>15.919949874568585</v>
      </c>
      <c r="C35" s="115">
        <v>1</v>
      </c>
    </row>
    <row r="36" spans="1:3">
      <c r="A36" s="113">
        <f>$A$32+LongTest!D81</f>
        <v>2884</v>
      </c>
      <c r="B36" s="114">
        <f>LongTest!G81</f>
        <v>14.350561109310942</v>
      </c>
      <c r="C36" s="115">
        <v>1</v>
      </c>
    </row>
    <row r="37" spans="1:3">
      <c r="A37" s="113">
        <f>$A$32+LongTest!D82</f>
        <v>2885</v>
      </c>
      <c r="B37" s="114">
        <f>LongTest!G82</f>
        <v>12.935882699043253</v>
      </c>
      <c r="C37" s="115">
        <v>1</v>
      </c>
    </row>
    <row r="38" spans="1:3">
      <c r="A38" s="113">
        <f>$A$32+LongTest!D83</f>
        <v>2890</v>
      </c>
      <c r="B38" s="114">
        <f>LongTest!G83</f>
        <v>9.4749652968574445</v>
      </c>
      <c r="C38" s="115">
        <v>1</v>
      </c>
    </row>
    <row r="39" spans="1:3">
      <c r="A39" s="113">
        <f>$A$32+LongTest!D84</f>
        <v>2895</v>
      </c>
      <c r="B39" s="114">
        <f>LongTest!G84</f>
        <v>8.8415638097987674</v>
      </c>
      <c r="C39" s="115">
        <v>1</v>
      </c>
    </row>
    <row r="40" spans="1:3">
      <c r="A40" s="113">
        <f>$A$32+LongTest!D85</f>
        <v>2900</v>
      </c>
      <c r="B40" s="114">
        <f>LongTest!G85</f>
        <v>7.1842834444076562</v>
      </c>
      <c r="C40" s="115">
        <v>1</v>
      </c>
    </row>
    <row r="41" spans="1:3">
      <c r="A41" s="113">
        <f>$A$32+LongTest!D86</f>
        <v>2905</v>
      </c>
      <c r="B41" s="114">
        <f>LongTest!G86</f>
        <v>6.4760567343417499</v>
      </c>
      <c r="C41" s="115">
        <v>1</v>
      </c>
    </row>
    <row r="42" spans="1:3">
      <c r="A42" s="113">
        <f>$A$32+LongTest!D87</f>
        <v>2910</v>
      </c>
      <c r="B42" s="114">
        <f>LongTest!G87</f>
        <v>5.8376470180974334</v>
      </c>
      <c r="C42" s="115">
        <v>1</v>
      </c>
    </row>
    <row r="43" spans="1:3">
      <c r="A43" s="113">
        <f>$A$32+LongTest!D88</f>
        <v>2915</v>
      </c>
      <c r="B43" s="114">
        <f>LongTest!G88</f>
        <v>5.6391488719486738</v>
      </c>
      <c r="C43" s="115">
        <v>1</v>
      </c>
    </row>
    <row r="44" spans="1:3">
      <c r="A44" s="113">
        <f>$A$32+LongTest!D89</f>
        <v>2920</v>
      </c>
      <c r="B44" s="114">
        <f>LongTest!G89</f>
        <v>5.4474002798415233</v>
      </c>
      <c r="C44" s="115">
        <v>1</v>
      </c>
    </row>
    <row r="45" spans="1:3">
      <c r="A45" s="113">
        <f>$A$32+LongTest!D90</f>
        <v>2925</v>
      </c>
      <c r="B45" s="114">
        <f>LongTest!G90</f>
        <v>5.2621717359561835</v>
      </c>
      <c r="C45" s="115">
        <v>1</v>
      </c>
    </row>
    <row r="46" spans="1:3">
      <c r="A46" s="113">
        <f>$A$32+LongTest!D91</f>
        <v>2930</v>
      </c>
      <c r="B46" s="114">
        <f>LongTest!G91</f>
        <v>5.0832415383841942</v>
      </c>
      <c r="C46" s="115">
        <v>1</v>
      </c>
    </row>
    <row r="47" spans="1:3">
      <c r="A47" s="113">
        <f>$A$32+LongTest!D92</f>
        <v>2935</v>
      </c>
      <c r="B47" s="114">
        <f>LongTest!G92</f>
        <v>4.9103955237711903</v>
      </c>
      <c r="C47" s="115">
        <v>1</v>
      </c>
    </row>
    <row r="48" spans="1:3">
      <c r="A48" s="113">
        <f>$A$32+LongTest!D93</f>
        <v>2940</v>
      </c>
      <c r="B48" s="114">
        <f>LongTest!G93</f>
        <v>4.7434268109826219</v>
      </c>
      <c r="C48" s="115">
        <v>1</v>
      </c>
    </row>
    <row r="49" spans="1:3">
      <c r="A49" s="113">
        <f>$A$32+LongTest!D94</f>
        <v>2955</v>
      </c>
      <c r="B49" s="114">
        <f>LongTest!G94</f>
        <v>4.5821355534856503</v>
      </c>
      <c r="C49" s="115">
        <v>1</v>
      </c>
    </row>
    <row r="50" spans="1:3">
      <c r="A50" s="113">
        <f>$A$32+LongTest!D95</f>
        <v>2970</v>
      </c>
      <c r="B50" s="114">
        <f>LongTest!G95</f>
        <v>4.4263287001508189</v>
      </c>
      <c r="C50" s="115">
        <v>1</v>
      </c>
    </row>
    <row r="51" spans="1:3">
      <c r="A51" s="113">
        <f>$A$32+LongTest!D96</f>
        <v>2985</v>
      </c>
      <c r="B51" s="114">
        <f>LongTest!G96</f>
        <v>4.275819764187208</v>
      </c>
      <c r="C51" s="115">
        <v>1</v>
      </c>
    </row>
    <row r="52" spans="1:3">
      <c r="A52" s="113">
        <f>$A$32+LongTest!D97</f>
        <v>3000</v>
      </c>
      <c r="B52" s="114">
        <f>LongTest!G97</f>
        <v>3.8543094231966499</v>
      </c>
      <c r="C52" s="115">
        <v>1</v>
      </c>
    </row>
    <row r="53" spans="1:3">
      <c r="A53" s="113">
        <f>$A$32+LongTest!D98</f>
        <v>3060</v>
      </c>
      <c r="B53" s="114">
        <f>LongTest!G98</f>
        <v>3.7232509208897429</v>
      </c>
      <c r="C53" s="115">
        <v>1</v>
      </c>
    </row>
    <row r="54" spans="1:3">
      <c r="A54" s="113">
        <f>$A$32+LongTest!D99</f>
        <v>3120</v>
      </c>
      <c r="B54" s="114">
        <f>LongTest!G99</f>
        <v>3.0253573378816734</v>
      </c>
      <c r="C54" s="115">
        <v>1</v>
      </c>
    </row>
    <row r="55" spans="1:3">
      <c r="A55" s="113">
        <f>$A$32+LongTest!D100</f>
        <v>3180</v>
      </c>
      <c r="B55" s="114">
        <f>LongTest!G100</f>
        <v>2.4582783208409844</v>
      </c>
      <c r="C55" s="115">
        <v>1</v>
      </c>
    </row>
    <row r="56" spans="1:3">
      <c r="A56" s="113">
        <f>$A$32+LongTest!D101</f>
        <v>3240</v>
      </c>
      <c r="B56" s="114">
        <f>LongTest!G101</f>
        <v>1.9974937264594714</v>
      </c>
      <c r="C56" s="115">
        <v>1</v>
      </c>
    </row>
    <row r="57" spans="1:3">
      <c r="A57" s="113" t="s">
        <v>202</v>
      </c>
      <c r="B57" s="114"/>
      <c r="C57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autoPict="0" r:id="rId5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abSelected="1" workbookViewId="0">
      <selection activeCell="O14" sqref="O14"/>
    </sheetView>
  </sheetViews>
  <sheetFormatPr defaultColWidth="10" defaultRowHeight="16.5"/>
  <cols>
    <col min="1" max="1" width="10" style="485"/>
    <col min="2" max="2" width="18.75" style="485" customWidth="1"/>
    <col min="3" max="4" width="16.375" style="485" customWidth="1"/>
    <col min="5" max="5" width="13.375" style="484" customWidth="1"/>
    <col min="6" max="6" width="13.875" style="484" customWidth="1"/>
    <col min="7" max="7" width="10" style="485"/>
    <col min="8" max="8" width="11.625" style="485" customWidth="1"/>
    <col min="9" max="9" width="10.625" style="485" customWidth="1"/>
    <col min="10" max="10" width="11.375" style="485" customWidth="1"/>
    <col min="11" max="11" width="10" style="485"/>
    <col min="12" max="12" width="11.25" style="485" customWidth="1"/>
    <col min="13" max="15" width="10" style="485"/>
    <col min="16" max="16" width="11.25" style="485" customWidth="1"/>
    <col min="17" max="16384" width="10" style="485"/>
  </cols>
  <sheetData>
    <row r="1" spans="2:17" s="444" customFormat="1" ht="18" customHeight="1">
      <c r="E1" s="445"/>
      <c r="F1" s="445"/>
    </row>
    <row r="2" spans="2:17" s="444" customFormat="1" ht="18" customHeight="1">
      <c r="B2" s="446" t="s">
        <v>234</v>
      </c>
      <c r="E2" s="445"/>
      <c r="F2" s="445"/>
    </row>
    <row r="3" spans="2:17" s="444" customFormat="1" ht="18" customHeight="1">
      <c r="E3" s="445"/>
      <c r="F3" s="445"/>
    </row>
    <row r="4" spans="2:17" s="449" customFormat="1" ht="26.25" customHeight="1">
      <c r="B4" s="447" t="s">
        <v>233</v>
      </c>
      <c r="C4" s="448" t="str">
        <f>Input!$I$54</f>
        <v>W-1</v>
      </c>
      <c r="E4" s="448"/>
      <c r="F4" s="448"/>
    </row>
    <row r="5" spans="2:17" s="444" customFormat="1" ht="18" customHeight="1" thickBot="1">
      <c r="E5" s="445"/>
      <c r="F5" s="445"/>
    </row>
    <row r="6" spans="2:17" s="444" customFormat="1" ht="26.1" customHeight="1">
      <c r="B6" s="450" t="s">
        <v>203</v>
      </c>
      <c r="C6" s="451">
        <f>LongTest!C10</f>
        <v>45389.479166666664</v>
      </c>
      <c r="D6" s="452"/>
      <c r="E6" s="445"/>
      <c r="F6" s="445"/>
    </row>
    <row r="7" spans="2:17" s="444" customFormat="1" ht="26.1" customHeight="1">
      <c r="B7" s="453" t="s">
        <v>204</v>
      </c>
      <c r="C7" s="454">
        <v>15.1</v>
      </c>
      <c r="D7" s="452"/>
      <c r="E7" s="445"/>
      <c r="F7" s="445"/>
    </row>
    <row r="8" spans="2:17" s="444" customFormat="1" ht="26.1" customHeight="1">
      <c r="B8" s="453" t="s">
        <v>205</v>
      </c>
      <c r="C8" s="454">
        <v>193</v>
      </c>
      <c r="D8" s="452"/>
      <c r="E8" s="445"/>
      <c r="F8" s="445"/>
    </row>
    <row r="9" spans="2:17" s="444" customFormat="1" ht="26.1" customHeight="1" thickBot="1">
      <c r="B9" s="455" t="s">
        <v>206</v>
      </c>
      <c r="C9" s="456">
        <v>6.8</v>
      </c>
      <c r="D9" s="452"/>
      <c r="E9" s="445"/>
      <c r="F9" s="445"/>
    </row>
    <row r="10" spans="2:17" s="444" customFormat="1" ht="26.1" customHeight="1">
      <c r="B10" s="445"/>
      <c r="C10" s="457"/>
      <c r="D10" s="452"/>
      <c r="E10" s="445"/>
      <c r="F10" s="445"/>
      <c r="L10" s="458"/>
      <c r="M10" s="458"/>
      <c r="N10" s="458"/>
      <c r="O10" s="458"/>
      <c r="P10" s="458"/>
      <c r="Q10" s="458"/>
    </row>
    <row r="11" spans="2:17" s="444" customFormat="1" ht="18" customHeight="1" thickBot="1">
      <c r="E11" s="445"/>
      <c r="F11" s="445"/>
      <c r="L11" s="458"/>
      <c r="M11" s="458"/>
      <c r="N11" s="458"/>
      <c r="O11" s="458"/>
      <c r="P11" s="458"/>
      <c r="Q11" s="458"/>
    </row>
    <row r="12" spans="2:17" s="445" customFormat="1" ht="26.1" customHeight="1">
      <c r="B12" s="459" t="s">
        <v>207</v>
      </c>
      <c r="C12" s="460"/>
      <c r="D12" s="459" t="str">
        <f>C4</f>
        <v>W-1</v>
      </c>
      <c r="E12" s="461"/>
      <c r="F12" s="460"/>
      <c r="H12" s="459" t="str">
        <f>C4</f>
        <v>W-1</v>
      </c>
      <c r="I12" s="461"/>
      <c r="J12" s="460"/>
      <c r="L12" s="458"/>
      <c r="M12" s="458"/>
      <c r="N12" s="458"/>
      <c r="O12" s="458"/>
      <c r="P12" s="458"/>
      <c r="Q12" s="458"/>
    </row>
    <row r="13" spans="2:17" s="445" customFormat="1" ht="26.1" customHeight="1">
      <c r="B13" s="462" t="s">
        <v>203</v>
      </c>
      <c r="C13" s="463" t="s">
        <v>208</v>
      </c>
      <c r="D13" s="464" t="s">
        <v>209</v>
      </c>
      <c r="E13" s="465" t="s">
        <v>210</v>
      </c>
      <c r="F13" s="463" t="s">
        <v>211</v>
      </c>
      <c r="H13" s="462" t="s">
        <v>209</v>
      </c>
      <c r="I13" s="465" t="s">
        <v>210</v>
      </c>
      <c r="J13" s="463" t="s">
        <v>211</v>
      </c>
      <c r="L13" s="458"/>
      <c r="M13" s="458"/>
      <c r="N13" s="458"/>
      <c r="O13" s="458"/>
      <c r="P13" s="458"/>
      <c r="Q13" s="458"/>
    </row>
    <row r="14" spans="2:17" s="445" customFormat="1" ht="26.1" customHeight="1">
      <c r="B14" s="466">
        <f>$C$6+C14/1440</f>
        <v>45389.482638888883</v>
      </c>
      <c r="C14" s="467">
        <v>5</v>
      </c>
      <c r="D14" s="468">
        <f t="shared" ref="D14:D20" si="0">baseTemp+H14</f>
        <v>14.9</v>
      </c>
      <c r="E14" s="469">
        <f>$C$8+I14</f>
        <v>191</v>
      </c>
      <c r="F14" s="470">
        <f>$C$9+J14</f>
        <v>6.7</v>
      </c>
      <c r="H14" s="462">
        <v>-0.2</v>
      </c>
      <c r="I14" s="465">
        <v>-2</v>
      </c>
      <c r="J14" s="463">
        <v>-0.1</v>
      </c>
      <c r="L14" s="458"/>
      <c r="M14" s="458"/>
      <c r="N14" s="458"/>
      <c r="O14" s="458"/>
      <c r="P14" s="458"/>
      <c r="Q14" s="458"/>
    </row>
    <row r="15" spans="2:17" s="445" customFormat="1" ht="26.1" customHeight="1">
      <c r="B15" s="471">
        <f t="shared" ref="B15:B23" si="1">$C$6+C15/1440</f>
        <v>45389.5</v>
      </c>
      <c r="C15" s="463">
        <v>30</v>
      </c>
      <c r="D15" s="472">
        <f t="shared" si="0"/>
        <v>15.299999999999999</v>
      </c>
      <c r="E15" s="473">
        <f t="shared" ref="E15:E20" si="2">$C$8+I15</f>
        <v>196</v>
      </c>
      <c r="F15" s="474">
        <f t="shared" ref="F15:F20" si="3">$C$9+J15</f>
        <v>6.72</v>
      </c>
      <c r="H15" s="462">
        <v>0.2</v>
      </c>
      <c r="I15" s="465">
        <v>3</v>
      </c>
      <c r="J15" s="463">
        <v>-0.08</v>
      </c>
      <c r="L15" s="458"/>
      <c r="M15" s="458"/>
      <c r="N15" s="458"/>
      <c r="O15" s="458"/>
      <c r="P15" s="458"/>
      <c r="Q15" s="458"/>
    </row>
    <row r="16" spans="2:17" s="445" customFormat="1" ht="26.1" customHeight="1">
      <c r="B16" s="471">
        <f t="shared" si="1"/>
        <v>45389.520833333328</v>
      </c>
      <c r="C16" s="463">
        <v>60</v>
      </c>
      <c r="D16" s="472">
        <f t="shared" si="0"/>
        <v>15.4</v>
      </c>
      <c r="E16" s="473">
        <f t="shared" si="2"/>
        <v>191</v>
      </c>
      <c r="F16" s="474">
        <f t="shared" si="3"/>
        <v>6.71</v>
      </c>
      <c r="H16" s="462">
        <v>0.3</v>
      </c>
      <c r="I16" s="465">
        <v>-2</v>
      </c>
      <c r="J16" s="463">
        <v>-0.09</v>
      </c>
      <c r="L16" s="458"/>
      <c r="M16" s="458"/>
      <c r="N16" s="458"/>
      <c r="O16" s="458"/>
      <c r="P16" s="458"/>
      <c r="Q16" s="458"/>
    </row>
    <row r="17" spans="2:17" s="445" customFormat="1" ht="26.1" customHeight="1">
      <c r="B17" s="471">
        <f t="shared" si="1"/>
        <v>45389.5625</v>
      </c>
      <c r="C17" s="463">
        <v>120</v>
      </c>
      <c r="D17" s="472">
        <f t="shared" si="0"/>
        <v>14.9</v>
      </c>
      <c r="E17" s="473">
        <f t="shared" si="2"/>
        <v>194</v>
      </c>
      <c r="F17" s="474">
        <f t="shared" si="3"/>
        <v>6.93</v>
      </c>
      <c r="H17" s="462">
        <v>-0.2</v>
      </c>
      <c r="I17" s="465">
        <v>1</v>
      </c>
      <c r="J17" s="463">
        <v>0.13</v>
      </c>
      <c r="L17" s="458"/>
      <c r="M17" s="458"/>
      <c r="N17" s="458"/>
      <c r="O17" s="458"/>
      <c r="P17" s="458"/>
      <c r="Q17" s="458"/>
    </row>
    <row r="18" spans="2:17" s="445" customFormat="1" ht="26.1" customHeight="1">
      <c r="B18" s="471">
        <f t="shared" si="1"/>
        <v>45389.645833333328</v>
      </c>
      <c r="C18" s="463">
        <v>240</v>
      </c>
      <c r="D18" s="472">
        <f t="shared" si="0"/>
        <v>15</v>
      </c>
      <c r="E18" s="473">
        <f t="shared" si="2"/>
        <v>190</v>
      </c>
      <c r="F18" s="474">
        <f t="shared" si="3"/>
        <v>6.72</v>
      </c>
      <c r="H18" s="462">
        <v>-0.1</v>
      </c>
      <c r="I18" s="465">
        <v>-3</v>
      </c>
      <c r="J18" s="463">
        <v>-0.08</v>
      </c>
      <c r="L18" s="458"/>
      <c r="M18" s="458"/>
      <c r="N18" s="458"/>
      <c r="O18" s="458"/>
      <c r="P18" s="458"/>
      <c r="Q18" s="458"/>
    </row>
    <row r="19" spans="2:17" s="445" customFormat="1" ht="26.1" customHeight="1">
      <c r="B19" s="471">
        <f t="shared" si="1"/>
        <v>45389.8125</v>
      </c>
      <c r="C19" s="463">
        <v>480</v>
      </c>
      <c r="D19" s="472">
        <f t="shared" si="0"/>
        <v>15.4</v>
      </c>
      <c r="E19" s="473">
        <f t="shared" si="2"/>
        <v>190</v>
      </c>
      <c r="F19" s="474">
        <f t="shared" si="3"/>
        <v>6.87</v>
      </c>
      <c r="H19" s="462">
        <v>0.3</v>
      </c>
      <c r="I19" s="465">
        <v>-3</v>
      </c>
      <c r="J19" s="463">
        <v>7.0000000000000007E-2</v>
      </c>
      <c r="L19" s="458"/>
      <c r="M19" s="458"/>
      <c r="N19" s="458"/>
      <c r="O19" s="458"/>
      <c r="P19" s="458"/>
      <c r="Q19" s="458"/>
    </row>
    <row r="20" spans="2:17" s="444" customFormat="1" ht="26.1" customHeight="1">
      <c r="B20" s="471">
        <f t="shared" si="1"/>
        <v>45390.479166666664</v>
      </c>
      <c r="C20" s="463">
        <v>1440</v>
      </c>
      <c r="D20" s="472">
        <f t="shared" si="0"/>
        <v>15.299999999999999</v>
      </c>
      <c r="E20" s="473">
        <f t="shared" si="2"/>
        <v>195</v>
      </c>
      <c r="F20" s="474">
        <f t="shared" si="3"/>
        <v>6.72</v>
      </c>
      <c r="H20" s="462">
        <v>0.2</v>
      </c>
      <c r="I20" s="465">
        <v>2</v>
      </c>
      <c r="J20" s="463">
        <v>-0.08</v>
      </c>
      <c r="L20" s="458"/>
      <c r="M20" s="458"/>
      <c r="N20" s="458"/>
      <c r="O20" s="458"/>
      <c r="P20" s="458"/>
      <c r="Q20" s="458"/>
    </row>
    <row r="21" spans="2:17" s="444" customFormat="1" ht="26.1" customHeight="1">
      <c r="B21" s="471">
        <f t="shared" si="1"/>
        <v>45390.645833333328</v>
      </c>
      <c r="C21" s="463">
        <v>1680</v>
      </c>
      <c r="D21" s="472">
        <f>$D$20</f>
        <v>15.299999999999999</v>
      </c>
      <c r="E21" s="473">
        <f>$E$20</f>
        <v>195</v>
      </c>
      <c r="F21" s="474">
        <f>$F$20</f>
        <v>6.72</v>
      </c>
      <c r="H21" s="462">
        <v>-0.2</v>
      </c>
      <c r="I21" s="465">
        <v>-2</v>
      </c>
      <c r="J21" s="463">
        <v>-0.1</v>
      </c>
      <c r="L21" s="458"/>
      <c r="M21" s="458"/>
      <c r="N21" s="458"/>
      <c r="O21" s="458"/>
      <c r="P21" s="458"/>
      <c r="Q21" s="458"/>
    </row>
    <row r="22" spans="2:17" s="444" customFormat="1" ht="26.1" customHeight="1">
      <c r="B22" s="471">
        <f t="shared" si="1"/>
        <v>45390.8125</v>
      </c>
      <c r="C22" s="463">
        <v>1920</v>
      </c>
      <c r="D22" s="472">
        <f t="shared" ref="D22:D23" si="4">$D$20</f>
        <v>15.299999999999999</v>
      </c>
      <c r="E22" s="473">
        <f t="shared" ref="E22:E23" si="5">$E$20</f>
        <v>195</v>
      </c>
      <c r="F22" s="474">
        <f t="shared" ref="F22:F23" si="6">$F$20</f>
        <v>6.72</v>
      </c>
      <c r="H22" s="462">
        <v>-0.3</v>
      </c>
      <c r="I22" s="465">
        <v>-1</v>
      </c>
      <c r="J22" s="463">
        <v>-0.08</v>
      </c>
      <c r="L22" s="458"/>
      <c r="M22" s="458"/>
      <c r="N22" s="458"/>
      <c r="O22" s="458"/>
      <c r="P22" s="458"/>
      <c r="Q22" s="458"/>
    </row>
    <row r="23" spans="2:17" s="444" customFormat="1" ht="26.1" customHeight="1" thickBot="1">
      <c r="B23" s="471">
        <f t="shared" si="1"/>
        <v>45391.479166666664</v>
      </c>
      <c r="C23" s="463">
        <v>2880</v>
      </c>
      <c r="D23" s="472">
        <f t="shared" si="4"/>
        <v>15.299999999999999</v>
      </c>
      <c r="E23" s="473">
        <f t="shared" si="5"/>
        <v>195</v>
      </c>
      <c r="F23" s="474">
        <f t="shared" si="6"/>
        <v>6.72</v>
      </c>
      <c r="H23" s="475">
        <v>0.2</v>
      </c>
      <c r="I23" s="476">
        <v>-1</v>
      </c>
      <c r="J23" s="477">
        <v>-0.1</v>
      </c>
      <c r="L23" s="458"/>
      <c r="M23" s="458"/>
      <c r="N23" s="458"/>
      <c r="O23" s="458"/>
      <c r="P23" s="458"/>
      <c r="Q23" s="458"/>
    </row>
    <row r="24" spans="2:17" s="444" customFormat="1" ht="26.1" customHeight="1">
      <c r="B24" s="478" t="s">
        <v>79</v>
      </c>
      <c r="C24" s="479"/>
      <c r="D24" s="464">
        <f>MAX(D14:D23)</f>
        <v>15.4</v>
      </c>
      <c r="E24" s="465">
        <f t="shared" ref="E24:F24" si="7">MAX(E14:E23)</f>
        <v>196</v>
      </c>
      <c r="F24" s="463">
        <f t="shared" si="7"/>
        <v>6.93</v>
      </c>
      <c r="H24" s="445"/>
      <c r="I24" s="445"/>
      <c r="J24" s="445"/>
      <c r="L24" s="458"/>
      <c r="M24" s="458"/>
      <c r="N24" s="458"/>
      <c r="O24" s="458"/>
      <c r="P24" s="458"/>
      <c r="Q24" s="458"/>
    </row>
    <row r="25" spans="2:17" s="444" customFormat="1" ht="26.1" customHeight="1">
      <c r="B25" s="478" t="s">
        <v>212</v>
      </c>
      <c r="C25" s="479"/>
      <c r="D25" s="464">
        <f>MIN(D14:D23)</f>
        <v>14.9</v>
      </c>
      <c r="E25" s="465">
        <f t="shared" ref="E25:F25" si="8">MIN(E14:E23)</f>
        <v>190</v>
      </c>
      <c r="F25" s="463">
        <f t="shared" si="8"/>
        <v>6.7</v>
      </c>
      <c r="H25" s="445"/>
      <c r="I25" s="445"/>
      <c r="J25" s="445"/>
      <c r="L25" s="480"/>
      <c r="M25" s="480"/>
      <c r="N25" s="480"/>
      <c r="O25" s="480"/>
      <c r="P25" s="480"/>
    </row>
    <row r="26" spans="2:17" s="444" customFormat="1" ht="26.1" customHeight="1" thickBot="1">
      <c r="B26" s="481" t="s">
        <v>213</v>
      </c>
      <c r="C26" s="482"/>
      <c r="D26" s="483">
        <f>D24-D25</f>
        <v>0.5</v>
      </c>
      <c r="E26" s="476">
        <f t="shared" ref="E26:F26" si="9">E24-E25</f>
        <v>6</v>
      </c>
      <c r="F26" s="477">
        <f t="shared" si="9"/>
        <v>0.22999999999999954</v>
      </c>
      <c r="H26" s="445"/>
      <c r="I26" s="445"/>
      <c r="J26" s="445"/>
      <c r="L26" s="480"/>
      <c r="M26" s="480"/>
      <c r="N26" s="480"/>
      <c r="O26" s="480"/>
      <c r="P26" s="480"/>
    </row>
    <row r="27" spans="2:17" s="444" customFormat="1" ht="18" customHeight="1">
      <c r="E27" s="445"/>
      <c r="F27" s="445"/>
      <c r="L27" s="480"/>
      <c r="M27" s="480"/>
      <c r="N27" s="480"/>
      <c r="O27" s="480"/>
      <c r="P27" s="480"/>
    </row>
    <row r="28" spans="2:17" s="444" customFormat="1" ht="18" customHeight="1">
      <c r="E28" s="445"/>
      <c r="F28" s="445"/>
      <c r="L28" s="480"/>
      <c r="M28" s="480"/>
      <c r="N28" s="480"/>
      <c r="O28" s="480"/>
      <c r="P28" s="480"/>
    </row>
    <row r="29" spans="2:17" s="444" customFormat="1" ht="18" customHeight="1">
      <c r="E29" s="445"/>
      <c r="F29" s="445"/>
    </row>
    <row r="30" spans="2:17" s="444" customFormat="1" ht="18" customHeight="1">
      <c r="E30" s="445"/>
      <c r="F30" s="445"/>
    </row>
    <row r="31" spans="2:17" s="444" customFormat="1" ht="18" customHeight="1">
      <c r="E31" s="445"/>
      <c r="F31" s="445"/>
    </row>
    <row r="32" spans="2:17" s="444" customFormat="1" ht="18" customHeight="1">
      <c r="E32" s="445"/>
      <c r="F32" s="445"/>
    </row>
    <row r="33" spans="5:6" s="444" customFormat="1" ht="18" customHeight="1">
      <c r="E33" s="445"/>
      <c r="F33" s="445"/>
    </row>
    <row r="34" spans="5:6" s="444" customFormat="1" ht="18" customHeight="1">
      <c r="E34" s="445"/>
      <c r="F34" s="445"/>
    </row>
    <row r="35" spans="5:6" s="444" customFormat="1" ht="18" customHeight="1">
      <c r="E35" s="445"/>
      <c r="F35" s="445"/>
    </row>
    <row r="36" spans="5:6" s="444" customFormat="1" ht="18" customHeight="1">
      <c r="E36" s="445"/>
      <c r="F36" s="445"/>
    </row>
    <row r="37" spans="5:6" s="444" customFormat="1" ht="18" customHeight="1">
      <c r="E37" s="445"/>
      <c r="F37" s="445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CommandButton3">
          <controlPr defaultSize="0" autoLine="0" autoPict="0" r:id="rId5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142875</xdr:colOff>
                <xdr:row>9</xdr:row>
                <xdr:rowOff>28575</xdr:rowOff>
              </to>
            </anchor>
          </controlPr>
        </control>
      </mc:Choice>
      <mc:Fallback>
        <control shapeId="10243" r:id="rId4" name="CommandButton3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autoPict="0" r:id="rId9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4ACE5-54C4-4E24-870D-AF68CBF82B4A}">
  <sheetPr codeName="shW_LongTEST1">
    <tabColor rgb="FF00B050"/>
  </sheetPr>
  <dimension ref="A1:I587"/>
  <sheetViews>
    <sheetView showGridLines="0" view="pageBreakPreview" zoomScale="85" zoomScaleNormal="100" zoomScaleSheetLayoutView="85" workbookViewId="0">
      <selection activeCell="N16" sqref="N16"/>
    </sheetView>
  </sheetViews>
  <sheetFormatPr defaultColWidth="9" defaultRowHeight="12"/>
  <cols>
    <col min="1" max="1" width="13.875" style="47" customWidth="1"/>
    <col min="2" max="2" width="10.875" style="47" customWidth="1"/>
    <col min="3" max="3" width="11.25" style="47" customWidth="1"/>
    <col min="4" max="4" width="0.125" style="47" customWidth="1"/>
    <col min="5" max="5" width="11.125" style="47" customWidth="1"/>
    <col min="6" max="6" width="13.125" style="47" customWidth="1"/>
    <col min="7" max="7" width="8.25" style="47" customWidth="1"/>
    <col min="8" max="8" width="8.625" style="47" customWidth="1"/>
    <col min="9" max="9" width="7.625" style="48" customWidth="1"/>
    <col min="10" max="16384" width="9" style="47"/>
  </cols>
  <sheetData>
    <row r="1" spans="1:9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</row>
    <row r="2" spans="1:9" s="51" customFormat="1" ht="21.6" customHeight="1">
      <c r="A2" s="120" t="s">
        <v>302</v>
      </c>
      <c r="B2" s="121" t="s">
        <v>303</v>
      </c>
      <c r="C2" s="122"/>
      <c r="D2" s="122"/>
      <c r="E2" s="122"/>
      <c r="F2" s="122"/>
      <c r="G2" s="122"/>
      <c r="H2" s="122"/>
      <c r="I2" s="123"/>
    </row>
    <row r="3" spans="1:9" s="51" customFormat="1" ht="21.6" customHeight="1">
      <c r="A3" s="120" t="s">
        <v>304</v>
      </c>
      <c r="B3" s="121" t="s">
        <v>305</v>
      </c>
      <c r="C3" s="122"/>
      <c r="D3" s="122"/>
      <c r="E3" s="124"/>
      <c r="F3" s="122"/>
      <c r="G3" s="125" t="s">
        <v>298</v>
      </c>
      <c r="H3" s="125"/>
      <c r="I3" s="126"/>
    </row>
    <row r="4" spans="1:9" s="51" customFormat="1" ht="21.6" customHeight="1">
      <c r="A4" s="120" t="s">
        <v>306</v>
      </c>
      <c r="B4" s="121" t="s">
        <v>307</v>
      </c>
      <c r="C4" s="125"/>
      <c r="D4" s="125"/>
      <c r="E4" s="122"/>
      <c r="F4" s="122"/>
      <c r="G4" s="122"/>
      <c r="H4" s="122"/>
      <c r="I4" s="123"/>
    </row>
    <row r="5" spans="1:9" s="51" customFormat="1" ht="21.6" customHeight="1">
      <c r="A5" s="120" t="s">
        <v>308</v>
      </c>
      <c r="B5" s="127" t="s">
        <v>224</v>
      </c>
      <c r="C5" s="329"/>
      <c r="D5" s="122"/>
      <c r="E5" s="128" t="s">
        <v>169</v>
      </c>
      <c r="F5" s="129">
        <v>0</v>
      </c>
      <c r="G5" s="130"/>
      <c r="H5" s="130"/>
      <c r="I5" s="130"/>
    </row>
    <row r="6" spans="1:9" s="51" customFormat="1" ht="21.6" customHeight="1">
      <c r="A6" s="120" t="s">
        <v>164</v>
      </c>
      <c r="B6" s="440">
        <v>3</v>
      </c>
      <c r="C6" s="440"/>
      <c r="D6" s="441"/>
      <c r="E6" s="128" t="s">
        <v>165</v>
      </c>
      <c r="F6" s="129">
        <v>0</v>
      </c>
      <c r="G6" s="130"/>
      <c r="H6" s="130"/>
      <c r="I6" s="130"/>
    </row>
    <row r="7" spans="1:9" s="51" customFormat="1" ht="21.6" customHeight="1">
      <c r="A7" s="120" t="s">
        <v>166</v>
      </c>
      <c r="B7" s="131" t="s">
        <v>309</v>
      </c>
      <c r="C7" s="132">
        <v>250</v>
      </c>
      <c r="D7" s="133"/>
      <c r="E7" s="134" t="s">
        <v>168</v>
      </c>
      <c r="F7" s="135">
        <v>210</v>
      </c>
      <c r="G7" s="122"/>
      <c r="H7" s="122"/>
      <c r="I7" s="123"/>
    </row>
    <row r="8" spans="1:9" s="51" customFormat="1" ht="21.6" customHeight="1">
      <c r="A8" s="120" t="s">
        <v>169</v>
      </c>
      <c r="B8" s="136" t="s">
        <v>188</v>
      </c>
      <c r="C8" s="137">
        <v>3.6</v>
      </c>
      <c r="D8" s="133"/>
      <c r="E8" s="134" t="s">
        <v>189</v>
      </c>
      <c r="F8" s="138">
        <v>35.4</v>
      </c>
      <c r="G8" s="130">
        <v>150</v>
      </c>
      <c r="H8" s="130"/>
      <c r="I8" s="120"/>
    </row>
    <row r="9" spans="1:9" s="51" customFormat="1" ht="21.6" customHeight="1">
      <c r="A9" s="139" t="s">
        <v>171</v>
      </c>
      <c r="B9" s="136" t="s">
        <v>190</v>
      </c>
      <c r="C9" s="442" t="s">
        <v>173</v>
      </c>
      <c r="D9" s="442"/>
      <c r="E9" s="139" t="s">
        <v>174</v>
      </c>
      <c r="F9" s="139" t="s">
        <v>175</v>
      </c>
      <c r="G9" s="134" t="s">
        <v>310</v>
      </c>
      <c r="H9" s="134" t="s">
        <v>311</v>
      </c>
      <c r="I9" s="134" t="s">
        <v>312</v>
      </c>
    </row>
    <row r="10" spans="1:9" s="51" customFormat="1" ht="21" customHeight="1">
      <c r="A10" s="141">
        <v>150</v>
      </c>
      <c r="B10" s="142">
        <v>45389.479166666664</v>
      </c>
      <c r="C10" s="143">
        <v>1</v>
      </c>
      <c r="D10" s="133">
        <v>6.9444444444444447E-4</v>
      </c>
      <c r="E10" s="144">
        <v>6.3078799527896123</v>
      </c>
      <c r="F10" s="144">
        <v>2.7078799527896127</v>
      </c>
      <c r="G10" s="140"/>
      <c r="H10" s="140"/>
      <c r="I10" s="140"/>
    </row>
    <row r="11" spans="1:9" s="51" customFormat="1" ht="21" customHeight="1">
      <c r="A11" s="140"/>
      <c r="B11" s="142"/>
      <c r="C11" s="143">
        <v>2</v>
      </c>
      <c r="D11" s="133">
        <v>1.3888888888888889E-3</v>
      </c>
      <c r="E11" s="144">
        <v>8.8157599055792257</v>
      </c>
      <c r="F11" s="144">
        <v>5.2157599055792261</v>
      </c>
      <c r="G11" s="140"/>
      <c r="H11" s="140"/>
      <c r="I11" s="140"/>
    </row>
    <row r="12" spans="1:9" s="51" customFormat="1" ht="21" customHeight="1">
      <c r="A12" s="140"/>
      <c r="B12" s="142"/>
      <c r="C12" s="143">
        <v>3</v>
      </c>
      <c r="D12" s="133">
        <v>2.0833333333333333E-3</v>
      </c>
      <c r="E12" s="144">
        <v>10.622450598111696</v>
      </c>
      <c r="F12" s="144">
        <v>7.0224505981116963</v>
      </c>
      <c r="G12" s="140"/>
      <c r="H12" s="140"/>
      <c r="I12" s="140"/>
    </row>
    <row r="13" spans="1:9" s="51" customFormat="1" ht="21" customHeight="1">
      <c r="A13" s="140"/>
      <c r="B13" s="142"/>
      <c r="C13" s="143">
        <v>4</v>
      </c>
      <c r="D13" s="133">
        <v>2.7777777777777779E-3</v>
      </c>
      <c r="E13" s="144">
        <v>11.904318044443064</v>
      </c>
      <c r="F13" s="144">
        <v>8.3043180444430647</v>
      </c>
      <c r="G13" s="140"/>
      <c r="H13" s="140"/>
      <c r="I13" s="140"/>
    </row>
    <row r="14" spans="1:9" s="51" customFormat="1" ht="21" customHeight="1">
      <c r="A14" s="140"/>
      <c r="B14" s="142"/>
      <c r="C14" s="143">
        <v>5</v>
      </c>
      <c r="D14" s="133">
        <v>3.472222222222222E-3</v>
      </c>
      <c r="E14" s="144">
        <v>12.898611682036352</v>
      </c>
      <c r="F14" s="144">
        <v>9.298611682036352</v>
      </c>
      <c r="G14" s="140">
        <v>14.9</v>
      </c>
      <c r="H14" s="140">
        <v>191</v>
      </c>
      <c r="I14" s="140">
        <v>6.7</v>
      </c>
    </row>
    <row r="15" spans="1:9" s="51" customFormat="1" ht="21" customHeight="1">
      <c r="A15" s="140"/>
      <c r="B15" s="142"/>
      <c r="C15" s="143">
        <v>10</v>
      </c>
      <c r="D15" s="133">
        <v>6.9444444444444441E-3</v>
      </c>
      <c r="E15" s="144">
        <v>15.98716982090019</v>
      </c>
      <c r="F15" s="144">
        <v>12.387169820900191</v>
      </c>
      <c r="G15" s="140"/>
      <c r="H15" s="140"/>
      <c r="I15" s="140"/>
    </row>
    <row r="16" spans="1:9" s="51" customFormat="1" ht="21" customHeight="1">
      <c r="A16" s="140"/>
      <c r="B16" s="142"/>
      <c r="C16" s="143">
        <v>15</v>
      </c>
      <c r="D16" s="133">
        <v>1.0416666666666666E-2</v>
      </c>
      <c r="E16" s="144">
        <v>17.793860513432662</v>
      </c>
      <c r="F16" s="144">
        <v>14.193860513432661</v>
      </c>
      <c r="G16" s="140"/>
      <c r="H16" s="140"/>
      <c r="I16" s="140"/>
    </row>
    <row r="17" spans="1:9" s="51" customFormat="1" ht="21" customHeight="1">
      <c r="A17" s="140"/>
      <c r="B17" s="142"/>
      <c r="C17" s="143">
        <v>20</v>
      </c>
      <c r="D17" s="133">
        <v>1.3888888888888888E-2</v>
      </c>
      <c r="E17" s="144">
        <v>19.075727959764023</v>
      </c>
      <c r="F17" s="144">
        <v>15.475727959764022</v>
      </c>
      <c r="G17" s="140"/>
      <c r="H17" s="140"/>
      <c r="I17" s="140"/>
    </row>
    <row r="18" spans="1:9" s="51" customFormat="1" ht="21" customHeight="1">
      <c r="A18" s="140"/>
      <c r="B18" s="142"/>
      <c r="C18" s="143">
        <v>25</v>
      </c>
      <c r="D18" s="133">
        <v>1.7361111111111112E-2</v>
      </c>
      <c r="E18" s="144">
        <v>20.070021597357318</v>
      </c>
      <c r="F18" s="144">
        <v>16.470021597357317</v>
      </c>
      <c r="G18" s="140"/>
      <c r="H18" s="140"/>
      <c r="I18" s="140"/>
    </row>
    <row r="19" spans="1:9" s="51" customFormat="1" ht="21" customHeight="1">
      <c r="A19" s="140"/>
      <c r="B19" s="142"/>
      <c r="C19" s="143">
        <v>30</v>
      </c>
      <c r="D19" s="133">
        <v>2.0833333333333332E-2</v>
      </c>
      <c r="E19" s="144">
        <v>20.882418652296494</v>
      </c>
      <c r="F19" s="144">
        <v>17.282418652296492</v>
      </c>
      <c r="G19" s="140">
        <v>15.299999999999999</v>
      </c>
      <c r="H19" s="140">
        <v>196</v>
      </c>
      <c r="I19" s="140">
        <v>6.72</v>
      </c>
    </row>
    <row r="20" spans="1:9" s="51" customFormat="1" ht="21" customHeight="1">
      <c r="A20" s="140"/>
      <c r="B20" s="142"/>
      <c r="C20" s="143">
        <v>35</v>
      </c>
      <c r="D20" s="133">
        <v>2.4305555555555556E-2</v>
      </c>
      <c r="E20" s="144">
        <v>21.56929057523682</v>
      </c>
      <c r="F20" s="144">
        <v>17.969290575236819</v>
      </c>
      <c r="G20" s="140"/>
      <c r="H20" s="140"/>
      <c r="I20" s="140"/>
    </row>
    <row r="21" spans="1:9" s="51" customFormat="1" ht="21" customHeight="1">
      <c r="A21" s="140"/>
      <c r="B21" s="142"/>
      <c r="C21" s="143">
        <v>40</v>
      </c>
      <c r="D21" s="133">
        <v>2.7777777777777776E-2</v>
      </c>
      <c r="E21" s="144">
        <v>22.164286098627855</v>
      </c>
      <c r="F21" s="144">
        <v>18.564286098627854</v>
      </c>
      <c r="G21" s="140"/>
      <c r="H21" s="140"/>
      <c r="I21" s="140"/>
    </row>
    <row r="22" spans="1:9" s="51" customFormat="1" ht="21" customHeight="1">
      <c r="A22" s="140"/>
      <c r="B22" s="142"/>
      <c r="C22" s="143">
        <v>45</v>
      </c>
      <c r="D22" s="133">
        <v>3.125E-2</v>
      </c>
      <c r="E22" s="144">
        <v>22.689109344828964</v>
      </c>
      <c r="F22" s="144">
        <v>19.089109344828962</v>
      </c>
      <c r="G22" s="140"/>
      <c r="H22" s="140"/>
      <c r="I22" s="140"/>
    </row>
    <row r="23" spans="1:9" s="51" customFormat="1" ht="21" customHeight="1">
      <c r="A23" s="140"/>
      <c r="B23" s="142"/>
      <c r="C23" s="143">
        <v>50</v>
      </c>
      <c r="D23" s="133">
        <v>3.4722222222222224E-2</v>
      </c>
      <c r="E23" s="144">
        <v>23.158579736221157</v>
      </c>
      <c r="F23" s="144">
        <v>19.558579736221155</v>
      </c>
      <c r="G23" s="140"/>
      <c r="H23" s="140"/>
      <c r="I23" s="140"/>
    </row>
    <row r="24" spans="1:9" s="51" customFormat="1" ht="21" customHeight="1">
      <c r="A24" s="140"/>
      <c r="B24" s="142"/>
      <c r="C24" s="143">
        <v>55</v>
      </c>
      <c r="D24" s="133">
        <v>3.8194444444444448E-2</v>
      </c>
      <c r="E24" s="144">
        <v>23.583267363621466</v>
      </c>
      <c r="F24" s="144">
        <v>19.983267363621465</v>
      </c>
      <c r="G24" s="140"/>
      <c r="H24" s="140"/>
      <c r="I24" s="140"/>
    </row>
    <row r="25" spans="1:9" s="51" customFormat="1" ht="21" customHeight="1">
      <c r="A25" s="140"/>
      <c r="B25" s="142">
        <v>45389.520833333328</v>
      </c>
      <c r="C25" s="143">
        <v>60</v>
      </c>
      <c r="D25" s="133">
        <v>4.1666666666666664E-2</v>
      </c>
      <c r="E25" s="144">
        <v>23.970976791160325</v>
      </c>
      <c r="F25" s="144">
        <v>20.370976791160324</v>
      </c>
      <c r="G25" s="140">
        <v>15.4</v>
      </c>
      <c r="H25" s="140">
        <v>191</v>
      </c>
      <c r="I25" s="140">
        <v>6.71</v>
      </c>
    </row>
    <row r="26" spans="1:9" s="51" customFormat="1" ht="21" customHeight="1">
      <c r="A26" s="140"/>
      <c r="B26" s="142"/>
      <c r="C26" s="143">
        <v>75</v>
      </c>
      <c r="D26" s="133">
        <v>5.2083333333333336E-2</v>
      </c>
      <c r="E26" s="144">
        <v>24.965270428753627</v>
      </c>
      <c r="F26" s="144">
        <v>21.365270428753625</v>
      </c>
      <c r="G26" s="140"/>
      <c r="H26" s="140"/>
      <c r="I26" s="140"/>
    </row>
    <row r="27" spans="1:9" s="51" customFormat="1" ht="21" customHeight="1">
      <c r="A27" s="140"/>
      <c r="B27" s="142"/>
      <c r="C27" s="143">
        <v>90</v>
      </c>
      <c r="D27" s="133">
        <v>6.25E-2</v>
      </c>
      <c r="E27" s="144">
        <v>25.777667483692795</v>
      </c>
      <c r="F27" s="144">
        <v>22.177667483692794</v>
      </c>
      <c r="G27" s="140"/>
      <c r="H27" s="140"/>
      <c r="I27" s="140"/>
    </row>
    <row r="28" spans="1:9" s="51" customFormat="1" ht="21" customHeight="1">
      <c r="A28" s="140"/>
      <c r="B28" s="142"/>
      <c r="C28" s="143">
        <v>105</v>
      </c>
      <c r="D28" s="133">
        <v>7.2916666666666671E-2</v>
      </c>
      <c r="E28" s="144">
        <v>26.464539406633115</v>
      </c>
      <c r="F28" s="144">
        <v>22.864539406633114</v>
      </c>
      <c r="G28" s="140"/>
      <c r="H28" s="140"/>
      <c r="I28" s="140"/>
    </row>
    <row r="29" spans="1:9" s="51" customFormat="1" ht="21" customHeight="1">
      <c r="A29" s="140"/>
      <c r="B29" s="142"/>
      <c r="C29" s="143">
        <v>120</v>
      </c>
      <c r="D29" s="133">
        <v>8.3333333333333329E-2</v>
      </c>
      <c r="E29" s="144">
        <v>27.059534930024164</v>
      </c>
      <c r="F29" s="144">
        <v>23.459534930024162</v>
      </c>
      <c r="G29" s="140">
        <v>14.9</v>
      </c>
      <c r="H29" s="140">
        <v>194</v>
      </c>
      <c r="I29" s="140">
        <v>6.93</v>
      </c>
    </row>
    <row r="30" spans="1:9" s="51" customFormat="1" ht="21" customHeight="1">
      <c r="A30" s="140" t="s">
        <v>4</v>
      </c>
      <c r="B30" s="142" t="s">
        <v>4</v>
      </c>
      <c r="C30" s="143">
        <v>140</v>
      </c>
      <c r="D30" s="133">
        <v>9.7222222222222224E-2</v>
      </c>
      <c r="E30" s="144">
        <v>27.746406852964483</v>
      </c>
      <c r="F30" s="144">
        <v>24.146406852964482</v>
      </c>
      <c r="G30" s="140"/>
      <c r="H30" s="140"/>
      <c r="I30" s="140"/>
    </row>
    <row r="31" spans="1:9" s="51" customFormat="1" ht="21" customHeight="1">
      <c r="A31" s="140"/>
      <c r="B31" s="142"/>
      <c r="C31" s="143">
        <v>160</v>
      </c>
      <c r="D31" s="133">
        <v>0.1111111111111111</v>
      </c>
      <c r="E31" s="144">
        <v>28.341402376355532</v>
      </c>
      <c r="F31" s="144">
        <v>24.741402376355531</v>
      </c>
      <c r="G31" s="140"/>
      <c r="H31" s="140"/>
      <c r="I31" s="140"/>
    </row>
    <row r="32" spans="1:9" s="51" customFormat="1" ht="21" customHeight="1">
      <c r="A32" s="140"/>
      <c r="B32" s="142"/>
      <c r="C32" s="143">
        <v>180</v>
      </c>
      <c r="D32" s="133">
        <v>0.125</v>
      </c>
      <c r="E32" s="144">
        <v>28.866225622556634</v>
      </c>
      <c r="F32" s="144">
        <v>25.266225622556632</v>
      </c>
      <c r="G32" s="140"/>
      <c r="H32" s="140"/>
      <c r="I32" s="140"/>
    </row>
    <row r="33" spans="1:9" s="51" customFormat="1" ht="21" customHeight="1">
      <c r="A33" s="140"/>
      <c r="B33" s="142">
        <v>45389.645833333328</v>
      </c>
      <c r="C33" s="143">
        <v>240</v>
      </c>
      <c r="D33" s="133">
        <v>0.16666666666666666</v>
      </c>
      <c r="E33" s="144">
        <v>30.148093068888002</v>
      </c>
      <c r="F33" s="144">
        <v>26.548093068888001</v>
      </c>
      <c r="G33" s="140">
        <v>15</v>
      </c>
      <c r="H33" s="140">
        <v>190</v>
      </c>
      <c r="I33" s="140">
        <v>6.72</v>
      </c>
    </row>
    <row r="34" spans="1:9" s="51" customFormat="1" ht="21" customHeight="1">
      <c r="A34" s="140"/>
      <c r="B34" s="142"/>
      <c r="C34" s="143">
        <v>300</v>
      </c>
      <c r="D34" s="133">
        <v>0.20833333333333334</v>
      </c>
      <c r="E34" s="144">
        <v>31.14238670648129</v>
      </c>
      <c r="F34" s="144">
        <v>27.542386706481288</v>
      </c>
      <c r="G34" s="140"/>
      <c r="H34" s="140"/>
      <c r="I34" s="140"/>
    </row>
    <row r="35" spans="1:9" s="51" customFormat="1" ht="21" customHeight="1">
      <c r="A35" s="140" t="s">
        <v>4</v>
      </c>
      <c r="B35" s="142" t="s">
        <v>4</v>
      </c>
      <c r="C35" s="143">
        <v>360</v>
      </c>
      <c r="D35" s="133">
        <v>0.25</v>
      </c>
      <c r="E35" s="144">
        <v>31.954783761420472</v>
      </c>
      <c r="F35" s="144">
        <v>28.354783761420471</v>
      </c>
      <c r="G35" s="140"/>
      <c r="H35" s="140"/>
      <c r="I35" s="140"/>
    </row>
    <row r="36" spans="1:9" s="51" customFormat="1" ht="21" customHeight="1">
      <c r="A36" s="140"/>
      <c r="B36" s="142"/>
      <c r="C36" s="143">
        <v>420</v>
      </c>
      <c r="D36" s="133">
        <v>0.29166666666666669</v>
      </c>
      <c r="E36" s="144">
        <v>32.641655684360792</v>
      </c>
      <c r="F36" s="144">
        <v>29.041655684360791</v>
      </c>
      <c r="G36" s="140"/>
      <c r="H36" s="140"/>
      <c r="I36" s="140"/>
    </row>
    <row r="37" spans="1:9" s="51" customFormat="1" ht="21" customHeight="1">
      <c r="A37" s="140"/>
      <c r="B37" s="142"/>
      <c r="C37" s="143">
        <v>480</v>
      </c>
      <c r="D37" s="133">
        <v>0.33333333333333331</v>
      </c>
      <c r="E37" s="144">
        <v>33.236651207751834</v>
      </c>
      <c r="F37" s="144">
        <v>29.636651207751832</v>
      </c>
      <c r="G37" s="140">
        <v>15.4</v>
      </c>
      <c r="H37" s="140">
        <v>190</v>
      </c>
      <c r="I37" s="140">
        <v>6.87</v>
      </c>
    </row>
    <row r="38" spans="1:9" s="51" customFormat="1" ht="21" customHeight="1">
      <c r="A38" s="140"/>
      <c r="B38" s="142"/>
      <c r="C38" s="143">
        <v>540</v>
      </c>
      <c r="D38" s="133">
        <v>0.375</v>
      </c>
      <c r="E38" s="144">
        <v>33.761474453952943</v>
      </c>
      <c r="F38" s="144">
        <v>30.161474453952941</v>
      </c>
      <c r="G38" s="140"/>
      <c r="H38" s="140"/>
      <c r="I38" s="140"/>
    </row>
    <row r="39" spans="1:9" s="51" customFormat="1" ht="21" customHeight="1">
      <c r="A39" s="140"/>
      <c r="B39" s="142">
        <v>45389.895833333328</v>
      </c>
      <c r="C39" s="143">
        <v>600</v>
      </c>
      <c r="D39" s="133">
        <v>0.41666666666666669</v>
      </c>
      <c r="E39" s="144">
        <v>34.230944845345128</v>
      </c>
      <c r="F39" s="144">
        <v>30.630944845345127</v>
      </c>
      <c r="G39" s="140"/>
      <c r="H39" s="140"/>
      <c r="I39" s="140"/>
    </row>
    <row r="40" spans="1:9" s="51" customFormat="1" ht="21" customHeight="1">
      <c r="A40" s="140" t="s">
        <v>4</v>
      </c>
      <c r="B40" s="142" t="s">
        <v>4</v>
      </c>
      <c r="C40" s="143">
        <v>660</v>
      </c>
      <c r="D40" s="133">
        <v>0.45833333333333331</v>
      </c>
      <c r="E40" s="144">
        <v>34.655632472745445</v>
      </c>
      <c r="F40" s="144">
        <v>31.055632472745444</v>
      </c>
      <c r="G40" s="140"/>
      <c r="H40" s="140"/>
      <c r="I40" s="140"/>
    </row>
    <row r="41" spans="1:9" s="51" customFormat="1" ht="21" customHeight="1">
      <c r="A41" s="140"/>
      <c r="B41" s="142"/>
      <c r="C41" s="143">
        <v>720</v>
      </c>
      <c r="D41" s="133">
        <v>0.5</v>
      </c>
      <c r="E41" s="144">
        <v>35.043341900284304</v>
      </c>
      <c r="F41" s="144">
        <v>31.443341900284302</v>
      </c>
      <c r="G41" s="140"/>
      <c r="H41" s="140"/>
      <c r="I41" s="140"/>
    </row>
    <row r="42" spans="1:9" s="51" customFormat="1" ht="21" customHeight="1">
      <c r="A42" s="140"/>
      <c r="B42" s="142"/>
      <c r="C42" s="143">
        <v>780</v>
      </c>
      <c r="D42" s="133">
        <v>0.54166666666666663</v>
      </c>
      <c r="E42" s="144">
        <v>35.4</v>
      </c>
      <c r="F42" s="144">
        <v>31.799999999999997</v>
      </c>
      <c r="G42" s="140"/>
      <c r="H42" s="140"/>
      <c r="I42" s="140"/>
    </row>
    <row r="43" spans="1:9" s="51" customFormat="1" ht="21" customHeight="1">
      <c r="A43" s="140"/>
      <c r="B43" s="142"/>
      <c r="C43" s="143">
        <v>840</v>
      </c>
      <c r="D43" s="133">
        <v>0.58333333333333337</v>
      </c>
      <c r="E43" s="144">
        <v>35.4</v>
      </c>
      <c r="F43" s="144">
        <v>31.799999999999997</v>
      </c>
      <c r="G43" s="140"/>
      <c r="H43" s="140"/>
      <c r="I43" s="140"/>
    </row>
    <row r="44" spans="1:9" s="51" customFormat="1" ht="21" customHeight="1">
      <c r="A44" s="140"/>
      <c r="B44" s="142"/>
      <c r="C44" s="143">
        <v>900</v>
      </c>
      <c r="D44" s="133">
        <v>0.625</v>
      </c>
      <c r="E44" s="144">
        <v>35.4</v>
      </c>
      <c r="F44" s="144">
        <v>31.799999999999997</v>
      </c>
      <c r="G44" s="140"/>
      <c r="H44" s="140"/>
      <c r="I44" s="140"/>
    </row>
    <row r="45" spans="1:9" s="51" customFormat="1" ht="21" customHeight="1">
      <c r="A45" s="140" t="s">
        <v>4</v>
      </c>
      <c r="B45" s="142">
        <v>45390.145833333328</v>
      </c>
      <c r="C45" s="143">
        <v>960</v>
      </c>
      <c r="D45" s="133">
        <v>0.66666666666666663</v>
      </c>
      <c r="E45" s="144">
        <v>35.4</v>
      </c>
      <c r="F45" s="144">
        <v>31.799999999999997</v>
      </c>
      <c r="G45" s="140"/>
      <c r="H45" s="140"/>
      <c r="I45" s="140"/>
    </row>
    <row r="46" spans="1:9" s="51" customFormat="1" ht="21" customHeight="1">
      <c r="A46" s="140"/>
      <c r="B46" s="140"/>
      <c r="C46" s="143">
        <v>1020</v>
      </c>
      <c r="D46" s="133">
        <v>0.70833333333333337</v>
      </c>
      <c r="E46" s="144">
        <v>35.4</v>
      </c>
      <c r="F46" s="144">
        <v>31.799999999999997</v>
      </c>
      <c r="G46" s="140"/>
      <c r="H46" s="140"/>
      <c r="I46" s="140"/>
    </row>
    <row r="47" spans="1:9" s="51" customFormat="1" ht="21" customHeight="1">
      <c r="A47" s="140"/>
      <c r="B47" s="142"/>
      <c r="C47" s="143">
        <v>1080</v>
      </c>
      <c r="D47" s="133">
        <v>0.75</v>
      </c>
      <c r="E47" s="144">
        <v>35.4</v>
      </c>
      <c r="F47" s="144">
        <v>31.799999999999997</v>
      </c>
      <c r="G47" s="140"/>
      <c r="H47" s="140"/>
      <c r="I47" s="140"/>
    </row>
    <row r="48" spans="1:9" s="51" customFormat="1" ht="21" customHeight="1">
      <c r="A48" s="140"/>
      <c r="B48" s="142"/>
      <c r="C48" s="143">
        <v>1140</v>
      </c>
      <c r="D48" s="133">
        <v>0.79166666666666663</v>
      </c>
      <c r="E48" s="144">
        <v>35.4</v>
      </c>
      <c r="F48" s="144">
        <v>31.799999999999997</v>
      </c>
      <c r="G48" s="140"/>
      <c r="H48" s="140"/>
      <c r="I48" s="140"/>
    </row>
    <row r="49" spans="1:9" s="51" customFormat="1" ht="21" customHeight="1">
      <c r="A49" s="140"/>
      <c r="B49" s="142"/>
      <c r="C49" s="143">
        <v>1200</v>
      </c>
      <c r="D49" s="133">
        <v>0.83333333333333337</v>
      </c>
      <c r="E49" s="144">
        <v>35.4</v>
      </c>
      <c r="F49" s="144">
        <v>31.799999999999997</v>
      </c>
      <c r="G49" s="140"/>
      <c r="H49" s="140"/>
      <c r="I49" s="140"/>
    </row>
    <row r="50" spans="1:9" s="51" customFormat="1" ht="21" customHeight="1">
      <c r="A50" s="140"/>
      <c r="B50" s="142"/>
      <c r="C50" s="143">
        <v>1260</v>
      </c>
      <c r="D50" s="133">
        <v>0.875</v>
      </c>
      <c r="E50" s="144">
        <v>35.4</v>
      </c>
      <c r="F50" s="144">
        <v>31.799999999999997</v>
      </c>
      <c r="G50" s="140"/>
      <c r="H50" s="140"/>
      <c r="I50" s="140"/>
    </row>
    <row r="51" spans="1:9" s="51" customFormat="1" ht="21" customHeight="1">
      <c r="A51" s="140"/>
      <c r="B51" s="142">
        <v>45390.395833333328</v>
      </c>
      <c r="C51" s="143">
        <v>1320</v>
      </c>
      <c r="D51" s="133">
        <v>0.91666666666666663</v>
      </c>
      <c r="E51" s="144">
        <v>35.4</v>
      </c>
      <c r="F51" s="144">
        <v>31.799999999999997</v>
      </c>
      <c r="G51" s="140"/>
      <c r="H51" s="140"/>
      <c r="I51" s="140"/>
    </row>
    <row r="52" spans="1:9" s="51" customFormat="1" ht="21" customHeight="1">
      <c r="A52" s="140"/>
      <c r="B52" s="142"/>
      <c r="C52" s="143">
        <v>1380</v>
      </c>
      <c r="D52" s="133">
        <v>0.95833333333333337</v>
      </c>
      <c r="E52" s="144">
        <v>35.4</v>
      </c>
      <c r="F52" s="144">
        <v>31.799999999999997</v>
      </c>
      <c r="G52" s="140"/>
      <c r="H52" s="140"/>
      <c r="I52" s="140"/>
    </row>
    <row r="53" spans="1:9" s="51" customFormat="1" ht="21" customHeight="1">
      <c r="A53" s="140"/>
      <c r="B53" s="142"/>
      <c r="C53" s="143">
        <v>1440</v>
      </c>
      <c r="D53" s="133">
        <v>1</v>
      </c>
      <c r="E53" s="144">
        <v>35.4</v>
      </c>
      <c r="F53" s="144">
        <v>31.799999999999997</v>
      </c>
      <c r="G53" s="140">
        <v>15.299999999999999</v>
      </c>
      <c r="H53" s="140">
        <v>195</v>
      </c>
      <c r="I53" s="140">
        <v>6.72</v>
      </c>
    </row>
    <row r="54" spans="1:9" s="51" customFormat="1" ht="21" customHeight="1">
      <c r="A54" s="140"/>
      <c r="B54" s="142"/>
      <c r="C54" s="143">
        <v>1500</v>
      </c>
      <c r="D54" s="133">
        <v>1.0416666666666667</v>
      </c>
      <c r="E54" s="144">
        <v>35.4</v>
      </c>
      <c r="F54" s="144">
        <v>31.799999999999997</v>
      </c>
      <c r="G54" s="140"/>
      <c r="H54" s="140"/>
      <c r="I54" s="140"/>
    </row>
    <row r="55" spans="1:9" s="51" customFormat="1" ht="21" customHeight="1">
      <c r="A55" s="140"/>
      <c r="B55" s="142" t="s">
        <v>4</v>
      </c>
      <c r="C55" s="143">
        <v>1560</v>
      </c>
      <c r="D55" s="133">
        <v>1.0833333333333333</v>
      </c>
      <c r="E55" s="144">
        <v>35.4</v>
      </c>
      <c r="F55" s="144">
        <v>31.799999999999997</v>
      </c>
      <c r="G55" s="140"/>
      <c r="H55" s="140"/>
      <c r="I55" s="140"/>
    </row>
    <row r="56" spans="1:9" s="51" customFormat="1" ht="21.6" customHeight="1">
      <c r="A56" s="140"/>
      <c r="B56" s="142">
        <v>45390.604166666664</v>
      </c>
      <c r="C56" s="143">
        <v>1620</v>
      </c>
      <c r="D56" s="133">
        <v>1.125</v>
      </c>
      <c r="E56" s="144">
        <v>35.4</v>
      </c>
      <c r="F56" s="144">
        <v>31.799999999999997</v>
      </c>
      <c r="G56" s="140"/>
      <c r="H56" s="140"/>
      <c r="I56" s="140"/>
    </row>
    <row r="57" spans="1:9" s="51" customFormat="1" ht="21.6" customHeight="1">
      <c r="A57" s="140"/>
      <c r="B57" s="142"/>
      <c r="C57" s="143">
        <v>1680</v>
      </c>
      <c r="D57" s="133">
        <v>1.1666666666666667</v>
      </c>
      <c r="E57" s="144">
        <v>35.4</v>
      </c>
      <c r="F57" s="144">
        <v>31.799999999999997</v>
      </c>
      <c r="G57" s="140">
        <v>15.299999999999999</v>
      </c>
      <c r="H57" s="140">
        <v>195</v>
      </c>
      <c r="I57" s="140">
        <v>6.72</v>
      </c>
    </row>
    <row r="58" spans="1:9" s="51" customFormat="1" ht="21.6" customHeight="1">
      <c r="A58" s="140"/>
      <c r="B58" s="142"/>
      <c r="C58" s="143">
        <v>1740</v>
      </c>
      <c r="D58" s="133">
        <v>1.2083333333333333</v>
      </c>
      <c r="E58" s="144">
        <v>35.4</v>
      </c>
      <c r="F58" s="144">
        <v>31.799999999999997</v>
      </c>
      <c r="G58" s="140"/>
      <c r="H58" s="140"/>
      <c r="I58" s="140"/>
    </row>
    <row r="59" spans="1:9" s="51" customFormat="1" ht="21.6" customHeight="1">
      <c r="A59" s="140"/>
      <c r="B59" s="142"/>
      <c r="C59" s="143">
        <v>1800</v>
      </c>
      <c r="D59" s="133">
        <v>1.25</v>
      </c>
      <c r="E59" s="144">
        <v>35.4</v>
      </c>
      <c r="F59" s="144">
        <v>31.799999999999997</v>
      </c>
      <c r="G59" s="140"/>
      <c r="H59" s="140"/>
      <c r="I59" s="140"/>
    </row>
    <row r="60" spans="1:9" s="51" customFormat="1" ht="21.6" customHeight="1">
      <c r="A60" s="140"/>
      <c r="B60" s="142"/>
      <c r="C60" s="143">
        <v>1860</v>
      </c>
      <c r="D60" s="133">
        <v>1.2916666666666667</v>
      </c>
      <c r="E60" s="144">
        <v>35.4</v>
      </c>
      <c r="F60" s="144">
        <v>31.799999999999997</v>
      </c>
      <c r="G60" s="140"/>
      <c r="H60" s="140"/>
      <c r="I60" s="140"/>
    </row>
    <row r="61" spans="1:9" s="51" customFormat="1" ht="21.6" customHeight="1">
      <c r="A61" s="140"/>
      <c r="B61" s="142">
        <v>45390.8125</v>
      </c>
      <c r="C61" s="143">
        <v>1920</v>
      </c>
      <c r="D61" s="133">
        <v>1.3333333333333333</v>
      </c>
      <c r="E61" s="144">
        <v>35.4</v>
      </c>
      <c r="F61" s="144">
        <v>31.799999999999997</v>
      </c>
      <c r="G61" s="140">
        <v>15.299999999999999</v>
      </c>
      <c r="H61" s="140">
        <v>195</v>
      </c>
      <c r="I61" s="140">
        <v>6.72</v>
      </c>
    </row>
    <row r="62" spans="1:9" s="51" customFormat="1" ht="21.6" customHeight="1">
      <c r="A62" s="140"/>
      <c r="B62" s="142"/>
      <c r="C62" s="143">
        <v>1980</v>
      </c>
      <c r="D62" s="133">
        <v>1.375</v>
      </c>
      <c r="E62" s="144">
        <v>35.4</v>
      </c>
      <c r="F62" s="144">
        <v>31.799999999999997</v>
      </c>
      <c r="G62" s="140"/>
      <c r="H62" s="140"/>
      <c r="I62" s="140"/>
    </row>
    <row r="63" spans="1:9" s="51" customFormat="1" ht="21.6" customHeight="1">
      <c r="A63" s="140"/>
      <c r="B63" s="142"/>
      <c r="C63" s="143">
        <v>2040</v>
      </c>
      <c r="D63" s="133">
        <v>1.4166666666666667</v>
      </c>
      <c r="E63" s="144">
        <v>35.4</v>
      </c>
      <c r="F63" s="144">
        <v>31.799999999999997</v>
      </c>
      <c r="G63" s="140"/>
      <c r="H63" s="140"/>
      <c r="I63" s="140"/>
    </row>
    <row r="64" spans="1:9" s="51" customFormat="1" ht="21.6" customHeight="1">
      <c r="A64" s="140"/>
      <c r="B64" s="142"/>
      <c r="C64" s="143">
        <v>2100</v>
      </c>
      <c r="D64" s="133">
        <v>1.4583333333333333</v>
      </c>
      <c r="E64" s="144">
        <v>35.4</v>
      </c>
      <c r="F64" s="144">
        <v>31.799999999999997</v>
      </c>
      <c r="G64" s="140"/>
      <c r="H64" s="140"/>
      <c r="I64" s="140"/>
    </row>
    <row r="65" spans="1:9" s="51" customFormat="1" ht="21.6" customHeight="1">
      <c r="A65" s="140"/>
      <c r="B65" s="142"/>
      <c r="C65" s="143">
        <v>2160</v>
      </c>
      <c r="D65" s="133">
        <v>1.5</v>
      </c>
      <c r="E65" s="144">
        <v>35.4</v>
      </c>
      <c r="F65" s="144">
        <v>31.799999999999997</v>
      </c>
      <c r="G65" s="140"/>
      <c r="H65" s="140"/>
      <c r="I65" s="140"/>
    </row>
    <row r="66" spans="1:9" s="51" customFormat="1" ht="21.6" customHeight="1">
      <c r="A66" s="140"/>
      <c r="B66" s="142">
        <v>45391.020833333328</v>
      </c>
      <c r="C66" s="143">
        <v>2220</v>
      </c>
      <c r="D66" s="133">
        <v>1.5416666666666667</v>
      </c>
      <c r="E66" s="144">
        <v>35.4</v>
      </c>
      <c r="F66" s="144">
        <v>31.799999999999997</v>
      </c>
      <c r="G66" s="140"/>
      <c r="H66" s="140"/>
      <c r="I66" s="140"/>
    </row>
    <row r="67" spans="1:9" s="51" customFormat="1" ht="21.6" customHeight="1">
      <c r="A67" s="140"/>
      <c r="B67" s="142"/>
      <c r="C67" s="143">
        <v>2280</v>
      </c>
      <c r="D67" s="133">
        <v>1.5833333333333333</v>
      </c>
      <c r="E67" s="144">
        <v>35.4</v>
      </c>
      <c r="F67" s="144">
        <v>31.799999999999997</v>
      </c>
      <c r="G67" s="140"/>
      <c r="H67" s="140"/>
      <c r="I67" s="140"/>
    </row>
    <row r="68" spans="1:9" s="51" customFormat="1" ht="21.6" customHeight="1">
      <c r="A68" s="140"/>
      <c r="B68" s="142" t="s">
        <v>4</v>
      </c>
      <c r="C68" s="143">
        <v>2340</v>
      </c>
      <c r="D68" s="133">
        <v>1.625</v>
      </c>
      <c r="E68" s="144">
        <v>35.4</v>
      </c>
      <c r="F68" s="144">
        <v>31.799999999999997</v>
      </c>
      <c r="G68" s="140"/>
      <c r="H68" s="140"/>
      <c r="I68" s="140"/>
    </row>
    <row r="69" spans="1:9" s="51" customFormat="1" ht="21.6" customHeight="1">
      <c r="A69" s="140"/>
      <c r="B69" s="142"/>
      <c r="C69" s="143">
        <v>2400</v>
      </c>
      <c r="D69" s="133">
        <v>1.6666666666666667</v>
      </c>
      <c r="E69" s="144">
        <v>35.4</v>
      </c>
      <c r="F69" s="144">
        <v>31.799999999999997</v>
      </c>
      <c r="G69" s="140"/>
      <c r="H69" s="140"/>
      <c r="I69" s="140"/>
    </row>
    <row r="70" spans="1:9" s="51" customFormat="1" ht="21.6" customHeight="1">
      <c r="A70" s="140"/>
      <c r="B70" s="142"/>
      <c r="C70" s="143">
        <v>2460</v>
      </c>
      <c r="D70" s="133">
        <v>1.7083333333333333</v>
      </c>
      <c r="E70" s="144">
        <v>35.4</v>
      </c>
      <c r="F70" s="144">
        <v>31.799999999999997</v>
      </c>
      <c r="G70" s="140"/>
      <c r="H70" s="140"/>
      <c r="I70" s="140"/>
    </row>
    <row r="71" spans="1:9" s="51" customFormat="1" ht="21.6" customHeight="1">
      <c r="A71" s="140"/>
      <c r="B71" s="142">
        <v>45391.229166666664</v>
      </c>
      <c r="C71" s="143">
        <v>2520</v>
      </c>
      <c r="D71" s="133">
        <v>1.75</v>
      </c>
      <c r="E71" s="144">
        <v>35.4</v>
      </c>
      <c r="F71" s="144">
        <v>31.799999999999997</v>
      </c>
      <c r="G71" s="140"/>
      <c r="H71" s="140"/>
      <c r="I71" s="140"/>
    </row>
    <row r="72" spans="1:9" s="51" customFormat="1" ht="21.6" customHeight="1">
      <c r="A72" s="140"/>
      <c r="B72" s="142"/>
      <c r="C72" s="143">
        <v>2580</v>
      </c>
      <c r="D72" s="133">
        <v>1.7916666666666667</v>
      </c>
      <c r="E72" s="144">
        <v>35.4</v>
      </c>
      <c r="F72" s="144">
        <v>31.799999999999997</v>
      </c>
      <c r="G72" s="140"/>
      <c r="H72" s="140"/>
      <c r="I72" s="140"/>
    </row>
    <row r="73" spans="1:9" s="51" customFormat="1" ht="21.6" customHeight="1">
      <c r="A73" s="140"/>
      <c r="B73" s="142"/>
      <c r="C73" s="143">
        <v>2640</v>
      </c>
      <c r="D73" s="133">
        <v>1.8333333333333333</v>
      </c>
      <c r="E73" s="144">
        <v>35.4</v>
      </c>
      <c r="F73" s="144">
        <v>31.799999999999997</v>
      </c>
      <c r="G73" s="140"/>
      <c r="H73" s="140"/>
      <c r="I73" s="140"/>
    </row>
    <row r="74" spans="1:9" s="51" customFormat="1" ht="21.6" customHeight="1">
      <c r="A74" s="140"/>
      <c r="B74" s="142"/>
      <c r="C74" s="143">
        <v>2700</v>
      </c>
      <c r="D74" s="133">
        <v>1.875</v>
      </c>
      <c r="E74" s="144">
        <v>35.4</v>
      </c>
      <c r="F74" s="144">
        <v>31.799999999999997</v>
      </c>
      <c r="G74" s="140"/>
      <c r="H74" s="140"/>
      <c r="I74" s="140"/>
    </row>
    <row r="75" spans="1:9" s="51" customFormat="1" ht="21.6" customHeight="1">
      <c r="A75" s="140"/>
      <c r="B75" s="142"/>
      <c r="C75" s="143">
        <v>2760</v>
      </c>
      <c r="D75" s="133">
        <v>1.9166666666666667</v>
      </c>
      <c r="E75" s="144">
        <v>35.4</v>
      </c>
      <c r="F75" s="144">
        <v>31.799999999999997</v>
      </c>
      <c r="G75" s="140"/>
      <c r="H75" s="140"/>
      <c r="I75" s="140"/>
    </row>
    <row r="76" spans="1:9" s="51" customFormat="1" ht="21.6" customHeight="1">
      <c r="A76" s="140"/>
      <c r="B76" s="142"/>
      <c r="C76" s="143">
        <v>2820</v>
      </c>
      <c r="D76" s="133">
        <v>1.9583333333333333</v>
      </c>
      <c r="E76" s="144">
        <v>35.4</v>
      </c>
      <c r="F76" s="144">
        <v>31.799999999999997</v>
      </c>
      <c r="G76" s="140"/>
      <c r="H76" s="140"/>
      <c r="I76" s="140"/>
    </row>
    <row r="77" spans="1:9" s="51" customFormat="1" ht="21.6" customHeight="1">
      <c r="A77" s="140"/>
      <c r="B77" s="142">
        <v>45391.479166666664</v>
      </c>
      <c r="C77" s="143">
        <v>2880</v>
      </c>
      <c r="D77" s="133">
        <v>2</v>
      </c>
      <c r="E77" s="144">
        <v>35.4</v>
      </c>
      <c r="F77" s="144">
        <v>31.799999999999997</v>
      </c>
      <c r="G77" s="140">
        <v>15.299999999999999</v>
      </c>
      <c r="H77" s="140">
        <v>195</v>
      </c>
      <c r="I77" s="140">
        <v>6.72</v>
      </c>
    </row>
    <row r="78" spans="1:9" s="51" customFormat="1" ht="20.45" customHeight="1">
      <c r="A78" s="140">
        <v>0</v>
      </c>
      <c r="B78" s="142">
        <v>45391.479861111111</v>
      </c>
      <c r="C78" s="143">
        <v>1</v>
      </c>
      <c r="D78" s="133">
        <v>6.9444444444444447E-4</v>
      </c>
      <c r="E78" s="144">
        <v>23.192385761778837</v>
      </c>
      <c r="F78" s="144">
        <v>19.592385761778836</v>
      </c>
      <c r="G78" s="443" t="s">
        <v>191</v>
      </c>
      <c r="H78" s="443"/>
      <c r="I78" s="443"/>
    </row>
    <row r="79" spans="1:9" s="51" customFormat="1" ht="20.45" customHeight="1">
      <c r="A79" s="140"/>
      <c r="B79" s="140" t="s">
        <v>21</v>
      </c>
      <c r="C79" s="143">
        <v>2</v>
      </c>
      <c r="D79" s="133">
        <v>1.3888888888888889E-3</v>
      </c>
      <c r="E79" s="144">
        <v>21.260968242164143</v>
      </c>
      <c r="F79" s="144">
        <v>17.660968242164142</v>
      </c>
      <c r="G79" s="443"/>
      <c r="H79" s="443"/>
      <c r="I79" s="443"/>
    </row>
    <row r="80" spans="1:9" s="51" customFormat="1" ht="20.45" customHeight="1">
      <c r="A80" s="140"/>
      <c r="B80" s="142" t="s">
        <v>21</v>
      </c>
      <c r="C80" s="143">
        <v>3</v>
      </c>
      <c r="D80" s="133">
        <v>2.0833333333333333E-3</v>
      </c>
      <c r="E80" s="144">
        <v>19.519949874568585</v>
      </c>
      <c r="F80" s="144">
        <v>15.919949874568585</v>
      </c>
      <c r="G80" s="443"/>
      <c r="H80" s="443"/>
      <c r="I80" s="443"/>
    </row>
    <row r="81" spans="1:9" s="51" customFormat="1" ht="20.45" customHeight="1">
      <c r="A81" s="140"/>
      <c r="B81" s="142" t="s">
        <v>21</v>
      </c>
      <c r="C81" s="143">
        <v>4</v>
      </c>
      <c r="D81" s="133">
        <v>2.7777777777777779E-3</v>
      </c>
      <c r="E81" s="144">
        <v>17.950561109310943</v>
      </c>
      <c r="F81" s="144">
        <v>14.350561109310942</v>
      </c>
      <c r="G81" s="443"/>
      <c r="H81" s="443"/>
      <c r="I81" s="443"/>
    </row>
    <row r="82" spans="1:9" s="51" customFormat="1" ht="20.45" customHeight="1">
      <c r="A82" s="140"/>
      <c r="B82" s="142" t="s">
        <v>21</v>
      </c>
      <c r="C82" s="143">
        <v>5</v>
      </c>
      <c r="D82" s="133">
        <v>3.472222222222222E-3</v>
      </c>
      <c r="E82" s="144">
        <v>16.535882699043253</v>
      </c>
      <c r="F82" s="144">
        <v>12.935882699043253</v>
      </c>
      <c r="G82" s="443"/>
      <c r="H82" s="443"/>
      <c r="I82" s="443"/>
    </row>
    <row r="83" spans="1:9" s="51" customFormat="1" ht="20.45" customHeight="1">
      <c r="A83" s="140"/>
      <c r="B83" s="142" t="s">
        <v>21</v>
      </c>
      <c r="C83" s="143">
        <v>10</v>
      </c>
      <c r="D83" s="133">
        <v>6.9444444444444441E-3</v>
      </c>
      <c r="E83" s="144">
        <v>13.074965296857444</v>
      </c>
      <c r="F83" s="144">
        <v>9.4749652968574445</v>
      </c>
      <c r="G83" s="443"/>
      <c r="H83" s="443"/>
      <c r="I83" s="443"/>
    </row>
    <row r="84" spans="1:9" s="51" customFormat="1" ht="20.45" customHeight="1">
      <c r="A84" s="140"/>
      <c r="B84" s="142" t="s">
        <v>21</v>
      </c>
      <c r="C84" s="143">
        <v>15</v>
      </c>
      <c r="D84" s="133">
        <v>1.0416666666666666E-2</v>
      </c>
      <c r="E84" s="144">
        <v>12.441563809798767</v>
      </c>
      <c r="F84" s="144">
        <v>8.8415638097987674</v>
      </c>
      <c r="G84" s="443"/>
      <c r="H84" s="443"/>
      <c r="I84" s="443"/>
    </row>
    <row r="85" spans="1:9" s="51" customFormat="1" ht="20.45" customHeight="1">
      <c r="A85" s="140"/>
      <c r="B85" s="142" t="s">
        <v>21</v>
      </c>
      <c r="C85" s="143">
        <v>20</v>
      </c>
      <c r="D85" s="133">
        <v>1.3888888888888888E-2</v>
      </c>
      <c r="E85" s="144">
        <v>10.784283444407656</v>
      </c>
      <c r="F85" s="144">
        <v>7.1842834444076562</v>
      </c>
      <c r="G85" s="443"/>
      <c r="H85" s="443"/>
      <c r="I85" s="443"/>
    </row>
    <row r="86" spans="1:9" s="51" customFormat="1" ht="20.45" customHeight="1">
      <c r="A86" s="140"/>
      <c r="B86" s="142" t="s">
        <v>21</v>
      </c>
      <c r="C86" s="143">
        <v>25</v>
      </c>
      <c r="D86" s="133">
        <v>1.7361111111111112E-2</v>
      </c>
      <c r="E86" s="144">
        <v>10.07605673434175</v>
      </c>
      <c r="F86" s="144">
        <v>6.4760567343417499</v>
      </c>
      <c r="G86" s="443"/>
      <c r="H86" s="443"/>
      <c r="I86" s="443"/>
    </row>
    <row r="87" spans="1:9" s="51" customFormat="1" ht="20.45" customHeight="1">
      <c r="A87" s="140"/>
      <c r="B87" s="142" t="s">
        <v>21</v>
      </c>
      <c r="C87" s="143">
        <v>30</v>
      </c>
      <c r="D87" s="133">
        <v>2.0833333333333332E-2</v>
      </c>
      <c r="E87" s="144">
        <v>9.437647018097433</v>
      </c>
      <c r="F87" s="144">
        <v>5.8376470180974334</v>
      </c>
      <c r="G87" s="443"/>
      <c r="H87" s="443"/>
      <c r="I87" s="443"/>
    </row>
    <row r="88" spans="1:9" s="51" customFormat="1" ht="20.45" customHeight="1">
      <c r="A88" s="140"/>
      <c r="B88" s="142"/>
      <c r="C88" s="143">
        <v>35</v>
      </c>
      <c r="D88" s="133">
        <v>2.4305555555555556E-2</v>
      </c>
      <c r="E88" s="144">
        <v>9.2391488719486734</v>
      </c>
      <c r="F88" s="144">
        <v>5.6391488719486738</v>
      </c>
      <c r="G88" s="443"/>
      <c r="H88" s="443"/>
      <c r="I88" s="443"/>
    </row>
    <row r="89" spans="1:9" s="51" customFormat="1" ht="20.45" customHeight="1">
      <c r="A89" s="140"/>
      <c r="B89" s="142"/>
      <c r="C89" s="143">
        <v>40</v>
      </c>
      <c r="D89" s="133">
        <v>2.7777777777777776E-2</v>
      </c>
      <c r="E89" s="144">
        <v>9.0474002798415238</v>
      </c>
      <c r="F89" s="144">
        <v>5.4474002798415233</v>
      </c>
      <c r="G89" s="443"/>
      <c r="H89" s="443"/>
      <c r="I89" s="443"/>
    </row>
    <row r="90" spans="1:9" s="51" customFormat="1" ht="20.45" customHeight="1">
      <c r="A90" s="140"/>
      <c r="B90" s="142" t="s">
        <v>21</v>
      </c>
      <c r="C90" s="143">
        <v>45</v>
      </c>
      <c r="D90" s="133">
        <v>3.125E-2</v>
      </c>
      <c r="E90" s="144">
        <v>8.8621717359561831</v>
      </c>
      <c r="F90" s="144">
        <v>5.2621717359561835</v>
      </c>
      <c r="G90" s="443"/>
      <c r="H90" s="443"/>
      <c r="I90" s="443"/>
    </row>
    <row r="91" spans="1:9" s="51" customFormat="1" ht="20.45" customHeight="1">
      <c r="A91" s="140"/>
      <c r="B91" s="142"/>
      <c r="C91" s="143">
        <v>50</v>
      </c>
      <c r="D91" s="133">
        <v>3.4722222222222224E-2</v>
      </c>
      <c r="E91" s="144">
        <v>8.6832415383841948</v>
      </c>
      <c r="F91" s="144">
        <v>5.0832415383841942</v>
      </c>
      <c r="G91" s="443"/>
      <c r="H91" s="443"/>
      <c r="I91" s="443"/>
    </row>
    <row r="92" spans="1:9" s="51" customFormat="1" ht="20.45" customHeight="1">
      <c r="A92" s="140"/>
      <c r="B92" s="142"/>
      <c r="C92" s="143">
        <v>55</v>
      </c>
      <c r="D92" s="133">
        <v>3.8194444444444448E-2</v>
      </c>
      <c r="E92" s="144">
        <v>8.5103955237711908</v>
      </c>
      <c r="F92" s="144">
        <v>4.9103955237711903</v>
      </c>
      <c r="G92" s="443"/>
      <c r="H92" s="443"/>
      <c r="I92" s="443"/>
    </row>
    <row r="93" spans="1:9" s="51" customFormat="1" ht="20.45" customHeight="1">
      <c r="A93" s="140"/>
      <c r="B93" s="142">
        <v>45391.520833333328</v>
      </c>
      <c r="C93" s="143">
        <v>60</v>
      </c>
      <c r="D93" s="133">
        <v>4.1666666666666664E-2</v>
      </c>
      <c r="E93" s="144">
        <v>8.3434268109826224</v>
      </c>
      <c r="F93" s="144">
        <v>4.7434268109826219</v>
      </c>
      <c r="G93" s="443"/>
      <c r="H93" s="443"/>
      <c r="I93" s="443"/>
    </row>
    <row r="94" spans="1:9" s="51" customFormat="1" ht="20.45" customHeight="1">
      <c r="A94" s="140"/>
      <c r="B94" s="142"/>
      <c r="C94" s="143">
        <v>75</v>
      </c>
      <c r="D94" s="133">
        <v>5.2083333333333336E-2</v>
      </c>
      <c r="E94" s="144">
        <v>8.1821355534856508</v>
      </c>
      <c r="F94" s="144">
        <v>4.5821355534856503</v>
      </c>
      <c r="G94" s="443"/>
      <c r="H94" s="443"/>
      <c r="I94" s="443"/>
    </row>
    <row r="95" spans="1:9" s="51" customFormat="1" ht="20.45" customHeight="1">
      <c r="A95" s="140"/>
      <c r="B95" s="142"/>
      <c r="C95" s="143">
        <v>90</v>
      </c>
      <c r="D95" s="133">
        <v>6.25E-2</v>
      </c>
      <c r="E95" s="144">
        <v>8.0263287001508186</v>
      </c>
      <c r="F95" s="144">
        <v>4.4263287001508189</v>
      </c>
      <c r="G95" s="443"/>
      <c r="H95" s="443"/>
      <c r="I95" s="443"/>
    </row>
    <row r="96" spans="1:9" s="51" customFormat="1" ht="20.45" customHeight="1">
      <c r="A96" s="140"/>
      <c r="B96" s="142"/>
      <c r="C96" s="143">
        <v>105</v>
      </c>
      <c r="D96" s="133">
        <v>7.2916666666666671E-2</v>
      </c>
      <c r="E96" s="144">
        <v>7.8758197641872076</v>
      </c>
      <c r="F96" s="144">
        <v>4.275819764187208</v>
      </c>
      <c r="G96" s="443"/>
      <c r="H96" s="443"/>
      <c r="I96" s="443"/>
    </row>
    <row r="97" spans="1:9" s="51" customFormat="1" ht="20.45" customHeight="1">
      <c r="A97" s="140"/>
      <c r="B97" s="142">
        <v>45391.5625</v>
      </c>
      <c r="C97" s="143">
        <v>120</v>
      </c>
      <c r="D97" s="133">
        <v>8.3333333333333329E-2</v>
      </c>
      <c r="E97" s="144">
        <v>7.4543094231966496</v>
      </c>
      <c r="F97" s="144">
        <v>3.8543094231966499</v>
      </c>
      <c r="G97" s="443"/>
      <c r="H97" s="443"/>
      <c r="I97" s="443"/>
    </row>
    <row r="98" spans="1:9" s="51" customFormat="1" ht="20.45" customHeight="1">
      <c r="A98" s="140"/>
      <c r="B98" s="142" t="s">
        <v>21</v>
      </c>
      <c r="C98" s="143">
        <v>180</v>
      </c>
      <c r="D98" s="133">
        <v>0.125</v>
      </c>
      <c r="E98" s="144">
        <v>7.3232509208897429</v>
      </c>
      <c r="F98" s="144">
        <v>3.7232509208897429</v>
      </c>
      <c r="G98" s="443"/>
      <c r="H98" s="443"/>
      <c r="I98" s="443"/>
    </row>
    <row r="99" spans="1:9" s="51" customFormat="1" ht="20.45" customHeight="1">
      <c r="A99" s="140"/>
      <c r="B99" s="142">
        <v>45391.645833333328</v>
      </c>
      <c r="C99" s="143">
        <v>240</v>
      </c>
      <c r="D99" s="133">
        <v>0.16666666666666666</v>
      </c>
      <c r="E99" s="144">
        <v>6.6253573378816739</v>
      </c>
      <c r="F99" s="144">
        <v>3.0253573378816734</v>
      </c>
      <c r="G99" s="443"/>
      <c r="H99" s="443"/>
      <c r="I99" s="443"/>
    </row>
    <row r="100" spans="1:9" s="51" customFormat="1" ht="20.45" customHeight="1">
      <c r="A100" s="140"/>
      <c r="B100" s="142" t="s">
        <v>21</v>
      </c>
      <c r="C100" s="143">
        <v>300</v>
      </c>
      <c r="D100" s="133">
        <v>0.20833333333333334</v>
      </c>
      <c r="E100" s="144">
        <v>6.0582783208409845</v>
      </c>
      <c r="F100" s="144">
        <v>2.4582783208409844</v>
      </c>
      <c r="G100" s="443"/>
      <c r="H100" s="443"/>
      <c r="I100" s="443"/>
    </row>
    <row r="101" spans="1:9" s="51" customFormat="1" ht="20.45" customHeight="1">
      <c r="A101" s="140"/>
      <c r="B101" s="142">
        <v>45391.729166666664</v>
      </c>
      <c r="C101" s="143">
        <v>360</v>
      </c>
      <c r="D101" s="133">
        <v>0.25</v>
      </c>
      <c r="E101" s="144">
        <v>5.5974937264594713</v>
      </c>
      <c r="F101" s="144">
        <v>1.9974937264594714</v>
      </c>
      <c r="G101" s="443"/>
      <c r="H101" s="443"/>
      <c r="I101" s="443"/>
    </row>
    <row r="102" spans="1:9" s="51" customFormat="1" ht="17.25" customHeight="1"/>
    <row r="103" spans="1:9" s="51" customFormat="1" ht="17.25" customHeight="1"/>
    <row r="104" spans="1:9" s="51" customFormat="1" ht="17.25" customHeight="1"/>
    <row r="105" spans="1:9" s="51" customFormat="1" ht="17.25" customHeight="1"/>
    <row r="106" spans="1:9" s="51" customFormat="1" ht="17.25" customHeight="1"/>
    <row r="107" spans="1:9" s="51" customFormat="1" ht="17.25" customHeight="1"/>
    <row r="108" spans="1:9" s="51" customFormat="1" ht="17.25" customHeight="1"/>
    <row r="109" spans="1:9" s="51" customFormat="1" ht="17.25" customHeight="1"/>
    <row r="110" spans="1:9" s="51" customFormat="1" ht="17.25" customHeight="1"/>
    <row r="111" spans="1:9" s="51" customFormat="1" ht="17.25" customHeight="1"/>
    <row r="112" spans="1:9" s="51" customFormat="1" ht="17.25" customHeight="1"/>
    <row r="113" s="51" customFormat="1" ht="17.25" customHeight="1"/>
    <row r="114" s="51" customFormat="1" ht="17.25" customHeight="1"/>
    <row r="115" s="51" customFormat="1" ht="17.25" customHeight="1"/>
    <row r="116" s="51" customFormat="1" ht="17.25" customHeight="1"/>
    <row r="117" s="51" customFormat="1" ht="17.25" customHeight="1"/>
    <row r="118" s="51" customFormat="1" ht="17.25" customHeight="1"/>
    <row r="119" s="51" customFormat="1" ht="17.25" customHeight="1"/>
    <row r="120" s="51" customFormat="1" ht="17.25" customHeight="1"/>
    <row r="121" s="51" customFormat="1" ht="17.25" customHeight="1"/>
    <row r="122" s="51" customFormat="1" ht="17.25" customHeight="1"/>
    <row r="123" s="51" customFormat="1" ht="17.25" customHeight="1"/>
    <row r="124" s="51" customFormat="1" ht="17.25" customHeight="1"/>
    <row r="125" s="51" customFormat="1" ht="17.25" customHeight="1"/>
    <row r="126" s="51" customFormat="1" ht="17.25" customHeight="1"/>
    <row r="127" s="51" customFormat="1" ht="17.25" customHeight="1"/>
    <row r="128" s="51" customFormat="1" ht="17.25" customHeight="1"/>
    <row r="129" s="51" customFormat="1" ht="17.25" customHeight="1"/>
    <row r="130" s="51" customFormat="1" ht="17.25" customHeight="1"/>
    <row r="131" s="51" customFormat="1" ht="17.25" customHeight="1"/>
    <row r="132" s="51" customFormat="1" ht="17.25" customHeight="1"/>
    <row r="133" s="51" customFormat="1" ht="17.25" customHeight="1"/>
    <row r="134" s="51" customFormat="1" ht="17.25" customHeight="1"/>
    <row r="135" s="51" customFormat="1" ht="17.25" customHeight="1"/>
    <row r="136" s="51" customFormat="1" ht="17.25" customHeight="1"/>
    <row r="137" s="51" customFormat="1" ht="17.25" customHeight="1"/>
    <row r="138" s="51" customFormat="1" ht="17.25" customHeight="1"/>
    <row r="139" s="51" customFormat="1" ht="17.25" customHeight="1"/>
    <row r="140" s="51" customFormat="1" ht="17.25" customHeight="1"/>
    <row r="141" s="51" customFormat="1" ht="17.25" customHeight="1"/>
    <row r="142" s="51" customFormat="1" ht="17.25" customHeight="1"/>
    <row r="143" s="51" customFormat="1" ht="17.25" customHeight="1"/>
    <row r="144" s="51" customFormat="1" ht="17.25" customHeight="1"/>
    <row r="145" s="51" customFormat="1" ht="17.25" customHeight="1"/>
    <row r="146" s="51" customFormat="1" ht="17.25" customHeight="1"/>
    <row r="147" s="51" customFormat="1" ht="17.25" customHeight="1"/>
    <row r="148" s="51" customFormat="1" ht="17.25" customHeight="1"/>
    <row r="149" s="51" customFormat="1" ht="17.25" customHeight="1"/>
    <row r="150" s="51" customFormat="1" ht="17.25" customHeight="1"/>
    <row r="151" s="51" customFormat="1" ht="17.25" customHeight="1"/>
    <row r="152" s="51" customFormat="1" ht="17.25" customHeight="1"/>
    <row r="153" s="51" customFormat="1" ht="17.25" customHeight="1"/>
    <row r="154" s="51" customFormat="1" ht="17.25" customHeight="1"/>
    <row r="155" s="51" customFormat="1" ht="17.25" customHeight="1"/>
    <row r="156" s="51" customFormat="1" ht="17.25" customHeight="1"/>
    <row r="157" s="51" customFormat="1" ht="17.25" customHeight="1"/>
    <row r="158" s="51" customFormat="1" ht="17.25" customHeight="1"/>
    <row r="159" s="51" customFormat="1" ht="17.25" customHeight="1"/>
    <row r="160" s="51" customFormat="1" ht="17.25" customHeight="1"/>
    <row r="161" s="51" customFormat="1" ht="17.25" customHeight="1"/>
    <row r="162" s="51" customFormat="1" ht="17.25" customHeight="1"/>
    <row r="163" s="51" customFormat="1" ht="17.25" customHeight="1"/>
    <row r="164" s="51" customFormat="1" ht="17.25" customHeight="1"/>
    <row r="165" s="51" customFormat="1" ht="17.25" customHeight="1"/>
    <row r="166" s="51" customFormat="1" ht="17.25" customHeight="1"/>
    <row r="167" s="51" customFormat="1" ht="17.25" customHeight="1"/>
    <row r="168" s="51" customFormat="1" ht="17.25" customHeight="1"/>
    <row r="169" s="51" customFormat="1" ht="17.25" customHeight="1"/>
    <row r="170" s="51" customFormat="1" ht="17.25" customHeight="1"/>
    <row r="171" s="51" customFormat="1" ht="17.25" customHeight="1"/>
    <row r="172" s="51" customFormat="1" ht="17.25" customHeight="1"/>
    <row r="173" s="51" customFormat="1" ht="17.25" customHeight="1"/>
    <row r="174" s="51" customFormat="1" ht="17.25" customHeight="1"/>
    <row r="175" s="51" customFormat="1" ht="17.25" customHeight="1"/>
    <row r="176" s="51" customFormat="1" ht="17.25" customHeight="1"/>
    <row r="177" s="51" customFormat="1" ht="17.25" customHeight="1"/>
    <row r="178" s="51" customFormat="1" ht="17.25" customHeight="1"/>
    <row r="179" s="51" customFormat="1" ht="17.25" customHeight="1"/>
    <row r="180" s="51" customFormat="1" ht="17.25" customHeight="1"/>
    <row r="181" s="51" customFormat="1" ht="17.25" customHeight="1"/>
    <row r="182" s="51" customFormat="1" ht="17.25" customHeight="1"/>
    <row r="183" s="51" customFormat="1" ht="17.25" customHeight="1"/>
    <row r="184" s="51" customFormat="1" ht="17.25" customHeight="1"/>
    <row r="185" s="51" customFormat="1" ht="17.25" customHeight="1"/>
    <row r="186" s="51" customFormat="1" ht="17.25" customHeight="1"/>
    <row r="187" s="51" customFormat="1" ht="17.25" customHeight="1"/>
    <row r="188" s="51" customFormat="1" ht="17.25" customHeight="1"/>
    <row r="189" s="51" customFormat="1" ht="17.25" customHeight="1"/>
    <row r="190" s="51" customFormat="1" ht="17.25" customHeight="1"/>
    <row r="191" s="51" customFormat="1" ht="17.25" customHeight="1"/>
    <row r="192" s="51" customFormat="1" ht="17.25" customHeight="1"/>
    <row r="193" s="51" customFormat="1" ht="17.25" customHeight="1"/>
    <row r="194" s="51" customFormat="1" ht="17.25" customHeight="1"/>
    <row r="195" s="51" customFormat="1" ht="17.25" customHeight="1"/>
    <row r="196" s="51" customFormat="1" ht="17.25" customHeight="1"/>
    <row r="197" s="51" customFormat="1" ht="17.25" customHeight="1"/>
    <row r="198" s="51" customFormat="1" ht="17.25" customHeight="1"/>
    <row r="199" s="51" customFormat="1" ht="17.25" customHeight="1"/>
    <row r="200" s="51" customFormat="1" ht="17.25" customHeight="1"/>
    <row r="201" s="51" customFormat="1" ht="17.25" customHeight="1"/>
    <row r="202" s="51" customFormat="1" ht="17.25" customHeight="1"/>
    <row r="203" s="51" customFormat="1" ht="17.25" customHeight="1"/>
    <row r="204" s="51" customFormat="1" ht="17.25" customHeight="1"/>
    <row r="205" s="51" customFormat="1" ht="17.25" customHeight="1"/>
    <row r="206" s="51" customFormat="1" ht="17.25" customHeight="1"/>
    <row r="207" s="51" customFormat="1" ht="17.25" customHeight="1"/>
    <row r="208" s="51" customFormat="1" ht="17.25" customHeight="1"/>
    <row r="209" s="51" customFormat="1" ht="17.25" customHeight="1"/>
    <row r="210" s="51" customFormat="1" ht="17.25" customHeight="1"/>
    <row r="211" s="51" customFormat="1" ht="17.25" customHeight="1"/>
    <row r="212" s="51" customFormat="1" ht="17.25" customHeight="1"/>
    <row r="213" s="51" customFormat="1" ht="17.25" customHeight="1"/>
    <row r="214" s="51" customFormat="1" ht="17.25" customHeight="1"/>
    <row r="215" s="51" customFormat="1" ht="17.25" customHeight="1"/>
    <row r="216" s="51" customFormat="1" ht="17.25" customHeight="1"/>
    <row r="217" s="51" customFormat="1" ht="17.25" customHeight="1"/>
    <row r="218" s="51" customFormat="1" ht="17.25" customHeight="1"/>
    <row r="219" s="51" customFormat="1" ht="17.25" customHeight="1"/>
    <row r="220" s="51" customFormat="1" ht="17.25" customHeight="1"/>
    <row r="221" s="51" customFormat="1" ht="17.25" customHeight="1"/>
    <row r="222" s="51" customFormat="1"/>
    <row r="223" s="51" customFormat="1"/>
    <row r="224" s="51" customFormat="1"/>
    <row r="225" s="51" customFormat="1"/>
    <row r="226" s="51" customFormat="1"/>
    <row r="227" s="51" customFormat="1"/>
    <row r="228" s="51" customFormat="1"/>
    <row r="229" s="51" customFormat="1"/>
    <row r="230" s="51" customFormat="1"/>
    <row r="231" s="51" customFormat="1"/>
    <row r="232" s="51" customFormat="1"/>
    <row r="233" s="51" customFormat="1"/>
    <row r="234" s="51" customFormat="1"/>
    <row r="235" s="51" customFormat="1"/>
    <row r="236" s="51" customFormat="1"/>
    <row r="237" s="51" customFormat="1"/>
    <row r="238" s="51" customFormat="1"/>
    <row r="239" s="51" customFormat="1"/>
    <row r="240" s="51" customFormat="1"/>
    <row r="241" s="51" customFormat="1"/>
    <row r="242" s="51" customFormat="1"/>
    <row r="243" s="51" customFormat="1"/>
    <row r="244" s="51" customFormat="1"/>
    <row r="245" s="51" customFormat="1"/>
    <row r="246" s="51" customFormat="1"/>
    <row r="247" s="51" customFormat="1"/>
    <row r="248" s="51" customFormat="1"/>
    <row r="249" s="51" customFormat="1"/>
    <row r="250" s="51" customFormat="1"/>
    <row r="251" s="51" customFormat="1"/>
    <row r="252" s="51" customFormat="1"/>
    <row r="253" s="51" customFormat="1"/>
    <row r="254" s="51" customFormat="1"/>
    <row r="255" s="51" customFormat="1"/>
    <row r="256" s="51" customFormat="1"/>
    <row r="257" s="51" customFormat="1"/>
    <row r="258" s="51" customFormat="1"/>
    <row r="259" s="51" customFormat="1"/>
    <row r="260" s="51" customFormat="1"/>
    <row r="261" s="51" customFormat="1"/>
    <row r="262" s="51" customFormat="1"/>
    <row r="263" s="51" customFormat="1"/>
    <row r="264" s="51" customFormat="1"/>
    <row r="265" s="51" customFormat="1"/>
    <row r="266" s="51" customFormat="1"/>
    <row r="267" s="51" customFormat="1"/>
    <row r="268" s="51" customFormat="1"/>
    <row r="269" s="51" customFormat="1"/>
    <row r="270" s="51" customFormat="1"/>
    <row r="271" s="51" customFormat="1"/>
    <row r="272" s="51" customFormat="1"/>
    <row r="273" s="51" customFormat="1"/>
    <row r="274" s="51" customFormat="1"/>
    <row r="275" s="51" customFormat="1"/>
    <row r="276" s="51" customFormat="1"/>
    <row r="277" s="51" customFormat="1"/>
    <row r="278" s="51" customFormat="1"/>
    <row r="279" s="51" customFormat="1"/>
    <row r="280" s="51" customFormat="1"/>
    <row r="281" s="51" customFormat="1"/>
    <row r="282" s="51" customFormat="1"/>
    <row r="283" s="51" customFormat="1"/>
    <row r="284" s="51" customFormat="1"/>
    <row r="285" s="51" customFormat="1"/>
    <row r="286" s="51" customFormat="1"/>
    <row r="287" s="51" customFormat="1"/>
    <row r="288" s="51" customFormat="1"/>
    <row r="289" s="51" customFormat="1"/>
    <row r="290" s="51" customFormat="1"/>
    <row r="291" s="51" customFormat="1"/>
    <row r="292" s="51" customFormat="1"/>
    <row r="293" s="51" customFormat="1"/>
    <row r="294" s="51" customFormat="1"/>
    <row r="295" s="51" customFormat="1"/>
    <row r="296" s="51" customFormat="1"/>
    <row r="297" s="51" customFormat="1"/>
    <row r="298" s="51" customFormat="1"/>
    <row r="299" s="51" customFormat="1"/>
    <row r="300" s="51" customFormat="1"/>
    <row r="301" s="51" customFormat="1"/>
    <row r="302" s="51" customFormat="1"/>
    <row r="303" s="51" customFormat="1"/>
    <row r="304" s="51" customFormat="1"/>
    <row r="305" s="51" customFormat="1"/>
    <row r="306" s="51" customFormat="1"/>
    <row r="307" s="51" customFormat="1"/>
    <row r="308" s="51" customFormat="1"/>
    <row r="309" s="51" customFormat="1"/>
    <row r="310" s="51" customFormat="1"/>
    <row r="311" s="51" customFormat="1"/>
    <row r="312" s="51" customFormat="1"/>
    <row r="313" s="51" customFormat="1"/>
    <row r="314" s="51" customFormat="1"/>
    <row r="315" s="51" customFormat="1"/>
    <row r="316" s="51" customFormat="1"/>
    <row r="317" s="51" customFormat="1"/>
    <row r="318" s="51" customFormat="1"/>
    <row r="319" s="51" customFormat="1"/>
    <row r="320" s="51" customFormat="1"/>
    <row r="321" s="51" customFormat="1"/>
    <row r="322" s="51" customFormat="1"/>
    <row r="323" s="51" customFormat="1"/>
    <row r="324" s="51" customFormat="1"/>
    <row r="325" s="51" customFormat="1"/>
    <row r="326" s="51" customFormat="1"/>
    <row r="327" s="51" customFormat="1"/>
    <row r="328" s="51" customFormat="1"/>
    <row r="329" s="51" customFormat="1"/>
    <row r="330" s="51" customFormat="1"/>
    <row r="331" s="51" customFormat="1"/>
    <row r="332" s="51" customFormat="1"/>
    <row r="333" s="51" customFormat="1"/>
    <row r="334" s="51" customFormat="1"/>
    <row r="335" s="51" customFormat="1"/>
    <row r="336" s="51" customFormat="1"/>
    <row r="337" s="51" customFormat="1"/>
    <row r="338" s="51" customFormat="1"/>
    <row r="339" s="51" customFormat="1"/>
    <row r="340" s="51" customFormat="1"/>
    <row r="341" s="51" customFormat="1"/>
    <row r="342" s="51" customFormat="1"/>
    <row r="343" s="51" customFormat="1"/>
    <row r="344" s="51" customFormat="1"/>
    <row r="345" s="51" customFormat="1"/>
    <row r="346" s="51" customFormat="1"/>
    <row r="347" s="51" customFormat="1"/>
    <row r="348" s="51" customFormat="1"/>
    <row r="349" s="51" customFormat="1"/>
    <row r="350" s="51" customFormat="1"/>
    <row r="351" s="51" customFormat="1"/>
    <row r="352" s="51" customFormat="1"/>
    <row r="353" s="51" customFormat="1"/>
    <row r="354" s="51" customFormat="1"/>
    <row r="355" s="51" customFormat="1"/>
    <row r="356" s="51" customFormat="1"/>
    <row r="357" s="51" customFormat="1"/>
    <row r="358" s="51" customFormat="1"/>
    <row r="359" s="51" customFormat="1"/>
    <row r="360" s="51" customFormat="1"/>
    <row r="361" s="51" customFormat="1"/>
    <row r="362" s="51" customFormat="1"/>
    <row r="363" s="51" customFormat="1"/>
    <row r="364" s="51" customFormat="1"/>
    <row r="365" s="51" customFormat="1"/>
    <row r="366" s="51" customFormat="1"/>
    <row r="367" s="51" customFormat="1"/>
    <row r="368" s="51" customFormat="1"/>
    <row r="369" s="51" customFormat="1"/>
    <row r="370" s="51" customFormat="1"/>
    <row r="371" s="51" customFormat="1"/>
    <row r="372" s="51" customFormat="1"/>
    <row r="373" s="51" customFormat="1"/>
    <row r="374" s="51" customFormat="1"/>
    <row r="375" s="51" customFormat="1"/>
    <row r="376" s="51" customFormat="1"/>
    <row r="377" s="51" customFormat="1"/>
    <row r="378" s="51" customFormat="1"/>
    <row r="379" s="51" customFormat="1"/>
    <row r="380" s="51" customFormat="1"/>
    <row r="381" s="51" customFormat="1"/>
    <row r="382" s="51" customFormat="1"/>
    <row r="383" s="51" customFormat="1"/>
    <row r="384" s="51" customFormat="1"/>
    <row r="385" s="51" customFormat="1"/>
    <row r="386" s="51" customFormat="1"/>
    <row r="387" s="51" customFormat="1"/>
    <row r="388" s="51" customFormat="1"/>
    <row r="389" s="51" customFormat="1"/>
    <row r="390" s="51" customFormat="1"/>
    <row r="391" s="51" customFormat="1"/>
    <row r="392" s="51" customFormat="1"/>
    <row r="393" s="51" customFormat="1"/>
    <row r="394" s="51" customFormat="1"/>
    <row r="395" s="51" customFormat="1"/>
    <row r="396" s="51" customFormat="1"/>
    <row r="397" s="51" customFormat="1"/>
    <row r="398" s="51" customFormat="1"/>
    <row r="399" s="51" customFormat="1"/>
    <row r="400" s="51" customFormat="1"/>
    <row r="401" s="51" customFormat="1"/>
    <row r="402" s="51" customFormat="1"/>
    <row r="403" s="51" customFormat="1"/>
    <row r="404" s="51" customFormat="1"/>
    <row r="405" s="51" customFormat="1"/>
    <row r="406" s="51" customFormat="1"/>
    <row r="407" s="51" customFormat="1"/>
    <row r="408" s="51" customFormat="1"/>
    <row r="409" s="51" customFormat="1"/>
    <row r="410" s="51" customFormat="1"/>
    <row r="411" s="51" customFormat="1"/>
    <row r="412" s="51" customFormat="1"/>
    <row r="413" s="51" customFormat="1"/>
    <row r="414" s="51" customFormat="1"/>
    <row r="415" s="51" customFormat="1"/>
    <row r="416" s="51" customFormat="1"/>
    <row r="417" s="51" customFormat="1"/>
    <row r="418" s="51" customFormat="1"/>
    <row r="419" s="51" customFormat="1"/>
    <row r="420" s="51" customFormat="1"/>
    <row r="421" s="51" customFormat="1"/>
    <row r="422" s="51" customFormat="1"/>
    <row r="423" s="51" customFormat="1"/>
    <row r="424" s="51" customFormat="1"/>
    <row r="425" s="51" customFormat="1"/>
    <row r="426" s="51" customFormat="1"/>
    <row r="427" s="51" customFormat="1"/>
    <row r="428" s="51" customFormat="1"/>
    <row r="429" s="51" customFormat="1"/>
    <row r="430" s="51" customFormat="1"/>
    <row r="431" s="51" customFormat="1"/>
    <row r="432" s="51" customFormat="1"/>
    <row r="433" s="51" customFormat="1"/>
    <row r="434" s="51" customFormat="1"/>
    <row r="435" s="51" customFormat="1"/>
    <row r="436" s="51" customFormat="1"/>
    <row r="437" s="51" customFormat="1"/>
    <row r="438" s="51" customFormat="1"/>
    <row r="439" s="51" customFormat="1"/>
    <row r="440" s="51" customFormat="1"/>
    <row r="441" s="51" customFormat="1"/>
    <row r="442" s="51" customFormat="1"/>
    <row r="443" s="51" customFormat="1"/>
    <row r="444" s="51" customFormat="1"/>
    <row r="445" s="51" customFormat="1"/>
    <row r="446" s="51" customFormat="1"/>
    <row r="447" s="51" customFormat="1"/>
    <row r="448" s="51" customFormat="1"/>
    <row r="449" spans="1:9" s="51" customFormat="1"/>
    <row r="450" spans="1:9" s="51" customFormat="1"/>
    <row r="451" spans="1:9" s="51" customFormat="1"/>
    <row r="452" spans="1:9" s="51" customFormat="1"/>
    <row r="453" spans="1:9" s="51" customFormat="1"/>
    <row r="454" spans="1:9" s="51" customFormat="1"/>
    <row r="455" spans="1:9" s="51" customFormat="1"/>
    <row r="456" spans="1:9" s="51" customFormat="1"/>
    <row r="457" spans="1:9">
      <c r="A457" s="51"/>
      <c r="B457" s="51"/>
      <c r="C457" s="51"/>
      <c r="D457" s="51"/>
      <c r="E457" s="51"/>
      <c r="F457" s="51"/>
      <c r="G457" s="51"/>
      <c r="H457" s="51"/>
      <c r="I457" s="51"/>
    </row>
    <row r="458" spans="1:9">
      <c r="A458" s="51"/>
      <c r="B458" s="51"/>
      <c r="C458" s="51"/>
      <c r="D458" s="51"/>
      <c r="E458" s="51"/>
      <c r="F458" s="51"/>
      <c r="G458" s="51"/>
      <c r="H458" s="51"/>
      <c r="I458" s="51"/>
    </row>
    <row r="459" spans="1:9">
      <c r="A459" s="51"/>
      <c r="B459" s="51"/>
      <c r="C459" s="51"/>
      <c r="D459" s="51"/>
      <c r="E459" s="51"/>
      <c r="F459" s="51"/>
      <c r="G459" s="51"/>
      <c r="H459" s="51"/>
      <c r="I459" s="51"/>
    </row>
    <row r="460" spans="1:9">
      <c r="I460" s="47"/>
    </row>
    <row r="461" spans="1:9">
      <c r="I461" s="47"/>
    </row>
    <row r="462" spans="1:9">
      <c r="I462" s="47"/>
    </row>
    <row r="463" spans="1:9">
      <c r="I463" s="47"/>
    </row>
    <row r="464" spans="1:9">
      <c r="I464" s="47"/>
    </row>
    <row r="465" spans="9:9">
      <c r="I465" s="47"/>
    </row>
    <row r="466" spans="9:9">
      <c r="I466" s="47"/>
    </row>
    <row r="467" spans="9:9">
      <c r="I467" s="47"/>
    </row>
    <row r="468" spans="9:9">
      <c r="I468" s="47"/>
    </row>
    <row r="469" spans="9:9">
      <c r="I469" s="47"/>
    </row>
    <row r="470" spans="9:9">
      <c r="I470" s="47"/>
    </row>
    <row r="471" spans="9:9">
      <c r="I471" s="47"/>
    </row>
    <row r="472" spans="9:9">
      <c r="I472" s="47"/>
    </row>
    <row r="473" spans="9:9">
      <c r="I473" s="47"/>
    </row>
    <row r="474" spans="9:9">
      <c r="I474" s="47"/>
    </row>
    <row r="475" spans="9:9">
      <c r="I475" s="47"/>
    </row>
    <row r="476" spans="9:9">
      <c r="I476" s="47"/>
    </row>
    <row r="477" spans="9:9">
      <c r="I477" s="47"/>
    </row>
    <row r="478" spans="9:9">
      <c r="I478" s="47"/>
    </row>
    <row r="479" spans="9:9">
      <c r="I479" s="47"/>
    </row>
    <row r="480" spans="9:9">
      <c r="I480" s="47"/>
    </row>
    <row r="481" spans="9:9">
      <c r="I481" s="47"/>
    </row>
    <row r="482" spans="9:9">
      <c r="I482" s="47"/>
    </row>
    <row r="483" spans="9:9">
      <c r="I483" s="47"/>
    </row>
    <row r="484" spans="9:9">
      <c r="I484" s="47"/>
    </row>
    <row r="485" spans="9:9">
      <c r="I485" s="47"/>
    </row>
    <row r="486" spans="9:9">
      <c r="I486" s="47"/>
    </row>
    <row r="487" spans="9:9">
      <c r="I487" s="47"/>
    </row>
    <row r="488" spans="9:9">
      <c r="I488" s="47"/>
    </row>
    <row r="489" spans="9:9">
      <c r="I489" s="47"/>
    </row>
    <row r="490" spans="9:9">
      <c r="I490" s="47"/>
    </row>
    <row r="491" spans="9:9">
      <c r="I491" s="47"/>
    </row>
    <row r="492" spans="9:9">
      <c r="I492" s="47"/>
    </row>
    <row r="493" spans="9:9">
      <c r="I493" s="47"/>
    </row>
    <row r="494" spans="9:9">
      <c r="I494" s="47"/>
    </row>
    <row r="495" spans="9:9">
      <c r="I495" s="47"/>
    </row>
    <row r="496" spans="9:9">
      <c r="I496" s="47"/>
    </row>
    <row r="497" spans="9:9">
      <c r="I497" s="47"/>
    </row>
    <row r="498" spans="9:9">
      <c r="I498" s="47"/>
    </row>
    <row r="499" spans="9:9">
      <c r="I499" s="47"/>
    </row>
    <row r="500" spans="9:9">
      <c r="I500" s="47"/>
    </row>
    <row r="501" spans="9:9">
      <c r="I501" s="47"/>
    </row>
    <row r="502" spans="9:9">
      <c r="I502" s="47"/>
    </row>
    <row r="503" spans="9:9">
      <c r="I503" s="47"/>
    </row>
    <row r="504" spans="9:9">
      <c r="I504" s="47"/>
    </row>
    <row r="505" spans="9:9">
      <c r="I505" s="47"/>
    </row>
    <row r="506" spans="9:9">
      <c r="I506" s="47"/>
    </row>
    <row r="507" spans="9:9">
      <c r="I507" s="47"/>
    </row>
    <row r="508" spans="9:9">
      <c r="I508" s="47"/>
    </row>
    <row r="509" spans="9:9">
      <c r="I509" s="47"/>
    </row>
    <row r="510" spans="9:9">
      <c r="I510" s="47"/>
    </row>
    <row r="511" spans="9:9">
      <c r="I511" s="47"/>
    </row>
    <row r="512" spans="9:9">
      <c r="I512" s="47"/>
    </row>
    <row r="513" spans="9:9">
      <c r="I513" s="47"/>
    </row>
    <row r="514" spans="9:9">
      <c r="I514" s="47"/>
    </row>
    <row r="515" spans="9:9">
      <c r="I515" s="47"/>
    </row>
    <row r="516" spans="9:9">
      <c r="I516" s="47"/>
    </row>
    <row r="517" spans="9:9">
      <c r="I517" s="47"/>
    </row>
    <row r="518" spans="9:9">
      <c r="I518" s="47"/>
    </row>
    <row r="519" spans="9:9">
      <c r="I519" s="47"/>
    </row>
    <row r="520" spans="9:9">
      <c r="I520" s="47"/>
    </row>
    <row r="521" spans="9:9">
      <c r="I521" s="47"/>
    </row>
    <row r="522" spans="9:9">
      <c r="I522" s="47"/>
    </row>
    <row r="523" spans="9:9">
      <c r="I523" s="47"/>
    </row>
    <row r="524" spans="9:9">
      <c r="I524" s="47"/>
    </row>
    <row r="525" spans="9:9">
      <c r="I525" s="47"/>
    </row>
    <row r="526" spans="9:9">
      <c r="I526" s="47"/>
    </row>
    <row r="527" spans="9:9">
      <c r="I527" s="47"/>
    </row>
    <row r="528" spans="9:9">
      <c r="I528" s="47"/>
    </row>
    <row r="529" spans="9:9">
      <c r="I529" s="47"/>
    </row>
    <row r="530" spans="9:9">
      <c r="I530" s="47"/>
    </row>
    <row r="531" spans="9:9">
      <c r="I531" s="47"/>
    </row>
    <row r="532" spans="9:9">
      <c r="I532" s="47"/>
    </row>
    <row r="533" spans="9:9">
      <c r="I533" s="47"/>
    </row>
    <row r="534" spans="9:9">
      <c r="I534" s="47"/>
    </row>
    <row r="535" spans="9:9">
      <c r="I535" s="47"/>
    </row>
    <row r="536" spans="9:9">
      <c r="I536" s="47"/>
    </row>
    <row r="537" spans="9:9">
      <c r="I537" s="47"/>
    </row>
    <row r="538" spans="9:9">
      <c r="I538" s="47"/>
    </row>
    <row r="539" spans="9:9">
      <c r="I539" s="47"/>
    </row>
    <row r="540" spans="9:9">
      <c r="I540" s="47"/>
    </row>
    <row r="541" spans="9:9">
      <c r="I541" s="47"/>
    </row>
    <row r="542" spans="9:9">
      <c r="I542" s="47"/>
    </row>
    <row r="543" spans="9:9">
      <c r="I543" s="47"/>
    </row>
    <row r="544" spans="9:9">
      <c r="I544" s="47"/>
    </row>
    <row r="545" spans="9:9">
      <c r="I545" s="47"/>
    </row>
    <row r="546" spans="9:9">
      <c r="I546" s="47"/>
    </row>
    <row r="547" spans="9:9">
      <c r="I547" s="47"/>
    </row>
    <row r="548" spans="9:9">
      <c r="I548" s="47"/>
    </row>
    <row r="549" spans="9:9">
      <c r="I549" s="47"/>
    </row>
    <row r="550" spans="9:9">
      <c r="I550" s="47"/>
    </row>
    <row r="551" spans="9:9">
      <c r="I551" s="47"/>
    </row>
    <row r="552" spans="9:9">
      <c r="I552" s="47"/>
    </row>
    <row r="553" spans="9:9">
      <c r="I553" s="47"/>
    </row>
    <row r="554" spans="9:9">
      <c r="I554" s="47"/>
    </row>
    <row r="555" spans="9:9">
      <c r="I555" s="47"/>
    </row>
    <row r="556" spans="9:9">
      <c r="I556" s="47"/>
    </row>
    <row r="557" spans="9:9">
      <c r="I557" s="47"/>
    </row>
    <row r="558" spans="9:9">
      <c r="I558" s="47"/>
    </row>
    <row r="559" spans="9:9">
      <c r="I559" s="47"/>
    </row>
    <row r="560" spans="9:9">
      <c r="I560" s="47"/>
    </row>
    <row r="561" spans="9:9">
      <c r="I561" s="47"/>
    </row>
    <row r="562" spans="9:9">
      <c r="I562" s="47"/>
    </row>
    <row r="563" spans="9:9">
      <c r="I563" s="47"/>
    </row>
    <row r="564" spans="9:9">
      <c r="I564" s="47"/>
    </row>
    <row r="565" spans="9:9">
      <c r="I565" s="47"/>
    </row>
    <row r="566" spans="9:9">
      <c r="I566" s="47"/>
    </row>
    <row r="567" spans="9:9">
      <c r="I567" s="47"/>
    </row>
    <row r="568" spans="9:9">
      <c r="I568" s="47"/>
    </row>
    <row r="569" spans="9:9">
      <c r="I569" s="47"/>
    </row>
    <row r="570" spans="9:9">
      <c r="I570" s="47"/>
    </row>
    <row r="571" spans="9:9">
      <c r="I571" s="47"/>
    </row>
    <row r="572" spans="9:9">
      <c r="I572" s="47"/>
    </row>
    <row r="573" spans="9:9">
      <c r="I573" s="47"/>
    </row>
    <row r="574" spans="9:9">
      <c r="I574" s="47"/>
    </row>
    <row r="575" spans="9:9">
      <c r="I575" s="47"/>
    </row>
    <row r="576" spans="9:9">
      <c r="I576" s="47"/>
    </row>
    <row r="577" spans="9:9">
      <c r="I577" s="47"/>
    </row>
    <row r="578" spans="9:9">
      <c r="I578" s="47"/>
    </row>
    <row r="579" spans="9:9">
      <c r="I579" s="47"/>
    </row>
    <row r="580" spans="9:9">
      <c r="I580" s="47"/>
    </row>
    <row r="581" spans="9:9">
      <c r="I581" s="47"/>
    </row>
    <row r="582" spans="9:9">
      <c r="I582" s="47"/>
    </row>
    <row r="583" spans="9:9">
      <c r="I583" s="47"/>
    </row>
    <row r="584" spans="9:9">
      <c r="I584" s="47"/>
    </row>
    <row r="585" spans="9:9">
      <c r="I585" s="47"/>
    </row>
    <row r="586" spans="9:9">
      <c r="I586" s="47"/>
    </row>
    <row r="587" spans="9:9">
      <c r="I587" s="47"/>
    </row>
  </sheetData>
  <dataConsolidate/>
  <mergeCells count="26">
    <mergeCell ref="B6:D6"/>
    <mergeCell ref="C9:D9"/>
    <mergeCell ref="G78:I78"/>
    <mergeCell ref="G79:I79"/>
    <mergeCell ref="G80:I80"/>
    <mergeCell ref="G92:I92"/>
    <mergeCell ref="G81:I81"/>
    <mergeCell ref="G82:I82"/>
    <mergeCell ref="G83:I83"/>
    <mergeCell ref="G84:I84"/>
    <mergeCell ref="G85:I85"/>
    <mergeCell ref="G86:I86"/>
    <mergeCell ref="G87:I87"/>
    <mergeCell ref="G88:I88"/>
    <mergeCell ref="G89:I89"/>
    <mergeCell ref="G90:I90"/>
    <mergeCell ref="G91:I91"/>
    <mergeCell ref="G99:I99"/>
    <mergeCell ref="G100:I100"/>
    <mergeCell ref="G101:I101"/>
    <mergeCell ref="G93:I93"/>
    <mergeCell ref="G94:I94"/>
    <mergeCell ref="G95:I95"/>
    <mergeCell ref="G96:I96"/>
    <mergeCell ref="G97:I97"/>
    <mergeCell ref="G98:I98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8" man="1"/>
    <brk id="55" max="8" man="1"/>
    <brk id="77" max="8" man="1"/>
  </rowBreak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18</vt:i4>
      </vt:variant>
    </vt:vector>
  </HeadingPairs>
  <TitlesOfParts>
    <vt:vector size="30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out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out!Print_Area</vt:lpstr>
      <vt:lpstr>StepTest!Print_Area</vt:lpstr>
      <vt:lpstr>LongTest!Print_Titles</vt:lpstr>
      <vt:lpstr>out!Print_Titles</vt:lpstr>
      <vt:lpstr>StepTest!Print_Titles</vt:lpstr>
      <vt:lpstr>pump_hp</vt:lpstr>
      <vt:lpstr>well_radius</vt:lpstr>
      <vt:lpstr>단계양수</vt:lpstr>
      <vt:lpstr>out!장기양수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2024-04-25T05:52:18Z</cp:lastPrinted>
  <dcterms:created xsi:type="dcterms:W3CDTF">2022-01-08T04:40:11Z</dcterms:created>
  <dcterms:modified xsi:type="dcterms:W3CDTF">2024-04-25T06:03:24Z</dcterms:modified>
</cp:coreProperties>
</file>