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D0ABE23E-95B4-4A12-81D6-9E47713EBC94}" xr6:coauthVersionLast="47" xr6:coauthVersionMax="47" xr10:uidLastSave="{00000000-0000-0000-0000-000000000000}"/>
  <bookViews>
    <workbookView xWindow="2985" yWindow="510" windowWidth="31770" windowHeight="19995" tabRatio="557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27" i="9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<sst xmlns="http://schemas.openxmlformats.org/spreadsheetml/2006/main" count="1146" uniqueCount="302">
  <si>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</si>
  <si>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</si>
  <si>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</si>
  <si>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</si>
  <si>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</si>
  <si>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</si>
  <si>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</si>
  <si>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</si>
  <si>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</si>
  <si>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</si>
  <si>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</si>
  <si>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</si>
  <si>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</si>
  <si>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</si>
  <si>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</si>
  <si>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</si>
  <si>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</si>
  <si>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</si>
  <si>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</si>
  <si>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</si>
  <si>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</si>
  <si>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</si>
  <si>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</si>
  <si>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</si>
  <si>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</si>
  <si>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</si>
  <si>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</si>
  <si>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</si>
  <si>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</si>
  <si>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</si>
  <si>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</si>
  <si>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</si>
  <si>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</si>
  <si>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</si>
  <si>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</si>
  <si>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</si>
  <si>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</si>
  <si>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</si>
  <si>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</si>
  <si>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</si>
  <si>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</si>
  <si>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</si>
  <si>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</si>
  <si>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</si>
  <si>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</si>
  <si>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</si>
  <si>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</si>
  <si>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</si>
  <si>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</si>
  <si>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</si>
  <si>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</si>
  <si>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</si>
  <si>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</si>
  <si>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</si>
  <si>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</si>
  <si>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</si>
  <si>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</si>
  <si>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</si>
  <si>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</si>
  <si>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</si>
  <si>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</si>
  <si>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</si>
  <si>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</si>
  <si>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</si>
  <si>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</si>
  <si>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</si>
  <si>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</si>
  <si>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</si>
  <si>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</si>
  <si>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</si>
  <si>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</si>
  <si>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</si>
  <si>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</si>
  <si>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</si>
  <si>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</si>
  <si>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</si>
  <si>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</si>
  <si>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</si>
  <si>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</si>
  <si>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</si>
  <si>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</si>
  <si>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</si>
  <si>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</si>
  <si>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</si>
  <si>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</si>
  <si>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</si>
  <si>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</si>
  <si>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</si>
  <si>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</si>
  <si>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</si>
  <si>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</si>
  <si>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</si>
  <si>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</si>
  <si>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</si>
  <si>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</si>
  <si>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</si>
  <si>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</si>
  <si>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</si>
  <si>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</si>
  <si>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</si>
  <si>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</si>
  <si>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</si>
  <si>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</si>
  <si>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</si>
  <si>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</si>
  <si>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</si>
  <si>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</si>
  <si>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</si>
  <si>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</si>
  <si>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</si>
  <si>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</si>
  <si>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</si>
  <si>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</si>
  <si>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</si>
  <si>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</si>
  <si>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</si>
  <si>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</si>
  <si>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</si>
  <si>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</si>
  <si>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</si>
  <si>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</si>
  <si>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</si>
  <si>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</si>
  <si>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</si>
  <si>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</si>
  <si>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</si>
  <si>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</si>
  <si>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</si>
  <si>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</si>
  <si>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</si>
  <si>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</si>
  <si>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</si>
  <si>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</si>
  <si>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</si>
  <si>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</si>
  <si>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</si>
  <si>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</si>
  <si>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</si>
  <si>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</si>
  <si>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</si>
  <si>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</si>
  <si>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</si>
  <si>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</si>
  <si>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</si>
  <si>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</si>
  <si>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</si>
  <si>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</si>
  <si>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</si>
  <si>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</si>
  <si>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</si>
  <si>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</si>
  <si>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</si>
  <si>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</si>
  <si>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</si>
  <si>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</si>
  <si>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</si>
  <si>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</si>
  <si>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</si>
  <si>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</si>
  <si>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</si>
  <si>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</si>
  <si>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</si>
  <si>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</si>
  <si>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</si>
  <si>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</si>
  <si>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</si>
  <si>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</si>
  <si>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</si>
  <si>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</si>
  <si>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</si>
  <si>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</si>
  <si>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</si>
  <si>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</si>
  <si>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</si>
  <si>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</si>
  <si>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</si>
  <si>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</si>
  <si>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</si>
  <si>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</si>
  <si>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</si>
  <si>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</si>
  <si>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</si>
  <si>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</si>
  <si>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</si>
  <si>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</si>
  <si>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</si>
  <si>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</si>
  <si>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</si>
  <si>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</si>
  <si>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</si>
  <si>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</si>
  <si>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</si>
  <si>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</si>
  <si>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</si>
  <si>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</si>
  <si>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</si>
  <si>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</si>
  <si>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</si>
  <si>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</si>
  <si>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</si>
  <si>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</si>
  <si>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</si>
  <si>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</si>
  <si>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</si>
  <si>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</si>
  <si>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</si>
  <si>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</si>
  <si>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</si>
  <si>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</si>
  <si>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</si>
  <si>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</si>
  <si>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</si>
  <si>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</si>
  <si>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</si>
  <si>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</si>
  <si>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</si>
  <si>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</si>
  <si>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</si>
  <si>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</si>
  <si>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</si>
  <si>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</si>
  <si>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</si>
  <si>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</si>
  <si>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</si>
  <si>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</si>
  <si>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</si>
  <si>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</si>
  <si>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</si>
  <si>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</si>
  <si>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</si>
  <si>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</si>
  <si>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</si>
  <si>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</si>
  <si>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</si>
  <si>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</si>
  <si>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</si>
  <si>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</si>
  <si>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</si>
  <si>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</si>
  <si>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</si>
  <si>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</si>
  <si>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</si>
  <si>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</si>
  <si>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</si>
  <si>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</si>
  <si>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</si>
  <si>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</si>
  <si>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</si>
  <si>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</si>
  <si>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</si>
  <si>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</si>
  <si>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</si>
  <si>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</si>
  <si>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</si>
  <si>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</si>
  <si>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</si>
  <si>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</si>
  <si>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</si>
  <si>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</si>
  <si>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</si>
  <si>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</si>
  <si>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</si>
  <si>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</si>
  <si>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</si>
  <si>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</si>
  <si>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</si>
  <si>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</si>
  <si>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</si>
  <si>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</si>
  <si>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</si>
  <si>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</si>
  <si>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</si>
  <si>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</si>
  <si>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</si>
  <si>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</si>
  <si>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</si>
  <si>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</si>
  <si>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</si>
  <si>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</si>
  <si>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</si>
  <si>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</si>
  <si>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</si>
  <si>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</si>
  <si>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</si>
  <si>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</si>
  <si>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</si>
  <si>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</si>
  <si>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</si>
  <si>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</si>
  <si>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</si>
  <si>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</si>
  <si>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</si>
  <si>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</si>
  <si>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</si>
  <si>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</si>
  <si>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</si>
  <si>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</si>
  <si>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</si>
  <si>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</si>
  <si>
    <t>충청남도 부여군 외산면 반교리 574</t>
    <phoneticPr fontId="7" type="noConversion"/>
  </si>
  <si>
    <t>농업용 대형관정 사후관리 및 연장허가 용역 (외산,내산지구)</t>
    <phoneticPr fontId="7" type="noConversion"/>
  </si>
  <si>
    <t>외산지구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</si>
</sst>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1.45</c:v>
                </c:pt>
                <c:pt idx="1">
                  <c:v>2.78</c:v>
                </c:pt>
                <c:pt idx="2">
                  <c:v>3.83</c:v>
                </c:pt>
                <c:pt idx="3">
                  <c:v>4.57</c:v>
                </c:pt>
                <c:pt idx="4">
                  <c:v>5.14</c:v>
                </c:pt>
                <c:pt idx="5">
                  <c:v>6.92</c:v>
                </c:pt>
                <c:pt idx="6">
                  <c:v>7.96</c:v>
                </c:pt>
                <c:pt idx="7">
                  <c:v>8.6999999999999993</c:v>
                </c:pt>
                <c:pt idx="8">
                  <c:v>9.27</c:v>
                </c:pt>
                <c:pt idx="9">
                  <c:v>9.74</c:v>
                </c:pt>
                <c:pt idx="10">
                  <c:v>10.14</c:v>
                </c:pt>
                <c:pt idx="11">
                  <c:v>10.48</c:v>
                </c:pt>
                <c:pt idx="12">
                  <c:v>10.78</c:v>
                </c:pt>
                <c:pt idx="13">
                  <c:v>11.06</c:v>
                </c:pt>
                <c:pt idx="14">
                  <c:v>11.3</c:v>
                </c:pt>
                <c:pt idx="15">
                  <c:v>11.52</c:v>
                </c:pt>
                <c:pt idx="16">
                  <c:v>12.1</c:v>
                </c:pt>
                <c:pt idx="17">
                  <c:v>12.57</c:v>
                </c:pt>
                <c:pt idx="18">
                  <c:v>12.96</c:v>
                </c:pt>
                <c:pt idx="19">
                  <c:v>13.31</c:v>
                </c:pt>
                <c:pt idx="20" formatCode="\ 0.00\ ">
                  <c:v>13.47</c:v>
                </c:pt>
                <c:pt idx="21" formatCode="\ 0.00\ ">
                  <c:v>13.620000000000001</c:v>
                </c:pt>
                <c:pt idx="22" formatCode="\ 0.00\ ">
                  <c:v>13.760000000000002</c:v>
                </c:pt>
                <c:pt idx="23" formatCode="\ 0.00\ ">
                  <c:v>13.890000000000002</c:v>
                </c:pt>
                <c:pt idx="24" formatCode="\ 0.00\ ">
                  <c:v>14.020000000000003</c:v>
                </c:pt>
                <c:pt idx="25">
                  <c:v>15.96</c:v>
                </c:pt>
                <c:pt idx="26" formatCode="\ 0.00\ ">
                  <c:v>16.07</c:v>
                </c:pt>
                <c:pt idx="27">
                  <c:v>16.41</c:v>
                </c:pt>
                <c:pt idx="28" formatCode="\ 0.00\ ">
                  <c:v>16.510000000000002</c:v>
                </c:pt>
                <c:pt idx="29">
                  <c:v>16.850000000000001</c:v>
                </c:pt>
                <c:pt idx="30" formatCode="\ 0.00\ ">
                  <c:v>16.91</c:v>
                </c:pt>
                <c:pt idx="31" formatCode="\ 0.00\ ">
                  <c:v>16.96</c:v>
                </c:pt>
                <c:pt idx="32" formatCode="\ 0.00\ ">
                  <c:v>17</c:v>
                </c:pt>
                <c:pt idx="33" formatCode="\ 0.00\ ">
                  <c:v>17.03</c:v>
                </c:pt>
                <c:pt idx="34" formatCode="\ 0.00\ ">
                  <c:v>17.05</c:v>
                </c:pt>
                <c:pt idx="35">
                  <c:v>17.29</c:v>
                </c:pt>
                <c:pt idx="36" formatCode="\ 0.00\ ">
                  <c:v>17.36</c:v>
                </c:pt>
                <c:pt idx="37" formatCode="\ 0.00\ ">
                  <c:v>17.419999999999998</c:v>
                </c:pt>
                <c:pt idx="38" formatCode="\ 0.00\ ">
                  <c:v>17.47</c:v>
                </c:pt>
                <c:pt idx="39">
                  <c:v>17.739999999999998</c:v>
                </c:pt>
                <c:pt idx="40" formatCode="\ 0.00\ ">
                  <c:v>17.919999999999998</c:v>
                </c:pt>
                <c:pt idx="41" formatCode="\ 0.00\ ">
                  <c:v>18.079999999999998</c:v>
                </c:pt>
                <c:pt idx="42" formatCode="\ 0.00\ ">
                  <c:v>18.229999999999997</c:v>
                </c:pt>
                <c:pt idx="43" formatCode="\ 0.00\ ">
                  <c:v>18.369999999999997</c:v>
                </c:pt>
                <c:pt idx="44" formatCode="\ 0.00\ ">
                  <c:v>18.499999999999996</c:v>
                </c:pt>
                <c:pt idx="45">
                  <c:v>20.74</c:v>
                </c:pt>
                <c:pt idx="46" formatCode="\ 0.00\ ">
                  <c:v>20.849999999999998</c:v>
                </c:pt>
                <c:pt idx="47">
                  <c:v>21.24</c:v>
                </c:pt>
                <c:pt idx="48" formatCode="\ 0.00\ ">
                  <c:v>21.349999999999998</c:v>
                </c:pt>
                <c:pt idx="49">
                  <c:v>21.74</c:v>
                </c:pt>
                <c:pt idx="50" formatCode="\ 0.00\ ">
                  <c:v>21.81</c:v>
                </c:pt>
                <c:pt idx="51" formatCode="\ 0.00\ ">
                  <c:v>21.86</c:v>
                </c:pt>
                <c:pt idx="52" formatCode="\ 0.00\ ">
                  <c:v>21.9</c:v>
                </c:pt>
                <c:pt idx="53" formatCode="\ 0.00\ ">
                  <c:v>21.93</c:v>
                </c:pt>
                <c:pt idx="54" formatCode="\ 0.00\ ">
                  <c:v>21.95</c:v>
                </c:pt>
                <c:pt idx="55">
                  <c:v>22.24</c:v>
                </c:pt>
                <c:pt idx="56" formatCode="\ 0.00\ ">
                  <c:v>22.319999999999997</c:v>
                </c:pt>
                <c:pt idx="57" formatCode="\ 0.00\ ">
                  <c:v>22.379999999999995</c:v>
                </c:pt>
                <c:pt idx="58" formatCode="\ 0.00\ ">
                  <c:v>22.429999999999996</c:v>
                </c:pt>
                <c:pt idx="59">
                  <c:v>22.74</c:v>
                </c:pt>
                <c:pt idx="60" formatCode="\ 0.00\ ">
                  <c:v>22.93</c:v>
                </c:pt>
                <c:pt idx="61" formatCode="\ 0.00\ ">
                  <c:v>23.1</c:v>
                </c:pt>
                <c:pt idx="62" formatCode="\ 0.00\ ">
                  <c:v>23.26</c:v>
                </c:pt>
                <c:pt idx="63" formatCode="\ 0.00\ ">
                  <c:v>23.41</c:v>
                </c:pt>
                <c:pt idx="64" formatCode="\ 0.00\ ">
                  <c:v>23.55</c:v>
                </c:pt>
                <c:pt idx="65">
                  <c:v>26.07</c:v>
                </c:pt>
                <c:pt idx="66" formatCode="\ 0.00\ ">
                  <c:v>26.19</c:v>
                </c:pt>
                <c:pt idx="67" formatCode="\ 0.00\ ">
                  <c:v>26.63</c:v>
                </c:pt>
                <c:pt idx="68" formatCode="\ 0.00\ ">
                  <c:v>26.75</c:v>
                </c:pt>
                <c:pt idx="69" formatCode="\ 0.00\ ">
                  <c:v>27.18</c:v>
                </c:pt>
                <c:pt idx="70" formatCode="\ 0.00\ ">
                  <c:v>27.25</c:v>
                </c:pt>
                <c:pt idx="71" formatCode="\ 0.00\ ">
                  <c:v>27.3</c:v>
                </c:pt>
                <c:pt idx="72" formatCode="\ 0.00\ ">
                  <c:v>27.34</c:v>
                </c:pt>
                <c:pt idx="73" formatCode="\ 0.00\ ">
                  <c:v>27.37</c:v>
                </c:pt>
                <c:pt idx="74" formatCode="\ 0.00\ ">
                  <c:v>27.400000000000002</c:v>
                </c:pt>
                <c:pt idx="75" formatCode="\ 0.00\ ">
                  <c:v>27.74</c:v>
                </c:pt>
                <c:pt idx="76" formatCode="\ 0.00\ ">
                  <c:v>27.83</c:v>
                </c:pt>
                <c:pt idx="77" formatCode="\ 0.00\ ">
                  <c:v>27.9</c:v>
                </c:pt>
                <c:pt idx="78" formatCode="\ 0.00\ ">
                  <c:v>27.95</c:v>
                </c:pt>
                <c:pt idx="79" formatCode="\ 0.00\ ">
                  <c:v>28.3</c:v>
                </c:pt>
                <c:pt idx="80" formatCode="\ 0.00\ ">
                  <c:v>28.51</c:v>
                </c:pt>
                <c:pt idx="81" formatCode="\ 0.00\ ">
                  <c:v>28.700000000000003</c:v>
                </c:pt>
                <c:pt idx="82" formatCode="\ 0.00\ ">
                  <c:v>28.870000000000005</c:v>
                </c:pt>
                <c:pt idx="83" formatCode="\ 0.00\ ">
                  <c:v>29.030000000000005</c:v>
                </c:pt>
                <c:pt idx="84" formatCode="\ 0.00\ ">
                  <c:v>29.170000000000005</c:v>
                </c:pt>
                <c:pt idx="85" formatCode="\ 0.00\ ">
                  <c:v>31.69</c:v>
                </c:pt>
                <c:pt idx="86" formatCode="\ 0.00\ ">
                  <c:v>32</c:v>
                </c:pt>
                <c:pt idx="87" formatCode="\ 0.00\ ">
                  <c:v>32.96</c:v>
                </c:pt>
                <c:pt idx="88" formatCode="\ 0.00\ ">
                  <c:v>33.26</c:v>
                </c:pt>
                <c:pt idx="89" formatCode="\ 0.00\ ">
                  <c:v>34.24</c:v>
                </c:pt>
                <c:pt idx="90" formatCode="\ 0.00\ ">
                  <c:v>34.39</c:v>
                </c:pt>
                <c:pt idx="91" formatCode="\ 0.00\ ">
                  <c:v>34.520000000000003</c:v>
                </c:pt>
                <c:pt idx="92" formatCode="\ 0.00\ ">
                  <c:v>34.630000000000003</c:v>
                </c:pt>
                <c:pt idx="93" formatCode="\ 0.00\ ">
                  <c:v>34.71</c:v>
                </c:pt>
                <c:pt idx="94" formatCode="\ 0.00\ ">
                  <c:v>34.78</c:v>
                </c:pt>
                <c:pt idx="95" formatCode="\ 0.00\ ">
                  <c:v>35.51</c:v>
                </c:pt>
                <c:pt idx="96" formatCode="\ 0.00\ ">
                  <c:v>35.699999999999996</c:v>
                </c:pt>
                <c:pt idx="97" formatCode="\ 0.00\ ">
                  <c:v>35.859999999999992</c:v>
                </c:pt>
                <c:pt idx="98" formatCode="\ 0.00\ ">
                  <c:v>35.999999999999993</c:v>
                </c:pt>
                <c:pt idx="99" formatCode="\ 0.00\ ">
                  <c:v>36.79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0.14159574468085107</c:v>
                </c:pt>
                <c:pt idx="1">
                  <c:v>0.14783333333333332</c:v>
                </c:pt>
                <c:pt idx="2">
                  <c:v>0.15554035567715457</c:v>
                </c:pt>
                <c:pt idx="3">
                  <c:v>0.16453488372093023</c:v>
                </c:pt>
                <c:pt idx="4">
                  <c:v>0.18599595551061679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500087845735723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80.379028114114405</c:v>
                </c:pt>
                <c:pt idx="2">
                  <c:v>76.241351035856098</c:v>
                </c:pt>
                <c:pt idx="3">
                  <c:v>72.481513827717038</c:v>
                </c:pt>
                <c:pt idx="4">
                  <c:v>69.124678796608833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13.31</c:v>
                </c:pt>
                <c:pt idx="1">
                  <c:v>17.739999999999998</c:v>
                </c:pt>
                <c:pt idx="2">
                  <c:v>22.74</c:v>
                </c:pt>
                <c:pt idx="3">
                  <c:v>28.3</c:v>
                </c:pt>
                <c:pt idx="4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0.14159574468085107</c:v>
                </c:pt>
                <c:pt idx="2">
                  <c:v>0.14783333333333332</c:v>
                </c:pt>
                <c:pt idx="3">
                  <c:v>0.15554035567715457</c:v>
                </c:pt>
                <c:pt idx="4">
                  <c:v>0.16453488372093023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500087845735723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1.45</c:v>
                </c:pt>
                <c:pt idx="1">
                  <c:v>2.78</c:v>
                </c:pt>
                <c:pt idx="2">
                  <c:v>3.83</c:v>
                </c:pt>
                <c:pt idx="3">
                  <c:v>4.57</c:v>
                </c:pt>
                <c:pt idx="4">
                  <c:v>5.14</c:v>
                </c:pt>
                <c:pt idx="5">
                  <c:v>6.92</c:v>
                </c:pt>
                <c:pt idx="6">
                  <c:v>7.96</c:v>
                </c:pt>
                <c:pt idx="7">
                  <c:v>8.6999999999999993</c:v>
                </c:pt>
                <c:pt idx="8">
                  <c:v>9.27</c:v>
                </c:pt>
                <c:pt idx="9">
                  <c:v>9.74</c:v>
                </c:pt>
                <c:pt idx="10">
                  <c:v>10.14</c:v>
                </c:pt>
                <c:pt idx="11">
                  <c:v>10.48</c:v>
                </c:pt>
                <c:pt idx="12">
                  <c:v>10.78</c:v>
                </c:pt>
                <c:pt idx="13">
                  <c:v>11.06</c:v>
                </c:pt>
                <c:pt idx="14">
                  <c:v>11.3</c:v>
                </c:pt>
                <c:pt idx="15">
                  <c:v>11.52</c:v>
                </c:pt>
                <c:pt idx="16">
                  <c:v>12.1</c:v>
                </c:pt>
                <c:pt idx="17">
                  <c:v>12.57</c:v>
                </c:pt>
                <c:pt idx="18">
                  <c:v>12.96</c:v>
                </c:pt>
                <c:pt idx="19">
                  <c:v>13.31</c:v>
                </c:pt>
                <c:pt idx="20">
                  <c:v>15.96</c:v>
                </c:pt>
                <c:pt idx="21">
                  <c:v>16.41</c:v>
                </c:pt>
                <c:pt idx="22">
                  <c:v>16.850000000000001</c:v>
                </c:pt>
                <c:pt idx="23">
                  <c:v>17.29</c:v>
                </c:pt>
                <c:pt idx="24">
                  <c:v>17.739999999999998</c:v>
                </c:pt>
                <c:pt idx="25">
                  <c:v>20.74</c:v>
                </c:pt>
                <c:pt idx="26">
                  <c:v>21.24</c:v>
                </c:pt>
                <c:pt idx="27">
                  <c:v>21.74</c:v>
                </c:pt>
                <c:pt idx="28">
                  <c:v>22.24</c:v>
                </c:pt>
                <c:pt idx="29">
                  <c:v>22.74</c:v>
                </c:pt>
                <c:pt idx="30">
                  <c:v>26.07</c:v>
                </c:pt>
                <c:pt idx="31">
                  <c:v>26.63</c:v>
                </c:pt>
                <c:pt idx="32">
                  <c:v>27.18</c:v>
                </c:pt>
                <c:pt idx="33">
                  <c:v>27.74</c:v>
                </c:pt>
                <c:pt idx="34">
                  <c:v>28.3</c:v>
                </c:pt>
                <c:pt idx="35">
                  <c:v>31.69</c:v>
                </c:pt>
                <c:pt idx="36">
                  <c:v>32.96</c:v>
                </c:pt>
                <c:pt idx="37">
                  <c:v>34.24</c:v>
                </c:pt>
                <c:pt idx="38">
                  <c:v>35.51</c:v>
                </c:pt>
                <c:pt idx="39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1.0079586564666716</c:v>
                </c:pt>
                <c:pt idx="1">
                  <c:v>2.7890845007583298</c:v>
                </c:pt>
                <c:pt idx="2">
                  <c:v>3.8309763287342573</c:v>
                </c:pt>
                <c:pt idx="3">
                  <c:v>4.570210345049988</c:v>
                </c:pt>
                <c:pt idx="4">
                  <c:v>5.1436047948574473</c:v>
                </c:pt>
                <c:pt idx="5">
                  <c:v>6.9247306391491019</c:v>
                </c:pt>
                <c:pt idx="6">
                  <c:v>7.9666224671250294</c:v>
                </c:pt>
                <c:pt idx="7">
                  <c:v>8.7058564834407601</c:v>
                </c:pt>
                <c:pt idx="8">
                  <c:v>9.2792509332482194</c:v>
                </c:pt>
                <c:pt idx="9">
                  <c:v>9.7477483114166841</c:v>
                </c:pt>
                <c:pt idx="10">
                  <c:v>10.143857200633635</c:v>
                </c:pt>
                <c:pt idx="11">
                  <c:v>10.486982327732418</c:v>
                </c:pt>
                <c:pt idx="12">
                  <c:v>10.789640139392615</c:v>
                </c:pt>
                <c:pt idx="13">
                  <c:v>11.060376777539874</c:v>
                </c:pt>
                <c:pt idx="14">
                  <c:v>11.305287857372052</c:v>
                </c:pt>
                <c:pt idx="15">
                  <c:v>11.528874155708342</c:v>
                </c:pt>
                <c:pt idx="16">
                  <c:v>12.102268605515805</c:v>
                </c:pt>
                <c:pt idx="17">
                  <c:v>12.57076598368427</c:v>
                </c:pt>
                <c:pt idx="18">
                  <c:v>12.966874872901224</c:v>
                </c:pt>
                <c:pt idx="19">
                  <c:v>13.31</c:v>
                </c:pt>
                <c:pt idx="20">
                  <c:v>15.728791845210903</c:v>
                </c:pt>
                <c:pt idx="21">
                  <c:v>15.971893248840797</c:v>
                </c:pt>
                <c:pt idx="22">
                  <c:v>16.198215241084004</c:v>
                </c:pt>
                <c:pt idx="23">
                  <c:v>16.796297000448003</c:v>
                </c:pt>
                <c:pt idx="24">
                  <c:v>17.739999999999998</c:v>
                </c:pt>
                <c:pt idx="25">
                  <c:v>21.282674113016373</c:v>
                </c:pt>
                <c:pt idx="26">
                  <c:v>21.439422885869465</c:v>
                </c:pt>
                <c:pt idx="27">
                  <c:v>21.590255178879151</c:v>
                </c:pt>
                <c:pt idx="28">
                  <c:v>22.011337056508193</c:v>
                </c:pt>
                <c:pt idx="29">
                  <c:v>22.74</c:v>
                </c:pt>
                <c:pt idx="30">
                  <c:v>27.076185187784926</c:v>
                </c:pt>
                <c:pt idx="31">
                  <c:v>27.201575564696373</c:v>
                </c:pt>
                <c:pt idx="32">
                  <c:v>27.323708677552585</c:v>
                </c:pt>
                <c:pt idx="33">
                  <c:v>27.672154022755418</c:v>
                </c:pt>
                <c:pt idx="34">
                  <c:v>28.3</c:v>
                </c:pt>
                <c:pt idx="35">
                  <c:v>35.694923042287847</c:v>
                </c:pt>
                <c:pt idx="36">
                  <c:v>35.804161899981672</c:v>
                </c:pt>
                <c:pt idx="37">
                  <c:v>35.911237469170125</c:v>
                </c:pt>
                <c:pt idx="38">
                  <c:v>36.220300989090141</c:v>
                </c:pt>
                <c:pt idx="39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1.45</c:v>
                </c:pt>
                <c:pt idx="1">
                  <c:v>2.78</c:v>
                </c:pt>
                <c:pt idx="2">
                  <c:v>3.83</c:v>
                </c:pt>
                <c:pt idx="3">
                  <c:v>4.57</c:v>
                </c:pt>
                <c:pt idx="4">
                  <c:v>5.14</c:v>
                </c:pt>
                <c:pt idx="5">
                  <c:v>6.92</c:v>
                </c:pt>
                <c:pt idx="6">
                  <c:v>7.96</c:v>
                </c:pt>
                <c:pt idx="7">
                  <c:v>8.6999999999999993</c:v>
                </c:pt>
                <c:pt idx="8">
                  <c:v>9.27</c:v>
                </c:pt>
                <c:pt idx="9">
                  <c:v>9.74</c:v>
                </c:pt>
                <c:pt idx="10">
                  <c:v>10.14</c:v>
                </c:pt>
                <c:pt idx="11">
                  <c:v>10.48</c:v>
                </c:pt>
                <c:pt idx="12">
                  <c:v>10.78</c:v>
                </c:pt>
                <c:pt idx="13">
                  <c:v>11.06</c:v>
                </c:pt>
                <c:pt idx="14">
                  <c:v>11.3</c:v>
                </c:pt>
                <c:pt idx="15">
                  <c:v>11.52</c:v>
                </c:pt>
                <c:pt idx="16">
                  <c:v>12.1</c:v>
                </c:pt>
                <c:pt idx="17">
                  <c:v>12.57</c:v>
                </c:pt>
                <c:pt idx="18">
                  <c:v>12.96</c:v>
                </c:pt>
                <c:pt idx="19">
                  <c:v>13.31</c:v>
                </c:pt>
                <c:pt idx="20">
                  <c:v>15.96</c:v>
                </c:pt>
                <c:pt idx="21">
                  <c:v>16.41</c:v>
                </c:pt>
                <c:pt idx="22">
                  <c:v>16.850000000000001</c:v>
                </c:pt>
                <c:pt idx="23">
                  <c:v>17.29</c:v>
                </c:pt>
                <c:pt idx="24">
                  <c:v>17.739999999999998</c:v>
                </c:pt>
                <c:pt idx="25">
                  <c:v>20.74</c:v>
                </c:pt>
                <c:pt idx="26">
                  <c:v>21.24</c:v>
                </c:pt>
                <c:pt idx="27">
                  <c:v>21.74</c:v>
                </c:pt>
                <c:pt idx="28">
                  <c:v>22.24</c:v>
                </c:pt>
                <c:pt idx="29">
                  <c:v>22.74</c:v>
                </c:pt>
                <c:pt idx="30">
                  <c:v>26.07</c:v>
                </c:pt>
                <c:pt idx="31">
                  <c:v>26.63</c:v>
                </c:pt>
                <c:pt idx="32">
                  <c:v>27.18</c:v>
                </c:pt>
                <c:pt idx="33">
                  <c:v>27.74</c:v>
                </c:pt>
                <c:pt idx="34">
                  <c:v>28.3</c:v>
                </c:pt>
                <c:pt idx="35">
                  <c:v>31.69</c:v>
                </c:pt>
                <c:pt idx="36">
                  <c:v>32.96</c:v>
                </c:pt>
                <c:pt idx="37">
                  <c:v>34.24</c:v>
                </c:pt>
                <c:pt idx="38">
                  <c:v>35.51</c:v>
                </c:pt>
                <c:pt idx="39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2.7078799527896127</c:v>
                </c:pt>
                <c:pt idx="1">
                  <c:v>5.2157599055792261</c:v>
                </c:pt>
                <c:pt idx="2">
                  <c:v>7.0224505981116963</c:v>
                </c:pt>
                <c:pt idx="3">
                  <c:v>8.3043180444430647</c:v>
                </c:pt>
                <c:pt idx="4">
                  <c:v>9.298611682036352</c:v>
                </c:pt>
                <c:pt idx="5">
                  <c:v>12.387169820900191</c:v>
                </c:pt>
                <c:pt idx="6">
                  <c:v>14.193860513432661</c:v>
                </c:pt>
                <c:pt idx="7">
                  <c:v>15.475727959764022</c:v>
                </c:pt>
                <c:pt idx="8">
                  <c:v>16.470021597357317</c:v>
                </c:pt>
                <c:pt idx="9">
                  <c:v>17.282418652296492</c:v>
                </c:pt>
                <c:pt idx="10">
                  <c:v>17.969290575236819</c:v>
                </c:pt>
                <c:pt idx="11">
                  <c:v>18.564286098627854</c:v>
                </c:pt>
                <c:pt idx="12">
                  <c:v>19.089109344828962</c:v>
                </c:pt>
                <c:pt idx="13">
                  <c:v>19.558579736221155</c:v>
                </c:pt>
                <c:pt idx="14">
                  <c:v>19.983267363621465</c:v>
                </c:pt>
                <c:pt idx="15">
                  <c:v>20.370976791160324</c:v>
                </c:pt>
                <c:pt idx="16">
                  <c:v>21.365270428753625</c:v>
                </c:pt>
                <c:pt idx="17">
                  <c:v>22.177667483692794</c:v>
                </c:pt>
                <c:pt idx="18">
                  <c:v>22.864539406633114</c:v>
                </c:pt>
                <c:pt idx="19">
                  <c:v>23.459534930024162</c:v>
                </c:pt>
                <c:pt idx="20">
                  <c:v>24.146406852964482</c:v>
                </c:pt>
                <c:pt idx="21">
                  <c:v>24.741402376355531</c:v>
                </c:pt>
                <c:pt idx="22">
                  <c:v>25.266225622556632</c:v>
                </c:pt>
                <c:pt idx="23">
                  <c:v>26.548093068888001</c:v>
                </c:pt>
                <c:pt idx="24">
                  <c:v>27.542386706481288</c:v>
                </c:pt>
                <c:pt idx="25">
                  <c:v>28.354783761420471</c:v>
                </c:pt>
                <c:pt idx="26">
                  <c:v>29.041655684360791</c:v>
                </c:pt>
                <c:pt idx="27">
                  <c:v>29.636651207751832</c:v>
                </c:pt>
                <c:pt idx="28">
                  <c:v>30.161474453952941</c:v>
                </c:pt>
                <c:pt idx="29">
                  <c:v>30.630944845345127</c:v>
                </c:pt>
                <c:pt idx="30">
                  <c:v>31.055632472745444</c:v>
                </c:pt>
                <c:pt idx="31">
                  <c:v>31.443341900284302</c:v>
                </c:pt>
                <c:pt idx="32">
                  <c:v>31.799999999999997</c:v>
                </c:pt>
                <c:pt idx="33">
                  <c:v>31.799999999999997</c:v>
                </c:pt>
                <c:pt idx="34">
                  <c:v>31.799999999999997</c:v>
                </c:pt>
                <c:pt idx="35">
                  <c:v>31.799999999999997</c:v>
                </c:pt>
                <c:pt idx="36">
                  <c:v>31.799999999999997</c:v>
                </c:pt>
                <c:pt idx="37">
                  <c:v>31.799999999999997</c:v>
                </c:pt>
                <c:pt idx="38">
                  <c:v>31.799999999999997</c:v>
                </c:pt>
                <c:pt idx="39">
                  <c:v>31.799999999999997</c:v>
                </c:pt>
                <c:pt idx="40">
                  <c:v>31.799999999999997</c:v>
                </c:pt>
                <c:pt idx="41">
                  <c:v>31.799999999999997</c:v>
                </c:pt>
                <c:pt idx="42">
                  <c:v>31.799999999999997</c:v>
                </c:pt>
                <c:pt idx="43">
                  <c:v>31.799999999999997</c:v>
                </c:pt>
                <c:pt idx="44">
                  <c:v>31.799999999999997</c:v>
                </c:pt>
                <c:pt idx="45">
                  <c:v>31.799999999999997</c:v>
                </c:pt>
                <c:pt idx="46">
                  <c:v>31.799999999999997</c:v>
                </c:pt>
                <c:pt idx="47">
                  <c:v>31.799999999999997</c:v>
                </c:pt>
                <c:pt idx="48">
                  <c:v>31.799999999999997</c:v>
                </c:pt>
                <c:pt idx="49">
                  <c:v>31.799999999999997</c:v>
                </c:pt>
                <c:pt idx="50">
                  <c:v>31.799999999999997</c:v>
                </c:pt>
                <c:pt idx="51">
                  <c:v>31.799999999999997</c:v>
                </c:pt>
                <c:pt idx="52">
                  <c:v>31.799999999999997</c:v>
                </c:pt>
                <c:pt idx="53">
                  <c:v>31.799999999999997</c:v>
                </c:pt>
                <c:pt idx="54">
                  <c:v>31.799999999999997</c:v>
                </c:pt>
                <c:pt idx="55">
                  <c:v>31.799999999999997</c:v>
                </c:pt>
                <c:pt idx="56">
                  <c:v>31.799999999999997</c:v>
                </c:pt>
                <c:pt idx="57">
                  <c:v>31.799999999999997</c:v>
                </c:pt>
                <c:pt idx="58">
                  <c:v>31.799999999999997</c:v>
                </c:pt>
                <c:pt idx="59">
                  <c:v>31.799999999999997</c:v>
                </c:pt>
                <c:pt idx="60">
                  <c:v>31.799999999999997</c:v>
                </c:pt>
                <c:pt idx="61">
                  <c:v>31.799999999999997</c:v>
                </c:pt>
                <c:pt idx="62">
                  <c:v>31.799999999999997</c:v>
                </c:pt>
                <c:pt idx="63">
                  <c:v>31.799999999999997</c:v>
                </c:pt>
                <c:pt idx="64">
                  <c:v>31.799999999999997</c:v>
                </c:pt>
                <c:pt idx="65">
                  <c:v>31.799999999999997</c:v>
                </c:pt>
                <c:pt idx="66">
                  <c:v>31.799999999999997</c:v>
                </c:pt>
                <c:pt idx="67">
                  <c:v>31.799999999999997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2.7078799527896127</c:v>
                </c:pt>
                <c:pt idx="1">
                  <c:v>5.2157599055792261</c:v>
                </c:pt>
                <c:pt idx="2">
                  <c:v>7.0224505981116963</c:v>
                </c:pt>
                <c:pt idx="3">
                  <c:v>8.3043180444430647</c:v>
                </c:pt>
                <c:pt idx="4">
                  <c:v>9.298611682036352</c:v>
                </c:pt>
                <c:pt idx="5">
                  <c:v>12.387169820900191</c:v>
                </c:pt>
                <c:pt idx="6">
                  <c:v>14.193860513432661</c:v>
                </c:pt>
                <c:pt idx="7">
                  <c:v>15.475727959764022</c:v>
                </c:pt>
                <c:pt idx="8">
                  <c:v>16.470021597357317</c:v>
                </c:pt>
                <c:pt idx="9">
                  <c:v>17.282418652296492</c:v>
                </c:pt>
                <c:pt idx="10">
                  <c:v>17.969290575236819</c:v>
                </c:pt>
                <c:pt idx="11">
                  <c:v>18.564286098627854</c:v>
                </c:pt>
                <c:pt idx="12">
                  <c:v>19.089109344828962</c:v>
                </c:pt>
                <c:pt idx="13">
                  <c:v>19.558579736221155</c:v>
                </c:pt>
                <c:pt idx="14">
                  <c:v>19.983267363621465</c:v>
                </c:pt>
                <c:pt idx="15">
                  <c:v>20.370976791160324</c:v>
                </c:pt>
                <c:pt idx="16">
                  <c:v>21.365270428753625</c:v>
                </c:pt>
                <c:pt idx="17">
                  <c:v>22.177667483692794</c:v>
                </c:pt>
                <c:pt idx="18">
                  <c:v>22.864539406633114</c:v>
                </c:pt>
                <c:pt idx="19">
                  <c:v>23.459534930024162</c:v>
                </c:pt>
                <c:pt idx="20">
                  <c:v>24.146406852964482</c:v>
                </c:pt>
                <c:pt idx="21">
                  <c:v>24.741402376355531</c:v>
                </c:pt>
                <c:pt idx="22">
                  <c:v>25.266225622556632</c:v>
                </c:pt>
                <c:pt idx="23">
                  <c:v>26.548093068888001</c:v>
                </c:pt>
                <c:pt idx="24">
                  <c:v>27.542386706481288</c:v>
                </c:pt>
                <c:pt idx="25">
                  <c:v>28.354783761420471</c:v>
                </c:pt>
                <c:pt idx="26">
                  <c:v>29.041655684360791</c:v>
                </c:pt>
                <c:pt idx="27">
                  <c:v>29.636651207751832</c:v>
                </c:pt>
                <c:pt idx="28">
                  <c:v>30.161474453952941</c:v>
                </c:pt>
                <c:pt idx="29">
                  <c:v>30.630944845345127</c:v>
                </c:pt>
                <c:pt idx="30">
                  <c:v>31.055632472745444</c:v>
                </c:pt>
                <c:pt idx="31">
                  <c:v>31.443341900284302</c:v>
                </c:pt>
                <c:pt idx="32">
                  <c:v>31.799999999999997</c:v>
                </c:pt>
                <c:pt idx="33">
                  <c:v>31.799999999999997</c:v>
                </c:pt>
                <c:pt idx="34">
                  <c:v>31.799999999999997</c:v>
                </c:pt>
                <c:pt idx="35">
                  <c:v>31.799999999999997</c:v>
                </c:pt>
                <c:pt idx="36">
                  <c:v>31.799999999999997</c:v>
                </c:pt>
                <c:pt idx="37">
                  <c:v>31.799999999999997</c:v>
                </c:pt>
                <c:pt idx="38">
                  <c:v>31.799999999999997</c:v>
                </c:pt>
                <c:pt idx="39">
                  <c:v>31.799999999999997</c:v>
                </c:pt>
                <c:pt idx="40">
                  <c:v>31.799999999999997</c:v>
                </c:pt>
                <c:pt idx="41">
                  <c:v>31.799999999999997</c:v>
                </c:pt>
                <c:pt idx="42">
                  <c:v>31.799999999999997</c:v>
                </c:pt>
                <c:pt idx="43">
                  <c:v>31.799999999999997</c:v>
                </c:pt>
                <c:pt idx="44">
                  <c:v>31.799999999999997</c:v>
                </c:pt>
                <c:pt idx="45">
                  <c:v>31.799999999999997</c:v>
                </c:pt>
                <c:pt idx="46">
                  <c:v>31.799999999999997</c:v>
                </c:pt>
                <c:pt idx="47">
                  <c:v>31.799999999999997</c:v>
                </c:pt>
                <c:pt idx="48">
                  <c:v>31.799999999999997</c:v>
                </c:pt>
                <c:pt idx="49">
                  <c:v>31.799999999999997</c:v>
                </c:pt>
                <c:pt idx="50">
                  <c:v>31.799999999999997</c:v>
                </c:pt>
                <c:pt idx="51">
                  <c:v>31.799999999999997</c:v>
                </c:pt>
                <c:pt idx="52">
                  <c:v>31.799999999999997</c:v>
                </c:pt>
                <c:pt idx="53">
                  <c:v>31.799999999999997</c:v>
                </c:pt>
                <c:pt idx="54">
                  <c:v>31.799999999999997</c:v>
                </c:pt>
                <c:pt idx="55">
                  <c:v>31.799999999999997</c:v>
                </c:pt>
                <c:pt idx="56">
                  <c:v>31.799999999999997</c:v>
                </c:pt>
                <c:pt idx="57">
                  <c:v>31.799999999999997</c:v>
                </c:pt>
                <c:pt idx="58">
                  <c:v>31.799999999999997</c:v>
                </c:pt>
                <c:pt idx="59">
                  <c:v>31.799999999999997</c:v>
                </c:pt>
                <c:pt idx="60">
                  <c:v>31.799999999999997</c:v>
                </c:pt>
                <c:pt idx="61">
                  <c:v>31.799999999999997</c:v>
                </c:pt>
                <c:pt idx="62">
                  <c:v>31.799999999999997</c:v>
                </c:pt>
                <c:pt idx="63">
                  <c:v>31.799999999999997</c:v>
                </c:pt>
                <c:pt idx="64">
                  <c:v>31.799999999999997</c:v>
                </c:pt>
                <c:pt idx="65">
                  <c:v>31.799999999999997</c:v>
                </c:pt>
                <c:pt idx="66">
                  <c:v>31.799999999999997</c:v>
                </c:pt>
                <c:pt idx="67">
                  <c:v>31.799999999999997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19.592385761778836</c:v>
                </c:pt>
                <c:pt idx="1">
                  <c:v>17.660968242164142</c:v>
                </c:pt>
                <c:pt idx="2">
                  <c:v>15.919949874568585</c:v>
                </c:pt>
                <c:pt idx="3">
                  <c:v>14.350561109310942</c:v>
                </c:pt>
                <c:pt idx="4">
                  <c:v>12.935882699043253</c:v>
                </c:pt>
                <c:pt idx="5">
                  <c:v>9.4749652968574445</c:v>
                </c:pt>
                <c:pt idx="6">
                  <c:v>8.8415638097987674</c:v>
                </c:pt>
                <c:pt idx="7">
                  <c:v>7.1842834444076562</c:v>
                </c:pt>
                <c:pt idx="8">
                  <c:v>6.4760567343417499</c:v>
                </c:pt>
                <c:pt idx="9">
                  <c:v>5.8376470180974334</c:v>
                </c:pt>
                <c:pt idx="10">
                  <c:v>5.6391488719486738</c:v>
                </c:pt>
                <c:pt idx="11">
                  <c:v>5.4474002798415233</c:v>
                </c:pt>
                <c:pt idx="12">
                  <c:v>5.2621717359561835</c:v>
                </c:pt>
                <c:pt idx="13">
                  <c:v>5.0832415383841942</c:v>
                </c:pt>
                <c:pt idx="14">
                  <c:v>4.9103955237711903</c:v>
                </c:pt>
                <c:pt idx="15">
                  <c:v>4.7434268109826219</c:v>
                </c:pt>
                <c:pt idx="16">
                  <c:v>4.5821355534856503</c:v>
                </c:pt>
                <c:pt idx="17">
                  <c:v>4.4263287001508189</c:v>
                </c:pt>
                <c:pt idx="18">
                  <c:v>4.275819764187208</c:v>
                </c:pt>
                <c:pt idx="19">
                  <c:v>3.8543094231966499</c:v>
                </c:pt>
                <c:pt idx="20">
                  <c:v>3.7232509208897429</c:v>
                </c:pt>
                <c:pt idx="21">
                  <c:v>3.0253573378816734</c:v>
                </c:pt>
                <c:pt idx="22">
                  <c:v>2.4582783208409844</c:v>
                </c:pt>
                <c:pt idx="23">
                  <c:v>1.9974937264594714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0.1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259</v>
      </c>
    </row>
    <row r="18" spans="4:10" ht="18" customHeight="1">
      <c r="D18" s="12" t="s">
        <v>114</v>
      </c>
      <c r="E18" s="10" t="s">
        <v>115</v>
      </c>
      <c r="J18" s="10" t="s">
        <v>260</v>
      </c>
    </row>
    <row r="19" spans="4:10" ht="18" customHeight="1">
      <c r="D19" s="12" t="s">
        <v>261</v>
      </c>
      <c r="E19" s="10" t="s">
        <v>279</v>
      </c>
      <c r="J19" s="10" t="s">
        <v>297</v>
      </c>
    </row>
    <row r="20" spans="4:10" ht="18" customHeight="1">
      <c r="D20" s="10" t="s">
        <v>262</v>
      </c>
      <c r="E20" s="10" t="s">
        <v>280</v>
      </c>
    </row>
    <row r="21" spans="4:10" ht="18" customHeight="1">
      <c r="D21" s="10" t="s">
        <v>263</v>
      </c>
      <c r="E21" s="10" t="s">
        <v>281</v>
      </c>
    </row>
    <row r="22" spans="4:10" ht="18" customHeight="1">
      <c r="D22" s="10" t="s">
        <v>264</v>
      </c>
      <c r="E22" s="10" t="s">
        <v>282</v>
      </c>
    </row>
    <row r="23" spans="4:10" ht="18" customHeight="1">
      <c r="D23" s="10" t="s">
        <v>265</v>
      </c>
      <c r="E23" s="10" t="s">
        <v>283</v>
      </c>
    </row>
    <row r="24" spans="4:10" ht="18" customHeight="1">
      <c r="D24" s="10" t="s">
        <v>266</v>
      </c>
      <c r="E24" s="10" t="s">
        <v>284</v>
      </c>
    </row>
    <row r="25" spans="4:10" ht="18" customHeight="1">
      <c r="D25" s="10" t="s">
        <v>267</v>
      </c>
      <c r="E25" s="10" t="s">
        <v>285</v>
      </c>
    </row>
    <row r="26" spans="4:10" ht="18" customHeight="1">
      <c r="D26" s="10" t="s">
        <v>268</v>
      </c>
      <c r="E26" s="10" t="s">
        <v>286</v>
      </c>
    </row>
    <row r="27" spans="4:10" ht="18" customHeight="1">
      <c r="D27" s="10" t="s">
        <v>269</v>
      </c>
      <c r="E27" s="10" t="s">
        <v>287</v>
      </c>
    </row>
    <row r="28" spans="4:10" ht="18" customHeight="1">
      <c r="D28" s="10" t="s">
        <v>270</v>
      </c>
      <c r="E28" s="10" t="s">
        <v>288</v>
      </c>
    </row>
    <row r="29" spans="4:10" ht="18" customHeight="1">
      <c r="D29" s="10" t="s">
        <v>271</v>
      </c>
      <c r="E29" s="10" t="s">
        <v>289</v>
      </c>
    </row>
    <row r="30" spans="4:10" ht="18" customHeight="1">
      <c r="D30" s="10" t="s">
        <v>272</v>
      </c>
      <c r="E30" s="10" t="s">
        <v>290</v>
      </c>
    </row>
    <row r="31" spans="4:10" ht="18" customHeight="1">
      <c r="D31" s="10" t="s">
        <v>273</v>
      </c>
      <c r="E31" s="10" t="s">
        <v>291</v>
      </c>
    </row>
    <row r="32" spans="4:10" ht="18" customHeight="1">
      <c r="D32" s="10" t="s">
        <v>274</v>
      </c>
      <c r="E32" s="10" t="s">
        <v>292</v>
      </c>
    </row>
    <row r="33" spans="4:5" ht="18" customHeight="1">
      <c r="D33" s="10" t="s">
        <v>275</v>
      </c>
      <c r="E33" s="10" t="s">
        <v>293</v>
      </c>
    </row>
    <row r="34" spans="4:5" ht="18" customHeight="1">
      <c r="D34" s="10" t="s">
        <v>276</v>
      </c>
      <c r="E34" s="10" t="s">
        <v>294</v>
      </c>
    </row>
    <row r="35" spans="4:5" ht="18" customHeight="1">
      <c r="D35" s="10" t="s">
        <v>277</v>
      </c>
      <c r="E35" s="10" t="s">
        <v>295</v>
      </c>
    </row>
    <row r="36" spans="4:5" ht="18" customHeight="1">
      <c r="D36" s="10" t="s">
        <v>278</v>
      </c>
      <c r="E36" s="10" t="s">
        <v>296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1.45</v>
      </c>
      <c r="E1" s="6">
        <v>1</v>
      </c>
      <c r="F1" s="6">
        <f>StepTest!G12</f>
        <v>1.45</v>
      </c>
    </row>
    <row r="2" spans="1:6">
      <c r="A2" s="100">
        <v>2</v>
      </c>
      <c r="B2" s="6">
        <f t="shared" ref="B2:B20" si="0">F2</f>
        <v>2.78</v>
      </c>
      <c r="E2" s="6">
        <v>2</v>
      </c>
      <c r="F2" s="6">
        <f>StepTest!G13</f>
        <v>2.78</v>
      </c>
    </row>
    <row r="3" spans="1:6">
      <c r="A3" s="100">
        <v>3</v>
      </c>
      <c r="B3" s="6">
        <f t="shared" si="0"/>
        <v>3.83</v>
      </c>
      <c r="E3" s="6">
        <v>3</v>
      </c>
      <c r="F3" s="6">
        <f>StepTest!G14</f>
        <v>3.83</v>
      </c>
    </row>
    <row r="4" spans="1:6">
      <c r="A4" s="100">
        <v>4</v>
      </c>
      <c r="B4" s="6">
        <f t="shared" si="0"/>
        <v>4.57</v>
      </c>
      <c r="E4" s="6">
        <v>4</v>
      </c>
      <c r="F4" s="6">
        <f>StepTest!G15</f>
        <v>4.57</v>
      </c>
    </row>
    <row r="5" spans="1:6">
      <c r="A5" s="100">
        <v>5</v>
      </c>
      <c r="B5" s="6">
        <f t="shared" si="0"/>
        <v>5.14</v>
      </c>
      <c r="E5" s="6">
        <v>5</v>
      </c>
      <c r="F5" s="6">
        <f>StepTest!G16</f>
        <v>5.14</v>
      </c>
    </row>
    <row r="6" spans="1:6">
      <c r="A6" s="100">
        <v>10</v>
      </c>
      <c r="B6" s="6">
        <f t="shared" si="0"/>
        <v>6.92</v>
      </c>
      <c r="E6" s="6">
        <v>10</v>
      </c>
      <c r="F6" s="6">
        <f>StepTest!G17</f>
        <v>6.92</v>
      </c>
    </row>
    <row r="7" spans="1:6">
      <c r="A7" s="100">
        <v>15</v>
      </c>
      <c r="B7" s="6">
        <f t="shared" si="0"/>
        <v>7.96</v>
      </c>
      <c r="E7" s="6">
        <v>15</v>
      </c>
      <c r="F7" s="6">
        <f>StepTest!G18</f>
        <v>7.96</v>
      </c>
    </row>
    <row r="8" spans="1:6">
      <c r="A8" s="100">
        <v>20</v>
      </c>
      <c r="B8" s="6">
        <f t="shared" si="0"/>
        <v>8.6999999999999993</v>
      </c>
      <c r="E8" s="6">
        <v>20</v>
      </c>
      <c r="F8" s="6">
        <f>StepTest!G19</f>
        <v>8.6999999999999993</v>
      </c>
    </row>
    <row r="9" spans="1:6">
      <c r="A9" s="100">
        <v>25</v>
      </c>
      <c r="B9" s="6">
        <f t="shared" si="0"/>
        <v>9.27</v>
      </c>
      <c r="E9" s="6">
        <v>25</v>
      </c>
      <c r="F9" s="6">
        <f>StepTest!G20</f>
        <v>9.27</v>
      </c>
    </row>
    <row r="10" spans="1:6">
      <c r="A10" s="100">
        <v>30</v>
      </c>
      <c r="B10" s="6">
        <f t="shared" si="0"/>
        <v>9.74</v>
      </c>
      <c r="E10" s="6">
        <v>30</v>
      </c>
      <c r="F10" s="6">
        <f>StepTest!G21</f>
        <v>9.74</v>
      </c>
    </row>
    <row r="11" spans="1:6">
      <c r="A11" s="100">
        <v>35</v>
      </c>
      <c r="B11" s="6">
        <f t="shared" si="0"/>
        <v>10.14</v>
      </c>
      <c r="E11" s="6">
        <v>35</v>
      </c>
      <c r="F11" s="6">
        <f>StepTest!G22</f>
        <v>10.14</v>
      </c>
    </row>
    <row r="12" spans="1:6">
      <c r="A12" s="100">
        <v>40</v>
      </c>
      <c r="B12" s="6">
        <f t="shared" si="0"/>
        <v>10.48</v>
      </c>
      <c r="E12" s="6">
        <v>40</v>
      </c>
      <c r="F12" s="6">
        <f>StepTest!G23</f>
        <v>10.48</v>
      </c>
    </row>
    <row r="13" spans="1:6">
      <c r="A13" s="100">
        <v>45</v>
      </c>
      <c r="B13" s="6">
        <f t="shared" si="0"/>
        <v>10.78</v>
      </c>
      <c r="E13" s="6">
        <v>45</v>
      </c>
      <c r="F13" s="6">
        <f>StepTest!G24</f>
        <v>10.78</v>
      </c>
    </row>
    <row r="14" spans="1:6">
      <c r="A14" s="100">
        <v>50</v>
      </c>
      <c r="B14" s="6">
        <f t="shared" si="0"/>
        <v>11.06</v>
      </c>
      <c r="E14" s="6">
        <v>50</v>
      </c>
      <c r="F14" s="6">
        <f>StepTest!G25</f>
        <v>11.06</v>
      </c>
    </row>
    <row r="15" spans="1:6">
      <c r="A15" s="100">
        <v>55</v>
      </c>
      <c r="B15" s="6">
        <f t="shared" si="0"/>
        <v>11.3</v>
      </c>
      <c r="E15" s="6">
        <v>55</v>
      </c>
      <c r="F15" s="6">
        <f>StepTest!G26</f>
        <v>11.3</v>
      </c>
    </row>
    <row r="16" spans="1:6">
      <c r="A16" s="100">
        <v>60</v>
      </c>
      <c r="B16" s="6">
        <f t="shared" si="0"/>
        <v>11.52</v>
      </c>
      <c r="E16" s="6">
        <v>60</v>
      </c>
      <c r="F16" s="6">
        <f>StepTest!G27</f>
        <v>11.52</v>
      </c>
    </row>
    <row r="17" spans="1:6">
      <c r="A17" s="100">
        <v>75</v>
      </c>
      <c r="B17" s="6">
        <f t="shared" si="0"/>
        <v>12.1</v>
      </c>
      <c r="E17" s="6">
        <v>75</v>
      </c>
      <c r="F17" s="6">
        <f>StepTest!G28</f>
        <v>12.1</v>
      </c>
    </row>
    <row r="18" spans="1:6">
      <c r="A18" s="100">
        <v>90</v>
      </c>
      <c r="B18" s="6">
        <f t="shared" si="0"/>
        <v>12.57</v>
      </c>
      <c r="E18" s="6">
        <v>90</v>
      </c>
      <c r="F18" s="6">
        <f>StepTest!G29</f>
        <v>12.57</v>
      </c>
    </row>
    <row r="19" spans="1:6">
      <c r="A19" s="100">
        <v>105</v>
      </c>
      <c r="B19" s="6">
        <f t="shared" si="0"/>
        <v>12.96</v>
      </c>
      <c r="E19" s="6">
        <v>105</v>
      </c>
      <c r="F19" s="6">
        <f>StepTest!G30</f>
        <v>12.96</v>
      </c>
    </row>
    <row r="20" spans="1:6">
      <c r="A20" s="101">
        <v>120</v>
      </c>
      <c r="B20" s="102">
        <f t="shared" si="0"/>
        <v>13.31</v>
      </c>
      <c r="C20" s="102">
        <f>B26-B20</f>
        <v>2.6500000000000004</v>
      </c>
      <c r="D20" s="103">
        <f>C20/10</f>
        <v>0.26500000000000001</v>
      </c>
      <c r="E20" s="6">
        <v>120</v>
      </c>
      <c r="F20" s="6">
        <f>StepTest!G31</f>
        <v>13.31</v>
      </c>
    </row>
    <row r="21" spans="1:6">
      <c r="A21" s="100">
        <v>121</v>
      </c>
      <c r="B21" s="104">
        <f>B20+D21</f>
        <v>13.47</v>
      </c>
      <c r="D21" s="6">
        <v>0.16</v>
      </c>
      <c r="E21" s="6">
        <v>130</v>
      </c>
      <c r="F21" s="6">
        <f>StepTest!G32</f>
        <v>15.96</v>
      </c>
    </row>
    <row r="22" spans="1:6">
      <c r="A22" s="100">
        <v>122</v>
      </c>
      <c r="B22" s="104">
        <f>B21+D22</f>
        <v>13.620000000000001</v>
      </c>
      <c r="D22" s="6">
        <v>0.15</v>
      </c>
      <c r="E22" s="6">
        <v>140</v>
      </c>
      <c r="F22" s="6">
        <f>StepTest!G33</f>
        <v>16.41</v>
      </c>
    </row>
    <row r="23" spans="1:6">
      <c r="A23" s="100">
        <v>123</v>
      </c>
      <c r="B23" s="104">
        <f>B22+D23</f>
        <v>13.760000000000002</v>
      </c>
      <c r="D23" s="6">
        <v>0.14000000000000001</v>
      </c>
      <c r="E23" s="6">
        <v>150</v>
      </c>
      <c r="F23" s="6">
        <f>StepTest!G34</f>
        <v>16.850000000000001</v>
      </c>
    </row>
    <row r="24" spans="1:6">
      <c r="A24" s="100">
        <v>124</v>
      </c>
      <c r="B24" s="104">
        <f>B23+D24</f>
        <v>13.890000000000002</v>
      </c>
      <c r="D24" s="6">
        <v>0.13</v>
      </c>
      <c r="E24" s="6">
        <v>180</v>
      </c>
      <c r="F24" s="6">
        <f>StepTest!G35</f>
        <v>17.29</v>
      </c>
    </row>
    <row r="25" spans="1:6">
      <c r="A25" s="100">
        <v>125</v>
      </c>
      <c r="B25" s="104">
        <f>B24+D25</f>
        <v>14.020000000000003</v>
      </c>
      <c r="D25" s="6">
        <v>0.13</v>
      </c>
      <c r="E25" s="6">
        <v>240</v>
      </c>
      <c r="F25" s="6">
        <f>StepTest!G36</f>
        <v>17.739999999999998</v>
      </c>
    </row>
    <row r="26" spans="1:6">
      <c r="A26" s="100">
        <v>130</v>
      </c>
      <c r="B26" s="102">
        <f>F21</f>
        <v>15.96</v>
      </c>
      <c r="C26" s="102">
        <f>B28-B26</f>
        <v>0.44999999999999929</v>
      </c>
      <c r="D26" s="102">
        <f>C26/2</f>
        <v>0.22499999999999964</v>
      </c>
      <c r="E26" s="6">
        <v>250</v>
      </c>
      <c r="F26" s="6">
        <f>StepTest!G37</f>
        <v>20.74</v>
      </c>
    </row>
    <row r="27" spans="1:6">
      <c r="A27" s="100">
        <v>135</v>
      </c>
      <c r="B27" s="104">
        <f>B26+D27</f>
        <v>16.07</v>
      </c>
      <c r="D27" s="6">
        <v>0.11</v>
      </c>
      <c r="E27" s="6">
        <v>260</v>
      </c>
      <c r="F27" s="6">
        <f>StepTest!G38</f>
        <v>21.24</v>
      </c>
    </row>
    <row r="28" spans="1:6">
      <c r="A28" s="100">
        <v>140</v>
      </c>
      <c r="B28" s="102">
        <f>F22</f>
        <v>16.41</v>
      </c>
      <c r="C28" s="102">
        <f>B30-B28</f>
        <v>0.44000000000000128</v>
      </c>
      <c r="D28" s="102">
        <f>C28/2</f>
        <v>0.22000000000000064</v>
      </c>
      <c r="E28" s="6">
        <v>270</v>
      </c>
      <c r="F28" s="6">
        <f>StepTest!G39</f>
        <v>21.74</v>
      </c>
    </row>
    <row r="29" spans="1:6">
      <c r="A29" s="100">
        <v>145</v>
      </c>
      <c r="B29" s="104">
        <f>B28+D29</f>
        <v>16.510000000000002</v>
      </c>
      <c r="D29" s="6">
        <v>0.1</v>
      </c>
      <c r="E29" s="6">
        <v>300</v>
      </c>
      <c r="F29" s="6">
        <f>StepTest!G40</f>
        <v>22.24</v>
      </c>
    </row>
    <row r="30" spans="1:6">
      <c r="A30" s="100">
        <v>150</v>
      </c>
      <c r="B30" s="102">
        <f>F23</f>
        <v>16.850000000000001</v>
      </c>
      <c r="C30" s="102">
        <f>B36-B30</f>
        <v>0.43999999999999773</v>
      </c>
      <c r="D30" s="105">
        <f>C30/6</f>
        <v>7.3333333333332959E-2</v>
      </c>
      <c r="E30" s="6">
        <v>360</v>
      </c>
      <c r="F30" s="6">
        <f>StepTest!G41</f>
        <v>22.74</v>
      </c>
    </row>
    <row r="31" spans="1:6">
      <c r="A31" s="100">
        <v>155</v>
      </c>
      <c r="B31" s="104">
        <f>B30+D31</f>
        <v>16.91</v>
      </c>
      <c r="D31" s="6">
        <v>0.06</v>
      </c>
    </row>
    <row r="32" spans="1:6">
      <c r="A32" s="100">
        <v>160</v>
      </c>
      <c r="B32" s="104">
        <f t="shared" ref="B32:B39" si="1">B31+D32</f>
        <v>16.96</v>
      </c>
      <c r="D32" s="6">
        <v>0.05</v>
      </c>
    </row>
    <row r="33" spans="1:4">
      <c r="A33" s="100">
        <v>165</v>
      </c>
      <c r="B33" s="104">
        <f t="shared" si="1"/>
        <v>17</v>
      </c>
      <c r="D33" s="6">
        <v>0.04</v>
      </c>
    </row>
    <row r="34" spans="1:4">
      <c r="A34" s="100">
        <v>170</v>
      </c>
      <c r="B34" s="104">
        <f t="shared" si="1"/>
        <v>17.03</v>
      </c>
      <c r="D34" s="6">
        <v>0.03</v>
      </c>
    </row>
    <row r="35" spans="1:4">
      <c r="A35" s="100">
        <v>175</v>
      </c>
      <c r="B35" s="104">
        <f t="shared" si="1"/>
        <v>17.05</v>
      </c>
      <c r="D35" s="6">
        <v>0.02</v>
      </c>
    </row>
    <row r="36" spans="1:4">
      <c r="A36" s="100">
        <v>180</v>
      </c>
      <c r="B36" s="102">
        <f>F24</f>
        <v>17.29</v>
      </c>
      <c r="C36" s="102">
        <f>B40-B36</f>
        <v>0.44999999999999929</v>
      </c>
      <c r="D36" s="102">
        <f>C36/4</f>
        <v>0.11249999999999982</v>
      </c>
    </row>
    <row r="37" spans="1:4">
      <c r="A37" s="100">
        <v>195</v>
      </c>
      <c r="B37" s="104">
        <f t="shared" si="1"/>
        <v>17.36</v>
      </c>
      <c r="D37" s="6">
        <v>7.0000000000000007E-2</v>
      </c>
    </row>
    <row r="38" spans="1:4">
      <c r="A38" s="100">
        <v>210</v>
      </c>
      <c r="B38" s="104">
        <f t="shared" si="1"/>
        <v>17.419999999999998</v>
      </c>
      <c r="D38" s="6">
        <v>0.06</v>
      </c>
    </row>
    <row r="39" spans="1:4">
      <c r="A39" s="100">
        <v>225</v>
      </c>
      <c r="B39" s="104">
        <f t="shared" si="1"/>
        <v>17.47</v>
      </c>
      <c r="D39" s="6">
        <v>0.05</v>
      </c>
    </row>
    <row r="40" spans="1:4">
      <c r="A40" s="101">
        <v>240</v>
      </c>
      <c r="B40" s="102">
        <f>F25</f>
        <v>17.739999999999998</v>
      </c>
      <c r="C40" s="102">
        <f>B46-B40</f>
        <v>3</v>
      </c>
      <c r="D40" s="103">
        <f>C40/10</f>
        <v>0.3</v>
      </c>
    </row>
    <row r="41" spans="1:4">
      <c r="A41" s="100">
        <v>241</v>
      </c>
      <c r="B41" s="104">
        <f>B40+D41</f>
        <v>17.919999999999998</v>
      </c>
      <c r="D41" s="6">
        <v>0.18</v>
      </c>
    </row>
    <row r="42" spans="1:4">
      <c r="A42" s="100">
        <v>242</v>
      </c>
      <c r="B42" s="104">
        <f>B41+D42</f>
        <v>18.079999999999998</v>
      </c>
      <c r="D42" s="6">
        <v>0.16</v>
      </c>
    </row>
    <row r="43" spans="1:4">
      <c r="A43" s="100">
        <v>243</v>
      </c>
      <c r="B43" s="104">
        <f>B42+D43</f>
        <v>18.229999999999997</v>
      </c>
      <c r="D43" s="6">
        <v>0.15</v>
      </c>
    </row>
    <row r="44" spans="1:4">
      <c r="A44" s="100">
        <v>244</v>
      </c>
      <c r="B44" s="104">
        <f>B43+D44</f>
        <v>18.369999999999997</v>
      </c>
      <c r="D44" s="6">
        <v>0.14000000000000001</v>
      </c>
    </row>
    <row r="45" spans="1:4">
      <c r="A45" s="100">
        <v>245</v>
      </c>
      <c r="B45" s="104">
        <f>B44+D45</f>
        <v>18.499999999999996</v>
      </c>
      <c r="D45" s="6">
        <v>0.13</v>
      </c>
    </row>
    <row r="46" spans="1:4">
      <c r="A46" s="100">
        <v>250</v>
      </c>
      <c r="B46" s="102">
        <f>F26</f>
        <v>20.74</v>
      </c>
      <c r="C46" s="102">
        <f>B48-B46</f>
        <v>0.5</v>
      </c>
      <c r="D46" s="102">
        <f>C46/2</f>
        <v>0.25</v>
      </c>
    </row>
    <row r="47" spans="1:4">
      <c r="A47" s="100">
        <v>255</v>
      </c>
      <c r="B47" s="104">
        <f>B46+D47</f>
        <v>20.849999999999998</v>
      </c>
      <c r="D47" s="6">
        <v>0.11</v>
      </c>
    </row>
    <row r="48" spans="1:4">
      <c r="A48" s="100">
        <v>260</v>
      </c>
      <c r="B48" s="102">
        <f>F27</f>
        <v>21.24</v>
      </c>
      <c r="C48" s="102">
        <f>B50-B48</f>
        <v>0.5</v>
      </c>
      <c r="D48" s="102">
        <f>C48/2</f>
        <v>0.25</v>
      </c>
    </row>
    <row r="49" spans="1:6">
      <c r="A49" s="100">
        <v>265</v>
      </c>
      <c r="B49" s="104">
        <f>B48+D49</f>
        <v>21.349999999999998</v>
      </c>
      <c r="D49" s="6">
        <v>0.11</v>
      </c>
    </row>
    <row r="50" spans="1:6">
      <c r="A50" s="100">
        <v>270</v>
      </c>
      <c r="B50" s="102">
        <f>F28</f>
        <v>21.74</v>
      </c>
      <c r="C50" s="102">
        <f>B56-B50</f>
        <v>0.5</v>
      </c>
      <c r="D50" s="105">
        <f>C50/6</f>
        <v>8.3333333333333329E-2</v>
      </c>
    </row>
    <row r="51" spans="1:6">
      <c r="A51" s="100">
        <v>275</v>
      </c>
      <c r="B51" s="104">
        <f>B50+D51</f>
        <v>21.81</v>
      </c>
      <c r="D51" s="6">
        <v>7.0000000000000007E-2</v>
      </c>
    </row>
    <row r="52" spans="1:6">
      <c r="A52" s="100">
        <v>280</v>
      </c>
      <c r="B52" s="104">
        <f>B51+D52</f>
        <v>21.86</v>
      </c>
      <c r="D52" s="6">
        <v>0.05</v>
      </c>
    </row>
    <row r="53" spans="1:6">
      <c r="A53" s="100">
        <v>285</v>
      </c>
      <c r="B53" s="104">
        <f>B52+D53</f>
        <v>21.9</v>
      </c>
      <c r="D53" s="6">
        <v>0.04</v>
      </c>
    </row>
    <row r="54" spans="1:6">
      <c r="A54" s="100">
        <v>290</v>
      </c>
      <c r="B54" s="104">
        <f>B53+D54</f>
        <v>21.93</v>
      </c>
      <c r="D54" s="6">
        <v>0.03</v>
      </c>
    </row>
    <row r="55" spans="1:6">
      <c r="A55" s="100">
        <v>295</v>
      </c>
      <c r="B55" s="104">
        <f>B54+D55</f>
        <v>21.95</v>
      </c>
      <c r="D55" s="6">
        <v>0.02</v>
      </c>
    </row>
    <row r="56" spans="1:6">
      <c r="A56" s="100">
        <v>300</v>
      </c>
      <c r="B56" s="102">
        <f>F29</f>
        <v>22.24</v>
      </c>
      <c r="C56" s="102">
        <f>B60-B56</f>
        <v>0.5</v>
      </c>
      <c r="D56" s="102">
        <f>C56/4</f>
        <v>0.125</v>
      </c>
    </row>
    <row r="57" spans="1:6">
      <c r="A57" s="100">
        <v>315</v>
      </c>
      <c r="B57" s="104">
        <f>B56+D57</f>
        <v>22.319999999999997</v>
      </c>
      <c r="D57" s="6">
        <v>0.08</v>
      </c>
    </row>
    <row r="58" spans="1:6">
      <c r="A58" s="100">
        <v>330</v>
      </c>
      <c r="B58" s="104">
        <f>B57+D58</f>
        <v>22.379999999999995</v>
      </c>
      <c r="D58" s="6">
        <v>0.06</v>
      </c>
    </row>
    <row r="59" spans="1:6">
      <c r="A59" s="100">
        <v>345</v>
      </c>
      <c r="B59" s="104">
        <f>B58+D59</f>
        <v>22.429999999999996</v>
      </c>
      <c r="D59" s="6">
        <v>0.05</v>
      </c>
    </row>
    <row r="60" spans="1:6">
      <c r="A60" s="101">
        <v>360</v>
      </c>
      <c r="B60" s="102">
        <f>F30</f>
        <v>22.74</v>
      </c>
      <c r="C60" s="102">
        <f>B66-B60</f>
        <v>3.3300000000000018</v>
      </c>
      <c r="D60" s="103">
        <f>C60/10</f>
        <v>0.33300000000000018</v>
      </c>
    </row>
    <row r="61" spans="1:6">
      <c r="A61" s="100">
        <v>361</v>
      </c>
      <c r="B61" s="104">
        <f>B60+D61</f>
        <v>22.93</v>
      </c>
      <c r="D61" s="6">
        <v>0.19</v>
      </c>
    </row>
    <row r="62" spans="1:6">
      <c r="A62" s="100">
        <v>362</v>
      </c>
      <c r="B62" s="104">
        <f>B61+D62</f>
        <v>23.1</v>
      </c>
      <c r="D62" s="6">
        <v>0.17</v>
      </c>
    </row>
    <row r="63" spans="1:6">
      <c r="A63" s="100">
        <v>363</v>
      </c>
      <c r="B63" s="104">
        <f>B62+D63</f>
        <v>23.26</v>
      </c>
      <c r="D63" s="6">
        <v>0.16</v>
      </c>
      <c r="E63" s="6">
        <v>370</v>
      </c>
      <c r="F63" s="6">
        <f>StepTest!G42</f>
        <v>26.07</v>
      </c>
    </row>
    <row r="64" spans="1:6">
      <c r="A64" s="100">
        <v>364</v>
      </c>
      <c r="B64" s="104">
        <f>B63+D64</f>
        <v>23.41</v>
      </c>
      <c r="D64" s="6">
        <v>0.15</v>
      </c>
      <c r="E64" s="6">
        <v>380</v>
      </c>
      <c r="F64" s="6">
        <f>StepTest!G43</f>
        <v>26.63</v>
      </c>
    </row>
    <row r="65" spans="1:6">
      <c r="A65" s="100">
        <v>365</v>
      </c>
      <c r="B65" s="104">
        <f>B64+D65</f>
        <v>23.55</v>
      </c>
      <c r="D65" s="6">
        <v>0.14000000000000001</v>
      </c>
      <c r="E65" s="6">
        <v>390</v>
      </c>
      <c r="F65" s="6">
        <f>StepTest!G44</f>
        <v>27.18</v>
      </c>
    </row>
    <row r="66" spans="1:6">
      <c r="A66" s="100">
        <v>370</v>
      </c>
      <c r="B66" s="102">
        <f>F63</f>
        <v>26.07</v>
      </c>
      <c r="C66" s="106">
        <f>B68-B66</f>
        <v>0.55999999999999872</v>
      </c>
      <c r="D66" s="102">
        <f>C66/2</f>
        <v>0.27999999999999936</v>
      </c>
      <c r="E66" s="6">
        <v>420</v>
      </c>
      <c r="F66" s="6">
        <f>StepTest!G45</f>
        <v>27.74</v>
      </c>
    </row>
    <row r="67" spans="1:6">
      <c r="A67" s="100">
        <v>375</v>
      </c>
      <c r="B67" s="104">
        <f>B66+D67</f>
        <v>26.19</v>
      </c>
      <c r="D67" s="6">
        <v>0.12</v>
      </c>
      <c r="E67" s="6">
        <v>480</v>
      </c>
      <c r="F67" s="6">
        <f>StepTest!G46</f>
        <v>28.3</v>
      </c>
    </row>
    <row r="68" spans="1:6">
      <c r="A68" s="100">
        <v>380</v>
      </c>
      <c r="B68" s="107">
        <f>F64</f>
        <v>26.63</v>
      </c>
      <c r="C68" s="102">
        <f>B70-B68</f>
        <v>0.55000000000000071</v>
      </c>
      <c r="D68" s="102">
        <f>C68/2</f>
        <v>0.27500000000000036</v>
      </c>
      <c r="E68" s="6">
        <v>490</v>
      </c>
      <c r="F68" s="6">
        <f>StepTest!G47</f>
        <v>31.69</v>
      </c>
    </row>
    <row r="69" spans="1:6">
      <c r="A69" s="100">
        <v>385</v>
      </c>
      <c r="B69" s="104">
        <f>B68+D69</f>
        <v>26.75</v>
      </c>
      <c r="D69" s="6">
        <v>0.12</v>
      </c>
      <c r="E69" s="6">
        <v>500</v>
      </c>
      <c r="F69" s="6">
        <f>StepTest!G48</f>
        <v>32.96</v>
      </c>
    </row>
    <row r="70" spans="1:6">
      <c r="A70" s="100">
        <v>390</v>
      </c>
      <c r="B70" s="107">
        <f>F65</f>
        <v>27.18</v>
      </c>
      <c r="C70" s="102">
        <f>B76-B70</f>
        <v>0.55999999999999872</v>
      </c>
      <c r="D70" s="105">
        <f>C70/6</f>
        <v>9.3333333333333116E-2</v>
      </c>
      <c r="E70" s="6">
        <v>510</v>
      </c>
      <c r="F70" s="6">
        <f>StepTest!G49</f>
        <v>34.24</v>
      </c>
    </row>
    <row r="71" spans="1:6">
      <c r="A71" s="100">
        <v>395</v>
      </c>
      <c r="B71" s="104">
        <f>B70+D71</f>
        <v>27.25</v>
      </c>
      <c r="D71" s="6">
        <v>7.0000000000000007E-2</v>
      </c>
      <c r="E71" s="6">
        <v>540</v>
      </c>
      <c r="F71" s="6">
        <f>StepTest!G50</f>
        <v>35.51</v>
      </c>
    </row>
    <row r="72" spans="1:6">
      <c r="A72" s="100">
        <v>400</v>
      </c>
      <c r="B72" s="104">
        <f>B71+D72</f>
        <v>27.3</v>
      </c>
      <c r="D72" s="6">
        <v>0.05</v>
      </c>
      <c r="E72" s="6">
        <v>600</v>
      </c>
      <c r="F72" s="6">
        <f>StepTest!G51</f>
        <v>36.79</v>
      </c>
    </row>
    <row r="73" spans="1:6">
      <c r="A73" s="100">
        <v>405</v>
      </c>
      <c r="B73" s="104">
        <f>B72+D73</f>
        <v>27.34</v>
      </c>
      <c r="D73" s="6">
        <v>0.04</v>
      </c>
    </row>
    <row r="74" spans="1:6">
      <c r="A74" s="100">
        <v>410</v>
      </c>
      <c r="B74" s="104">
        <f>B73+D74</f>
        <v>27.37</v>
      </c>
      <c r="D74" s="6">
        <v>0.03</v>
      </c>
    </row>
    <row r="75" spans="1:6">
      <c r="A75" s="100">
        <v>415</v>
      </c>
      <c r="B75" s="104">
        <f>B74+D75</f>
        <v>27.400000000000002</v>
      </c>
      <c r="D75" s="6">
        <v>0.03</v>
      </c>
    </row>
    <row r="76" spans="1:6">
      <c r="A76" s="100">
        <v>420</v>
      </c>
      <c r="B76" s="107">
        <f>F66</f>
        <v>27.74</v>
      </c>
      <c r="C76" s="102">
        <f>B80-B76</f>
        <v>0.56000000000000227</v>
      </c>
      <c r="D76" s="102">
        <f>C76/4</f>
        <v>0.14000000000000057</v>
      </c>
    </row>
    <row r="77" spans="1:6">
      <c r="A77" s="100">
        <v>435</v>
      </c>
      <c r="B77" s="104">
        <f>B76+D77</f>
        <v>27.83</v>
      </c>
      <c r="D77" s="6">
        <v>0.09</v>
      </c>
    </row>
    <row r="78" spans="1:6">
      <c r="A78" s="100">
        <v>450</v>
      </c>
      <c r="B78" s="104">
        <f>B77+D78</f>
        <v>27.9</v>
      </c>
      <c r="D78" s="6">
        <v>7.0000000000000007E-2</v>
      </c>
    </row>
    <row r="79" spans="1:6">
      <c r="A79" s="100">
        <v>465</v>
      </c>
      <c r="B79" s="104">
        <f>B78+D79</f>
        <v>27.95</v>
      </c>
      <c r="D79" s="6">
        <v>0.05</v>
      </c>
    </row>
    <row r="80" spans="1:6">
      <c r="A80" s="101">
        <v>480</v>
      </c>
      <c r="B80" s="107">
        <f>F67</f>
        <v>28.3</v>
      </c>
      <c r="C80" s="102">
        <f>B86-B80</f>
        <v>3.3900000000000006</v>
      </c>
      <c r="D80" s="103">
        <f>C80/10</f>
        <v>0.33900000000000008</v>
      </c>
    </row>
    <row r="81" spans="1:4">
      <c r="A81" s="100">
        <v>481</v>
      </c>
      <c r="B81" s="104">
        <f>B80+D81</f>
        <v>28.51</v>
      </c>
      <c r="D81" s="6">
        <v>0.21</v>
      </c>
    </row>
    <row r="82" spans="1:4">
      <c r="A82" s="100">
        <v>482</v>
      </c>
      <c r="B82" s="104">
        <f>B81+D82</f>
        <v>28.700000000000003</v>
      </c>
      <c r="D82" s="6">
        <v>0.19</v>
      </c>
    </row>
    <row r="83" spans="1:4">
      <c r="A83" s="100">
        <v>483</v>
      </c>
      <c r="B83" s="104">
        <f>B82+D83</f>
        <v>28.870000000000005</v>
      </c>
      <c r="D83" s="6">
        <v>0.17</v>
      </c>
    </row>
    <row r="84" spans="1:4">
      <c r="A84" s="100">
        <v>484</v>
      </c>
      <c r="B84" s="104">
        <f>B83+D84</f>
        <v>29.030000000000005</v>
      </c>
      <c r="D84" s="6">
        <v>0.16</v>
      </c>
    </row>
    <row r="85" spans="1:4">
      <c r="A85" s="100">
        <v>485</v>
      </c>
      <c r="B85" s="104">
        <f>B84+D85</f>
        <v>29.170000000000005</v>
      </c>
      <c r="D85" s="6">
        <v>0.14000000000000001</v>
      </c>
    </row>
    <row r="86" spans="1:4">
      <c r="A86" s="100">
        <v>490</v>
      </c>
      <c r="B86" s="107">
        <f>F68</f>
        <v>31.69</v>
      </c>
      <c r="C86" s="102">
        <f>B88-B86</f>
        <v>1.2699999999999996</v>
      </c>
      <c r="D86" s="102">
        <f>C86/2</f>
        <v>0.63499999999999979</v>
      </c>
    </row>
    <row r="87" spans="1:4">
      <c r="A87" s="100">
        <v>495</v>
      </c>
      <c r="B87" s="104">
        <f>B86+D87</f>
        <v>32</v>
      </c>
      <c r="D87" s="6">
        <v>0.31</v>
      </c>
    </row>
    <row r="88" spans="1:4">
      <c r="A88" s="100">
        <v>500</v>
      </c>
      <c r="B88" s="107">
        <f>F69</f>
        <v>32.96</v>
      </c>
      <c r="C88" s="102">
        <f>B90-B88</f>
        <v>1.2800000000000011</v>
      </c>
      <c r="D88" s="102">
        <f>C88/2</f>
        <v>0.64000000000000057</v>
      </c>
    </row>
    <row r="89" spans="1:4">
      <c r="A89" s="100">
        <v>505</v>
      </c>
      <c r="B89" s="104">
        <f>B88+D89</f>
        <v>33.26</v>
      </c>
      <c r="D89" s="6">
        <v>0.3</v>
      </c>
    </row>
    <row r="90" spans="1:4">
      <c r="A90" s="100">
        <v>510</v>
      </c>
      <c r="B90" s="107">
        <f>F70</f>
        <v>34.24</v>
      </c>
      <c r="C90" s="102">
        <f>B96-B90</f>
        <v>1.269999999999996</v>
      </c>
      <c r="D90" s="105">
        <f>C90/6</f>
        <v>0.211666666666666</v>
      </c>
    </row>
    <row r="91" spans="1:4">
      <c r="A91" s="100">
        <v>515</v>
      </c>
      <c r="B91" s="104">
        <f>B90+D91</f>
        <v>34.39</v>
      </c>
      <c r="D91" s="6">
        <v>0.15</v>
      </c>
    </row>
    <row r="92" spans="1:4">
      <c r="A92" s="100">
        <v>520</v>
      </c>
      <c r="B92" s="104">
        <f>B91+D92</f>
        <v>34.520000000000003</v>
      </c>
      <c r="D92" s="6">
        <v>0.13</v>
      </c>
    </row>
    <row r="93" spans="1:4">
      <c r="A93" s="100">
        <v>525</v>
      </c>
      <c r="B93" s="104">
        <f>B92+D93</f>
        <v>34.630000000000003</v>
      </c>
      <c r="D93" s="6">
        <v>0.11</v>
      </c>
    </row>
    <row r="94" spans="1:4">
      <c r="A94" s="100">
        <v>530</v>
      </c>
      <c r="B94" s="104">
        <f>B93+D94</f>
        <v>34.71</v>
      </c>
      <c r="D94" s="6">
        <v>0.08</v>
      </c>
    </row>
    <row r="95" spans="1:4">
      <c r="A95" s="100">
        <v>535</v>
      </c>
      <c r="B95" s="104">
        <f>B94+D95</f>
        <v>34.78</v>
      </c>
      <c r="D95" s="6">
        <v>7.0000000000000007E-2</v>
      </c>
    </row>
    <row r="96" spans="1:4">
      <c r="A96" s="100">
        <v>540</v>
      </c>
      <c r="B96" s="107">
        <f>F71</f>
        <v>35.51</v>
      </c>
      <c r="C96" s="102">
        <f>B100-B96</f>
        <v>1.2800000000000011</v>
      </c>
      <c r="D96" s="102">
        <f>C96/4</f>
        <v>0.32000000000000028</v>
      </c>
    </row>
    <row r="97" spans="1:4">
      <c r="A97" s="100">
        <v>555</v>
      </c>
      <c r="B97" s="104">
        <f>B96+D97</f>
        <v>35.699999999999996</v>
      </c>
      <c r="D97" s="6">
        <v>0.19</v>
      </c>
    </row>
    <row r="98" spans="1:4">
      <c r="A98" s="100">
        <v>570</v>
      </c>
      <c r="B98" s="104">
        <f>B97+D98</f>
        <v>35.859999999999992</v>
      </c>
      <c r="D98" s="6">
        <v>0.16</v>
      </c>
    </row>
    <row r="99" spans="1:4">
      <c r="A99" s="100">
        <v>585</v>
      </c>
      <c r="B99" s="104">
        <f>B98+D99</f>
        <v>35.999999999999993</v>
      </c>
      <c r="D99" s="6">
        <v>0.14000000000000001</v>
      </c>
    </row>
    <row r="100" spans="1:4">
      <c r="A100" s="101">
        <v>600</v>
      </c>
      <c r="B100" s="65">
        <f>F72</f>
        <v>36.79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C1" zoomScaleNormal="100" workbookViewId="0">
      <selection activeCell="X11" sqref="X11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5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5" s="167" customFormat="1">
      <c r="A3" s="172">
        <f>B3+$M$48</f>
        <v>16.91</v>
      </c>
      <c r="B3" s="255">
        <f>B20</f>
        <v>13.31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0.14159574468085107</v>
      </c>
      <c r="G3" s="174">
        <f>1/F3</f>
        <v>7.0623591284748306</v>
      </c>
    </row>
    <row r="4" spans="1:15" s="167" customFormat="1">
      <c r="A4" s="172">
        <f>B4+$M$48</f>
        <v>21.34</v>
      </c>
      <c r="B4" s="173">
        <f>B21</f>
        <v>17.739999999999998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0.14783333333333332</v>
      </c>
      <c r="G4" s="174">
        <f t="shared" ref="G4:G7" si="2">1/F4</f>
        <v>6.764374295377678</v>
      </c>
    </row>
    <row r="5" spans="1:15" s="167" customFormat="1">
      <c r="A5" s="172">
        <f>B5+$M$48</f>
        <v>26.34</v>
      </c>
      <c r="B5" s="173">
        <f>B22</f>
        <v>22.74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0.15554035567715457</v>
      </c>
      <c r="G5" s="174">
        <f t="shared" si="2"/>
        <v>6.4291996481970104</v>
      </c>
    </row>
    <row r="6" spans="1:15" s="167" customFormat="1">
      <c r="A6" s="172">
        <f>B6+$M$48</f>
        <v>31.900000000000002</v>
      </c>
      <c r="B6" s="255">
        <f>B23</f>
        <v>28.3</v>
      </c>
      <c r="C6" s="173"/>
      <c r="D6" s="171">
        <f>D23</f>
        <v>172</v>
      </c>
      <c r="E6" s="4">
        <f>D6/12</f>
        <v>14.333333333333334</v>
      </c>
      <c r="F6" s="174">
        <f t="shared" si="1"/>
        <v>0.16453488372093023</v>
      </c>
      <c r="G6" s="174">
        <f t="shared" si="2"/>
        <v>6.0777385159010606</v>
      </c>
    </row>
    <row r="7" spans="1:15" s="167" customFormat="1">
      <c r="A7" s="172">
        <f>B7+$M$48</f>
        <v>40.39</v>
      </c>
      <c r="B7" s="173">
        <f>B24</f>
        <v>36.79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0.18599595551061679</v>
      </c>
      <c r="G7" s="174">
        <f t="shared" si="2"/>
        <v>5.3764609948355533</v>
      </c>
    </row>
    <row r="8" spans="1:15" s="167" customFormat="1">
      <c r="A8" s="4"/>
      <c r="B8" s="4" t="s">
        <v>4</v>
      </c>
      <c r="C8" s="4"/>
      <c r="D8" s="4"/>
      <c r="E8" s="454" t="s">
        <v>5</v>
      </c>
      <c r="F8" s="454"/>
      <c r="G8" s="454"/>
    </row>
    <row r="9" spans="1:15" s="167" customFormat="1">
      <c r="A9" s="4" t="s">
        <v>6</v>
      </c>
      <c r="B9" s="4" t="s">
        <v>2</v>
      </c>
      <c r="C9" s="4"/>
      <c r="D9" s="4"/>
      <c r="E9" s="233">
        <v>0.98</v>
      </c>
      <c r="F9" s="455" t="s">
        <v>7</v>
      </c>
      <c r="G9" s="455"/>
    </row>
    <row r="10" spans="1:15" s="167" customFormat="1">
      <c r="A10" s="176">
        <f>D20/B20</f>
        <v>7.0623591284748306</v>
      </c>
      <c r="B10" s="176">
        <f>B20/D20</f>
        <v>0.14159574468085107</v>
      </c>
      <c r="C10" s="4"/>
      <c r="D10" s="4"/>
      <c r="E10" s="233">
        <v>0.98</v>
      </c>
      <c r="F10" s="455" t="s">
        <v>8</v>
      </c>
      <c r="G10" s="455"/>
    </row>
    <row r="11" spans="1:15" s="167" customFormat="1">
      <c r="A11" s="176">
        <f t="shared" ref="A11:A14" si="3">D21/B21</f>
        <v>6.764374295377678</v>
      </c>
      <c r="B11" s="176">
        <f t="shared" ref="B11:B14" si="4">B21/D21</f>
        <v>0.14783333333333332</v>
      </c>
      <c r="C11" s="4"/>
      <c r="D11" s="4" t="s">
        <v>4</v>
      </c>
      <c r="E11" s="233">
        <v>0.98</v>
      </c>
      <c r="F11" s="455" t="s">
        <v>9</v>
      </c>
      <c r="G11" s="455"/>
    </row>
    <row r="12" spans="1:15" s="167" customFormat="1">
      <c r="A12" s="176">
        <f t="shared" si="3"/>
        <v>6.4291996481970095</v>
      </c>
      <c r="B12" s="176">
        <f t="shared" si="4"/>
        <v>0.15554035567715457</v>
      </c>
      <c r="C12" s="4"/>
      <c r="D12" s="4"/>
      <c r="E12" s="233">
        <v>1</v>
      </c>
      <c r="F12" s="455" t="s">
        <v>10</v>
      </c>
      <c r="G12" s="455"/>
    </row>
    <row r="13" spans="1:15" s="167" customFormat="1">
      <c r="A13" s="176">
        <f t="shared" si="3"/>
        <v>6.0777385159010597</v>
      </c>
      <c r="B13" s="176">
        <f t="shared" si="4"/>
        <v>0.16453488372093023</v>
      </c>
      <c r="C13" s="4"/>
      <c r="D13" s="4" t="s">
        <v>4</v>
      </c>
      <c r="E13" s="454" t="s">
        <v>11</v>
      </c>
      <c r="F13" s="454"/>
      <c r="G13" s="454"/>
    </row>
    <row r="14" spans="1:15" s="167" customFormat="1">
      <c r="A14" s="176">
        <f t="shared" si="3"/>
        <v>5.3764609948355524</v>
      </c>
      <c r="B14" s="176">
        <f t="shared" si="4"/>
        <v>0.18599595551061679</v>
      </c>
      <c r="C14" s="4"/>
      <c r="D14" s="4"/>
      <c r="E14" s="233">
        <v>1</v>
      </c>
      <c r="F14" s="455" t="s">
        <v>7</v>
      </c>
      <c r="G14" s="455"/>
    </row>
    <row r="15" spans="1:15" s="167" customFormat="1">
      <c r="A15" s="4"/>
      <c r="B15" s="4"/>
      <c r="C15" s="4"/>
      <c r="D15" s="4"/>
      <c r="E15" s="233">
        <v>1</v>
      </c>
      <c r="F15" s="455" t="s">
        <v>8</v>
      </c>
      <c r="G15" s="455"/>
    </row>
    <row r="16" spans="1:15" s="167" customFormat="1">
      <c r="A16" s="4"/>
      <c r="B16" s="166" t="s">
        <v>12</v>
      </c>
      <c r="C16" s="4"/>
      <c r="D16" s="166" t="s">
        <v>13</v>
      </c>
      <c r="E16" s="233">
        <v>1</v>
      </c>
      <c r="F16" s="455" t="s">
        <v>9</v>
      </c>
      <c r="G16" s="455"/>
      <c r="O16" s="223">
        <v>45024</v>
      </c>
    </row>
    <row r="17" spans="1:21" s="167" customFormat="1">
      <c r="A17" s="4"/>
      <c r="B17" s="175">
        <f>M52</f>
        <v>28.3</v>
      </c>
      <c r="C17" s="4"/>
      <c r="D17" s="240">
        <f>M47</f>
        <v>172</v>
      </c>
      <c r="E17" s="233">
        <v>1</v>
      </c>
      <c r="F17" s="455" t="s">
        <v>10</v>
      </c>
      <c r="G17" s="45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13.31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0.14159574468085107</v>
      </c>
      <c r="G20" s="4">
        <f>F20-F19</f>
        <v>0.14159574468085107</v>
      </c>
    </row>
    <row r="21" spans="1:21" s="167" customFormat="1" ht="16.5">
      <c r="A21" s="173">
        <f>B21-B20</f>
        <v>4.4299999999999979</v>
      </c>
      <c r="B21" s="180">
        <f>INT(B$17*C21*100)/100</f>
        <v>17.739999999999998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0.14783333333333332</v>
      </c>
      <c r="G21" s="4">
        <f>F21-F20</f>
        <v>6.237588652482251E-3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5</v>
      </c>
      <c r="B22" s="180">
        <f>INT(B$17*C22*100)/100</f>
        <v>22.74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0.15554035567715457</v>
      </c>
      <c r="G22" s="4">
        <f>F22-F21</f>
        <v>7.7070223438212571E-3</v>
      </c>
    </row>
    <row r="23" spans="1:21" s="167" customFormat="1">
      <c r="A23" s="173">
        <f>B23-B22</f>
        <v>5.5600000000000023</v>
      </c>
      <c r="B23" s="180">
        <f>INT(B$17*C23*100)/100</f>
        <v>28.3</v>
      </c>
      <c r="C23" s="4">
        <v>1</v>
      </c>
      <c r="D23" s="198">
        <f>D$17*E23</f>
        <v>172</v>
      </c>
      <c r="E23" s="239">
        <v>1</v>
      </c>
      <c r="F23" s="174">
        <f>B23/D23</f>
        <v>0.16453488372093023</v>
      </c>
      <c r="G23" s="4">
        <f>F23-F22</f>
        <v>8.9945280437756514E-3</v>
      </c>
      <c r="O23" s="182"/>
      <c r="Q23" s="182"/>
      <c r="S23" s="182"/>
      <c r="U23" s="182"/>
    </row>
    <row r="24" spans="1:21" s="167" customFormat="1">
      <c r="A24" s="173">
        <f>B24-B23</f>
        <v>8.4899999999999984</v>
      </c>
      <c r="B24" s="180">
        <f>INT(B$17*C24*100)/100</f>
        <v>36.79</v>
      </c>
      <c r="C24" s="4">
        <f>1.3*E12</f>
        <v>1.3</v>
      </c>
      <c r="D24" s="198">
        <f>D$17*E24</f>
        <v>197.79999999999998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0.18599595551061679</v>
      </c>
      <c r="G25" s="173"/>
      <c r="O25" s="182"/>
      <c r="Q25" s="182"/>
      <c r="S25" s="182"/>
      <c r="U25" s="182"/>
    </row>
    <row r="26" spans="1:21" s="167" customFormat="1">
      <c r="A26" s="438" t="s">
        <v>14</v>
      </c>
      <c r="B26" s="438"/>
      <c r="C26" s="184">
        <f>INT(M51*1)</f>
        <v>150</v>
      </c>
      <c r="D26" s="4"/>
      <c r="E26" s="4"/>
      <c r="F26" s="185">
        <f>M50/M51</f>
        <v>0.21199999999999999</v>
      </c>
      <c r="G26" s="4"/>
      <c r="O26" s="182"/>
      <c r="Q26" s="182"/>
      <c r="S26" s="182"/>
      <c r="U26" s="182"/>
    </row>
    <row r="27" spans="1:21" s="167" customFormat="1">
      <c r="A27" s="438" t="s">
        <v>15</v>
      </c>
      <c r="B27" s="438"/>
      <c r="C27" s="186">
        <f>SafeYield!B7</f>
        <v>155.42949655319808</v>
      </c>
      <c r="D27" s="173">
        <f>(C27/D6)*100</f>
        <v>90.365986368138422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2.9409999999999999E-4</v>
      </c>
      <c r="B31" s="233">
        <v>0.1132518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2.9409999999999999E-4</v>
      </c>
      <c r="B32" s="4">
        <f t="shared" si="6"/>
        <v>0.1132518</v>
      </c>
      <c r="C32" s="4"/>
      <c r="D32" s="171">
        <f t="shared" si="5"/>
        <v>94</v>
      </c>
      <c r="E32" s="4"/>
      <c r="F32" s="187">
        <f>B32*D32/(B32*D32+A32*D32*D32)*100</f>
        <v>80.379028114114405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2.9409999999999999E-4</v>
      </c>
      <c r="B33" s="4">
        <f t="shared" si="6"/>
        <v>0.1132518</v>
      </c>
      <c r="C33" s="4"/>
      <c r="D33" s="171">
        <f t="shared" si="5"/>
        <v>120</v>
      </c>
      <c r="E33" s="4"/>
      <c r="F33" s="187">
        <f>B33*D33/(B33*D33+A33*D33*D33)*100</f>
        <v>76.241351035856098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2.9409999999999999E-4</v>
      </c>
      <c r="B34" s="4">
        <f t="shared" si="6"/>
        <v>0.1132518</v>
      </c>
      <c r="C34" s="4"/>
      <c r="D34" s="171">
        <f t="shared" si="5"/>
        <v>146.19999999999999</v>
      </c>
      <c r="E34" s="4"/>
      <c r="F34" s="187">
        <f>B34*D34/(B34*D34+A34*D34*D34)*100</f>
        <v>72.481513827717038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2.9409999999999999E-4</v>
      </c>
      <c r="B35" s="4">
        <f>B34</f>
        <v>0.1132518</v>
      </c>
      <c r="C35" s="4"/>
      <c r="D35" s="171">
        <f t="shared" si="5"/>
        <v>172</v>
      </c>
      <c r="E35" s="4"/>
      <c r="F35" s="187">
        <f>B35*D35/(B35*D35+A35*D35*D35)*100</f>
        <v>69.124678796608833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74.556642943574104</v>
      </c>
      <c r="G37" s="4"/>
      <c r="P37" s="220">
        <v>2.9409999999999999E-4</v>
      </c>
      <c r="Q37" s="220">
        <v>0.14399999999999999</v>
      </c>
    </row>
    <row r="38" spans="1:21" s="167" customFormat="1" ht="13.5" customHeight="1">
      <c r="A38" s="242">
        <v>72.14500000000001</v>
      </c>
      <c r="B38" s="233">
        <v>0.14399999999999999</v>
      </c>
      <c r="C38" s="233">
        <v>93.745000000000005</v>
      </c>
      <c r="D38" s="4"/>
      <c r="E38" s="4" t="s">
        <v>21</v>
      </c>
      <c r="F38" s="4"/>
      <c r="G38" s="4"/>
      <c r="P38" s="220">
        <v>0.1132518</v>
      </c>
      <c r="Q38" s="220">
        <v>93.745000000000005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72.14500000000001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39" t="s">
        <v>300</v>
      </c>
      <c r="J44" s="440"/>
      <c r="K44" s="441"/>
      <c r="L44" s="224" t="s">
        <v>30</v>
      </c>
      <c r="M44" s="228">
        <v>250</v>
      </c>
      <c r="N44" s="224" t="s">
        <v>31</v>
      </c>
      <c r="Q44" s="369">
        <v>330</v>
      </c>
      <c r="R44" s="200">
        <v>11.690000000000001</v>
      </c>
      <c r="S44" s="200">
        <v>7.33</v>
      </c>
      <c r="T44" s="201">
        <v>45.02</v>
      </c>
      <c r="U44" s="250">
        <v>2.2212121212121211E-2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48" t="s">
        <v>301</v>
      </c>
      <c r="J45" s="449"/>
      <c r="K45" s="450"/>
      <c r="L45" s="224" t="s">
        <v>34</v>
      </c>
      <c r="M45" s="195">
        <v>210</v>
      </c>
      <c r="N45" s="229">
        <f>M44</f>
        <v>250</v>
      </c>
      <c r="Q45" s="369">
        <v>420</v>
      </c>
      <c r="R45" s="200">
        <v>14.14</v>
      </c>
      <c r="S45" s="200">
        <v>9.7799999999999994</v>
      </c>
      <c r="T45" s="201">
        <v>42.945</v>
      </c>
      <c r="U45" s="250">
        <v>2.3285714285714285E-2</v>
      </c>
    </row>
    <row r="46" spans="1:21" s="167" customFormat="1" ht="16.5">
      <c r="A46" s="4">
        <f>B34</f>
        <v>0.1132518</v>
      </c>
      <c r="B46" s="364" t="s">
        <v>35</v>
      </c>
      <c r="C46" s="442" t="s">
        <v>36</v>
      </c>
      <c r="D46" s="442"/>
      <c r="E46" s="4"/>
      <c r="F46" s="4"/>
      <c r="G46" s="4"/>
      <c r="H46" s="224" t="s">
        <v>37</v>
      </c>
      <c r="I46" s="439" t="s">
        <v>299</v>
      </c>
      <c r="J46" s="440"/>
      <c r="K46" s="441"/>
      <c r="L46" s="224" t="s">
        <v>38</v>
      </c>
      <c r="M46" s="192">
        <f>IF(I52&gt;M48, M45-I52,M45-M48)</f>
        <v>198</v>
      </c>
      <c r="N46" s="11"/>
      <c r="Q46" s="369">
        <v>510</v>
      </c>
      <c r="R46" s="200">
        <v>16.89</v>
      </c>
      <c r="S46" s="200">
        <v>12.53</v>
      </c>
      <c r="T46" s="201">
        <v>40.701999999999998</v>
      </c>
      <c r="U46" s="250">
        <v>2.4568627450980391E-2</v>
      </c>
    </row>
    <row r="47" spans="1:21" s="167" customFormat="1" ht="16.5">
      <c r="A47" s="4">
        <f>120/1440</f>
        <v>8.3333333333333329E-2</v>
      </c>
      <c r="B47" s="364" t="s">
        <v>39</v>
      </c>
      <c r="C47" s="442" t="s">
        <v>40</v>
      </c>
      <c r="D47" s="442"/>
      <c r="E47" s="4"/>
      <c r="F47" s="4"/>
      <c r="G47" s="4"/>
      <c r="H47" s="224" t="s">
        <v>41</v>
      </c>
      <c r="I47" s="451" t="s">
        <v>224</v>
      </c>
      <c r="J47" s="452"/>
      <c r="K47" s="453"/>
      <c r="L47" s="224" t="s">
        <v>42</v>
      </c>
      <c r="M47" s="193">
        <f>INT((M51*100)/M53)</f>
        <v>172</v>
      </c>
      <c r="N47" s="11"/>
      <c r="Q47" s="369">
        <v>600</v>
      </c>
      <c r="R47" s="200">
        <v>19.96</v>
      </c>
      <c r="S47" s="200">
        <v>15.6</v>
      </c>
      <c r="T47" s="201">
        <v>38.462000000000003</v>
      </c>
      <c r="U47" s="250">
        <v>2.5999999999999999E-2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3</v>
      </c>
      <c r="J48" s="443" t="s">
        <v>298</v>
      </c>
      <c r="K48" s="443"/>
      <c r="L48" s="224" t="s">
        <v>44</v>
      </c>
      <c r="M48" s="195">
        <v>3.6</v>
      </c>
      <c r="N48" s="11"/>
      <c r="Q48" s="370">
        <v>690</v>
      </c>
      <c r="R48" s="251">
        <v>24.64</v>
      </c>
      <c r="S48" s="251">
        <v>20.28</v>
      </c>
      <c r="T48" s="252">
        <v>34.024000000000001</v>
      </c>
      <c r="U48" s="253">
        <v>2.9391304347826087E-2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44" t="str">
        <f>I45</f>
        <v>외산지구</v>
      </c>
      <c r="J49" s="444"/>
      <c r="K49" s="444"/>
      <c r="L49" s="224" t="s">
        <v>48</v>
      </c>
      <c r="M49" s="195">
        <v>35.4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44"/>
      <c r="J50" s="444"/>
      <c r="K50" s="444"/>
      <c r="L50" s="224" t="s">
        <v>50</v>
      </c>
      <c r="M50" s="194">
        <f>M49-M48</f>
        <v>31.799999999999997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45"/>
      <c r="J51" s="446"/>
      <c r="K51" s="447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7.3113908348342247E+24</v>
      </c>
      <c r="C52" s="364">
        <f>INT(B52*B51*1000)/1000</f>
        <v>3.6556954174171125E+21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28.3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37" t="s">
        <v>243</v>
      </c>
      <c r="J53" s="437"/>
      <c r="K53" s="437"/>
      <c r="L53" s="437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26" t="s">
        <v>62</v>
      </c>
      <c r="E57" s="427"/>
      <c r="F57" s="426" t="s">
        <v>61</v>
      </c>
      <c r="G57" s="427"/>
      <c r="H57" s="349" t="s">
        <v>63</v>
      </c>
      <c r="I57" s="350">
        <f>M50</f>
        <v>31.799999999999997</v>
      </c>
      <c r="J57" s="349" t="s">
        <v>64</v>
      </c>
      <c r="K57" s="349" t="s">
        <v>65</v>
      </c>
      <c r="L57" s="426" t="s">
        <v>66</v>
      </c>
      <c r="M57" s="428"/>
    </row>
    <row r="58" spans="1:24" s="167" customFormat="1" ht="18" customHeight="1">
      <c r="A58" s="230" t="s">
        <v>67</v>
      </c>
      <c r="B58" s="351">
        <v>40.21</v>
      </c>
      <c r="C58" s="222"/>
      <c r="D58" s="420">
        <v>0.22439999999999999</v>
      </c>
      <c r="E58" s="421"/>
      <c r="F58" s="420"/>
      <c r="G58" s="421"/>
      <c r="H58" s="222" t="s">
        <v>68</v>
      </c>
      <c r="I58" s="352">
        <f>C62/M46</f>
        <v>0.2293939393939394</v>
      </c>
      <c r="J58" s="222" t="s">
        <v>69</v>
      </c>
      <c r="K58" s="353">
        <f>INT((6*I57*I58*I60/I59)^0.5)</f>
        <v>12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29">
        <f>B59</f>
        <v>59.61</v>
      </c>
      <c r="D59" s="431">
        <v>0.15190000000000001</v>
      </c>
      <c r="E59" s="432"/>
      <c r="F59" s="433">
        <f>INT((D59+D60)/1*10000000)/10000000</f>
        <v>0.15190000000000001</v>
      </c>
      <c r="G59" s="434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30"/>
      <c r="D60" s="431"/>
      <c r="E60" s="432"/>
      <c r="F60" s="435"/>
      <c r="G60" s="436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20"/>
      <c r="E61" s="421"/>
      <c r="F61" s="420"/>
      <c r="G61" s="421"/>
      <c r="H61" s="222" t="s">
        <v>28</v>
      </c>
      <c r="I61" s="222">
        <f>C62</f>
        <v>45.42</v>
      </c>
      <c r="J61" s="222" t="s">
        <v>77</v>
      </c>
      <c r="K61" s="353">
        <f>((K58+K59+K60)/3)</f>
        <v>14.780304170529424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2"/>
      <c r="E62" s="423"/>
      <c r="F62" s="424">
        <f>F59</f>
        <v>0.15190000000000001</v>
      </c>
      <c r="G62" s="425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254</v>
      </c>
      <c r="R64" s="244" t="s">
        <v>255</v>
      </c>
      <c r="S64" s="244" t="s">
        <v>256</v>
      </c>
      <c r="T64" s="244" t="s">
        <v>257</v>
      </c>
      <c r="U64" s="244" t="s">
        <v>258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9" sqref="H29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외산지구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외산면 반교리 574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2.7078799527896127</v>
      </c>
      <c r="C4" s="276">
        <f>LongTest!B10</f>
        <v>150</v>
      </c>
      <c r="D4" s="277">
        <v>1.855</v>
      </c>
      <c r="E4" s="278">
        <f>Input!M44/2000</f>
        <v>0.125</v>
      </c>
      <c r="F4" s="19">
        <v>5.0000000000000001E-4</v>
      </c>
      <c r="G4" s="19">
        <f>PI()</f>
        <v>3.1415926535897931</v>
      </c>
      <c r="H4" s="108">
        <f>Input!$A$46</f>
        <v>0.1132518</v>
      </c>
      <c r="I4" s="271">
        <f>Input!M48</f>
        <v>3.6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3.226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0.36591682536915748</v>
      </c>
      <c r="D6" s="203"/>
      <c r="E6" s="202">
        <f>1.15*LOG((2.25*D5*(1/1440))/(F4*E4^2))</f>
        <v>3.2311485125244626</v>
      </c>
      <c r="F6" s="204" t="s">
        <v>121</v>
      </c>
      <c r="G6" s="384">
        <f>C6-E6</f>
        <v>-2.8652316871553052</v>
      </c>
      <c r="H6" s="35"/>
      <c r="I6" s="271">
        <f>Input!M49</f>
        <v>35.4</v>
      </c>
      <c r="J6" s="264">
        <f>MAX(C13,C18,C23)</f>
        <v>110.6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7.0148471155539009E-3</v>
      </c>
      <c r="G7" s="205" t="s">
        <v>124</v>
      </c>
      <c r="H7" s="35">
        <f>F4*EXP(4*G4*D4*H4)</f>
        <v>7.006387333756376E-3</v>
      </c>
      <c r="I7" s="279" t="s">
        <v>125</v>
      </c>
      <c r="J7" s="265">
        <f>ROUND((C13+C18+C23)/3,1)</f>
        <v>90.5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2.194</v>
      </c>
      <c r="D8" s="209"/>
      <c r="E8" s="209"/>
      <c r="F8" s="210"/>
      <c r="G8" s="209"/>
      <c r="H8" s="211"/>
      <c r="I8" s="280">
        <f>Input!M45</f>
        <v>210</v>
      </c>
      <c r="J8" s="260" t="s">
        <v>240</v>
      </c>
      <c r="K8" s="266">
        <f>ROUND(SQRT(C7/F7),4)</f>
        <v>7.0415000000000001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7.0457000000000001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5.5974937264594713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1.6808000000000001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29.802506273540526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72.400000000000006</v>
      </c>
      <c r="D13" s="25"/>
      <c r="E13" s="386" t="s">
        <v>251</v>
      </c>
      <c r="F13" s="287">
        <f>D5</f>
        <v>3.226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31.799999999999997</v>
      </c>
      <c r="C16" s="213">
        <f>I8-IF(I4&gt;I10,I4,I10)</f>
        <v>198</v>
      </c>
      <c r="D16" s="215">
        <f>(F13+H13)/2</f>
        <v>2.9450000000000003</v>
      </c>
      <c r="E16" s="30">
        <f>INT(D16/C16*100000)/100000</f>
        <v>1.487E-2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88.6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31.799999999999997</v>
      </c>
      <c r="C21" s="214">
        <f t="shared" si="0"/>
        <v>198</v>
      </c>
      <c r="D21" s="31">
        <f t="shared" si="0"/>
        <v>2.9450000000000003</v>
      </c>
      <c r="E21" s="215">
        <f t="shared" si="0"/>
        <v>1.487E-2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110.6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31.799999999999997</v>
      </c>
      <c r="C26" s="31">
        <f t="shared" si="1"/>
        <v>198</v>
      </c>
      <c r="D26" s="31">
        <f t="shared" si="1"/>
        <v>2.9450000000000003</v>
      </c>
      <c r="E26" s="30">
        <f t="shared" si="1"/>
        <v>1.487E-2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2.9450000000000003</v>
      </c>
      <c r="D28" s="382">
        <f>(C28/C16)*(100/86400)</f>
        <v>1.7214973812196037E-5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1.7214973812196034E-5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90.533333333333346</v>
      </c>
      <c r="D30" s="14"/>
      <c r="E30" s="376">
        <f>(C13+C18)/2</f>
        <v>80.5</v>
      </c>
      <c r="F30" s="377">
        <f>MAX(C13,C18)</f>
        <v>88.6</v>
      </c>
      <c r="G30" s="378">
        <f>ROUND(C4/(G4*F30^2*I16),3)</f>
        <v>20.731000000000002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13.31</v>
      </c>
    </row>
    <row r="4" spans="1:2" ht="20.100000000000001" customHeight="1">
      <c r="A4" s="42" t="s">
        <v>147</v>
      </c>
      <c r="B4" s="157">
        <f>StepTest!G46</f>
        <v>28.3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155.42949655319808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4" zoomScaleNormal="100" zoomScaleSheetLayoutView="100" workbookViewId="0">
      <selection activeCell="J11" sqref="J1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농업용 대형관정 사후관리 및 연장허가 용역 (외산,내산지구)</v>
      </c>
      <c r="D4" s="303"/>
      <c r="E4" s="303"/>
      <c r="F4" s="303"/>
      <c r="G4" s="303"/>
      <c r="H4" s="304"/>
      <c r="I4" s="305"/>
      <c r="P4" s="51">
        <v>1</v>
      </c>
      <c r="Q4" s="372">
        <v>-0.44999999999999984</v>
      </c>
      <c r="R4" s="55">
        <f>B12</f>
        <v>94</v>
      </c>
      <c r="S4" s="51">
        <f>$R$4</f>
        <v>94</v>
      </c>
      <c r="T4" s="300">
        <v>2.9077763007581678</v>
      </c>
      <c r="U4" s="299">
        <f>Input!M44/2/1000</f>
        <v>0.125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16.357454502928036</v>
      </c>
      <c r="Z4" s="58">
        <f>Z22</f>
        <v>15.349495846461364</v>
      </c>
      <c r="AA4" s="57">
        <f>$Z$4</f>
        <v>15.349495846461364</v>
      </c>
      <c r="AB4" s="57">
        <f>X4</f>
        <v>1</v>
      </c>
      <c r="AC4" s="57">
        <f>Y4-AA4</f>
        <v>1.0079586564666716</v>
      </c>
      <c r="AD4" s="59">
        <f>INT((AC4-AE4)*100)/100</f>
        <v>1.45</v>
      </c>
      <c r="AE4" s="60">
        <f>Q4</f>
        <v>-0.44999999999999984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외산지구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2.9077763007581678</v>
      </c>
      <c r="U5" s="61">
        <f>$U4</f>
        <v>0.125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18.138580347219694</v>
      </c>
      <c r="AA5" s="57">
        <f t="shared" ref="AA5:AA23" si="5">$Z$4</f>
        <v>15.349495846461364</v>
      </c>
      <c r="AB5" s="57">
        <f t="shared" ref="AB5:AB43" si="6">X5</f>
        <v>2</v>
      </c>
      <c r="AC5" s="57">
        <f t="shared" ref="AC5:AC43" si="7">Y5-AA5</f>
        <v>2.7890845007583298</v>
      </c>
      <c r="AD5" s="59">
        <f t="shared" ref="AD5:AD16" si="8">INT((AC5-AE5)*100)/100</f>
        <v>2.78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부여군 외산면 반교리 574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2.9077763007581678</v>
      </c>
      <c r="U6" s="61">
        <f t="shared" ref="U6:U51" si="11">$U5</f>
        <v>0.125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19.180472175195622</v>
      </c>
      <c r="AA6" s="57">
        <f t="shared" si="5"/>
        <v>15.349495846461364</v>
      </c>
      <c r="AB6" s="57">
        <f t="shared" si="6"/>
        <v>3</v>
      </c>
      <c r="AC6" s="57">
        <f t="shared" si="7"/>
        <v>3.8309763287342573</v>
      </c>
      <c r="AD6" s="59">
        <f t="shared" si="8"/>
        <v>3.83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>부여지하수개발주식회사</v>
      </c>
      <c r="D7" s="312"/>
      <c r="E7" s="303"/>
      <c r="F7" s="313"/>
      <c r="G7" s="314" t="str">
        <f>Input!I49</f>
        <v>외산지구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2.9077763007581678</v>
      </c>
      <c r="U7" s="61">
        <f t="shared" si="11"/>
        <v>0.125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19.919706191511352</v>
      </c>
      <c r="AA7" s="57">
        <f t="shared" si="5"/>
        <v>15.349495846461364</v>
      </c>
      <c r="AB7" s="57">
        <f t="shared" si="6"/>
        <v>4</v>
      </c>
      <c r="AC7" s="57">
        <f t="shared" si="7"/>
        <v>4.570210345049988</v>
      </c>
      <c r="AD7" s="59">
        <f t="shared" si="8"/>
        <v>4.57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3</v>
      </c>
      <c r="D8" s="460"/>
      <c r="E8" s="461"/>
      <c r="F8" s="318" t="s">
        <v>165</v>
      </c>
      <c r="G8" s="314" t="str">
        <f>G7</f>
        <v>외산지구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2.9077763007581678</v>
      </c>
      <c r="U8" s="61">
        <f t="shared" si="11"/>
        <v>0.125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20.493100641318811</v>
      </c>
      <c r="AA8" s="57">
        <f t="shared" si="5"/>
        <v>15.349495846461364</v>
      </c>
      <c r="AB8" s="57">
        <f t="shared" si="6"/>
        <v>5</v>
      </c>
      <c r="AC8" s="57">
        <f t="shared" si="7"/>
        <v>5.1436047948574473</v>
      </c>
      <c r="AD8" s="59">
        <f t="shared" si="8"/>
        <v>5.14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250</v>
      </c>
      <c r="E9" s="462"/>
      <c r="F9" s="301" t="s">
        <v>168</v>
      </c>
      <c r="G9" s="463">
        <f>Input!M45</f>
        <v>210</v>
      </c>
      <c r="H9" s="463"/>
      <c r="I9" s="301"/>
      <c r="P9" s="51">
        <v>10</v>
      </c>
      <c r="Q9" s="372"/>
      <c r="S9" s="51">
        <f t="shared" si="3"/>
        <v>94</v>
      </c>
      <c r="T9" s="51">
        <f t="shared" si="10"/>
        <v>2.9077763007581678</v>
      </c>
      <c r="U9" s="61">
        <f t="shared" si="11"/>
        <v>0.125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22.274226485610466</v>
      </c>
      <c r="AA9" s="57">
        <f t="shared" si="5"/>
        <v>15.349495846461364</v>
      </c>
      <c r="AB9" s="57">
        <f t="shared" si="6"/>
        <v>10</v>
      </c>
      <c r="AC9" s="57">
        <f t="shared" si="7"/>
        <v>6.9247306391491019</v>
      </c>
      <c r="AD9" s="59">
        <f t="shared" si="8"/>
        <v>6.92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3.6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94</v>
      </c>
      <c r="T10" s="51">
        <f t="shared" si="10"/>
        <v>2.9077763007581678</v>
      </c>
      <c r="U10" s="61">
        <f t="shared" si="11"/>
        <v>0.125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23.316118313586394</v>
      </c>
      <c r="AA10" s="57">
        <f t="shared" si="5"/>
        <v>15.349495846461364</v>
      </c>
      <c r="AB10" s="57">
        <f t="shared" si="6"/>
        <v>15</v>
      </c>
      <c r="AC10" s="57">
        <f t="shared" si="7"/>
        <v>7.9666224671250294</v>
      </c>
      <c r="AD10" s="59">
        <f t="shared" si="8"/>
        <v>7.96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0.12000000000000011</v>
      </c>
      <c r="P11" s="51">
        <v>20</v>
      </c>
      <c r="Q11" s="372"/>
      <c r="S11" s="51">
        <f t="shared" si="3"/>
        <v>94</v>
      </c>
      <c r="T11" s="51">
        <f t="shared" si="10"/>
        <v>2.9077763007581678</v>
      </c>
      <c r="U11" s="61">
        <f t="shared" si="11"/>
        <v>0.125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24.055352329902124</v>
      </c>
      <c r="AA11" s="57">
        <f t="shared" si="5"/>
        <v>15.349495846461364</v>
      </c>
      <c r="AB11" s="57">
        <f t="shared" si="6"/>
        <v>20</v>
      </c>
      <c r="AC11" s="57">
        <f t="shared" si="7"/>
        <v>8.7058564834407601</v>
      </c>
      <c r="AD11" s="59">
        <f t="shared" si="8"/>
        <v>8.6999999999999993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44992.479166666664</v>
      </c>
      <c r="D12" s="456">
        <v>1</v>
      </c>
      <c r="E12" s="456"/>
      <c r="F12" s="326">
        <f>G12+$D$10</f>
        <v>5.05</v>
      </c>
      <c r="G12" s="457">
        <f>AD4</f>
        <v>1.45</v>
      </c>
      <c r="H12" s="457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2.9077763007581678</v>
      </c>
      <c r="U12" s="61">
        <f t="shared" si="11"/>
        <v>0.125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24.628746779709584</v>
      </c>
      <c r="AA12" s="57">
        <f t="shared" si="5"/>
        <v>15.349495846461364</v>
      </c>
      <c r="AB12" s="57">
        <f t="shared" si="6"/>
        <v>25</v>
      </c>
      <c r="AC12" s="57">
        <f t="shared" si="7"/>
        <v>9.2792509332482194</v>
      </c>
      <c r="AD12" s="59">
        <f t="shared" si="8"/>
        <v>9.27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6.38</v>
      </c>
      <c r="G13" s="457">
        <f t="shared" ref="G13:G51" si="14">AD5</f>
        <v>2.78</v>
      </c>
      <c r="H13" s="457"/>
      <c r="I13" s="327"/>
      <c r="J13" s="328">
        <f>G13-G12</f>
        <v>1.3299999999999998</v>
      </c>
      <c r="P13" s="51">
        <v>30</v>
      </c>
      <c r="Q13" s="372"/>
      <c r="S13" s="51">
        <f t="shared" si="3"/>
        <v>94</v>
      </c>
      <c r="T13" s="51">
        <f t="shared" si="10"/>
        <v>2.9077763007581678</v>
      </c>
      <c r="U13" s="61">
        <f t="shared" si="11"/>
        <v>0.125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25.097244157878048</v>
      </c>
      <c r="AA13" s="57">
        <f t="shared" si="5"/>
        <v>15.349495846461364</v>
      </c>
      <c r="AB13" s="57">
        <f t="shared" si="6"/>
        <v>30</v>
      </c>
      <c r="AC13" s="57">
        <f t="shared" si="7"/>
        <v>9.7477483114166841</v>
      </c>
      <c r="AD13" s="59">
        <f t="shared" si="8"/>
        <v>9.74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7.43</v>
      </c>
      <c r="G14" s="457">
        <f t="shared" si="14"/>
        <v>3.83</v>
      </c>
      <c r="H14" s="457"/>
      <c r="I14" s="327"/>
      <c r="J14" s="328">
        <f t="shared" ref="J14:J51" si="15">G14-G13</f>
        <v>1.0500000000000003</v>
      </c>
      <c r="Q14" s="372"/>
      <c r="S14" s="51">
        <f t="shared" si="3"/>
        <v>94</v>
      </c>
      <c r="T14" s="51">
        <f t="shared" si="10"/>
        <v>2.9077763007581678</v>
      </c>
      <c r="U14" s="61">
        <f t="shared" si="11"/>
        <v>0.125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25.493353047094999</v>
      </c>
      <c r="AA14" s="57">
        <f t="shared" si="5"/>
        <v>15.349495846461364</v>
      </c>
      <c r="AB14" s="57">
        <f t="shared" si="6"/>
        <v>35</v>
      </c>
      <c r="AC14" s="57">
        <f t="shared" si="7"/>
        <v>10.143857200633635</v>
      </c>
      <c r="AD14" s="59">
        <f t="shared" si="8"/>
        <v>10.14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8.17</v>
      </c>
      <c r="G15" s="457">
        <f t="shared" si="14"/>
        <v>4.57</v>
      </c>
      <c r="H15" s="457"/>
      <c r="I15" s="327"/>
      <c r="J15" s="328">
        <f t="shared" si="15"/>
        <v>0.74000000000000021</v>
      </c>
      <c r="Q15" s="372"/>
      <c r="S15" s="51">
        <f t="shared" si="3"/>
        <v>94</v>
      </c>
      <c r="T15" s="51">
        <f t="shared" si="10"/>
        <v>2.9077763007581678</v>
      </c>
      <c r="U15" s="61">
        <f t="shared" si="11"/>
        <v>0.125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25.836478174193783</v>
      </c>
      <c r="AA15" s="57">
        <f t="shared" si="5"/>
        <v>15.349495846461364</v>
      </c>
      <c r="AB15" s="57">
        <f t="shared" si="6"/>
        <v>40</v>
      </c>
      <c r="AC15" s="57">
        <f t="shared" si="7"/>
        <v>10.486982327732418</v>
      </c>
      <c r="AD15" s="59">
        <f t="shared" si="8"/>
        <v>10.48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8.74</v>
      </c>
      <c r="G16" s="457">
        <f t="shared" si="14"/>
        <v>5.14</v>
      </c>
      <c r="H16" s="457"/>
      <c r="I16" s="327"/>
      <c r="J16" s="328">
        <f t="shared" si="15"/>
        <v>0.5699999999999994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2.9077763007581678</v>
      </c>
      <c r="U16" s="61">
        <f t="shared" si="11"/>
        <v>0.125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26.139135985853979</v>
      </c>
      <c r="AA16" s="57">
        <f t="shared" si="5"/>
        <v>15.349495846461364</v>
      </c>
      <c r="AB16" s="57">
        <f t="shared" si="6"/>
        <v>45</v>
      </c>
      <c r="AC16" s="57">
        <f t="shared" si="7"/>
        <v>10.789640139392615</v>
      </c>
      <c r="AD16" s="59">
        <f t="shared" si="8"/>
        <v>10.78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10.52</v>
      </c>
      <c r="G17" s="457">
        <f t="shared" si="14"/>
        <v>6.92</v>
      </c>
      <c r="H17" s="457"/>
      <c r="I17" s="327"/>
      <c r="J17" s="328">
        <f t="shared" si="15"/>
        <v>1.7800000000000002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4.9079999999999999E-2</v>
      </c>
      <c r="O17" s="374">
        <f>INT(M17/N17*100)/100</f>
        <v>1.32</v>
      </c>
      <c r="P17" s="375">
        <f>INT((G12-O17)*100)/100</f>
        <v>0.13</v>
      </c>
      <c r="S17" s="51">
        <f t="shared" si="3"/>
        <v>94</v>
      </c>
      <c r="T17" s="51">
        <f t="shared" si="10"/>
        <v>2.9077763007581678</v>
      </c>
      <c r="U17" s="61">
        <f t="shared" si="11"/>
        <v>0.125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26.409872624001238</v>
      </c>
      <c r="AA17" s="57">
        <f t="shared" si="5"/>
        <v>15.349495846461364</v>
      </c>
      <c r="AB17" s="57">
        <f t="shared" si="6"/>
        <v>50</v>
      </c>
      <c r="AC17" s="57">
        <f t="shared" si="7"/>
        <v>11.060376777539874</v>
      </c>
      <c r="AD17" s="59">
        <f t="shared" ref="AD17:AD22" si="16">INT(AC17*100)/100</f>
        <v>11.06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11.56</v>
      </c>
      <c r="G18" s="457">
        <f t="shared" si="14"/>
        <v>7.96</v>
      </c>
      <c r="H18" s="457"/>
      <c r="I18" s="327"/>
      <c r="J18" s="328">
        <f t="shared" si="15"/>
        <v>1.04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4.9079999999999999E-2</v>
      </c>
      <c r="O18" s="374">
        <f>INT(M18/N18*100)/100</f>
        <v>2.65</v>
      </c>
      <c r="P18" s="375">
        <f>INT((G13-O18)*100*0.98)/100</f>
        <v>0.12</v>
      </c>
      <c r="S18" s="51">
        <f t="shared" si="3"/>
        <v>94</v>
      </c>
      <c r="T18" s="51">
        <f t="shared" si="10"/>
        <v>2.9077763007581678</v>
      </c>
      <c r="U18" s="61">
        <f t="shared" si="11"/>
        <v>0.125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26.654783703833417</v>
      </c>
      <c r="AA18" s="57">
        <f t="shared" si="5"/>
        <v>15.349495846461364</v>
      </c>
      <c r="AB18" s="57">
        <f t="shared" si="6"/>
        <v>55</v>
      </c>
      <c r="AC18" s="57">
        <f t="shared" si="7"/>
        <v>11.305287857372052</v>
      </c>
      <c r="AD18" s="59">
        <f t="shared" si="16"/>
        <v>11.3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12.299999999999999</v>
      </c>
      <c r="G19" s="457">
        <f t="shared" si="14"/>
        <v>8.6999999999999993</v>
      </c>
      <c r="H19" s="457"/>
      <c r="I19" s="327"/>
      <c r="J19" s="328">
        <f t="shared" si="15"/>
        <v>0.73999999999999932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4.9079999999999999E-2</v>
      </c>
      <c r="O19" s="374">
        <f>INT(M19/N19*100)/100</f>
        <v>3.98</v>
      </c>
      <c r="P19" s="375">
        <f>INT((G14-O19)*100*0.95)/100</f>
        <v>-0.15</v>
      </c>
      <c r="S19" s="51">
        <f t="shared" si="3"/>
        <v>94</v>
      </c>
      <c r="T19" s="51">
        <f t="shared" si="10"/>
        <v>2.9077763007581678</v>
      </c>
      <c r="U19" s="61">
        <f t="shared" si="11"/>
        <v>0.125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26.878370002169707</v>
      </c>
      <c r="AA19" s="57">
        <f t="shared" si="5"/>
        <v>15.349495846461364</v>
      </c>
      <c r="AB19" s="57">
        <f t="shared" si="6"/>
        <v>60</v>
      </c>
      <c r="AC19" s="57">
        <f t="shared" si="7"/>
        <v>11.528874155708342</v>
      </c>
      <c r="AD19" s="59">
        <f t="shared" si="16"/>
        <v>11.52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12.87</v>
      </c>
      <c r="G20" s="457">
        <f t="shared" si="14"/>
        <v>9.27</v>
      </c>
      <c r="H20" s="457"/>
      <c r="I20" s="327"/>
      <c r="J20" s="328">
        <f t="shared" si="15"/>
        <v>0.57000000000000028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4.9079999999999999E-2</v>
      </c>
      <c r="O20" s="374">
        <f>INT(M20/N20*100)/100</f>
        <v>5.31</v>
      </c>
      <c r="P20" s="375">
        <f>INT((G15-O20)*100*0.91)/100</f>
        <v>-0.68</v>
      </c>
      <c r="S20" s="51">
        <f t="shared" si="3"/>
        <v>94</v>
      </c>
      <c r="T20" s="51">
        <f t="shared" si="10"/>
        <v>2.9077763007581678</v>
      </c>
      <c r="U20" s="61">
        <f t="shared" si="11"/>
        <v>0.125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27.451764451977169</v>
      </c>
      <c r="AA20" s="57">
        <f t="shared" si="5"/>
        <v>15.349495846461364</v>
      </c>
      <c r="AB20" s="57">
        <f t="shared" si="6"/>
        <v>75</v>
      </c>
      <c r="AC20" s="57">
        <f t="shared" si="7"/>
        <v>12.102268605515805</v>
      </c>
      <c r="AD20" s="59">
        <f t="shared" si="16"/>
        <v>12.1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13.34</v>
      </c>
      <c r="G21" s="457">
        <f t="shared" si="14"/>
        <v>9.74</v>
      </c>
      <c r="H21" s="457"/>
      <c r="I21" s="327"/>
      <c r="J21" s="328">
        <f t="shared" si="15"/>
        <v>0.47000000000000064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4.9079999999999999E-2</v>
      </c>
      <c r="O21" s="373">
        <f>INT(M21/N21*100)/100</f>
        <v>6.64</v>
      </c>
      <c r="P21" s="375">
        <f>INT((G16-O21)*100*0.86)/100</f>
        <v>-1.29</v>
      </c>
      <c r="S21" s="51">
        <f t="shared" si="3"/>
        <v>94</v>
      </c>
      <c r="T21" s="51">
        <f t="shared" si="10"/>
        <v>2.9077763007581678</v>
      </c>
      <c r="U21" s="61">
        <f t="shared" si="11"/>
        <v>0.125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27.920261830145634</v>
      </c>
      <c r="AA21" s="57">
        <f t="shared" si="5"/>
        <v>15.349495846461364</v>
      </c>
      <c r="AB21" s="57">
        <f t="shared" si="6"/>
        <v>90</v>
      </c>
      <c r="AC21" s="57">
        <f t="shared" si="7"/>
        <v>12.57076598368427</v>
      </c>
      <c r="AD21" s="59">
        <f t="shared" si="16"/>
        <v>12.57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13.74</v>
      </c>
      <c r="G22" s="457">
        <f t="shared" si="14"/>
        <v>10.14</v>
      </c>
      <c r="H22" s="457"/>
      <c r="I22" s="301"/>
      <c r="J22" s="328">
        <f t="shared" si="15"/>
        <v>0.40000000000000036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4.9079999999999999E-2</v>
      </c>
      <c r="O22" s="373">
        <f t="shared" ref="O22:O30" si="21">INT(M22/N22*100)/100</f>
        <v>13.28</v>
      </c>
      <c r="P22" s="375">
        <f>INT((G17-O22)*100*0.8)/100</f>
        <v>-5.09</v>
      </c>
      <c r="S22" s="51">
        <f t="shared" si="3"/>
        <v>94</v>
      </c>
      <c r="T22" s="51">
        <f t="shared" si="10"/>
        <v>2.9077763007581678</v>
      </c>
      <c r="U22" s="61">
        <f t="shared" si="11"/>
        <v>0.125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28.316370719362588</v>
      </c>
      <c r="Z22" s="57">
        <f>Y23-Z23</f>
        <v>15.349495846461364</v>
      </c>
      <c r="AA22" s="57">
        <f t="shared" si="5"/>
        <v>15.349495846461364</v>
      </c>
      <c r="AB22" s="57">
        <f t="shared" si="6"/>
        <v>105</v>
      </c>
      <c r="AC22" s="57">
        <f t="shared" si="7"/>
        <v>12.966874872901224</v>
      </c>
      <c r="AD22" s="59">
        <f t="shared" si="16"/>
        <v>12.96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14.08</v>
      </c>
      <c r="G23" s="457">
        <f t="shared" si="14"/>
        <v>10.48</v>
      </c>
      <c r="H23" s="457"/>
      <c r="I23" s="301"/>
      <c r="J23" s="328">
        <f t="shared" si="15"/>
        <v>0.33999999999999986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4.9079999999999999E-2</v>
      </c>
      <c r="O23" s="373">
        <f t="shared" si="21"/>
        <v>19.920000000000002</v>
      </c>
      <c r="P23" s="375">
        <f t="shared" ref="P23:P32" si="22">INT((G18-O23)*100)/100</f>
        <v>-11.96</v>
      </c>
      <c r="S23" s="51">
        <f t="shared" si="3"/>
        <v>94</v>
      </c>
      <c r="T23" s="51">
        <f t="shared" si="10"/>
        <v>2.9077763007581678</v>
      </c>
      <c r="U23" s="61">
        <f t="shared" si="11"/>
        <v>0.125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28.659495846461365</v>
      </c>
      <c r="Z23" s="57">
        <f>Input!B20</f>
        <v>13.31</v>
      </c>
      <c r="AA23" s="57">
        <f t="shared" si="5"/>
        <v>15.349495846461364</v>
      </c>
      <c r="AB23" s="57">
        <f t="shared" si="6"/>
        <v>120</v>
      </c>
      <c r="AC23" s="57">
        <f t="shared" si="7"/>
        <v>13.31</v>
      </c>
      <c r="AD23" s="59">
        <f>INT((AC$3+AE23)*100)/100</f>
        <v>13.31</v>
      </c>
      <c r="AE23" s="57">
        <f>AG$23*AF23</f>
        <v>13.31</v>
      </c>
      <c r="AF23" s="57">
        <v>1</v>
      </c>
      <c r="AG23" s="57">
        <f>AC23-AC3</f>
        <v>13.31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14.379999999999999</v>
      </c>
      <c r="G24" s="457">
        <f t="shared" si="14"/>
        <v>10.78</v>
      </c>
      <c r="H24" s="457"/>
      <c r="I24" s="301"/>
      <c r="J24" s="328">
        <f t="shared" si="15"/>
        <v>0.29999999999999893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4.9079999999999999E-2</v>
      </c>
      <c r="O24" s="373">
        <f t="shared" si="21"/>
        <v>26.56</v>
      </c>
      <c r="P24" s="375">
        <f t="shared" si="22"/>
        <v>-17.86</v>
      </c>
      <c r="R24" s="55">
        <f>B32</f>
        <v>120</v>
      </c>
      <c r="S24" s="51">
        <f>$R$24</f>
        <v>120</v>
      </c>
      <c r="T24" s="51">
        <f t="shared" si="10"/>
        <v>2.9077763007581678</v>
      </c>
      <c r="U24" s="61">
        <f t="shared" si="11"/>
        <v>0.125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36.84915996106583</v>
      </c>
      <c r="Z24" s="57">
        <f>Z27</f>
        <v>21.120368115854927</v>
      </c>
      <c r="AA24" s="57">
        <f>$Z$24</f>
        <v>21.120368115854927</v>
      </c>
      <c r="AB24" s="57">
        <f t="shared" si="6"/>
        <v>130</v>
      </c>
      <c r="AC24" s="57">
        <f t="shared" si="7"/>
        <v>15.728791845210903</v>
      </c>
      <c r="AD24" s="59">
        <f>INT((AC$23+AE24)*100)/100</f>
        <v>15.96</v>
      </c>
      <c r="AE24" s="57">
        <f>AF24*AG$28</f>
        <v>2.6579999999999986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14.66</v>
      </c>
      <c r="G25" s="457">
        <f t="shared" si="14"/>
        <v>11.06</v>
      </c>
      <c r="H25" s="457"/>
      <c r="I25" s="301"/>
      <c r="J25" s="328">
        <f t="shared" si="15"/>
        <v>0.28000000000000114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4.9079999999999999E-2</v>
      </c>
      <c r="O25" s="373">
        <f t="shared" si="21"/>
        <v>33.21</v>
      </c>
      <c r="P25" s="375">
        <f t="shared" si="22"/>
        <v>-23.94</v>
      </c>
      <c r="S25" s="51">
        <f>$R$24</f>
        <v>120</v>
      </c>
      <c r="T25" s="51">
        <f t="shared" si="10"/>
        <v>2.9077763007581678</v>
      </c>
      <c r="U25" s="61">
        <f t="shared" si="11"/>
        <v>0.125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37.092261364695723</v>
      </c>
      <c r="AA25" s="57">
        <f>$Z$24</f>
        <v>21.120368115854927</v>
      </c>
      <c r="AB25" s="57">
        <f t="shared" si="6"/>
        <v>140</v>
      </c>
      <c r="AC25" s="57">
        <f t="shared" si="7"/>
        <v>15.971893248840797</v>
      </c>
      <c r="AD25" s="59">
        <f>INT((AC$23+AE25)*100)/100</f>
        <v>16.41</v>
      </c>
      <c r="AE25" s="57">
        <f>AF25*AG$28</f>
        <v>3.1009999999999982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14.9</v>
      </c>
      <c r="G26" s="457">
        <f t="shared" si="14"/>
        <v>11.3</v>
      </c>
      <c r="H26" s="457"/>
      <c r="I26" s="301"/>
      <c r="J26" s="328">
        <f t="shared" si="15"/>
        <v>0.24000000000000021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4.9079999999999999E-2</v>
      </c>
      <c r="O26" s="374">
        <f t="shared" si="21"/>
        <v>39.85</v>
      </c>
      <c r="P26" s="375">
        <f t="shared" si="22"/>
        <v>-30.11</v>
      </c>
      <c r="S26" s="51">
        <f>$R$24</f>
        <v>120</v>
      </c>
      <c r="T26" s="51">
        <f t="shared" si="10"/>
        <v>2.9077763007581678</v>
      </c>
      <c r="U26" s="61">
        <f t="shared" si="11"/>
        <v>0.125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37.31858335693893</v>
      </c>
      <c r="AA26" s="57">
        <f>$Z$24</f>
        <v>21.120368115854927</v>
      </c>
      <c r="AB26" s="57">
        <f t="shared" si="6"/>
        <v>150</v>
      </c>
      <c r="AC26" s="57">
        <f t="shared" si="7"/>
        <v>16.198215241084004</v>
      </c>
      <c r="AD26" s="59">
        <f>INT((AC$23+AE26)*100)/100</f>
        <v>16.850000000000001</v>
      </c>
      <c r="AE26" s="57">
        <f>AF26*AG$28</f>
        <v>3.5439999999999987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15.12</v>
      </c>
      <c r="G27" s="457">
        <f t="shared" si="14"/>
        <v>11.52</v>
      </c>
      <c r="H27" s="457"/>
      <c r="I27" s="301"/>
      <c r="J27" s="328">
        <f t="shared" si="15"/>
        <v>0.21999999999999886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4.9079999999999999E-2</v>
      </c>
      <c r="O27" s="374">
        <f t="shared" si="21"/>
        <v>46.49</v>
      </c>
      <c r="P27" s="375">
        <f t="shared" si="22"/>
        <v>-36.35</v>
      </c>
      <c r="S27" s="51">
        <f>$R$24</f>
        <v>120</v>
      </c>
      <c r="T27" s="51">
        <f t="shared" si="10"/>
        <v>2.9077763007581678</v>
      </c>
      <c r="U27" s="61">
        <f t="shared" si="11"/>
        <v>0.125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37.91666511630293</v>
      </c>
      <c r="Z27" s="57">
        <f>Y28-Z28</f>
        <v>21.120368115854927</v>
      </c>
      <c r="AA27" s="57">
        <f>$Z$24</f>
        <v>21.120368115854927</v>
      </c>
      <c r="AB27" s="57">
        <f t="shared" si="6"/>
        <v>180</v>
      </c>
      <c r="AC27" s="57">
        <f t="shared" si="7"/>
        <v>16.796297000448003</v>
      </c>
      <c r="AD27" s="59">
        <f>INT((AC$23+AE27)*100)/100</f>
        <v>17.29</v>
      </c>
      <c r="AE27" s="57">
        <f>AF27*AG$28</f>
        <v>3.9869999999999983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15.7</v>
      </c>
      <c r="G28" s="457">
        <f t="shared" si="14"/>
        <v>12.1</v>
      </c>
      <c r="H28" s="457"/>
      <c r="I28" s="301"/>
      <c r="J28" s="328">
        <f t="shared" si="15"/>
        <v>0.58000000000000007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4.9079999999999999E-2</v>
      </c>
      <c r="O28" s="374">
        <f t="shared" si="21"/>
        <v>53.13</v>
      </c>
      <c r="P28" s="375">
        <f t="shared" si="22"/>
        <v>-42.65</v>
      </c>
      <c r="S28" s="51">
        <f>$R$24</f>
        <v>120</v>
      </c>
      <c r="T28" s="51">
        <f t="shared" si="10"/>
        <v>2.9077763007581678</v>
      </c>
      <c r="U28" s="61">
        <f t="shared" si="11"/>
        <v>0.125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38.860368115854925</v>
      </c>
      <c r="Z28" s="57">
        <f>Input!B21</f>
        <v>17.739999999999998</v>
      </c>
      <c r="AA28" s="57">
        <f>$Z$24</f>
        <v>21.120368115854927</v>
      </c>
      <c r="AB28" s="57">
        <f t="shared" si="6"/>
        <v>240</v>
      </c>
      <c r="AC28" s="57">
        <f t="shared" si="7"/>
        <v>17.739999999999998</v>
      </c>
      <c r="AD28" s="59">
        <f>INT((AC$23+AE28)*100)/100</f>
        <v>17.739999999999998</v>
      </c>
      <c r="AE28" s="57">
        <f>AF28*AG$28</f>
        <v>4.4299999999999979</v>
      </c>
      <c r="AF28" s="57">
        <v>1</v>
      </c>
      <c r="AG28" s="57">
        <f>AC28-AC23</f>
        <v>4.4299999999999979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16.170000000000002</v>
      </c>
      <c r="G29" s="457">
        <f t="shared" si="14"/>
        <v>12.57</v>
      </c>
      <c r="H29" s="457"/>
      <c r="I29" s="301"/>
      <c r="J29" s="328">
        <f t="shared" si="15"/>
        <v>0.47000000000000064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4.9079999999999999E-2</v>
      </c>
      <c r="O29" s="374">
        <f t="shared" si="21"/>
        <v>59.77</v>
      </c>
      <c r="P29" s="375">
        <f t="shared" si="22"/>
        <v>-48.99</v>
      </c>
      <c r="R29" s="55">
        <f>B37</f>
        <v>146.19999999999999</v>
      </c>
      <c r="S29" s="51">
        <f>$R$29</f>
        <v>146.19999999999999</v>
      </c>
      <c r="T29" s="51">
        <f t="shared" si="10"/>
        <v>2.9077763007581678</v>
      </c>
      <c r="U29" s="61">
        <f t="shared" si="11"/>
        <v>0.125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47.508030245337352</v>
      </c>
      <c r="Z29" s="57">
        <f>Z32</f>
        <v>26.225356132320979</v>
      </c>
      <c r="AA29" s="57">
        <f>$Z$29</f>
        <v>26.225356132320979</v>
      </c>
      <c r="AB29" s="57">
        <f t="shared" si="6"/>
        <v>250</v>
      </c>
      <c r="AC29" s="57">
        <f t="shared" si="7"/>
        <v>21.282674113016373</v>
      </c>
      <c r="AD29" s="59">
        <f>INT((AC$28+AE29)*100)/100</f>
        <v>20.74</v>
      </c>
      <c r="AE29" s="57">
        <f>AF29*AG$33</f>
        <v>3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16.560000000000002</v>
      </c>
      <c r="G30" s="457">
        <f t="shared" si="14"/>
        <v>12.96</v>
      </c>
      <c r="H30" s="457"/>
      <c r="I30" s="301"/>
      <c r="J30" s="328">
        <f t="shared" si="15"/>
        <v>0.39000000000000057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4.9079999999999999E-2</v>
      </c>
      <c r="O30" s="374">
        <f t="shared" si="21"/>
        <v>66.42</v>
      </c>
      <c r="P30" s="375">
        <f t="shared" si="22"/>
        <v>-55.36</v>
      </c>
      <c r="R30" s="51" t="s">
        <v>21</v>
      </c>
      <c r="S30" s="51">
        <f>$R$29</f>
        <v>146.19999999999999</v>
      </c>
      <c r="T30" s="51">
        <f t="shared" si="10"/>
        <v>2.9077763007581678</v>
      </c>
      <c r="U30" s="61">
        <f t="shared" si="11"/>
        <v>0.125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47.664779018190444</v>
      </c>
      <c r="AA30" s="57">
        <f>$Z$29</f>
        <v>26.225356132320979</v>
      </c>
      <c r="AB30" s="57">
        <f t="shared" si="6"/>
        <v>260</v>
      </c>
      <c r="AC30" s="57">
        <f t="shared" si="7"/>
        <v>21.439422885869465</v>
      </c>
      <c r="AD30" s="59">
        <f>INT((AC$28+AE30)*100)/100</f>
        <v>21.24</v>
      </c>
      <c r="AE30" s="57">
        <f>AF30*AG$33</f>
        <v>3.5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16.91</v>
      </c>
      <c r="G31" s="457">
        <f t="shared" si="14"/>
        <v>13.31</v>
      </c>
      <c r="H31" s="457"/>
      <c r="I31" s="301"/>
      <c r="J31" s="328">
        <f t="shared" si="15"/>
        <v>0.34999999999999964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4.9079999999999999E-2</v>
      </c>
      <c r="O31" s="374">
        <f>INT(M31/N31*100)/100</f>
        <v>73.06</v>
      </c>
      <c r="P31" s="375">
        <f t="shared" si="22"/>
        <v>-61.76</v>
      </c>
      <c r="S31" s="51">
        <f>$R$29</f>
        <v>146.19999999999999</v>
      </c>
      <c r="T31" s="51">
        <f t="shared" si="10"/>
        <v>2.9077763007581678</v>
      </c>
      <c r="U31" s="61">
        <f t="shared" si="11"/>
        <v>0.125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47.815611311200129</v>
      </c>
      <c r="AA31" s="57">
        <f>$Z$29</f>
        <v>26.225356132320979</v>
      </c>
      <c r="AB31" s="57">
        <f t="shared" si="6"/>
        <v>270</v>
      </c>
      <c r="AC31" s="57">
        <f t="shared" si="7"/>
        <v>21.590255178879151</v>
      </c>
      <c r="AD31" s="59">
        <f>INT((AC$28+AE31)*100)/100</f>
        <v>21.74</v>
      </c>
      <c r="AE31" s="57">
        <f>AF31*AG$33</f>
        <v>4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44992.569444444445</v>
      </c>
      <c r="D32" s="456">
        <v>130</v>
      </c>
      <c r="E32" s="456"/>
      <c r="F32" s="326">
        <f t="shared" si="13"/>
        <v>19.560000000000002</v>
      </c>
      <c r="G32" s="457">
        <f t="shared" si="14"/>
        <v>15.96</v>
      </c>
      <c r="H32" s="457"/>
      <c r="I32" s="301"/>
      <c r="J32" s="328">
        <f t="shared" si="15"/>
        <v>2.6500000000000004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4.9079999999999999E-2</v>
      </c>
      <c r="O32" s="374">
        <f>INT(M32/N32*100)/100</f>
        <v>79.7</v>
      </c>
      <c r="P32" s="375">
        <f t="shared" si="22"/>
        <v>-68.180000000000007</v>
      </c>
      <c r="S32" s="51">
        <f>$R$29</f>
        <v>146.19999999999999</v>
      </c>
      <c r="T32" s="51">
        <f t="shared" si="10"/>
        <v>2.9077763007581678</v>
      </c>
      <c r="U32" s="61">
        <f t="shared" si="11"/>
        <v>0.125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48.236693188829172</v>
      </c>
      <c r="Z32" s="57">
        <f>Y33-Z33</f>
        <v>26.225356132320979</v>
      </c>
      <c r="AA32" s="57">
        <f>$Z$29</f>
        <v>26.225356132320979</v>
      </c>
      <c r="AB32" s="57">
        <f t="shared" si="6"/>
        <v>300</v>
      </c>
      <c r="AC32" s="57">
        <f t="shared" si="7"/>
        <v>22.011337056508193</v>
      </c>
      <c r="AD32" s="59">
        <f>INT((AC$28+AE32)*100)/100</f>
        <v>22.24</v>
      </c>
      <c r="AE32" s="57">
        <f>AF32*AG$33</f>
        <v>4.5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20.010000000000002</v>
      </c>
      <c r="G33" s="457">
        <f t="shared" si="14"/>
        <v>16.41</v>
      </c>
      <c r="H33" s="457"/>
      <c r="I33" s="301"/>
      <c r="J33" s="328">
        <f t="shared" si="15"/>
        <v>0.44999999999999929</v>
      </c>
      <c r="L33" s="66" t="s">
        <v>21</v>
      </c>
      <c r="P33" s="58"/>
      <c r="S33" s="51">
        <f>$R$29</f>
        <v>146.19999999999999</v>
      </c>
      <c r="T33" s="51">
        <f t="shared" si="10"/>
        <v>2.9077763007581678</v>
      </c>
      <c r="U33" s="61">
        <f t="shared" si="11"/>
        <v>0.125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48.965356132320977</v>
      </c>
      <c r="Z33" s="57">
        <f>Input!B22</f>
        <v>22.74</v>
      </c>
      <c r="AA33" s="57">
        <f>$Z$29</f>
        <v>26.225356132320979</v>
      </c>
      <c r="AB33" s="57">
        <f t="shared" si="6"/>
        <v>360</v>
      </c>
      <c r="AC33" s="57">
        <f t="shared" si="7"/>
        <v>22.74</v>
      </c>
      <c r="AD33" s="59">
        <f>INT((AC$28+AE33)*100)/100</f>
        <v>22.74</v>
      </c>
      <c r="AE33" s="57">
        <f>AF33*AG$33</f>
        <v>5</v>
      </c>
      <c r="AF33" s="57">
        <v>1</v>
      </c>
      <c r="AG33" s="57">
        <f>AC33-AC28</f>
        <v>5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20.450000000000003</v>
      </c>
      <c r="G34" s="457">
        <f t="shared" si="14"/>
        <v>16.850000000000001</v>
      </c>
      <c r="H34" s="457"/>
      <c r="I34" s="301"/>
      <c r="J34" s="328">
        <f t="shared" si="15"/>
        <v>0.44000000000000128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2.9077763007581678</v>
      </c>
      <c r="U34" s="61">
        <f t="shared" si="11"/>
        <v>0.125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57.735127485951779</v>
      </c>
      <c r="Z34" s="57">
        <f>Z37</f>
        <v>30.658942298166853</v>
      </c>
      <c r="AA34" s="57">
        <f>$Z$34</f>
        <v>30.658942298166853</v>
      </c>
      <c r="AB34" s="57">
        <f t="shared" si="6"/>
        <v>370</v>
      </c>
      <c r="AC34" s="57">
        <f t="shared" si="7"/>
        <v>27.076185187784926</v>
      </c>
      <c r="AD34" s="59">
        <f>INT((AC$33+AE34)*100)/100</f>
        <v>26.07</v>
      </c>
      <c r="AE34" s="57">
        <f>AG$38*AF34</f>
        <v>3.3360000000000012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20.89</v>
      </c>
      <c r="G35" s="457">
        <f t="shared" si="14"/>
        <v>17.29</v>
      </c>
      <c r="H35" s="457"/>
      <c r="I35" s="301"/>
      <c r="J35" s="328">
        <f t="shared" si="15"/>
        <v>0.43999999999999773</v>
      </c>
      <c r="L35" s="66" t="s">
        <v>21</v>
      </c>
      <c r="S35" s="51">
        <f>$R$34</f>
        <v>172</v>
      </c>
      <c r="T35" s="51">
        <f t="shared" si="10"/>
        <v>2.9077763007581678</v>
      </c>
      <c r="U35" s="61">
        <f t="shared" si="11"/>
        <v>0.125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57.860517862863226</v>
      </c>
      <c r="AA35" s="57">
        <f>$Z$34</f>
        <v>30.658942298166853</v>
      </c>
      <c r="AB35" s="57">
        <f t="shared" si="6"/>
        <v>380</v>
      </c>
      <c r="AC35" s="57">
        <f t="shared" si="7"/>
        <v>27.201575564696373</v>
      </c>
      <c r="AD35" s="59">
        <f>INT((AC$33+AE35)*100)/100</f>
        <v>26.63</v>
      </c>
      <c r="AE35" s="57">
        <f>AG$38*AF35</f>
        <v>3.8920000000000012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21.34</v>
      </c>
      <c r="G36" s="457">
        <f t="shared" si="14"/>
        <v>17.739999999999998</v>
      </c>
      <c r="H36" s="457"/>
      <c r="I36" s="301"/>
      <c r="J36" s="328">
        <f t="shared" si="15"/>
        <v>0.44999999999999929</v>
      </c>
      <c r="L36" s="66" t="s">
        <v>21</v>
      </c>
      <c r="S36" s="51">
        <f>$R$34</f>
        <v>172</v>
      </c>
      <c r="T36" s="51">
        <f t="shared" si="10"/>
        <v>2.9077763007581678</v>
      </c>
      <c r="U36" s="61">
        <f t="shared" si="11"/>
        <v>0.125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57.982650975719437</v>
      </c>
      <c r="AA36" s="57">
        <f>$Z$34</f>
        <v>30.658942298166853</v>
      </c>
      <c r="AB36" s="57">
        <f t="shared" si="6"/>
        <v>390</v>
      </c>
      <c r="AC36" s="57">
        <f t="shared" si="7"/>
        <v>27.323708677552585</v>
      </c>
      <c r="AD36" s="59">
        <f>INT((AC$33+AE36)*100)/100</f>
        <v>27.18</v>
      </c>
      <c r="AE36" s="57">
        <f>AG$38*AF36</f>
        <v>4.4480000000000022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44992.652777777774</v>
      </c>
      <c r="D37" s="456">
        <v>250</v>
      </c>
      <c r="E37" s="456"/>
      <c r="F37" s="326">
        <f t="shared" si="13"/>
        <v>24.34</v>
      </c>
      <c r="G37" s="457">
        <f t="shared" si="14"/>
        <v>20.74</v>
      </c>
      <c r="H37" s="457"/>
      <c r="I37" s="301"/>
      <c r="J37" s="328">
        <f t="shared" si="15"/>
        <v>3</v>
      </c>
      <c r="L37" s="66" t="s">
        <v>21</v>
      </c>
      <c r="S37" s="51">
        <f>$R$34</f>
        <v>172</v>
      </c>
      <c r="T37" s="51">
        <f t="shared" si="10"/>
        <v>2.9077763007581678</v>
      </c>
      <c r="U37" s="61">
        <f t="shared" si="11"/>
        <v>0.125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58.331096320922271</v>
      </c>
      <c r="Z37" s="57">
        <f>Y38-Z38</f>
        <v>30.658942298166853</v>
      </c>
      <c r="AA37" s="57">
        <f>$Z$34</f>
        <v>30.658942298166853</v>
      </c>
      <c r="AB37" s="57">
        <f t="shared" si="6"/>
        <v>420</v>
      </c>
      <c r="AC37" s="57">
        <f t="shared" si="7"/>
        <v>27.672154022755418</v>
      </c>
      <c r="AD37" s="59">
        <f>INT((AC$33+AE37)*100)/100</f>
        <v>27.74</v>
      </c>
      <c r="AE37" s="57">
        <f>AG$38*AF37</f>
        <v>5.0040000000000022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24.84</v>
      </c>
      <c r="G38" s="457">
        <f t="shared" si="14"/>
        <v>21.24</v>
      </c>
      <c r="H38" s="457"/>
      <c r="I38" s="301"/>
      <c r="J38" s="328">
        <f t="shared" si="15"/>
        <v>0.5</v>
      </c>
      <c r="L38" s="66" t="s">
        <v>21</v>
      </c>
      <c r="S38" s="51">
        <f>$R$34</f>
        <v>172</v>
      </c>
      <c r="T38" s="51">
        <f t="shared" si="10"/>
        <v>2.9077763007581678</v>
      </c>
      <c r="U38" s="61">
        <f t="shared" si="11"/>
        <v>0.125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58.958942298166853</v>
      </c>
      <c r="Z38" s="57">
        <f>Input!B23</f>
        <v>28.3</v>
      </c>
      <c r="AA38" s="57">
        <f>$Z$34</f>
        <v>30.658942298166853</v>
      </c>
      <c r="AB38" s="57">
        <f t="shared" si="6"/>
        <v>480</v>
      </c>
      <c r="AC38" s="57">
        <f t="shared" si="7"/>
        <v>28.3</v>
      </c>
      <c r="AD38" s="59">
        <f>INT((AC$33+AE38)*100)/100</f>
        <v>28.3</v>
      </c>
      <c r="AE38" s="57">
        <f>AG$38*AF38</f>
        <v>5.5600000000000023</v>
      </c>
      <c r="AF38" s="57">
        <v>1</v>
      </c>
      <c r="AG38" s="57">
        <f>AC38-AC33</f>
        <v>5.5600000000000023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25.34</v>
      </c>
      <c r="G39" s="457">
        <f t="shared" si="14"/>
        <v>21.74</v>
      </c>
      <c r="H39" s="457"/>
      <c r="I39" s="301"/>
      <c r="J39" s="328">
        <f t="shared" si="15"/>
        <v>0.5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2.9077763007581678</v>
      </c>
      <c r="U39" s="61">
        <f t="shared" si="11"/>
        <v>0.125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67.914275006157538</v>
      </c>
      <c r="Z39" s="57">
        <f>Z42</f>
        <v>32.219351963869691</v>
      </c>
      <c r="AA39" s="57">
        <f>$Z$39</f>
        <v>32.219351963869691</v>
      </c>
      <c r="AB39" s="57">
        <f t="shared" si="6"/>
        <v>490</v>
      </c>
      <c r="AC39" s="57">
        <f t="shared" si="7"/>
        <v>35.694923042287847</v>
      </c>
      <c r="AD39" s="59">
        <f>INT((AC$38+AE39)*100)/100</f>
        <v>31.69</v>
      </c>
      <c r="AE39" s="57">
        <f>AG$43*AF39</f>
        <v>3.3959999999999995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25.84</v>
      </c>
      <c r="G40" s="457">
        <f t="shared" si="14"/>
        <v>22.24</v>
      </c>
      <c r="H40" s="457"/>
      <c r="I40" s="301"/>
      <c r="J40" s="328">
        <f t="shared" si="15"/>
        <v>0.5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2.9077763007581678</v>
      </c>
      <c r="U40" s="61">
        <f t="shared" si="11"/>
        <v>0.125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68.023513863851363</v>
      </c>
      <c r="AA40" s="57">
        <f>$Z$39</f>
        <v>32.219351963869691</v>
      </c>
      <c r="AB40" s="57">
        <f t="shared" si="6"/>
        <v>500</v>
      </c>
      <c r="AC40" s="57">
        <f t="shared" si="7"/>
        <v>35.804161899981672</v>
      </c>
      <c r="AD40" s="59">
        <f>INT((AC$38+AE40)*100)/100</f>
        <v>32.96</v>
      </c>
      <c r="AE40" s="57">
        <f>AG$43*AF40</f>
        <v>4.6694999999999993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26.34</v>
      </c>
      <c r="G41" s="457">
        <f t="shared" si="14"/>
        <v>22.74</v>
      </c>
      <c r="H41" s="457"/>
      <c r="I41" s="301"/>
      <c r="J41" s="328">
        <f t="shared" si="15"/>
        <v>0.5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2.9077763007581678</v>
      </c>
      <c r="U41" s="61">
        <f t="shared" si="11"/>
        <v>0.125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68.130589433039816</v>
      </c>
      <c r="AA41" s="57">
        <f>$Z$39</f>
        <v>32.219351963869691</v>
      </c>
      <c r="AB41" s="57">
        <f t="shared" si="6"/>
        <v>510</v>
      </c>
      <c r="AC41" s="57">
        <f t="shared" si="7"/>
        <v>35.911237469170125</v>
      </c>
      <c r="AD41" s="59">
        <f>INT((AC$38+AE41)*100)/100</f>
        <v>34.24</v>
      </c>
      <c r="AE41" s="57">
        <f>AG$43*AF41</f>
        <v>5.9429999999999987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44992.736111111109</v>
      </c>
      <c r="D42" s="456">
        <v>370</v>
      </c>
      <c r="E42" s="456"/>
      <c r="F42" s="326">
        <f t="shared" si="13"/>
        <v>29.67</v>
      </c>
      <c r="G42" s="457">
        <f t="shared" si="14"/>
        <v>26.07</v>
      </c>
      <c r="H42" s="457"/>
      <c r="I42" s="301"/>
      <c r="J42" s="328">
        <f t="shared" si="15"/>
        <v>3.3300000000000018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2.9077763007581678</v>
      </c>
      <c r="U42" s="61">
        <f t="shared" si="11"/>
        <v>0.125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68.439652952959833</v>
      </c>
      <c r="Z42" s="57">
        <f>Y43-Z43</f>
        <v>32.219351963869691</v>
      </c>
      <c r="AA42" s="57">
        <f>$Z$39</f>
        <v>32.219351963869691</v>
      </c>
      <c r="AB42" s="57">
        <f t="shared" si="6"/>
        <v>540</v>
      </c>
      <c r="AC42" s="57">
        <f t="shared" si="7"/>
        <v>36.220300989090141</v>
      </c>
      <c r="AD42" s="59">
        <f>INT((AC$38+AE42)*100)/100</f>
        <v>35.51</v>
      </c>
      <c r="AE42" s="57">
        <f>AG$43*AF42</f>
        <v>7.2164999999999981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30.23</v>
      </c>
      <c r="G43" s="457">
        <f t="shared" si="14"/>
        <v>26.63</v>
      </c>
      <c r="H43" s="457"/>
      <c r="I43" s="301"/>
      <c r="J43" s="328">
        <f t="shared" si="15"/>
        <v>0.55999999999999872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2.9077763007581678</v>
      </c>
      <c r="U43" s="61">
        <f t="shared" si="11"/>
        <v>0.125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69.00935196386969</v>
      </c>
      <c r="Z43" s="57">
        <f>Input!B24</f>
        <v>36.79</v>
      </c>
      <c r="AA43" s="57">
        <f>$Z$39</f>
        <v>32.219351963869691</v>
      </c>
      <c r="AB43" s="57">
        <f t="shared" si="6"/>
        <v>600</v>
      </c>
      <c r="AC43" s="57">
        <f t="shared" si="7"/>
        <v>36.79</v>
      </c>
      <c r="AD43" s="59">
        <f>INT((AC$38+AE43)*100)/100</f>
        <v>36.79</v>
      </c>
      <c r="AE43" s="57">
        <f>AG$43*AF43</f>
        <v>8.4899999999999984</v>
      </c>
      <c r="AF43" s="57">
        <v>1</v>
      </c>
      <c r="AG43" s="57">
        <f>AC43-AC38</f>
        <v>8.4899999999999984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30.78</v>
      </c>
      <c r="G44" s="457">
        <f t="shared" si="14"/>
        <v>27.18</v>
      </c>
      <c r="H44" s="457"/>
      <c r="I44" s="301"/>
      <c r="J44" s="328">
        <f t="shared" si="15"/>
        <v>0.55000000000000071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31.34</v>
      </c>
      <c r="G45" s="457">
        <f t="shared" si="14"/>
        <v>27.74</v>
      </c>
      <c r="H45" s="457"/>
      <c r="I45" s="301"/>
      <c r="J45" s="328">
        <f t="shared" si="15"/>
        <v>0.55999999999999872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31.900000000000002</v>
      </c>
      <c r="G46" s="457">
        <f t="shared" si="14"/>
        <v>28.3</v>
      </c>
      <c r="H46" s="457"/>
      <c r="I46" s="301"/>
      <c r="J46" s="328">
        <f t="shared" si="15"/>
        <v>0.56000000000000227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44992.819444444445</v>
      </c>
      <c r="D47" s="456">
        <v>490</v>
      </c>
      <c r="E47" s="456"/>
      <c r="F47" s="326">
        <f t="shared" si="13"/>
        <v>35.29</v>
      </c>
      <c r="G47" s="457">
        <f t="shared" si="14"/>
        <v>31.69</v>
      </c>
      <c r="H47" s="457"/>
      <c r="I47" s="301"/>
      <c r="J47" s="328">
        <f t="shared" si="15"/>
        <v>3.3900000000000006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36.56</v>
      </c>
      <c r="G48" s="457">
        <f t="shared" si="14"/>
        <v>32.96</v>
      </c>
      <c r="H48" s="457"/>
      <c r="I48" s="301"/>
      <c r="J48" s="328">
        <f t="shared" si="15"/>
        <v>1.2699999999999996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37.840000000000003</v>
      </c>
      <c r="G49" s="457">
        <f t="shared" si="14"/>
        <v>34.24</v>
      </c>
      <c r="H49" s="457"/>
      <c r="I49" s="301"/>
      <c r="J49" s="328">
        <f t="shared" si="15"/>
        <v>1.2800000000000011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39.11</v>
      </c>
      <c r="G50" s="457">
        <f t="shared" si="14"/>
        <v>35.51</v>
      </c>
      <c r="H50" s="457"/>
      <c r="I50" s="301"/>
      <c r="J50" s="328">
        <f t="shared" si="15"/>
        <v>1.269999999999996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40.39</v>
      </c>
      <c r="G51" s="457">
        <f t="shared" si="14"/>
        <v>36.79</v>
      </c>
      <c r="H51" s="457"/>
      <c r="I51" s="301" t="s">
        <v>180</v>
      </c>
      <c r="J51" s="328">
        <f t="shared" si="15"/>
        <v>1.2800000000000011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T32" sqref="T32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-5.6147837614204725</v>
      </c>
      <c r="N1" s="470" t="s">
        <v>183</v>
      </c>
      <c r="O1" s="470"/>
      <c r="P1" s="69">
        <f>StepTest!G41</f>
        <v>22.74</v>
      </c>
      <c r="Q1" s="70" t="s">
        <v>184</v>
      </c>
      <c r="R1" s="71">
        <f>G35</f>
        <v>28.354783761420471</v>
      </c>
      <c r="S1" s="72">
        <f>D7/2000</f>
        <v>0.125</v>
      </c>
      <c r="T1" s="73">
        <v>1.8614671186269023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농업용 대형관정 사후관리 및 연장허가 용역 (외산,내산지구)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35.4</v>
      </c>
      <c r="T2" s="51">
        <v>44</v>
      </c>
      <c r="U2" s="55">
        <f>B10</f>
        <v>150</v>
      </c>
      <c r="V2" s="55">
        <f>U2</f>
        <v>150</v>
      </c>
      <c r="W2" s="51">
        <f>T1</f>
        <v>1.8614671186269023</v>
      </c>
      <c r="X2" s="51">
        <f>StepTest!U4</f>
        <v>0.125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26.377201713931225</v>
      </c>
      <c r="AC2" s="57">
        <f>1.6*V2/(4*PI()*W2)*LOG10((2.25*W2*Z2)/(X2*X2*Y2))</f>
        <v>26.377201713931225</v>
      </c>
      <c r="AD2" s="74">
        <v>0</v>
      </c>
      <c r="AE2" s="56">
        <f>AA2</f>
        <v>1</v>
      </c>
      <c r="AF2" s="57">
        <f t="shared" ref="AF2:AF14" si="1">AC2-$P$3-O3</f>
        <v>2.7078799527896127</v>
      </c>
      <c r="AG2" s="57">
        <f>AC2</f>
        <v>26.377201713931225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외산지구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0.57999999999999996</v>
      </c>
      <c r="N3" s="78"/>
      <c r="O3" s="290">
        <v>-0.58067818607422184</v>
      </c>
      <c r="P3" s="292">
        <v>24.249999947215834</v>
      </c>
      <c r="V3" s="55">
        <f>V2</f>
        <v>150</v>
      </c>
      <c r="W3" s="51">
        <f>W$2</f>
        <v>1.8614671186269023</v>
      </c>
      <c r="X3" s="51">
        <f>X2</f>
        <v>0.125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29.46575985279506</v>
      </c>
      <c r="AC3" s="57">
        <f t="shared" ref="AC3:AC34" si="5">1.6*V3/(4*PI()*W3)*LOG10((2.25*W3*Z3)/(X3*X3*Y3))</f>
        <v>29.46575985279506</v>
      </c>
      <c r="AD3" s="57">
        <f>AB69</f>
        <v>56.049999947215831</v>
      </c>
      <c r="AE3" s="56">
        <f t="shared" ref="AE3:AE66" si="6">AA3</f>
        <v>2</v>
      </c>
      <c r="AF3" s="57">
        <f t="shared" si="1"/>
        <v>5.2157599055792261</v>
      </c>
      <c r="AG3" s="57">
        <f t="shared" ref="AG3:AG16" si="7">AC3</f>
        <v>29.46575985279506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외산면 반교리 574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0.97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1.8614671186269023</v>
      </c>
      <c r="X4" s="51">
        <f t="shared" ref="X4:X67" si="10">X3</f>
        <v>0.125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31.27245054532753</v>
      </c>
      <c r="AC4" s="57">
        <f>1.6*V4/(4*PI()*W4)*LOG10((2.25*W4*Z4)/(X4*X4*Y4))</f>
        <v>31.27245054532753</v>
      </c>
      <c r="AD4" s="57">
        <f>AC69</f>
        <v>56.049999947215831</v>
      </c>
      <c r="AE4" s="56">
        <f t="shared" si="6"/>
        <v>3</v>
      </c>
      <c r="AF4" s="57">
        <f t="shared" si="1"/>
        <v>7.0224505981116963</v>
      </c>
      <c r="AG4" s="57">
        <f t="shared" si="7"/>
        <v>31.27245054532753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0.66</v>
      </c>
      <c r="N5" s="78"/>
      <c r="O5" s="291"/>
      <c r="P5" s="291"/>
      <c r="V5" s="55">
        <f t="shared" si="8"/>
        <v>150</v>
      </c>
      <c r="W5" s="51">
        <f t="shared" si="9"/>
        <v>1.8614671186269023</v>
      </c>
      <c r="X5" s="51">
        <f t="shared" si="10"/>
        <v>0.125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32.554317991658898</v>
      </c>
      <c r="AC5" s="57">
        <f t="shared" si="5"/>
        <v>32.554317991658898</v>
      </c>
      <c r="AD5" s="57">
        <f>AF69</f>
        <v>31.799999999999997</v>
      </c>
      <c r="AE5" s="56">
        <f t="shared" si="6"/>
        <v>4</v>
      </c>
      <c r="AF5" s="57">
        <f t="shared" si="1"/>
        <v>8.3043180444430647</v>
      </c>
      <c r="AG5" s="57">
        <f t="shared" si="7"/>
        <v>32.554317991658898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3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-0.18</v>
      </c>
      <c r="N6" s="78"/>
      <c r="O6" s="291"/>
      <c r="P6" s="291"/>
      <c r="V6" s="55">
        <f t="shared" si="8"/>
        <v>150</v>
      </c>
      <c r="W6" s="51">
        <f t="shared" si="9"/>
        <v>1.8614671186269023</v>
      </c>
      <c r="X6" s="51">
        <f t="shared" si="10"/>
        <v>0.125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33.548611629252186</v>
      </c>
      <c r="AC6" s="57">
        <f t="shared" si="5"/>
        <v>33.548611629252186</v>
      </c>
      <c r="AE6" s="56">
        <f t="shared" si="6"/>
        <v>5</v>
      </c>
      <c r="AF6" s="57">
        <f t="shared" si="1"/>
        <v>9.298611682036352</v>
      </c>
      <c r="AG6" s="57">
        <f t="shared" si="7"/>
        <v>33.548611629252186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250</v>
      </c>
      <c r="E7" s="133"/>
      <c r="F7" s="134" t="s">
        <v>168</v>
      </c>
      <c r="G7" s="135">
        <f>StepTest!G9</f>
        <v>210</v>
      </c>
      <c r="H7" s="122"/>
      <c r="I7" s="122"/>
      <c r="J7" s="123"/>
      <c r="M7" s="58">
        <f t="shared" si="2"/>
        <v>-1.31</v>
      </c>
      <c r="N7" s="78"/>
      <c r="O7" s="291"/>
      <c r="P7" s="291"/>
      <c r="V7" s="55">
        <f t="shared" si="8"/>
        <v>150</v>
      </c>
      <c r="W7" s="51">
        <f t="shared" si="9"/>
        <v>1.8614671186269023</v>
      </c>
      <c r="X7" s="51">
        <f t="shared" si="10"/>
        <v>0.125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36.637169768116024</v>
      </c>
      <c r="AC7" s="57">
        <f t="shared" si="5"/>
        <v>36.637169768116024</v>
      </c>
      <c r="AE7" s="56">
        <f t="shared" si="6"/>
        <v>10</v>
      </c>
      <c r="AF7" s="57">
        <f t="shared" si="1"/>
        <v>12.387169820900191</v>
      </c>
      <c r="AG7" s="57">
        <f t="shared" si="7"/>
        <v>36.637169768116024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3.6</v>
      </c>
      <c r="E8" s="133"/>
      <c r="F8" s="134" t="s">
        <v>189</v>
      </c>
      <c r="G8" s="138">
        <f>F77</f>
        <v>35.4</v>
      </c>
      <c r="H8" s="130">
        <f>Input!C40</f>
        <v>150</v>
      </c>
      <c r="I8" s="130"/>
      <c r="J8" s="120"/>
      <c r="K8" s="330">
        <f>Input!M50</f>
        <v>31.799999999999997</v>
      </c>
      <c r="L8" s="371">
        <f>G10-K11</f>
        <v>0.19999999999999929</v>
      </c>
      <c r="M8" s="58">
        <f t="shared" si="2"/>
        <v>-8.83</v>
      </c>
      <c r="N8" s="78"/>
      <c r="O8" s="291"/>
      <c r="P8" s="291"/>
      <c r="V8" s="55">
        <f t="shared" si="8"/>
        <v>150</v>
      </c>
      <c r="W8" s="51">
        <f t="shared" si="9"/>
        <v>1.8614671186269023</v>
      </c>
      <c r="X8" s="51">
        <f t="shared" si="10"/>
        <v>0.125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38.443860460648494</v>
      </c>
      <c r="AC8" s="57">
        <f t="shared" si="5"/>
        <v>38.443860460648494</v>
      </c>
      <c r="AE8" s="56">
        <f t="shared" si="6"/>
        <v>15</v>
      </c>
      <c r="AF8" s="57">
        <f t="shared" si="1"/>
        <v>14.193860513432661</v>
      </c>
      <c r="AG8" s="57">
        <f t="shared" si="7"/>
        <v>38.443860460648494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31.799999999999997</v>
      </c>
      <c r="M9" s="58">
        <f t="shared" si="2"/>
        <v>-17.62</v>
      </c>
      <c r="N9" s="78"/>
      <c r="O9" s="291"/>
      <c r="P9" s="291"/>
      <c r="V9" s="55">
        <f t="shared" si="8"/>
        <v>150</v>
      </c>
      <c r="W9" s="51">
        <f t="shared" si="9"/>
        <v>1.8614671186269023</v>
      </c>
      <c r="X9" s="51">
        <f t="shared" si="10"/>
        <v>0.125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39.725727906979856</v>
      </c>
      <c r="AC9" s="57">
        <f t="shared" si="5"/>
        <v>39.725727906979856</v>
      </c>
      <c r="AE9" s="56">
        <f t="shared" si="6"/>
        <v>20</v>
      </c>
      <c r="AF9" s="57">
        <f t="shared" si="1"/>
        <v>15.475727959764022</v>
      </c>
      <c r="AG9" s="57">
        <f t="shared" si="7"/>
        <v>39.725727906979856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6.3078799527896123</v>
      </c>
      <c r="G10" s="145">
        <f>AF2</f>
        <v>2.7078799527896127</v>
      </c>
      <c r="H10" s="146"/>
      <c r="I10" s="146"/>
      <c r="J10" s="146"/>
      <c r="K10" s="79">
        <f>K8-K9</f>
        <v>0</v>
      </c>
      <c r="L10" s="75">
        <f>K10+Q17</f>
        <v>0.57999999999999996</v>
      </c>
      <c r="M10" s="58">
        <f t="shared" si="2"/>
        <v>-26.95</v>
      </c>
      <c r="N10" s="78"/>
      <c r="O10" s="291"/>
      <c r="P10" s="291"/>
      <c r="V10" s="55">
        <f t="shared" si="8"/>
        <v>150</v>
      </c>
      <c r="W10" s="51">
        <f t="shared" si="9"/>
        <v>1.8614671186269023</v>
      </c>
      <c r="X10" s="51">
        <f t="shared" si="10"/>
        <v>0.125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40.72002154457315</v>
      </c>
      <c r="AC10" s="57">
        <f t="shared" si="5"/>
        <v>40.72002154457315</v>
      </c>
      <c r="AE10" s="56">
        <f t="shared" si="6"/>
        <v>25</v>
      </c>
      <c r="AF10" s="57">
        <f t="shared" si="1"/>
        <v>16.470021597357317</v>
      </c>
      <c r="AG10" s="57">
        <f t="shared" si="7"/>
        <v>40.72002154457315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8.8157599055792257</v>
      </c>
      <c r="G11" s="144">
        <f>AF3</f>
        <v>5.2157599055792261</v>
      </c>
      <c r="H11" s="146"/>
      <c r="I11" s="146"/>
      <c r="J11" s="146"/>
      <c r="K11" s="80">
        <f>G11-G10</f>
        <v>2.5078799527896134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1.8614671186269023</v>
      </c>
      <c r="X11" s="51">
        <f t="shared" si="10"/>
        <v>0.125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41.532418599512326</v>
      </c>
      <c r="AC11" s="57">
        <f t="shared" si="5"/>
        <v>41.532418599512326</v>
      </c>
      <c r="AE11" s="56">
        <f t="shared" si="6"/>
        <v>30</v>
      </c>
      <c r="AF11" s="57">
        <f t="shared" si="1"/>
        <v>17.282418652296492</v>
      </c>
      <c r="AG11" s="57">
        <f t="shared" si="7"/>
        <v>41.532418599512326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10.622450598111696</v>
      </c>
      <c r="G12" s="144">
        <f t="shared" ref="G12:G74" si="14">AF4</f>
        <v>7.0224505981116963</v>
      </c>
      <c r="H12" s="146"/>
      <c r="I12" s="146"/>
      <c r="J12" s="146"/>
      <c r="K12" s="80">
        <f t="shared" ref="K12:K47" si="15">G12-G11</f>
        <v>1.8066906925324702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1.8614671186269023</v>
      </c>
      <c r="X12" s="51">
        <f t="shared" si="10"/>
        <v>0.125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42.219290522452653</v>
      </c>
      <c r="AC12" s="57">
        <f t="shared" si="5"/>
        <v>42.219290522452653</v>
      </c>
      <c r="AE12" s="56">
        <f t="shared" si="6"/>
        <v>35</v>
      </c>
      <c r="AF12" s="57">
        <f t="shared" si="1"/>
        <v>17.969290575236819</v>
      </c>
      <c r="AG12" s="57">
        <f t="shared" si="7"/>
        <v>42.219290522452653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11.904318044443064</v>
      </c>
      <c r="G13" s="144">
        <f t="shared" si="14"/>
        <v>8.3043180444430647</v>
      </c>
      <c r="H13" s="146"/>
      <c r="I13" s="146"/>
      <c r="J13" s="146"/>
      <c r="K13" s="80">
        <f t="shared" si="15"/>
        <v>1.2818674463313684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1.8614671186269023</v>
      </c>
      <c r="X13" s="51">
        <f t="shared" si="10"/>
        <v>0.125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42.814286045843687</v>
      </c>
      <c r="AC13" s="57">
        <f t="shared" si="5"/>
        <v>42.814286045843687</v>
      </c>
      <c r="AE13" s="56">
        <f t="shared" si="6"/>
        <v>40</v>
      </c>
      <c r="AF13" s="57">
        <f t="shared" si="1"/>
        <v>18.564286098627854</v>
      </c>
      <c r="AG13" s="57">
        <f t="shared" si="7"/>
        <v>42.814286045843687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12.898611682036352</v>
      </c>
      <c r="G14" s="144">
        <f t="shared" si="14"/>
        <v>9.298611682036352</v>
      </c>
      <c r="H14" s="146"/>
      <c r="I14" s="146"/>
      <c r="J14" s="146"/>
      <c r="K14" s="80">
        <f t="shared" si="15"/>
        <v>0.99429363759328737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1.8614671186269023</v>
      </c>
      <c r="X14" s="51">
        <f t="shared" si="10"/>
        <v>0.125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43.339109292044796</v>
      </c>
      <c r="AC14" s="57">
        <f t="shared" si="5"/>
        <v>43.339109292044796</v>
      </c>
      <c r="AE14" s="56">
        <f t="shared" si="6"/>
        <v>45</v>
      </c>
      <c r="AF14" s="57">
        <f t="shared" si="1"/>
        <v>19.089109344828962</v>
      </c>
      <c r="AG14" s="57">
        <f t="shared" si="7"/>
        <v>43.339109292044796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15.98716982090019</v>
      </c>
      <c r="G15" s="144">
        <f t="shared" si="14"/>
        <v>12.387169820900191</v>
      </c>
      <c r="H15" s="146"/>
      <c r="I15" s="146"/>
      <c r="J15" s="146"/>
      <c r="K15" s="80">
        <f t="shared" si="15"/>
        <v>3.0885581388638386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1.8614671186269023</v>
      </c>
      <c r="X15" s="51">
        <f t="shared" si="10"/>
        <v>0.125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43.808579683436989</v>
      </c>
      <c r="AC15" s="57">
        <f t="shared" si="5"/>
        <v>43.808579683436989</v>
      </c>
      <c r="AE15" s="56">
        <f t="shared" si="6"/>
        <v>50</v>
      </c>
      <c r="AF15" s="57">
        <f>AC15-$P$3</f>
        <v>19.558579736221155</v>
      </c>
      <c r="AG15" s="57">
        <f t="shared" si="7"/>
        <v>43.808579683436989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17.793860513432662</v>
      </c>
      <c r="G16" s="144">
        <f t="shared" si="14"/>
        <v>14.193860513432661</v>
      </c>
      <c r="H16" s="146"/>
      <c r="I16" s="146"/>
      <c r="J16" s="146"/>
      <c r="K16" s="80">
        <f t="shared" si="15"/>
        <v>1.8066906925324702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1.8614671186269023</v>
      </c>
      <c r="X16" s="51">
        <f t="shared" si="10"/>
        <v>0.125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44.233267310837299</v>
      </c>
      <c r="AC16" s="57">
        <f t="shared" si="5"/>
        <v>44.233267310837299</v>
      </c>
      <c r="AE16" s="56">
        <f t="shared" si="6"/>
        <v>55</v>
      </c>
      <c r="AF16" s="57">
        <f>AC16-$P$3</f>
        <v>19.983267363621465</v>
      </c>
      <c r="AG16" s="57">
        <f t="shared" si="7"/>
        <v>44.233267310837299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19.075727959764023</v>
      </c>
      <c r="G17" s="144">
        <f t="shared" si="14"/>
        <v>15.475727959764022</v>
      </c>
      <c r="H17" s="146"/>
      <c r="I17" s="146"/>
      <c r="J17" s="146"/>
      <c r="K17" s="80">
        <f t="shared" si="15"/>
        <v>1.2818674463313613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4.9079999999999999E-2</v>
      </c>
      <c r="P17" s="374">
        <f>INT(N17/O17*100)/100</f>
        <v>2.12</v>
      </c>
      <c r="Q17" s="375">
        <f>INT((G10-P17)*100)/100</f>
        <v>0.57999999999999996</v>
      </c>
      <c r="V17" s="55">
        <f t="shared" si="8"/>
        <v>150</v>
      </c>
      <c r="W17" s="51">
        <f t="shared" si="9"/>
        <v>1.8614671186269023</v>
      </c>
      <c r="X17" s="51">
        <f t="shared" si="10"/>
        <v>0.125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44.620976738376157</v>
      </c>
      <c r="AC17" s="57">
        <f t="shared" si="5"/>
        <v>44.620976738376157</v>
      </c>
      <c r="AE17" s="56">
        <f t="shared" si="6"/>
        <v>60</v>
      </c>
      <c r="AF17" s="57">
        <f>AC17-$P$3</f>
        <v>20.370976791160324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20.070021597357318</v>
      </c>
      <c r="G18" s="144">
        <f t="shared" si="14"/>
        <v>16.470021597357317</v>
      </c>
      <c r="H18" s="146"/>
      <c r="I18" s="146"/>
      <c r="J18" s="146"/>
      <c r="K18" s="80">
        <f t="shared" si="15"/>
        <v>0.99429363759329448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4.9079999999999999E-2</v>
      </c>
      <c r="P18" s="374">
        <f>INT(N18/O18*100)/100</f>
        <v>4.24</v>
      </c>
      <c r="Q18" s="375">
        <f t="shared" ref="Q18:Q27" si="17">INT((G11-P18)*100)/100</f>
        <v>0.97</v>
      </c>
      <c r="V18" s="55">
        <f t="shared" si="8"/>
        <v>150</v>
      </c>
      <c r="W18" s="51">
        <f t="shared" si="9"/>
        <v>1.8614671186269023</v>
      </c>
      <c r="X18" s="51">
        <f t="shared" si="10"/>
        <v>0.125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45.615270375969459</v>
      </c>
      <c r="AC18" s="57">
        <f t="shared" si="5"/>
        <v>45.615270375969459</v>
      </c>
      <c r="AE18" s="56">
        <f t="shared" si="6"/>
        <v>75</v>
      </c>
      <c r="AF18" s="57">
        <f>AC18-$P$3</f>
        <v>21.365270428753625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20.882418652296494</v>
      </c>
      <c r="G19" s="144">
        <f t="shared" si="14"/>
        <v>17.282418652296492</v>
      </c>
      <c r="H19" s="146"/>
      <c r="I19" s="146"/>
      <c r="J19" s="146"/>
      <c r="K19" s="80">
        <f t="shared" si="15"/>
        <v>0.81239705493917569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4.9079999999999999E-2</v>
      </c>
      <c r="P19" s="374">
        <f>INT(N19/O19*100)/100</f>
        <v>6.36</v>
      </c>
      <c r="Q19" s="375">
        <f t="shared" si="17"/>
        <v>0.66</v>
      </c>
      <c r="V19" s="55">
        <f t="shared" si="8"/>
        <v>150</v>
      </c>
      <c r="W19" s="51">
        <f t="shared" si="9"/>
        <v>1.8614671186269023</v>
      </c>
      <c r="X19" s="51">
        <f t="shared" si="10"/>
        <v>0.125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46.427667430908627</v>
      </c>
      <c r="AC19" s="57">
        <f t="shared" si="5"/>
        <v>46.427667430908627</v>
      </c>
      <c r="AE19" s="56">
        <f t="shared" si="6"/>
        <v>90</v>
      </c>
      <c r="AF19" s="57">
        <f>AC19-$P$3</f>
        <v>22.177667483692794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 t="shared" si="13"/>
        <v>21.56929057523682</v>
      </c>
      <c r="G20" s="144">
        <f t="shared" si="14"/>
        <v>17.969290575236819</v>
      </c>
      <c r="H20" s="146"/>
      <c r="I20" s="146"/>
      <c r="J20" s="146"/>
      <c r="K20" s="80">
        <f t="shared" si="15"/>
        <v>0.68687192294032684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4.9079999999999999E-2</v>
      </c>
      <c r="P20" s="374">
        <f>INT(N20/O20*100)/100</f>
        <v>8.48</v>
      </c>
      <c r="Q20" s="375">
        <f t="shared" si="17"/>
        <v>-0.18</v>
      </c>
      <c r="V20" s="55">
        <f t="shared" si="8"/>
        <v>150</v>
      </c>
      <c r="W20" s="51">
        <f t="shared" si="9"/>
        <v>1.8614671186269023</v>
      </c>
      <c r="X20" s="51">
        <f t="shared" si="10"/>
        <v>0.125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47.114539353848947</v>
      </c>
      <c r="AC20" s="57">
        <f t="shared" si="5"/>
        <v>47.114539353848947</v>
      </c>
      <c r="AE20" s="56">
        <f t="shared" si="6"/>
        <v>105</v>
      </c>
      <c r="AF20" s="57">
        <f t="shared" ref="AF20:AF69" si="20">AC20-$P$3</f>
        <v>22.864539406633114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22.164286098627855</v>
      </c>
      <c r="G21" s="144">
        <f t="shared" si="14"/>
        <v>18.564286098627854</v>
      </c>
      <c r="H21" s="146"/>
      <c r="I21" s="146"/>
      <c r="J21" s="146"/>
      <c r="K21" s="80">
        <f t="shared" si="15"/>
        <v>0.59499552339103445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4.9079999999999999E-2</v>
      </c>
      <c r="P21" s="374">
        <f>INT(N21/O21*100)/100</f>
        <v>10.6</v>
      </c>
      <c r="Q21" s="375">
        <f t="shared" si="17"/>
        <v>-1.31</v>
      </c>
      <c r="V21" s="55">
        <f t="shared" si="8"/>
        <v>150</v>
      </c>
      <c r="W21" s="51">
        <f t="shared" si="9"/>
        <v>1.8614671186269023</v>
      </c>
      <c r="X21" s="51">
        <f t="shared" si="10"/>
        <v>0.125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47.709534877239996</v>
      </c>
      <c r="AC21" s="57">
        <f t="shared" si="5"/>
        <v>47.709534877239996</v>
      </c>
      <c r="AE21" s="56">
        <f t="shared" si="6"/>
        <v>120</v>
      </c>
      <c r="AF21" s="57">
        <f t="shared" si="20"/>
        <v>23.459534930024162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22.689109344828964</v>
      </c>
      <c r="G22" s="144">
        <f t="shared" si="14"/>
        <v>19.089109344828962</v>
      </c>
      <c r="H22" s="146"/>
      <c r="I22" s="146"/>
      <c r="J22" s="146"/>
      <c r="K22" s="80">
        <f t="shared" si="15"/>
        <v>0.52482324620110887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4.9079999999999999E-2</v>
      </c>
      <c r="P22" s="374">
        <f t="shared" ref="P22:P27" si="22">INT(N22/O22*100)/100</f>
        <v>21.21</v>
      </c>
      <c r="Q22" s="375">
        <f t="shared" si="17"/>
        <v>-8.83</v>
      </c>
      <c r="V22" s="55">
        <f t="shared" si="8"/>
        <v>150</v>
      </c>
      <c r="W22" s="51">
        <f t="shared" si="9"/>
        <v>1.8614671186269023</v>
      </c>
      <c r="X22" s="51">
        <f t="shared" si="10"/>
        <v>0.125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48.396406800180316</v>
      </c>
      <c r="AC22" s="57">
        <f t="shared" si="5"/>
        <v>48.396406800180316</v>
      </c>
      <c r="AE22" s="56">
        <f t="shared" si="6"/>
        <v>140</v>
      </c>
      <c r="AF22" s="57">
        <f t="shared" si="20"/>
        <v>24.146406852964482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23.158579736221157</v>
      </c>
      <c r="G23" s="144">
        <f t="shared" si="14"/>
        <v>19.558579736221155</v>
      </c>
      <c r="H23" s="146"/>
      <c r="I23" s="146"/>
      <c r="J23" s="146"/>
      <c r="K23" s="80">
        <f t="shared" si="15"/>
        <v>0.46947039139219271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4.9079999999999999E-2</v>
      </c>
      <c r="P23" s="374">
        <f t="shared" si="22"/>
        <v>31.81</v>
      </c>
      <c r="Q23" s="375">
        <f t="shared" si="17"/>
        <v>-17.62</v>
      </c>
      <c r="V23" s="55">
        <f t="shared" si="8"/>
        <v>150</v>
      </c>
      <c r="W23" s="51">
        <f t="shared" si="9"/>
        <v>1.8614671186269023</v>
      </c>
      <c r="X23" s="51">
        <f t="shared" si="10"/>
        <v>0.125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48.991402323571364</v>
      </c>
      <c r="AC23" s="57">
        <f t="shared" si="5"/>
        <v>48.991402323571364</v>
      </c>
      <c r="AE23" s="56">
        <f t="shared" si="6"/>
        <v>160</v>
      </c>
      <c r="AF23" s="57">
        <f t="shared" si="20"/>
        <v>24.741402376355531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23.583267363621466</v>
      </c>
      <c r="G24" s="144">
        <f t="shared" si="14"/>
        <v>19.983267363621465</v>
      </c>
      <c r="H24" s="146"/>
      <c r="I24" s="146"/>
      <c r="J24" s="146"/>
      <c r="K24" s="80">
        <f t="shared" si="15"/>
        <v>0.42468762740030996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4.9079999999999999E-2</v>
      </c>
      <c r="P24" s="374">
        <f t="shared" si="22"/>
        <v>42.42</v>
      </c>
      <c r="Q24" s="375">
        <f t="shared" si="17"/>
        <v>-26.95</v>
      </c>
      <c r="V24" s="55">
        <f t="shared" si="8"/>
        <v>150</v>
      </c>
      <c r="W24" s="51">
        <f t="shared" si="9"/>
        <v>1.8614671186269023</v>
      </c>
      <c r="X24" s="51">
        <f t="shared" si="10"/>
        <v>0.125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49.516225569772466</v>
      </c>
      <c r="AC24" s="57">
        <f t="shared" si="5"/>
        <v>49.516225569772466</v>
      </c>
      <c r="AE24" s="56">
        <f t="shared" si="6"/>
        <v>180</v>
      </c>
      <c r="AF24" s="57">
        <f t="shared" si="20"/>
        <v>25.266225622556632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23.970976791160325</v>
      </c>
      <c r="G25" s="144">
        <f t="shared" si="14"/>
        <v>20.370976791160324</v>
      </c>
      <c r="H25" s="146"/>
      <c r="I25" s="146"/>
      <c r="J25" s="146"/>
      <c r="K25" s="80">
        <f t="shared" si="15"/>
        <v>0.38770942753885862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4.9079999999999999E-2</v>
      </c>
      <c r="P25" s="374">
        <f t="shared" si="22"/>
        <v>53.02</v>
      </c>
      <c r="Q25" s="375">
        <f t="shared" si="17"/>
        <v>-36.549999999999997</v>
      </c>
      <c r="V25" s="55">
        <f t="shared" si="8"/>
        <v>150</v>
      </c>
      <c r="W25" s="51">
        <f t="shared" si="9"/>
        <v>1.8614671186269023</v>
      </c>
      <c r="X25" s="51">
        <f t="shared" si="10"/>
        <v>0.125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50.798093016103834</v>
      </c>
      <c r="AC25" s="57">
        <f t="shared" si="5"/>
        <v>50.798093016103834</v>
      </c>
      <c r="AE25" s="56">
        <f t="shared" si="6"/>
        <v>240</v>
      </c>
      <c r="AF25" s="57">
        <f t="shared" si="20"/>
        <v>26.548093068888001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24.965270428753627</v>
      </c>
      <c r="G26" s="144">
        <f t="shared" si="14"/>
        <v>21.365270428753625</v>
      </c>
      <c r="H26" s="146"/>
      <c r="I26" s="146"/>
      <c r="J26" s="146"/>
      <c r="K26" s="80">
        <f t="shared" si="15"/>
        <v>0.99429363759330158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4.9079999999999999E-2</v>
      </c>
      <c r="P26" s="374">
        <f t="shared" si="22"/>
        <v>63.63</v>
      </c>
      <c r="Q26" s="375">
        <f t="shared" si="17"/>
        <v>-46.35</v>
      </c>
      <c r="V26" s="55">
        <f t="shared" si="8"/>
        <v>150</v>
      </c>
      <c r="W26" s="51">
        <f t="shared" si="9"/>
        <v>1.8614671186269023</v>
      </c>
      <c r="X26" s="51">
        <f t="shared" si="10"/>
        <v>0.125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51.792386653697122</v>
      </c>
      <c r="AC26" s="57">
        <f t="shared" si="5"/>
        <v>51.792386653697122</v>
      </c>
      <c r="AE26" s="56">
        <f t="shared" si="6"/>
        <v>300</v>
      </c>
      <c r="AF26" s="57">
        <f t="shared" si="20"/>
        <v>27.542386706481288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25.777667483692795</v>
      </c>
      <c r="G27" s="144">
        <f t="shared" si="14"/>
        <v>22.177667483692794</v>
      </c>
      <c r="H27" s="146"/>
      <c r="I27" s="146"/>
      <c r="J27" s="146"/>
      <c r="K27" s="80">
        <f t="shared" si="15"/>
        <v>0.81239705493916858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4.9079999999999999E-2</v>
      </c>
      <c r="P27" s="374">
        <f t="shared" si="22"/>
        <v>74.23</v>
      </c>
      <c r="Q27" s="375">
        <f t="shared" si="17"/>
        <v>-56.27</v>
      </c>
      <c r="V27" s="55">
        <f t="shared" si="8"/>
        <v>150</v>
      </c>
      <c r="W27" s="51">
        <f t="shared" si="9"/>
        <v>1.8614671186269023</v>
      </c>
      <c r="X27" s="51">
        <f t="shared" si="10"/>
        <v>0.125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52.604783708636305</v>
      </c>
      <c r="AC27" s="57">
        <f t="shared" si="5"/>
        <v>52.604783708636305</v>
      </c>
      <c r="AE27" s="56">
        <f t="shared" si="6"/>
        <v>360</v>
      </c>
      <c r="AF27" s="57">
        <f t="shared" si="20"/>
        <v>28.354783761420471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26.464539406633115</v>
      </c>
      <c r="G28" s="144">
        <f t="shared" si="14"/>
        <v>22.864539406633114</v>
      </c>
      <c r="H28" s="146"/>
      <c r="I28" s="146"/>
      <c r="J28" s="146"/>
      <c r="K28" s="80">
        <f t="shared" si="15"/>
        <v>0.68687192294031973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4.9079999999999999E-2</v>
      </c>
      <c r="P28" s="374">
        <f>INT(N28/O28*100)/100</f>
        <v>84.84</v>
      </c>
      <c r="Q28" s="375">
        <f>INT((G21-P28)*100)/100</f>
        <v>-66.28</v>
      </c>
      <c r="S28"/>
      <c r="V28" s="55">
        <f t="shared" si="8"/>
        <v>150</v>
      </c>
      <c r="W28" s="51">
        <f t="shared" si="9"/>
        <v>1.8614671186269023</v>
      </c>
      <c r="X28" s="51">
        <f t="shared" si="10"/>
        <v>0.125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53.291655631576624</v>
      </c>
      <c r="AC28" s="57">
        <f t="shared" si="5"/>
        <v>53.291655631576624</v>
      </c>
      <c r="AE28" s="56">
        <f t="shared" si="6"/>
        <v>420</v>
      </c>
      <c r="AF28" s="57">
        <f t="shared" si="20"/>
        <v>29.041655684360791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27.059534930024164</v>
      </c>
      <c r="G29" s="144">
        <f t="shared" si="14"/>
        <v>23.459534930024162</v>
      </c>
      <c r="H29" s="146"/>
      <c r="I29" s="146"/>
      <c r="J29" s="146"/>
      <c r="K29" s="80">
        <f t="shared" si="15"/>
        <v>0.59499552339104866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4.9079999999999999E-2</v>
      </c>
      <c r="P29" s="374">
        <f>INT(N29/O29*100)/100</f>
        <v>95.44</v>
      </c>
      <c r="Q29" s="375">
        <f>INT((G22-P29)*100)/100</f>
        <v>-76.36</v>
      </c>
      <c r="V29" s="55">
        <f t="shared" si="8"/>
        <v>150</v>
      </c>
      <c r="W29" s="51">
        <f t="shared" si="9"/>
        <v>1.8614671186269023</v>
      </c>
      <c r="X29" s="51">
        <f t="shared" si="10"/>
        <v>0.125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53.886651154967666</v>
      </c>
      <c r="AC29" s="57">
        <f t="shared" si="5"/>
        <v>53.886651154967666</v>
      </c>
      <c r="AE29" s="56">
        <f t="shared" si="6"/>
        <v>480</v>
      </c>
      <c r="AF29" s="57">
        <f t="shared" si="20"/>
        <v>29.636651207751832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27.746406852964483</v>
      </c>
      <c r="G30" s="144">
        <f t="shared" si="14"/>
        <v>24.146406852964482</v>
      </c>
      <c r="H30" s="146"/>
      <c r="I30" s="146"/>
      <c r="J30" s="146"/>
      <c r="K30" s="80">
        <f t="shared" si="15"/>
        <v>0.68687192294031973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4.9079999999999999E-2</v>
      </c>
      <c r="P30" s="374">
        <f>INT(N30/O30*100)/100</f>
        <v>106.05</v>
      </c>
      <c r="Q30" s="375">
        <f>INT((G23-P30)*100)/100</f>
        <v>-86.5</v>
      </c>
      <c r="V30" s="55">
        <f t="shared" si="8"/>
        <v>150</v>
      </c>
      <c r="W30" s="51">
        <f t="shared" si="9"/>
        <v>1.8614671186269023</v>
      </c>
      <c r="X30" s="51">
        <f t="shared" si="10"/>
        <v>0.125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54.411474401168775</v>
      </c>
      <c r="AC30" s="57">
        <f t="shared" si="5"/>
        <v>54.411474401168775</v>
      </c>
      <c r="AE30" s="56">
        <f t="shared" si="6"/>
        <v>540</v>
      </c>
      <c r="AF30" s="57">
        <f t="shared" si="20"/>
        <v>30.161474453952941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28.341402376355532</v>
      </c>
      <c r="G31" s="144">
        <f t="shared" si="14"/>
        <v>24.741402376355531</v>
      </c>
      <c r="H31" s="146"/>
      <c r="I31" s="146"/>
      <c r="J31" s="146"/>
      <c r="K31" s="80">
        <f t="shared" si="15"/>
        <v>0.59499552339104866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4.9079999999999999E-2</v>
      </c>
      <c r="P31" s="374">
        <f>INT(N31/O31*100)/100</f>
        <v>116.65</v>
      </c>
      <c r="Q31" s="375">
        <f>INT((G24-P31)*100)/100</f>
        <v>-96.67</v>
      </c>
      <c r="V31" s="55">
        <f t="shared" si="8"/>
        <v>150</v>
      </c>
      <c r="W31" s="51">
        <f t="shared" si="9"/>
        <v>1.8614671186269023</v>
      </c>
      <c r="X31" s="51">
        <f t="shared" si="10"/>
        <v>0.125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54.88094479256096</v>
      </c>
      <c r="AC31" s="57">
        <f t="shared" si="5"/>
        <v>54.88094479256096</v>
      </c>
      <c r="AE31" s="56">
        <f t="shared" si="6"/>
        <v>600</v>
      </c>
      <c r="AF31" s="57">
        <f t="shared" si="20"/>
        <v>30.630944845345127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28.866225622556634</v>
      </c>
      <c r="G32" s="144">
        <f t="shared" si="14"/>
        <v>25.266225622556632</v>
      </c>
      <c r="H32" s="146"/>
      <c r="I32" s="146"/>
      <c r="J32" s="146"/>
      <c r="K32" s="80">
        <f t="shared" si="15"/>
        <v>0.52482324620110177</v>
      </c>
      <c r="L32" s="82" t="s">
        <v>21</v>
      </c>
      <c r="O32" s="84"/>
      <c r="V32" s="55">
        <f t="shared" si="8"/>
        <v>150</v>
      </c>
      <c r="W32" s="51">
        <f t="shared" si="9"/>
        <v>1.8614671186269023</v>
      </c>
      <c r="X32" s="51">
        <f t="shared" si="10"/>
        <v>0.125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55.305632419961277</v>
      </c>
      <c r="AC32" s="57">
        <f t="shared" si="5"/>
        <v>55.305632419961277</v>
      </c>
      <c r="AE32" s="56">
        <f t="shared" si="6"/>
        <v>660</v>
      </c>
      <c r="AF32" s="57">
        <f t="shared" si="20"/>
        <v>31.055632472745444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30.148093068888002</v>
      </c>
      <c r="G33" s="144">
        <f t="shared" si="14"/>
        <v>26.548093068888001</v>
      </c>
      <c r="H33" s="146"/>
      <c r="I33" s="146"/>
      <c r="J33" s="146"/>
      <c r="K33" s="80">
        <f t="shared" si="15"/>
        <v>1.2818674463313684</v>
      </c>
      <c r="L33" s="75" t="s">
        <v>21</v>
      </c>
      <c r="O33" s="84"/>
      <c r="V33" s="55">
        <f t="shared" si="8"/>
        <v>150</v>
      </c>
      <c r="W33" s="51">
        <f t="shared" si="9"/>
        <v>1.8614671186269023</v>
      </c>
      <c r="X33" s="51">
        <f t="shared" si="10"/>
        <v>0.125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55.693341847500136</v>
      </c>
      <c r="AC33" s="57">
        <f t="shared" si="5"/>
        <v>55.693341847500136</v>
      </c>
      <c r="AE33" s="56">
        <f t="shared" si="6"/>
        <v>720</v>
      </c>
      <c r="AF33" s="57">
        <f t="shared" si="20"/>
        <v>31.443341900284302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31.14238670648129</v>
      </c>
      <c r="G34" s="144">
        <f t="shared" si="14"/>
        <v>27.542386706481288</v>
      </c>
      <c r="H34" s="146"/>
      <c r="I34" s="146"/>
      <c r="J34" s="146"/>
      <c r="K34" s="80">
        <f t="shared" si="15"/>
        <v>0.99429363759328737</v>
      </c>
      <c r="L34" s="75" t="s">
        <v>21</v>
      </c>
      <c r="P34" s="84"/>
      <c r="V34" s="55">
        <f t="shared" si="8"/>
        <v>150</v>
      </c>
      <c r="W34" s="51">
        <f t="shared" si="9"/>
        <v>1.8614671186269023</v>
      </c>
      <c r="X34" s="51">
        <f t="shared" si="10"/>
        <v>0.125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56.049999947215831</v>
      </c>
      <c r="AC34" s="57">
        <f t="shared" si="5"/>
        <v>56.049999947215831</v>
      </c>
      <c r="AE34" s="56">
        <f t="shared" si="6"/>
        <v>780</v>
      </c>
      <c r="AF34" s="57">
        <f t="shared" si="20"/>
        <v>31.799999999999997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31.954783761420472</v>
      </c>
      <c r="G35" s="144">
        <f t="shared" si="14"/>
        <v>28.354783761420471</v>
      </c>
      <c r="H35" s="146"/>
      <c r="I35" s="146"/>
      <c r="J35" s="146"/>
      <c r="K35" s="80">
        <f t="shared" si="15"/>
        <v>0.81239705493918279</v>
      </c>
      <c r="L35" s="75" t="s">
        <v>21</v>
      </c>
      <c r="O35" s="84"/>
      <c r="V35" s="55">
        <f t="shared" si="8"/>
        <v>150</v>
      </c>
      <c r="W35" s="51">
        <f t="shared" si="9"/>
        <v>1.8614671186269023</v>
      </c>
      <c r="X35" s="51">
        <f t="shared" si="10"/>
        <v>0.125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56.049999947215831</v>
      </c>
      <c r="AC35" s="57">
        <f t="shared" ref="AC35:AC38" si="24">AC34</f>
        <v>56.049999947215831</v>
      </c>
      <c r="AE35" s="56">
        <f t="shared" si="6"/>
        <v>840</v>
      </c>
      <c r="AF35" s="57">
        <f t="shared" si="20"/>
        <v>31.799999999999997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32.641655684360792</v>
      </c>
      <c r="G36" s="144">
        <f t="shared" si="14"/>
        <v>29.041655684360791</v>
      </c>
      <c r="H36" s="146"/>
      <c r="I36" s="146"/>
      <c r="J36" s="146"/>
      <c r="K36" s="80">
        <f t="shared" si="15"/>
        <v>0.68687192294031973</v>
      </c>
      <c r="L36" s="75" t="s">
        <v>21</v>
      </c>
      <c r="V36" s="55">
        <f t="shared" si="8"/>
        <v>150</v>
      </c>
      <c r="W36" s="51">
        <f t="shared" si="9"/>
        <v>1.8614671186269023</v>
      </c>
      <c r="X36" s="51">
        <f t="shared" si="10"/>
        <v>0.125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56.049999947215831</v>
      </c>
      <c r="AC36" s="57">
        <f t="shared" si="24"/>
        <v>56.049999947215831</v>
      </c>
      <c r="AE36" s="56">
        <f t="shared" si="6"/>
        <v>900</v>
      </c>
      <c r="AF36" s="57">
        <f t="shared" si="20"/>
        <v>31.799999999999997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33.236651207751834</v>
      </c>
      <c r="G37" s="144">
        <f t="shared" si="14"/>
        <v>29.636651207751832</v>
      </c>
      <c r="H37" s="146"/>
      <c r="I37" s="146"/>
      <c r="J37" s="146"/>
      <c r="K37" s="80">
        <f t="shared" si="15"/>
        <v>0.59499552339104156</v>
      </c>
      <c r="L37" s="75" t="s">
        <v>21</v>
      </c>
      <c r="V37" s="55">
        <f t="shared" si="8"/>
        <v>150</v>
      </c>
      <c r="W37" s="51">
        <f t="shared" si="9"/>
        <v>1.8614671186269023</v>
      </c>
      <c r="X37" s="51">
        <f t="shared" si="10"/>
        <v>0.125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56.049999947215831</v>
      </c>
      <c r="AC37" s="57">
        <f t="shared" si="24"/>
        <v>56.049999947215831</v>
      </c>
      <c r="AD37" s="51">
        <v>37</v>
      </c>
      <c r="AE37" s="56">
        <f t="shared" si="6"/>
        <v>960</v>
      </c>
      <c r="AF37" s="57">
        <f t="shared" si="20"/>
        <v>31.799999999999997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33.761474453952943</v>
      </c>
      <c r="G38" s="144">
        <f t="shared" si="14"/>
        <v>30.161474453952941</v>
      </c>
      <c r="H38" s="146"/>
      <c r="I38" s="146"/>
      <c r="J38" s="146"/>
      <c r="K38" s="80">
        <f t="shared" si="15"/>
        <v>0.52482324620110887</v>
      </c>
      <c r="L38" s="75" t="s">
        <v>21</v>
      </c>
      <c r="V38" s="55">
        <f t="shared" si="8"/>
        <v>150</v>
      </c>
      <c r="W38" s="51">
        <f t="shared" si="9"/>
        <v>1.8614671186269023</v>
      </c>
      <c r="X38" s="51">
        <f t="shared" si="10"/>
        <v>0.125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56.049999947215831</v>
      </c>
      <c r="AC38" s="57">
        <f t="shared" si="24"/>
        <v>56.049999947215831</v>
      </c>
      <c r="AD38" s="52" t="s">
        <v>40</v>
      </c>
      <c r="AE38" s="56">
        <f t="shared" si="6"/>
        <v>1020</v>
      </c>
      <c r="AF38" s="57">
        <f t="shared" si="20"/>
        <v>31.799999999999997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34.230944845345128</v>
      </c>
      <c r="G39" s="144">
        <f t="shared" si="14"/>
        <v>30.630944845345127</v>
      </c>
      <c r="H39" s="146"/>
      <c r="I39" s="146"/>
      <c r="J39" s="146"/>
      <c r="K39" s="80">
        <f t="shared" si="15"/>
        <v>0.4694703913921856</v>
      </c>
      <c r="L39" s="75" t="s">
        <v>21</v>
      </c>
      <c r="V39" s="55">
        <f t="shared" si="8"/>
        <v>150</v>
      </c>
      <c r="W39" s="51">
        <f t="shared" si="9"/>
        <v>1.8614671186269023</v>
      </c>
      <c r="X39" s="51">
        <f t="shared" si="10"/>
        <v>0.125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56.049999947215831</v>
      </c>
      <c r="AC39" s="57">
        <f t="shared" ref="AC39:AC40" si="25">AC38</f>
        <v>56.049999947215831</v>
      </c>
      <c r="AD39" s="85">
        <v>39</v>
      </c>
      <c r="AE39" s="56">
        <f t="shared" si="6"/>
        <v>1080</v>
      </c>
      <c r="AF39" s="57">
        <f t="shared" si="20"/>
        <v>31.799999999999997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34.655632472745445</v>
      </c>
      <c r="G40" s="144">
        <f t="shared" si="14"/>
        <v>31.055632472745444</v>
      </c>
      <c r="H40" s="146"/>
      <c r="I40" s="146"/>
      <c r="J40" s="146"/>
      <c r="K40" s="80">
        <f t="shared" si="15"/>
        <v>0.42468762740031707</v>
      </c>
      <c r="L40" s="75" t="s">
        <v>21</v>
      </c>
      <c r="V40" s="55">
        <f t="shared" si="8"/>
        <v>150</v>
      </c>
      <c r="W40" s="51">
        <f t="shared" si="9"/>
        <v>1.8614671186269023</v>
      </c>
      <c r="X40" s="51">
        <f t="shared" si="10"/>
        <v>0.125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56.049999947215831</v>
      </c>
      <c r="AC40" s="57">
        <f t="shared" si="25"/>
        <v>56.049999947215831</v>
      </c>
      <c r="AD40" s="85">
        <v>40</v>
      </c>
      <c r="AE40" s="56">
        <f t="shared" si="6"/>
        <v>1140</v>
      </c>
      <c r="AF40" s="57">
        <f t="shared" si="20"/>
        <v>31.799999999999997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35.043341900284304</v>
      </c>
      <c r="G41" s="144">
        <f t="shared" si="14"/>
        <v>31.443341900284302</v>
      </c>
      <c r="H41" s="146"/>
      <c r="I41" s="146"/>
      <c r="J41" s="146"/>
      <c r="K41" s="80">
        <f t="shared" si="15"/>
        <v>0.38770942753885862</v>
      </c>
      <c r="L41" s="75" t="s">
        <v>21</v>
      </c>
      <c r="V41" s="86">
        <f t="shared" si="8"/>
        <v>150</v>
      </c>
      <c r="W41" s="87">
        <f t="shared" si="9"/>
        <v>1.8614671186269023</v>
      </c>
      <c r="X41" s="87">
        <f t="shared" si="10"/>
        <v>0.125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56.049999947215831</v>
      </c>
      <c r="AC41" s="57">
        <f t="shared" ref="AC41:AC46" si="26">AC40</f>
        <v>56.049999947215831</v>
      </c>
      <c r="AD41" s="90">
        <v>41</v>
      </c>
      <c r="AE41" s="56">
        <f t="shared" si="6"/>
        <v>1200</v>
      </c>
      <c r="AF41" s="57">
        <f t="shared" si="20"/>
        <v>31.799999999999997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35.4</v>
      </c>
      <c r="G42" s="144">
        <f t="shared" si="14"/>
        <v>31.799999999999997</v>
      </c>
      <c r="H42" s="146"/>
      <c r="I42" s="146"/>
      <c r="J42" s="146"/>
      <c r="K42" s="80">
        <f t="shared" si="15"/>
        <v>0.35665809971569473</v>
      </c>
      <c r="L42" s="75" t="s">
        <v>21</v>
      </c>
      <c r="V42" s="55">
        <f t="shared" si="8"/>
        <v>150</v>
      </c>
      <c r="W42" s="51">
        <f t="shared" si="9"/>
        <v>1.8614671186269023</v>
      </c>
      <c r="X42" s="51">
        <f t="shared" si="10"/>
        <v>0.125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56.049999947215831</v>
      </c>
      <c r="AC42" s="57">
        <f t="shared" si="26"/>
        <v>56.049999947215831</v>
      </c>
      <c r="AD42" s="85">
        <v>42</v>
      </c>
      <c r="AE42" s="56">
        <f t="shared" si="6"/>
        <v>1260</v>
      </c>
      <c r="AF42" s="57">
        <f t="shared" si="20"/>
        <v>31.799999999999997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35.4</v>
      </c>
      <c r="G43" s="144">
        <f t="shared" si="14"/>
        <v>31.799999999999997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1.8614671186269023</v>
      </c>
      <c r="X43" s="87">
        <f t="shared" si="10"/>
        <v>0.125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56.049999947215831</v>
      </c>
      <c r="AC43" s="57">
        <f t="shared" si="26"/>
        <v>56.049999947215831</v>
      </c>
      <c r="AD43" s="90">
        <v>43</v>
      </c>
      <c r="AE43" s="56">
        <f t="shared" si="6"/>
        <v>1320</v>
      </c>
      <c r="AF43" s="57">
        <f t="shared" si="20"/>
        <v>31.799999999999997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35.4</v>
      </c>
      <c r="G44" s="144">
        <f t="shared" si="14"/>
        <v>31.799999999999997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1.8614671186269023</v>
      </c>
      <c r="X44" s="51">
        <f t="shared" si="10"/>
        <v>0.125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56.049999947215831</v>
      </c>
      <c r="AC44" s="57">
        <f t="shared" si="26"/>
        <v>56.049999947215831</v>
      </c>
      <c r="AD44" s="85">
        <v>44</v>
      </c>
      <c r="AE44" s="56">
        <f t="shared" si="6"/>
        <v>1380</v>
      </c>
      <c r="AF44" s="57">
        <f t="shared" si="20"/>
        <v>31.799999999999997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35.4</v>
      </c>
      <c r="G45" s="144">
        <f t="shared" si="14"/>
        <v>31.799999999999997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1.8614671186269023</v>
      </c>
      <c r="X45" s="87">
        <f t="shared" si="10"/>
        <v>0.125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56.049999947215831</v>
      </c>
      <c r="AC45" s="57">
        <f t="shared" si="26"/>
        <v>56.049999947215831</v>
      </c>
      <c r="AD45" s="90">
        <v>45</v>
      </c>
      <c r="AE45" s="56">
        <f t="shared" si="6"/>
        <v>1440</v>
      </c>
      <c r="AF45" s="57">
        <f t="shared" si="20"/>
        <v>31.799999999999997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35.4</v>
      </c>
      <c r="G46" s="144">
        <f t="shared" si="14"/>
        <v>31.799999999999997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1.8614671186269023</v>
      </c>
      <c r="X46" s="51">
        <f t="shared" si="10"/>
        <v>0.125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56.049999947215831</v>
      </c>
      <c r="AC46" s="57">
        <f t="shared" si="26"/>
        <v>56.049999947215831</v>
      </c>
      <c r="AD46" s="85">
        <v>46</v>
      </c>
      <c r="AE46" s="91">
        <f t="shared" si="6"/>
        <v>1500</v>
      </c>
      <c r="AF46" s="93">
        <f t="shared" si="20"/>
        <v>31.799999999999997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35.4</v>
      </c>
      <c r="G47" s="144">
        <f t="shared" si="14"/>
        <v>31.799999999999997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1.8614671186269023</v>
      </c>
      <c r="X47" s="51">
        <f t="shared" si="10"/>
        <v>0.125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56.049999947215831</v>
      </c>
      <c r="AC47" s="57">
        <f t="shared" ref="AC47:AC69" si="27">AC46</f>
        <v>56.049999947215831</v>
      </c>
      <c r="AE47" s="56">
        <f t="shared" si="6"/>
        <v>1560</v>
      </c>
      <c r="AF47" s="57">
        <f t="shared" si="20"/>
        <v>31.799999999999997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35.4</v>
      </c>
      <c r="G48" s="144">
        <f t="shared" si="14"/>
        <v>31.799999999999997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1.8614671186269023</v>
      </c>
      <c r="X48" s="51">
        <f t="shared" si="10"/>
        <v>0.125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56.049999947215831</v>
      </c>
      <c r="AC48" s="57">
        <f t="shared" si="27"/>
        <v>56.049999947215831</v>
      </c>
      <c r="AE48" s="56">
        <f t="shared" si="6"/>
        <v>1620</v>
      </c>
      <c r="AF48" s="57">
        <f t="shared" si="20"/>
        <v>31.799999999999997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35.4</v>
      </c>
      <c r="G49" s="144">
        <f t="shared" si="14"/>
        <v>31.799999999999997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1.8614671186269023</v>
      </c>
      <c r="X49" s="51">
        <f t="shared" si="10"/>
        <v>0.125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56.049999947215831</v>
      </c>
      <c r="AC49" s="57">
        <f t="shared" si="27"/>
        <v>56.049999947215831</v>
      </c>
      <c r="AE49" s="56">
        <f t="shared" si="6"/>
        <v>1680</v>
      </c>
      <c r="AF49" s="57">
        <f t="shared" si="20"/>
        <v>31.799999999999997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35.4</v>
      </c>
      <c r="G50" s="144">
        <f t="shared" si="14"/>
        <v>31.799999999999997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1.8614671186269023</v>
      </c>
      <c r="X50" s="51">
        <f t="shared" si="10"/>
        <v>0.125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56.049999947215831</v>
      </c>
      <c r="AC50" s="57">
        <f t="shared" si="27"/>
        <v>56.049999947215831</v>
      </c>
      <c r="AE50" s="56">
        <f t="shared" si="6"/>
        <v>1740</v>
      </c>
      <c r="AF50" s="57">
        <f t="shared" si="20"/>
        <v>31.799999999999997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35.4</v>
      </c>
      <c r="G51" s="144">
        <f t="shared" si="14"/>
        <v>31.799999999999997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1.8614671186269023</v>
      </c>
      <c r="X51" s="51">
        <f t="shared" si="10"/>
        <v>0.125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56.049999947215831</v>
      </c>
      <c r="AC51" s="57">
        <f t="shared" si="27"/>
        <v>56.049999947215831</v>
      </c>
      <c r="AE51" s="56">
        <f t="shared" si="6"/>
        <v>1800</v>
      </c>
      <c r="AF51" s="57">
        <f t="shared" si="20"/>
        <v>31.799999999999997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35.4</v>
      </c>
      <c r="G52" s="144">
        <f t="shared" si="14"/>
        <v>31.799999999999997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1.8614671186269023</v>
      </c>
      <c r="X52" s="51">
        <f t="shared" si="10"/>
        <v>0.125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56.049999947215831</v>
      </c>
      <c r="AC52" s="57">
        <f t="shared" si="27"/>
        <v>56.049999947215831</v>
      </c>
      <c r="AE52" s="56">
        <f t="shared" si="6"/>
        <v>1860</v>
      </c>
      <c r="AF52" s="57">
        <f t="shared" si="20"/>
        <v>31.799999999999997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35.4</v>
      </c>
      <c r="G53" s="144">
        <f t="shared" si="14"/>
        <v>31.799999999999997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1.8614671186269023</v>
      </c>
      <c r="X53" s="51">
        <f t="shared" si="10"/>
        <v>0.125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56.049999947215831</v>
      </c>
      <c r="AC53" s="57">
        <f t="shared" si="27"/>
        <v>56.049999947215831</v>
      </c>
      <c r="AE53" s="56">
        <f t="shared" si="6"/>
        <v>1920</v>
      </c>
      <c r="AF53" s="57">
        <f t="shared" si="20"/>
        <v>31.799999999999997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35.4</v>
      </c>
      <c r="G54" s="144">
        <f t="shared" si="14"/>
        <v>31.799999999999997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1.8614671186269023</v>
      </c>
      <c r="X54" s="51">
        <f t="shared" si="10"/>
        <v>0.125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56.049999947215831</v>
      </c>
      <c r="AC54" s="57">
        <f t="shared" si="27"/>
        <v>56.049999947215831</v>
      </c>
      <c r="AE54" s="56">
        <f t="shared" si="6"/>
        <v>1980</v>
      </c>
      <c r="AF54" s="57">
        <f t="shared" si="20"/>
        <v>31.799999999999997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35.4</v>
      </c>
      <c r="G55" s="144">
        <f t="shared" si="14"/>
        <v>31.799999999999997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1.8614671186269023</v>
      </c>
      <c r="X55" s="51">
        <f t="shared" si="10"/>
        <v>0.125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56.049999947215831</v>
      </c>
      <c r="AC55" s="57">
        <f t="shared" si="27"/>
        <v>56.049999947215831</v>
      </c>
      <c r="AE55" s="56">
        <f t="shared" si="6"/>
        <v>2040</v>
      </c>
      <c r="AF55" s="57">
        <f t="shared" si="20"/>
        <v>31.799999999999997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35.4</v>
      </c>
      <c r="G56" s="144">
        <f t="shared" si="14"/>
        <v>31.799999999999997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1.8614671186269023</v>
      </c>
      <c r="X56" s="51">
        <f t="shared" si="10"/>
        <v>0.125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56.049999947215831</v>
      </c>
      <c r="AC56" s="57">
        <f t="shared" si="27"/>
        <v>56.049999947215831</v>
      </c>
      <c r="AE56" s="56">
        <f t="shared" si="6"/>
        <v>2100</v>
      </c>
      <c r="AF56" s="57">
        <f t="shared" si="20"/>
        <v>31.799999999999997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35.4</v>
      </c>
      <c r="G57" s="144">
        <f t="shared" si="14"/>
        <v>31.799999999999997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1.8614671186269023</v>
      </c>
      <c r="X57" s="51">
        <f t="shared" si="10"/>
        <v>0.125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56.049999947215831</v>
      </c>
      <c r="AC57" s="57">
        <f t="shared" si="27"/>
        <v>56.049999947215831</v>
      </c>
      <c r="AE57" s="56">
        <f t="shared" si="6"/>
        <v>2160</v>
      </c>
      <c r="AF57" s="57">
        <f t="shared" si="20"/>
        <v>31.799999999999997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35.4</v>
      </c>
      <c r="G58" s="144">
        <f t="shared" si="14"/>
        <v>31.799999999999997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1.8614671186269023</v>
      </c>
      <c r="X58" s="51">
        <f t="shared" si="10"/>
        <v>0.125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56.049999947215831</v>
      </c>
      <c r="AC58" s="57">
        <f t="shared" si="27"/>
        <v>56.049999947215831</v>
      </c>
      <c r="AE58" s="56">
        <f t="shared" si="6"/>
        <v>2220</v>
      </c>
      <c r="AF58" s="57">
        <f t="shared" si="20"/>
        <v>31.799999999999997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35.4</v>
      </c>
      <c r="G59" s="144">
        <f t="shared" si="14"/>
        <v>31.799999999999997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1.8614671186269023</v>
      </c>
      <c r="X59" s="51">
        <f t="shared" si="10"/>
        <v>0.125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56.049999947215831</v>
      </c>
      <c r="AC59" s="57">
        <f t="shared" si="27"/>
        <v>56.049999947215831</v>
      </c>
      <c r="AE59" s="56">
        <f t="shared" si="6"/>
        <v>2280</v>
      </c>
      <c r="AF59" s="57">
        <f t="shared" si="20"/>
        <v>31.799999999999997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35.4</v>
      </c>
      <c r="G60" s="144">
        <f t="shared" si="14"/>
        <v>31.799999999999997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1.8614671186269023</v>
      </c>
      <c r="X60" s="51">
        <f t="shared" si="10"/>
        <v>0.125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56.049999947215831</v>
      </c>
      <c r="AC60" s="57">
        <f t="shared" si="27"/>
        <v>56.049999947215831</v>
      </c>
      <c r="AE60" s="56">
        <f t="shared" si="6"/>
        <v>2340</v>
      </c>
      <c r="AF60" s="57">
        <f t="shared" si="20"/>
        <v>31.799999999999997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35.4</v>
      </c>
      <c r="G61" s="144">
        <f t="shared" si="14"/>
        <v>31.799999999999997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1.8614671186269023</v>
      </c>
      <c r="X61" s="51">
        <f t="shared" si="10"/>
        <v>0.125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56.049999947215831</v>
      </c>
      <c r="AC61" s="57">
        <f t="shared" si="27"/>
        <v>56.049999947215831</v>
      </c>
      <c r="AE61" s="56">
        <f t="shared" si="6"/>
        <v>2400</v>
      </c>
      <c r="AF61" s="57">
        <f t="shared" si="20"/>
        <v>31.799999999999997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35.4</v>
      </c>
      <c r="G62" s="144">
        <f t="shared" si="14"/>
        <v>31.799999999999997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1.8614671186269023</v>
      </c>
      <c r="X62" s="51">
        <f t="shared" si="10"/>
        <v>0.125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56.049999947215831</v>
      </c>
      <c r="AC62" s="57">
        <f t="shared" si="27"/>
        <v>56.049999947215831</v>
      </c>
      <c r="AE62" s="56">
        <f t="shared" si="6"/>
        <v>2460</v>
      </c>
      <c r="AF62" s="57">
        <f t="shared" si="20"/>
        <v>31.799999999999997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35.4</v>
      </c>
      <c r="G63" s="144">
        <f t="shared" si="14"/>
        <v>31.799999999999997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1.8614671186269023</v>
      </c>
      <c r="X63" s="51">
        <f t="shared" si="10"/>
        <v>0.125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56.049999947215831</v>
      </c>
      <c r="AC63" s="57">
        <f t="shared" si="27"/>
        <v>56.049999947215831</v>
      </c>
      <c r="AE63" s="56">
        <f t="shared" si="6"/>
        <v>2520</v>
      </c>
      <c r="AF63" s="57">
        <f t="shared" si="20"/>
        <v>31.799999999999997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35.4</v>
      </c>
      <c r="G64" s="144">
        <f t="shared" si="14"/>
        <v>31.799999999999997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1.8614671186269023</v>
      </c>
      <c r="X64" s="51">
        <f t="shared" si="10"/>
        <v>0.125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56.049999947215831</v>
      </c>
      <c r="AC64" s="57">
        <f t="shared" si="27"/>
        <v>56.049999947215831</v>
      </c>
      <c r="AE64" s="56">
        <f t="shared" si="6"/>
        <v>2580</v>
      </c>
      <c r="AF64" s="57">
        <f t="shared" si="20"/>
        <v>31.799999999999997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35.4</v>
      </c>
      <c r="G65" s="144">
        <f t="shared" si="14"/>
        <v>31.799999999999997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1.8614671186269023</v>
      </c>
      <c r="X65" s="51">
        <f t="shared" si="10"/>
        <v>0.125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56.049999947215831</v>
      </c>
      <c r="AC65" s="57">
        <f t="shared" si="27"/>
        <v>56.049999947215831</v>
      </c>
      <c r="AE65" s="56">
        <f t="shared" si="6"/>
        <v>2640</v>
      </c>
      <c r="AF65" s="57">
        <f t="shared" si="20"/>
        <v>31.799999999999997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35.4</v>
      </c>
      <c r="G66" s="144">
        <f t="shared" si="14"/>
        <v>31.799999999999997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1.8614671186269023</v>
      </c>
      <c r="X66" s="51">
        <f t="shared" si="10"/>
        <v>0.125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56.049999947215831</v>
      </c>
      <c r="AC66" s="57">
        <f t="shared" si="27"/>
        <v>56.049999947215831</v>
      </c>
      <c r="AE66" s="56">
        <f t="shared" si="6"/>
        <v>2700</v>
      </c>
      <c r="AF66" s="57">
        <f t="shared" si="20"/>
        <v>31.799999999999997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35.4</v>
      </c>
      <c r="G67" s="144">
        <f t="shared" si="14"/>
        <v>31.799999999999997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1.8614671186269023</v>
      </c>
      <c r="X67" s="51">
        <f t="shared" si="10"/>
        <v>0.125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56.049999947215831</v>
      </c>
      <c r="AC67" s="57">
        <f t="shared" si="27"/>
        <v>56.049999947215831</v>
      </c>
      <c r="AE67" s="56">
        <f>AA67</f>
        <v>2760</v>
      </c>
      <c r="AF67" s="57">
        <f t="shared" si="20"/>
        <v>31.799999999999997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35.4</v>
      </c>
      <c r="G68" s="144">
        <f t="shared" si="14"/>
        <v>31.799999999999997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1">W$2</f>
        <v>1.8614671186269023</v>
      </c>
      <c r="X68" s="51">
        <f t="shared" ref="X68:X83" si="32">X67</f>
        <v>0.125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56.049999947215831</v>
      </c>
      <c r="AC68" s="57">
        <f t="shared" si="27"/>
        <v>56.049999947215831</v>
      </c>
      <c r="AE68" s="56">
        <f>AA68</f>
        <v>2820</v>
      </c>
      <c r="AF68" s="57">
        <f t="shared" si="20"/>
        <v>31.799999999999997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35.4</v>
      </c>
      <c r="G69" s="144">
        <f t="shared" si="14"/>
        <v>31.799999999999997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1"/>
        <v>1.8614671186269023</v>
      </c>
      <c r="X69" s="51">
        <f t="shared" si="32"/>
        <v>0.125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56.049999947215831</v>
      </c>
      <c r="AC69" s="57">
        <f t="shared" si="27"/>
        <v>56.049999947215831</v>
      </c>
      <c r="AE69" s="56">
        <f>AA69</f>
        <v>2880</v>
      </c>
      <c r="AF69" s="57">
        <f t="shared" si="20"/>
        <v>31.799999999999997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35.4</v>
      </c>
      <c r="G70" s="144">
        <f t="shared" si="14"/>
        <v>31.799999999999997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1.8614671186269023</v>
      </c>
      <c r="X70" s="51">
        <f t="shared" si="32"/>
        <v>0.125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35.4</v>
      </c>
      <c r="G71" s="144">
        <f t="shared" si="14"/>
        <v>31.799999999999997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1.8614671186269023</v>
      </c>
      <c r="X71" s="51">
        <f t="shared" si="32"/>
        <v>0.125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35.4</v>
      </c>
      <c r="G72" s="144">
        <f t="shared" si="14"/>
        <v>31.799999999999997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1.8614671186269023</v>
      </c>
      <c r="X72" s="51">
        <f t="shared" si="32"/>
        <v>0.125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35.4</v>
      </c>
      <c r="G73" s="144">
        <f t="shared" si="14"/>
        <v>31.799999999999997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1.8614671186269023</v>
      </c>
      <c r="X73" s="51">
        <f t="shared" si="32"/>
        <v>0.125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35.4</v>
      </c>
      <c r="G74" s="144">
        <f t="shared" si="14"/>
        <v>31.799999999999997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1.8614671186269023</v>
      </c>
      <c r="X74" s="51">
        <f t="shared" si="32"/>
        <v>0.125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35.4</v>
      </c>
      <c r="G75" s="144">
        <f>AF67</f>
        <v>31.799999999999997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1.8614671186269023</v>
      </c>
      <c r="X75" s="51">
        <f t="shared" si="32"/>
        <v>0.125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35.4</v>
      </c>
      <c r="G76" s="144">
        <f>AF68</f>
        <v>31.799999999999997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1.8614671186269023</v>
      </c>
      <c r="X76" s="51">
        <f t="shared" si="32"/>
        <v>0.125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35.4</v>
      </c>
      <c r="G77" s="144">
        <f>AF69</f>
        <v>31.799999999999997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1.8614671186269023</v>
      </c>
      <c r="X77" s="51">
        <f t="shared" si="32"/>
        <v>0.125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23.192385761778837</v>
      </c>
      <c r="G78" s="144">
        <f>H114</f>
        <v>19.592385761778836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1.8614671186269023</v>
      </c>
      <c r="X78" s="51">
        <f t="shared" si="32"/>
        <v>0.125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21.260968242164143</v>
      </c>
      <c r="G79" s="144">
        <f>H115</f>
        <v>17.660968242164142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1.8614671186269023</v>
      </c>
      <c r="X79" s="51">
        <f t="shared" si="32"/>
        <v>0.125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19.519949874568585</v>
      </c>
      <c r="G80" s="144">
        <f>H116</f>
        <v>15.919949874568585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1.8614671186269023</v>
      </c>
      <c r="X80" s="51">
        <f t="shared" si="32"/>
        <v>0.125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17.950561109310943</v>
      </c>
      <c r="G81" s="144">
        <f>H117</f>
        <v>14.350561109310942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1.8614671186269023</v>
      </c>
      <c r="X81" s="51">
        <f t="shared" si="32"/>
        <v>0.125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16.535882699043253</v>
      </c>
      <c r="G82" s="144">
        <f>H118</f>
        <v>12.935882699043253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1.8614671186269023</v>
      </c>
      <c r="X82" s="51">
        <f t="shared" si="32"/>
        <v>0.125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13.074965296857444</v>
      </c>
      <c r="G83" s="144">
        <f>H121</f>
        <v>9.4749652968574445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1.8614671186269023</v>
      </c>
      <c r="X83" s="51">
        <f t="shared" si="32"/>
        <v>0.125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12.441563809798767</v>
      </c>
      <c r="G84" s="144">
        <f>H124</f>
        <v>8.8415638097987674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10.784283444407656</v>
      </c>
      <c r="G85" s="144">
        <f>H126</f>
        <v>7.1842834444076562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10.07605673434175</v>
      </c>
      <c r="G86" s="144">
        <f t="shared" ref="G86:G92" si="36">H127</f>
        <v>6.4760567343417499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9.437647018097433</v>
      </c>
      <c r="G87" s="144">
        <f t="shared" si="36"/>
        <v>5.8376470180974334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9.2391488719486734</v>
      </c>
      <c r="G88" s="144">
        <f t="shared" si="36"/>
        <v>5.6391488719486738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9.0474002798415238</v>
      </c>
      <c r="G89" s="144">
        <f t="shared" si="36"/>
        <v>5.4474002798415233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8.8621717359561831</v>
      </c>
      <c r="G90" s="144">
        <f t="shared" si="36"/>
        <v>5.2621717359561835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8.6832415383841948</v>
      </c>
      <c r="G91" s="144">
        <f t="shared" si="36"/>
        <v>5.0832415383841942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8.5103955237711908</v>
      </c>
      <c r="G92" s="144">
        <f t="shared" si="36"/>
        <v>4.9103955237711903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8.3434268109826224</v>
      </c>
      <c r="G93" s="144">
        <f>H134</f>
        <v>4.7434268109826219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8.1821355534856508</v>
      </c>
      <c r="G94" s="144">
        <f>H135</f>
        <v>4.5821355534856503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8.0263287001508186</v>
      </c>
      <c r="G95" s="144">
        <f>H136</f>
        <v>4.4263287001508189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7.8758197641872076</v>
      </c>
      <c r="G96" s="144">
        <f>H137</f>
        <v>4.275819764187208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7.4543094231966496</v>
      </c>
      <c r="G97" s="144">
        <f>H138</f>
        <v>3.8543094231966499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7.3232509208897429</v>
      </c>
      <c r="G98" s="144">
        <f>H140</f>
        <v>3.7232509208897429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6.6253573378816739</v>
      </c>
      <c r="G99" s="144">
        <f>H142</f>
        <v>3.0253573378816734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6.0582783208409845</v>
      </c>
      <c r="G100" s="144">
        <f>H144</f>
        <v>2.4582783208409844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5.5974937264594713</v>
      </c>
      <c r="G101" s="148">
        <f>H146</f>
        <v>1.9974937264594714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31.799999999999997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31.799999999999997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26.748889950323736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31.799999999999997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24.111984199872143</v>
      </c>
      <c r="I112" s="341"/>
      <c r="J112" s="343">
        <f>H111-H112</f>
        <v>2.6369057504515929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31.799999999999997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21.735024635960528</v>
      </c>
      <c r="I113" s="341"/>
      <c r="J113" s="343">
        <f t="shared" ref="J113:J146" si="42">H112-H113</f>
        <v>2.3769595639116154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31.799999999999997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19.592385761778836</v>
      </c>
      <c r="I114" s="346"/>
      <c r="J114" s="343">
        <f t="shared" si="42"/>
        <v>2.1426388741816922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31.799999999999997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17.660968242164142</v>
      </c>
      <c r="I115" s="346"/>
      <c r="J115" s="343">
        <f t="shared" si="42"/>
        <v>1.9314175196146941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31.799999999999997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15.919949874568585</v>
      </c>
      <c r="I116" s="346"/>
      <c r="J116" s="343">
        <f t="shared" si="42"/>
        <v>1.7410183675955562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31.799999999999997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14.350561109310942</v>
      </c>
      <c r="I117" s="346"/>
      <c r="J117" s="343">
        <f t="shared" si="42"/>
        <v>1.5693887652576439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31.799999999999997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12.935882699043253</v>
      </c>
      <c r="I118" s="346"/>
      <c r="J118" s="343">
        <f t="shared" si="42"/>
        <v>1.4146784102676886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31.799999999999997</v>
      </c>
      <c r="E119" s="338">
        <f t="shared" si="40"/>
        <v>0.71</v>
      </c>
      <c r="F119" s="339"/>
      <c r="G119" s="331">
        <v>9</v>
      </c>
      <c r="H119" s="347">
        <f t="shared" si="38"/>
        <v>11.660663295934462</v>
      </c>
      <c r="I119" s="348"/>
      <c r="J119" s="343">
        <f t="shared" si="42"/>
        <v>1.2752194031087907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31.799999999999997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10.511155030124824</v>
      </c>
      <c r="I120" s="341"/>
      <c r="J120" s="343">
        <f t="shared" si="42"/>
        <v>1.1495082658096383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31.799999999999997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9.4749652968574445</v>
      </c>
      <c r="I121" s="346"/>
      <c r="J121" s="343">
        <f t="shared" si="42"/>
        <v>1.0361897332673795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31.799999999999997</v>
      </c>
      <c r="E122" s="338">
        <f t="shared" si="40"/>
        <v>0.62</v>
      </c>
      <c r="F122" s="339"/>
      <c r="G122" s="331">
        <v>14</v>
      </c>
      <c r="H122" s="340">
        <f t="shared" si="38"/>
        <v>8.5409231544353652</v>
      </c>
      <c r="I122" s="341"/>
      <c r="J122" s="343">
        <f t="shared" si="42"/>
        <v>0.93404214242207928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31.799999999999997</v>
      </c>
      <c r="E123" s="338">
        <f t="shared" si="40"/>
        <v>0.37</v>
      </c>
      <c r="F123" s="339"/>
      <c r="G123" s="331">
        <v>15</v>
      </c>
      <c r="H123" s="340">
        <f t="shared" si="38"/>
        <v>3.5966488150837375</v>
      </c>
      <c r="I123" s="341"/>
      <c r="J123" s="343">
        <f t="shared" si="42"/>
        <v>4.9442743393516277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31.799999999999997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8.8415638097987674</v>
      </c>
      <c r="I124" s="346"/>
      <c r="J124" s="343">
        <f t="shared" si="42"/>
        <v>-5.24491499471503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31.799999999999997</v>
      </c>
      <c r="E125" s="338">
        <f t="shared" si="40"/>
        <v>0.6</v>
      </c>
      <c r="F125" s="339"/>
      <c r="G125" s="331">
        <v>18</v>
      </c>
      <c r="H125" s="340">
        <f t="shared" si="38"/>
        <v>7.9699623902130901</v>
      </c>
      <c r="I125" s="341"/>
      <c r="J125" s="343">
        <f t="shared" si="42"/>
        <v>0.87160141958567738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31.799999999999997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7.1842834444076562</v>
      </c>
      <c r="I126" s="346"/>
      <c r="J126" s="343">
        <f t="shared" si="42"/>
        <v>0.78567894580543385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31.799999999999997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6.4760567343417499</v>
      </c>
      <c r="I127" s="346"/>
      <c r="J127" s="343">
        <f t="shared" si="42"/>
        <v>0.70822671006590632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31.799999999999997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5.8376470180974334</v>
      </c>
      <c r="I128" s="346"/>
      <c r="J128" s="343">
        <f t="shared" si="42"/>
        <v>0.63840971624431653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31.799999999999997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5.6391488719486738</v>
      </c>
      <c r="I129" s="346"/>
      <c r="J129" s="343">
        <f t="shared" si="42"/>
        <v>0.1984981461487596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31.799999999999997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5.4474002798415233</v>
      </c>
      <c r="I130" s="346"/>
      <c r="J130" s="343">
        <f t="shared" si="42"/>
        <v>0.19174859210715045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31.799999999999997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5.2621717359561835</v>
      </c>
      <c r="I131" s="346"/>
      <c r="J131" s="343">
        <f t="shared" si="42"/>
        <v>0.18522854388533982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31.799999999999997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5.0832415383841942</v>
      </c>
      <c r="I132" s="346"/>
      <c r="J132" s="343">
        <f t="shared" si="42"/>
        <v>0.17893019757198925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31.799999999999997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4.9103955237711903</v>
      </c>
      <c r="I133" s="346"/>
      <c r="J133" s="343">
        <f t="shared" si="42"/>
        <v>0.17284601461300397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31.799999999999997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4.7434268109826219</v>
      </c>
      <c r="I134" s="346"/>
      <c r="J134" s="343">
        <f t="shared" si="42"/>
        <v>0.1669687127885684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31.799999999999997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4.5821355534856503</v>
      </c>
      <c r="I135" s="346"/>
      <c r="J135" s="343">
        <f t="shared" si="42"/>
        <v>0.1612912574969716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31.799999999999997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4.4263287001508189</v>
      </c>
      <c r="I136" s="346"/>
      <c r="J136" s="343">
        <f t="shared" si="42"/>
        <v>0.15580685333483135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31.799999999999997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4.275819764187208</v>
      </c>
      <c r="I137" s="346"/>
      <c r="J137" s="343">
        <f t="shared" si="42"/>
        <v>0.15050893596361092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31.799999999999997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3.8543094231966499</v>
      </c>
      <c r="I138" s="346"/>
      <c r="J138" s="343">
        <f t="shared" si="42"/>
        <v>0.42151034099055806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31.799999999999997</v>
      </c>
      <c r="E139" s="338">
        <f t="shared" si="40"/>
        <v>0.36</v>
      </c>
      <c r="F139" s="339"/>
      <c r="G139" s="331">
        <v>150</v>
      </c>
      <c r="H139" s="340">
        <f t="shared" si="38"/>
        <v>3.4743515744439746</v>
      </c>
      <c r="I139" s="341"/>
      <c r="J139" s="343">
        <f t="shared" si="42"/>
        <v>0.37995784875267535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31.799999999999997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3.7232509208897429</v>
      </c>
      <c r="I140" s="346"/>
      <c r="J140" s="343">
        <f t="shared" si="42"/>
        <v>-0.24889934644576828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31.799999999999997</v>
      </c>
      <c r="E141" s="338">
        <f t="shared" si="40"/>
        <v>0.35</v>
      </c>
      <c r="F141" s="339"/>
      <c r="G141" s="331">
        <v>210</v>
      </c>
      <c r="H141" s="340">
        <f t="shared" si="38"/>
        <v>3.356212820172237</v>
      </c>
      <c r="I141" s="341"/>
      <c r="J141" s="343">
        <f t="shared" si="42"/>
        <v>0.36703810071750587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31.799999999999997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3.0253573378816734</v>
      </c>
      <c r="I142" s="346"/>
      <c r="J142" s="343">
        <f t="shared" si="42"/>
        <v>0.33085548229056361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31.799999999999997</v>
      </c>
      <c r="E143" s="338">
        <f>C143/100</f>
        <v>0.28999999999999998</v>
      </c>
      <c r="F143" s="339"/>
      <c r="G143" s="331">
        <v>270</v>
      </c>
      <c r="H143" s="340">
        <f t="shared" si="38"/>
        <v>2.7271175912511931</v>
      </c>
      <c r="I143" s="341"/>
      <c r="J143" s="343">
        <f t="shared" si="42"/>
        <v>0.29823974663048025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31.799999999999997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2.4582783208409844</v>
      </c>
      <c r="I144" s="346"/>
      <c r="J144" s="343">
        <f t="shared" si="42"/>
        <v>0.26883927041020872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31.799999999999997</v>
      </c>
      <c r="E145" s="338">
        <f>C145/100</f>
        <v>0.23</v>
      </c>
      <c r="F145" s="339"/>
      <c r="G145" s="331">
        <v>330</v>
      </c>
      <c r="H145" s="340">
        <f t="shared" si="38"/>
        <v>2.215941227508345</v>
      </c>
      <c r="I145" s="341"/>
      <c r="J145" s="343">
        <f t="shared" si="42"/>
        <v>0.24233709333263942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31.799999999999997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1.9974937264594714</v>
      </c>
      <c r="I146" s="346"/>
      <c r="J146" s="343">
        <f t="shared" si="42"/>
        <v>0.21844750104887356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198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0.125</v>
      </c>
      <c r="B18" s="113"/>
      <c r="C18" s="114"/>
    </row>
    <row r="19" spans="1:3">
      <c r="A19" s="113">
        <f>Input!M44/2/1000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f>A19</f>
        <v>0.125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1.45</v>
      </c>
      <c r="C35" s="115">
        <v>1</v>
      </c>
    </row>
    <row r="36" spans="1:3">
      <c r="A36" s="113">
        <f>Sheet1!A2</f>
        <v>2</v>
      </c>
      <c r="B36" s="114">
        <f>Sheet1!B2</f>
        <v>2.78</v>
      </c>
      <c r="C36" s="115">
        <v>1</v>
      </c>
    </row>
    <row r="37" spans="1:3">
      <c r="A37" s="113">
        <f>Sheet1!A3</f>
        <v>3</v>
      </c>
      <c r="B37" s="114">
        <f>Sheet1!B3</f>
        <v>3.83</v>
      </c>
      <c r="C37" s="115">
        <v>1</v>
      </c>
    </row>
    <row r="38" spans="1:3">
      <c r="A38" s="113">
        <f>Sheet1!A4</f>
        <v>4</v>
      </c>
      <c r="B38" s="114">
        <f>Sheet1!B4</f>
        <v>4.57</v>
      </c>
      <c r="C38" s="115">
        <v>1</v>
      </c>
    </row>
    <row r="39" spans="1:3">
      <c r="A39" s="113">
        <f>Sheet1!A5</f>
        <v>5</v>
      </c>
      <c r="B39" s="114">
        <f>Sheet1!B5</f>
        <v>5.14</v>
      </c>
      <c r="C39" s="115">
        <v>1</v>
      </c>
    </row>
    <row r="40" spans="1:3">
      <c r="A40" s="113">
        <f>Sheet1!A6</f>
        <v>10</v>
      </c>
      <c r="B40" s="114">
        <f>Sheet1!B6</f>
        <v>6.92</v>
      </c>
      <c r="C40" s="115">
        <v>1</v>
      </c>
    </row>
    <row r="41" spans="1:3">
      <c r="A41" s="113">
        <f>Sheet1!A7</f>
        <v>15</v>
      </c>
      <c r="B41" s="114">
        <f>Sheet1!B7</f>
        <v>7.96</v>
      </c>
      <c r="C41" s="115">
        <v>1</v>
      </c>
    </row>
    <row r="42" spans="1:3">
      <c r="A42" s="113">
        <f>Sheet1!A8</f>
        <v>20</v>
      </c>
      <c r="B42" s="114">
        <f>Sheet1!B8</f>
        <v>8.6999999999999993</v>
      </c>
      <c r="C42" s="115">
        <v>1</v>
      </c>
    </row>
    <row r="43" spans="1:3">
      <c r="A43" s="113">
        <f>Sheet1!A9</f>
        <v>25</v>
      </c>
      <c r="B43" s="114">
        <f>Sheet1!B9</f>
        <v>9.27</v>
      </c>
      <c r="C43" s="115">
        <v>1</v>
      </c>
    </row>
    <row r="44" spans="1:3">
      <c r="A44" s="113">
        <f>Sheet1!A10</f>
        <v>30</v>
      </c>
      <c r="B44" s="114">
        <f>Sheet1!B10</f>
        <v>9.74</v>
      </c>
      <c r="C44" s="115">
        <v>1</v>
      </c>
    </row>
    <row r="45" spans="1:3">
      <c r="A45" s="113">
        <f>Sheet1!A11</f>
        <v>35</v>
      </c>
      <c r="B45" s="114">
        <f>Sheet1!B11</f>
        <v>10.14</v>
      </c>
      <c r="C45" s="115">
        <v>1</v>
      </c>
    </row>
    <row r="46" spans="1:3">
      <c r="A46" s="113">
        <f>Sheet1!A12</f>
        <v>40</v>
      </c>
      <c r="B46" s="114">
        <f>Sheet1!B12</f>
        <v>10.48</v>
      </c>
      <c r="C46" s="115">
        <v>1</v>
      </c>
    </row>
    <row r="47" spans="1:3">
      <c r="A47" s="113">
        <f>Sheet1!A13</f>
        <v>45</v>
      </c>
      <c r="B47" s="114">
        <f>Sheet1!B13</f>
        <v>10.78</v>
      </c>
      <c r="C47" s="115">
        <v>1</v>
      </c>
    </row>
    <row r="48" spans="1:3">
      <c r="A48" s="113">
        <f>Sheet1!A14</f>
        <v>50</v>
      </c>
      <c r="B48" s="114">
        <f>Sheet1!B14</f>
        <v>11.06</v>
      </c>
      <c r="C48" s="115">
        <v>1</v>
      </c>
    </row>
    <row r="49" spans="1:3">
      <c r="A49" s="113">
        <f>Sheet1!A15</f>
        <v>55</v>
      </c>
      <c r="B49" s="114">
        <f>Sheet1!B15</f>
        <v>11.3</v>
      </c>
      <c r="C49" s="115">
        <v>1</v>
      </c>
    </row>
    <row r="50" spans="1:3">
      <c r="A50" s="113">
        <f>Sheet1!A16</f>
        <v>60</v>
      </c>
      <c r="B50" s="114">
        <f>Sheet1!B16</f>
        <v>11.52</v>
      </c>
      <c r="C50" s="115">
        <v>1</v>
      </c>
    </row>
    <row r="51" spans="1:3">
      <c r="A51" s="113">
        <f>Sheet1!A17</f>
        <v>75</v>
      </c>
      <c r="B51" s="114">
        <f>Sheet1!B17</f>
        <v>12.1</v>
      </c>
      <c r="C51" s="115">
        <v>1</v>
      </c>
    </row>
    <row r="52" spans="1:3">
      <c r="A52" s="113">
        <f>Sheet1!A18</f>
        <v>90</v>
      </c>
      <c r="B52" s="114">
        <f>Sheet1!B18</f>
        <v>12.57</v>
      </c>
      <c r="C52" s="115">
        <v>1</v>
      </c>
    </row>
    <row r="53" spans="1:3">
      <c r="A53" s="113">
        <f>Sheet1!A19</f>
        <v>105</v>
      </c>
      <c r="B53" s="114">
        <f>Sheet1!B19</f>
        <v>12.96</v>
      </c>
      <c r="C53" s="115">
        <v>1</v>
      </c>
    </row>
    <row r="54" spans="1:3">
      <c r="A54" s="113">
        <f>Sheet1!A20</f>
        <v>120</v>
      </c>
      <c r="B54" s="114">
        <f>Sheet1!B20</f>
        <v>13.31</v>
      </c>
      <c r="C54" s="115">
        <v>1</v>
      </c>
    </row>
    <row r="55" spans="1:3">
      <c r="A55" s="113">
        <f>Sheet1!A21</f>
        <v>121</v>
      </c>
      <c r="B55" s="114">
        <f>Sheet1!B21</f>
        <v>13.47</v>
      </c>
      <c r="C55" s="115">
        <v>1</v>
      </c>
    </row>
    <row r="56" spans="1:3">
      <c r="A56" s="113">
        <f>Sheet1!A22</f>
        <v>122</v>
      </c>
      <c r="B56" s="114">
        <f>Sheet1!B22</f>
        <v>13.620000000000001</v>
      </c>
      <c r="C56" s="115">
        <v>1</v>
      </c>
    </row>
    <row r="57" spans="1:3">
      <c r="A57" s="113">
        <f>Sheet1!A23</f>
        <v>123</v>
      </c>
      <c r="B57" s="114">
        <f>Sheet1!B23</f>
        <v>13.760000000000002</v>
      </c>
      <c r="C57" s="115">
        <v>1</v>
      </c>
    </row>
    <row r="58" spans="1:3">
      <c r="A58" s="113">
        <f>Sheet1!A24</f>
        <v>124</v>
      </c>
      <c r="B58" s="114">
        <f>Sheet1!B24</f>
        <v>13.890000000000002</v>
      </c>
      <c r="C58" s="115">
        <v>1</v>
      </c>
    </row>
    <row r="59" spans="1:3">
      <c r="A59" s="113">
        <f>Sheet1!A25</f>
        <v>125</v>
      </c>
      <c r="B59" s="114">
        <f>Sheet1!B25</f>
        <v>14.020000000000003</v>
      </c>
      <c r="C59" s="115">
        <v>1</v>
      </c>
    </row>
    <row r="60" spans="1:3">
      <c r="A60" s="113">
        <f>Sheet1!A26</f>
        <v>130</v>
      </c>
      <c r="B60" s="114">
        <f>Sheet1!B26</f>
        <v>15.96</v>
      </c>
      <c r="C60" s="115">
        <v>1</v>
      </c>
    </row>
    <row r="61" spans="1:3">
      <c r="A61" s="113">
        <f>Sheet1!A27</f>
        <v>135</v>
      </c>
      <c r="B61" s="114">
        <f>Sheet1!B27</f>
        <v>16.07</v>
      </c>
      <c r="C61" s="115">
        <v>1</v>
      </c>
    </row>
    <row r="62" spans="1:3">
      <c r="A62" s="113">
        <f>Sheet1!A28</f>
        <v>140</v>
      </c>
      <c r="B62" s="114">
        <f>Sheet1!B28</f>
        <v>16.41</v>
      </c>
      <c r="C62" s="115">
        <v>1</v>
      </c>
    </row>
    <row r="63" spans="1:3">
      <c r="A63" s="113">
        <f>Sheet1!A29</f>
        <v>145</v>
      </c>
      <c r="B63" s="114">
        <f>Sheet1!B29</f>
        <v>16.510000000000002</v>
      </c>
      <c r="C63" s="115">
        <v>1</v>
      </c>
    </row>
    <row r="64" spans="1:3">
      <c r="A64" s="113">
        <f>Sheet1!A30</f>
        <v>150</v>
      </c>
      <c r="B64" s="114">
        <f>Sheet1!B30</f>
        <v>16.850000000000001</v>
      </c>
      <c r="C64" s="115">
        <v>1</v>
      </c>
    </row>
    <row r="65" spans="1:3">
      <c r="A65" s="113">
        <f>Sheet1!A31</f>
        <v>155</v>
      </c>
      <c r="B65" s="114">
        <f>Sheet1!B31</f>
        <v>16.91</v>
      </c>
      <c r="C65" s="115">
        <v>1</v>
      </c>
    </row>
    <row r="66" spans="1:3">
      <c r="A66" s="113">
        <f>Sheet1!A32</f>
        <v>160</v>
      </c>
      <c r="B66" s="114">
        <f>Sheet1!B32</f>
        <v>16.96</v>
      </c>
      <c r="C66" s="115">
        <v>1</v>
      </c>
    </row>
    <row r="67" spans="1:3">
      <c r="A67" s="113">
        <f>Sheet1!A33</f>
        <v>165</v>
      </c>
      <c r="B67" s="114">
        <f>Sheet1!B33</f>
        <v>17</v>
      </c>
      <c r="C67" s="115">
        <v>1</v>
      </c>
    </row>
    <row r="68" spans="1:3">
      <c r="A68" s="113">
        <f>Sheet1!A34</f>
        <v>170</v>
      </c>
      <c r="B68" s="114">
        <f>Sheet1!B34</f>
        <v>17.03</v>
      </c>
      <c r="C68" s="115">
        <v>1</v>
      </c>
    </row>
    <row r="69" spans="1:3">
      <c r="A69" s="113">
        <f>Sheet1!A35</f>
        <v>175</v>
      </c>
      <c r="B69" s="114">
        <f>Sheet1!B35</f>
        <v>17.05</v>
      </c>
      <c r="C69" s="115">
        <v>1</v>
      </c>
    </row>
    <row r="70" spans="1:3">
      <c r="A70" s="113">
        <f>Sheet1!A36</f>
        <v>180</v>
      </c>
      <c r="B70" s="114">
        <f>Sheet1!B36</f>
        <v>17.29</v>
      </c>
      <c r="C70" s="115">
        <v>1</v>
      </c>
    </row>
    <row r="71" spans="1:3">
      <c r="A71" s="113">
        <f>Sheet1!A37</f>
        <v>195</v>
      </c>
      <c r="B71" s="114">
        <f>Sheet1!B37</f>
        <v>17.36</v>
      </c>
      <c r="C71" s="115">
        <v>1</v>
      </c>
    </row>
    <row r="72" spans="1:3">
      <c r="A72" s="113">
        <f>Sheet1!A38</f>
        <v>210</v>
      </c>
      <c r="B72" s="114">
        <f>Sheet1!B38</f>
        <v>17.419999999999998</v>
      </c>
      <c r="C72" s="115">
        <v>1</v>
      </c>
    </row>
    <row r="73" spans="1:3">
      <c r="A73" s="113">
        <f>Sheet1!A39</f>
        <v>225</v>
      </c>
      <c r="B73" s="114">
        <f>Sheet1!B39</f>
        <v>17.47</v>
      </c>
      <c r="C73" s="115">
        <v>1</v>
      </c>
    </row>
    <row r="74" spans="1:3">
      <c r="A74" s="113">
        <f>Sheet1!A40</f>
        <v>240</v>
      </c>
      <c r="B74" s="114">
        <f>Sheet1!B40</f>
        <v>17.739999999999998</v>
      </c>
      <c r="C74" s="115">
        <v>1</v>
      </c>
    </row>
    <row r="75" spans="1:3">
      <c r="A75" s="113">
        <f>Sheet1!A41</f>
        <v>241</v>
      </c>
      <c r="B75" s="114">
        <f>Sheet1!B41</f>
        <v>17.919999999999998</v>
      </c>
      <c r="C75" s="115">
        <v>1</v>
      </c>
    </row>
    <row r="76" spans="1:3">
      <c r="A76" s="113">
        <f>Sheet1!A42</f>
        <v>242</v>
      </c>
      <c r="B76" s="114">
        <f>Sheet1!B42</f>
        <v>18.079999999999998</v>
      </c>
      <c r="C76" s="115">
        <v>1</v>
      </c>
    </row>
    <row r="77" spans="1:3">
      <c r="A77" s="113">
        <f>Sheet1!A43</f>
        <v>243</v>
      </c>
      <c r="B77" s="114">
        <f>Sheet1!B43</f>
        <v>18.229999999999997</v>
      </c>
      <c r="C77" s="115">
        <v>1</v>
      </c>
    </row>
    <row r="78" spans="1:3">
      <c r="A78" s="113">
        <f>Sheet1!A44</f>
        <v>244</v>
      </c>
      <c r="B78" s="114">
        <f>Sheet1!B44</f>
        <v>18.369999999999997</v>
      </c>
      <c r="C78" s="115">
        <v>1</v>
      </c>
    </row>
    <row r="79" spans="1:3">
      <c r="A79" s="113">
        <f>Sheet1!A45</f>
        <v>245</v>
      </c>
      <c r="B79" s="114">
        <f>Sheet1!B45</f>
        <v>18.499999999999996</v>
      </c>
      <c r="C79" s="115">
        <v>1</v>
      </c>
    </row>
    <row r="80" spans="1:3">
      <c r="A80" s="113">
        <f>Sheet1!A46</f>
        <v>250</v>
      </c>
      <c r="B80" s="114">
        <f>Sheet1!B46</f>
        <v>20.74</v>
      </c>
      <c r="C80" s="115">
        <v>1</v>
      </c>
    </row>
    <row r="81" spans="1:3">
      <c r="A81" s="113">
        <f>Sheet1!A47</f>
        <v>255</v>
      </c>
      <c r="B81" s="114">
        <f>Sheet1!B47</f>
        <v>20.849999999999998</v>
      </c>
      <c r="C81" s="115">
        <v>1</v>
      </c>
    </row>
    <row r="82" spans="1:3">
      <c r="A82" s="113">
        <f>Sheet1!A48</f>
        <v>260</v>
      </c>
      <c r="B82" s="114">
        <f>Sheet1!B48</f>
        <v>21.24</v>
      </c>
      <c r="C82" s="115">
        <v>1</v>
      </c>
    </row>
    <row r="83" spans="1:3">
      <c r="A83" s="113">
        <f>Sheet1!A49</f>
        <v>265</v>
      </c>
      <c r="B83" s="114">
        <f>Sheet1!B49</f>
        <v>21.349999999999998</v>
      </c>
      <c r="C83" s="115">
        <v>1</v>
      </c>
    </row>
    <row r="84" spans="1:3">
      <c r="A84" s="113">
        <f>Sheet1!A50</f>
        <v>270</v>
      </c>
      <c r="B84" s="114">
        <f>Sheet1!B50</f>
        <v>21.74</v>
      </c>
      <c r="C84" s="115">
        <v>1</v>
      </c>
    </row>
    <row r="85" spans="1:3">
      <c r="A85" s="113">
        <f>Sheet1!A51</f>
        <v>275</v>
      </c>
      <c r="B85" s="114">
        <f>Sheet1!B51</f>
        <v>21.81</v>
      </c>
      <c r="C85" s="115">
        <v>1</v>
      </c>
    </row>
    <row r="86" spans="1:3">
      <c r="A86" s="113">
        <f>Sheet1!A52</f>
        <v>280</v>
      </c>
      <c r="B86" s="114">
        <f>Sheet1!B52</f>
        <v>21.86</v>
      </c>
      <c r="C86" s="115">
        <v>1</v>
      </c>
    </row>
    <row r="87" spans="1:3">
      <c r="A87" s="113">
        <f>Sheet1!A53</f>
        <v>285</v>
      </c>
      <c r="B87" s="114">
        <f>Sheet1!B53</f>
        <v>21.9</v>
      </c>
      <c r="C87" s="115">
        <v>1</v>
      </c>
    </row>
    <row r="88" spans="1:3">
      <c r="A88" s="113">
        <f>Sheet1!A54</f>
        <v>290</v>
      </c>
      <c r="B88" s="114">
        <f>Sheet1!B54</f>
        <v>21.93</v>
      </c>
      <c r="C88" s="115">
        <v>1</v>
      </c>
    </row>
    <row r="89" spans="1:3">
      <c r="A89" s="113">
        <f>Sheet1!A55</f>
        <v>295</v>
      </c>
      <c r="B89" s="114">
        <f>Sheet1!B55</f>
        <v>21.95</v>
      </c>
      <c r="C89" s="115">
        <v>1</v>
      </c>
    </row>
    <row r="90" spans="1:3">
      <c r="A90" s="113">
        <f>Sheet1!A56</f>
        <v>300</v>
      </c>
      <c r="B90" s="114">
        <f>Sheet1!B56</f>
        <v>22.24</v>
      </c>
      <c r="C90" s="115">
        <v>1</v>
      </c>
    </row>
    <row r="91" spans="1:3">
      <c r="A91" s="113">
        <f>Sheet1!A57</f>
        <v>315</v>
      </c>
      <c r="B91" s="114">
        <f>Sheet1!B57</f>
        <v>22.319999999999997</v>
      </c>
      <c r="C91" s="115">
        <v>1</v>
      </c>
    </row>
    <row r="92" spans="1:3">
      <c r="A92" s="113">
        <f>Sheet1!A58</f>
        <v>330</v>
      </c>
      <c r="B92" s="114">
        <f>Sheet1!B58</f>
        <v>22.379999999999995</v>
      </c>
      <c r="C92" s="115">
        <v>1</v>
      </c>
    </row>
    <row r="93" spans="1:3">
      <c r="A93" s="113">
        <f>Sheet1!A59</f>
        <v>345</v>
      </c>
      <c r="B93" s="114">
        <f>Sheet1!B59</f>
        <v>22.429999999999996</v>
      </c>
      <c r="C93" s="115">
        <v>1</v>
      </c>
    </row>
    <row r="94" spans="1:3">
      <c r="A94" s="113">
        <f>Sheet1!A60</f>
        <v>360</v>
      </c>
      <c r="B94" s="114">
        <f>Sheet1!B60</f>
        <v>22.74</v>
      </c>
      <c r="C94" s="115">
        <v>1</v>
      </c>
    </row>
    <row r="95" spans="1:3">
      <c r="A95" s="113">
        <f>Sheet1!A61</f>
        <v>361</v>
      </c>
      <c r="B95" s="114">
        <f>Sheet1!B61</f>
        <v>22.93</v>
      </c>
      <c r="C95" s="115">
        <v>1</v>
      </c>
    </row>
    <row r="96" spans="1:3">
      <c r="A96" s="113">
        <f>Sheet1!A62</f>
        <v>362</v>
      </c>
      <c r="B96" s="114">
        <f>Sheet1!B62</f>
        <v>23.1</v>
      </c>
      <c r="C96" s="115">
        <v>1</v>
      </c>
    </row>
    <row r="97" spans="1:3">
      <c r="A97" s="113">
        <f>Sheet1!A63</f>
        <v>363</v>
      </c>
      <c r="B97" s="114">
        <f>Sheet1!B63</f>
        <v>23.26</v>
      </c>
      <c r="C97" s="115">
        <v>1</v>
      </c>
    </row>
    <row r="98" spans="1:3">
      <c r="A98" s="113">
        <f>Sheet1!A64</f>
        <v>364</v>
      </c>
      <c r="B98" s="114">
        <f>Sheet1!B64</f>
        <v>23.41</v>
      </c>
      <c r="C98" s="115">
        <v>1</v>
      </c>
    </row>
    <row r="99" spans="1:3">
      <c r="A99" s="113">
        <f>Sheet1!A65</f>
        <v>365</v>
      </c>
      <c r="B99" s="114">
        <f>Sheet1!B65</f>
        <v>23.55</v>
      </c>
      <c r="C99" s="115">
        <v>1</v>
      </c>
    </row>
    <row r="100" spans="1:3">
      <c r="A100" s="113">
        <f>Sheet1!A66</f>
        <v>370</v>
      </c>
      <c r="B100" s="114">
        <f>Sheet1!B66</f>
        <v>26.07</v>
      </c>
      <c r="C100" s="115">
        <v>1</v>
      </c>
    </row>
    <row r="101" spans="1:3">
      <c r="A101" s="113">
        <f>Sheet1!A67</f>
        <v>375</v>
      </c>
      <c r="B101" s="114">
        <f>Sheet1!B67</f>
        <v>26.19</v>
      </c>
      <c r="C101" s="115">
        <v>1</v>
      </c>
    </row>
    <row r="102" spans="1:3">
      <c r="A102" s="113">
        <f>Sheet1!A68</f>
        <v>380</v>
      </c>
      <c r="B102" s="114">
        <f>Sheet1!B68</f>
        <v>26.63</v>
      </c>
      <c r="C102" s="115">
        <v>1</v>
      </c>
    </row>
    <row r="103" spans="1:3">
      <c r="A103" s="113">
        <f>Sheet1!A69</f>
        <v>385</v>
      </c>
      <c r="B103" s="114">
        <f>Sheet1!B69</f>
        <v>26.75</v>
      </c>
      <c r="C103" s="115">
        <v>1</v>
      </c>
    </row>
    <row r="104" spans="1:3">
      <c r="A104" s="113">
        <f>Sheet1!A70</f>
        <v>390</v>
      </c>
      <c r="B104" s="114">
        <f>Sheet1!B70</f>
        <v>27.18</v>
      </c>
      <c r="C104" s="115">
        <v>1</v>
      </c>
    </row>
    <row r="105" spans="1:3">
      <c r="A105" s="113">
        <f>Sheet1!A71</f>
        <v>395</v>
      </c>
      <c r="B105" s="114">
        <f>Sheet1!B71</f>
        <v>27.25</v>
      </c>
      <c r="C105" s="115">
        <v>1</v>
      </c>
    </row>
    <row r="106" spans="1:3">
      <c r="A106" s="113">
        <f>Sheet1!A72</f>
        <v>400</v>
      </c>
      <c r="B106" s="114">
        <f>Sheet1!B72</f>
        <v>27.3</v>
      </c>
      <c r="C106" s="115">
        <v>1</v>
      </c>
    </row>
    <row r="107" spans="1:3">
      <c r="A107" s="113">
        <f>Sheet1!A73</f>
        <v>405</v>
      </c>
      <c r="B107" s="114">
        <f>Sheet1!B73</f>
        <v>27.34</v>
      </c>
      <c r="C107" s="115">
        <v>1</v>
      </c>
    </row>
    <row r="108" spans="1:3">
      <c r="A108" s="113">
        <f>Sheet1!A74</f>
        <v>410</v>
      </c>
      <c r="B108" s="114">
        <f>Sheet1!B74</f>
        <v>27.37</v>
      </c>
      <c r="C108" s="115">
        <v>1</v>
      </c>
    </row>
    <row r="109" spans="1:3">
      <c r="A109" s="113">
        <f>Sheet1!A75</f>
        <v>415</v>
      </c>
      <c r="B109" s="114">
        <f>Sheet1!B75</f>
        <v>27.400000000000002</v>
      </c>
      <c r="C109" s="115">
        <v>1</v>
      </c>
    </row>
    <row r="110" spans="1:3">
      <c r="A110" s="113">
        <f>Sheet1!A76</f>
        <v>420</v>
      </c>
      <c r="B110" s="114">
        <f>Sheet1!B76</f>
        <v>27.74</v>
      </c>
      <c r="C110" s="115">
        <v>1</v>
      </c>
    </row>
    <row r="111" spans="1:3">
      <c r="A111" s="113">
        <f>Sheet1!A77</f>
        <v>435</v>
      </c>
      <c r="B111" s="114">
        <f>Sheet1!B77</f>
        <v>27.83</v>
      </c>
      <c r="C111" s="115">
        <v>1</v>
      </c>
    </row>
    <row r="112" spans="1:3">
      <c r="A112" s="113">
        <f>Sheet1!A78</f>
        <v>450</v>
      </c>
      <c r="B112" s="114">
        <f>Sheet1!B78</f>
        <v>27.9</v>
      </c>
      <c r="C112" s="115">
        <v>1</v>
      </c>
    </row>
    <row r="113" spans="1:3">
      <c r="A113" s="113">
        <f>Sheet1!A79</f>
        <v>465</v>
      </c>
      <c r="B113" s="114">
        <f>Sheet1!B79</f>
        <v>27.95</v>
      </c>
      <c r="C113" s="115">
        <v>1</v>
      </c>
    </row>
    <row r="114" spans="1:3">
      <c r="A114" s="113">
        <f>Sheet1!A80</f>
        <v>480</v>
      </c>
      <c r="B114" s="114">
        <f>Sheet1!B80</f>
        <v>28.3</v>
      </c>
      <c r="C114" s="115">
        <v>1</v>
      </c>
    </row>
    <row r="115" spans="1:3">
      <c r="A115" s="113">
        <f>Sheet1!A81</f>
        <v>481</v>
      </c>
      <c r="B115" s="114">
        <f>Sheet1!B81</f>
        <v>28.51</v>
      </c>
      <c r="C115" s="115">
        <v>1</v>
      </c>
    </row>
    <row r="116" spans="1:3">
      <c r="A116" s="113">
        <f>Sheet1!A82</f>
        <v>482</v>
      </c>
      <c r="B116" s="114">
        <f>Sheet1!B82</f>
        <v>28.700000000000003</v>
      </c>
      <c r="C116" s="115">
        <v>1</v>
      </c>
    </row>
    <row r="117" spans="1:3">
      <c r="A117" s="113">
        <f>Sheet1!A83</f>
        <v>483</v>
      </c>
      <c r="B117" s="114">
        <f>Sheet1!B83</f>
        <v>28.870000000000005</v>
      </c>
      <c r="C117" s="115">
        <v>1</v>
      </c>
    </row>
    <row r="118" spans="1:3">
      <c r="A118" s="113">
        <f>Sheet1!A84</f>
        <v>484</v>
      </c>
      <c r="B118" s="114">
        <f>Sheet1!B84</f>
        <v>29.030000000000005</v>
      </c>
      <c r="C118" s="115">
        <v>1</v>
      </c>
    </row>
    <row r="119" spans="1:3">
      <c r="A119" s="113">
        <f>Sheet1!A85</f>
        <v>485</v>
      </c>
      <c r="B119" s="114">
        <f>Sheet1!B85</f>
        <v>29.170000000000005</v>
      </c>
      <c r="C119" s="115">
        <v>1</v>
      </c>
    </row>
    <row r="120" spans="1:3">
      <c r="A120" s="113">
        <f>Sheet1!A86</f>
        <v>490</v>
      </c>
      <c r="B120" s="114">
        <f>Sheet1!B86</f>
        <v>31.69</v>
      </c>
      <c r="C120" s="115">
        <v>1</v>
      </c>
    </row>
    <row r="121" spans="1:3">
      <c r="A121" s="113">
        <f>Sheet1!A87</f>
        <v>495</v>
      </c>
      <c r="B121" s="114">
        <f>Sheet1!B87</f>
        <v>32</v>
      </c>
      <c r="C121" s="115">
        <v>1</v>
      </c>
    </row>
    <row r="122" spans="1:3">
      <c r="A122" s="113">
        <f>Sheet1!A88</f>
        <v>500</v>
      </c>
      <c r="B122" s="114">
        <f>Sheet1!B88</f>
        <v>32.96</v>
      </c>
      <c r="C122" s="115">
        <v>1</v>
      </c>
    </row>
    <row r="123" spans="1:3">
      <c r="A123" s="113">
        <f>Sheet1!A89</f>
        <v>505</v>
      </c>
      <c r="B123" s="114">
        <f>Sheet1!B89</f>
        <v>33.26</v>
      </c>
      <c r="C123" s="115">
        <v>1</v>
      </c>
    </row>
    <row r="124" spans="1:3">
      <c r="A124" s="113">
        <f>Sheet1!A90</f>
        <v>510</v>
      </c>
      <c r="B124" s="114">
        <f>Sheet1!B90</f>
        <v>34.24</v>
      </c>
      <c r="C124" s="115">
        <v>1</v>
      </c>
    </row>
    <row r="125" spans="1:3">
      <c r="A125" s="113">
        <f>Sheet1!A91</f>
        <v>515</v>
      </c>
      <c r="B125" s="114">
        <f>Sheet1!B91</f>
        <v>34.39</v>
      </c>
      <c r="C125" s="115">
        <v>1</v>
      </c>
    </row>
    <row r="126" spans="1:3">
      <c r="A126" s="113">
        <f>Sheet1!A92</f>
        <v>520</v>
      </c>
      <c r="B126" s="114">
        <f>Sheet1!B92</f>
        <v>34.520000000000003</v>
      </c>
      <c r="C126" s="115">
        <v>1</v>
      </c>
    </row>
    <row r="127" spans="1:3">
      <c r="A127" s="113">
        <f>Sheet1!A93</f>
        <v>525</v>
      </c>
      <c r="B127" s="114">
        <f>Sheet1!B93</f>
        <v>34.630000000000003</v>
      </c>
      <c r="C127" s="115">
        <v>1</v>
      </c>
    </row>
    <row r="128" spans="1:3">
      <c r="A128" s="113">
        <f>Sheet1!A94</f>
        <v>530</v>
      </c>
      <c r="B128" s="114">
        <f>Sheet1!B94</f>
        <v>34.71</v>
      </c>
      <c r="C128" s="115">
        <v>1</v>
      </c>
    </row>
    <row r="129" spans="1:3">
      <c r="A129" s="113">
        <f>Sheet1!A95</f>
        <v>535</v>
      </c>
      <c r="B129" s="114">
        <f>Sheet1!B95</f>
        <v>34.78</v>
      </c>
      <c r="C129" s="115">
        <v>1</v>
      </c>
    </row>
    <row r="130" spans="1:3">
      <c r="A130" s="113">
        <f>Sheet1!A96</f>
        <v>540</v>
      </c>
      <c r="B130" s="114">
        <f>Sheet1!B96</f>
        <v>35.51</v>
      </c>
      <c r="C130" s="115">
        <v>1</v>
      </c>
    </row>
    <row r="131" spans="1:3">
      <c r="A131" s="113">
        <f>Sheet1!A97</f>
        <v>555</v>
      </c>
      <c r="B131" s="114">
        <f>Sheet1!B97</f>
        <v>35.699999999999996</v>
      </c>
      <c r="C131" s="115">
        <v>1</v>
      </c>
    </row>
    <row r="132" spans="1:3">
      <c r="A132" s="113">
        <f>Sheet1!A98</f>
        <v>570</v>
      </c>
      <c r="B132" s="114">
        <f>Sheet1!B98</f>
        <v>35.859999999999992</v>
      </c>
      <c r="C132" s="115">
        <v>1</v>
      </c>
    </row>
    <row r="133" spans="1:3">
      <c r="A133" s="113">
        <f>Sheet1!A99</f>
        <v>585</v>
      </c>
      <c r="B133" s="114">
        <f>Sheet1!B99</f>
        <v>35.999999999999993</v>
      </c>
      <c r="C133" s="115">
        <v>1</v>
      </c>
    </row>
    <row r="134" spans="1:3">
      <c r="A134" s="113">
        <f>Sheet1!A100</f>
        <v>600</v>
      </c>
      <c r="B134" s="114">
        <f>Sheet1!B100</f>
        <v>36.79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198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2.194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2.7078799527896127</v>
      </c>
      <c r="C31" s="115">
        <v>1</v>
      </c>
    </row>
    <row r="32" spans="1:3">
      <c r="A32" s="113">
        <f>LongTest!D11</f>
        <v>2</v>
      </c>
      <c r="B32" s="117">
        <f>LongTest!G11</f>
        <v>5.2157599055792261</v>
      </c>
      <c r="C32" s="115">
        <v>1</v>
      </c>
    </row>
    <row r="33" spans="1:3">
      <c r="A33" s="113">
        <f>LongTest!D12</f>
        <v>3</v>
      </c>
      <c r="B33" s="117">
        <f>LongTest!G12</f>
        <v>7.0224505981116963</v>
      </c>
      <c r="C33" s="115">
        <v>1</v>
      </c>
    </row>
    <row r="34" spans="1:3">
      <c r="A34" s="113">
        <f>LongTest!D13</f>
        <v>4</v>
      </c>
      <c r="B34" s="117">
        <f>LongTest!G13</f>
        <v>8.3043180444430647</v>
      </c>
      <c r="C34" s="115">
        <v>1</v>
      </c>
    </row>
    <row r="35" spans="1:3">
      <c r="A35" s="113">
        <f>LongTest!D14</f>
        <v>5</v>
      </c>
      <c r="B35" s="117">
        <f>LongTest!G14</f>
        <v>9.298611682036352</v>
      </c>
      <c r="C35" s="115">
        <v>1</v>
      </c>
    </row>
    <row r="36" spans="1:3">
      <c r="A36" s="113">
        <f>LongTest!D15</f>
        <v>10</v>
      </c>
      <c r="B36" s="117">
        <f>LongTest!G15</f>
        <v>12.387169820900191</v>
      </c>
      <c r="C36" s="115">
        <v>1</v>
      </c>
    </row>
    <row r="37" spans="1:3">
      <c r="A37" s="113">
        <f>LongTest!D16</f>
        <v>15</v>
      </c>
      <c r="B37" s="117">
        <f>LongTest!G16</f>
        <v>14.193860513432661</v>
      </c>
      <c r="C37" s="115">
        <v>1</v>
      </c>
    </row>
    <row r="38" spans="1:3">
      <c r="A38" s="113">
        <f>LongTest!D17</f>
        <v>20</v>
      </c>
      <c r="B38" s="117">
        <f>LongTest!G17</f>
        <v>15.475727959764022</v>
      </c>
      <c r="C38" s="115">
        <v>1</v>
      </c>
    </row>
    <row r="39" spans="1:3">
      <c r="A39" s="113">
        <f>LongTest!D18</f>
        <v>25</v>
      </c>
      <c r="B39" s="117">
        <f>LongTest!G18</f>
        <v>16.470021597357317</v>
      </c>
      <c r="C39" s="115">
        <v>1</v>
      </c>
    </row>
    <row r="40" spans="1:3">
      <c r="A40" s="113">
        <f>LongTest!D19</f>
        <v>30</v>
      </c>
      <c r="B40" s="117">
        <f>LongTest!G19</f>
        <v>17.282418652296492</v>
      </c>
      <c r="C40" s="115">
        <v>1</v>
      </c>
    </row>
    <row r="41" spans="1:3">
      <c r="A41" s="113">
        <f>LongTest!D20</f>
        <v>35</v>
      </c>
      <c r="B41" s="117">
        <f>LongTest!G20</f>
        <v>17.969290575236819</v>
      </c>
      <c r="C41" s="115">
        <v>1</v>
      </c>
    </row>
    <row r="42" spans="1:3">
      <c r="A42" s="113">
        <f>LongTest!D21</f>
        <v>40</v>
      </c>
      <c r="B42" s="117">
        <f>LongTest!G21</f>
        <v>18.564286098627854</v>
      </c>
      <c r="C42" s="115">
        <v>1</v>
      </c>
    </row>
    <row r="43" spans="1:3">
      <c r="A43" s="113">
        <f>LongTest!D22</f>
        <v>45</v>
      </c>
      <c r="B43" s="117">
        <f>LongTest!G22</f>
        <v>19.089109344828962</v>
      </c>
      <c r="C43" s="115">
        <v>1</v>
      </c>
    </row>
    <row r="44" spans="1:3">
      <c r="A44" s="113">
        <f>LongTest!D23</f>
        <v>50</v>
      </c>
      <c r="B44" s="117">
        <f>LongTest!G23</f>
        <v>19.558579736221155</v>
      </c>
      <c r="C44" s="115">
        <v>1</v>
      </c>
    </row>
    <row r="45" spans="1:3">
      <c r="A45" s="113">
        <f>LongTest!D24</f>
        <v>55</v>
      </c>
      <c r="B45" s="117">
        <f>LongTest!G24</f>
        <v>19.983267363621465</v>
      </c>
      <c r="C45" s="115">
        <v>1</v>
      </c>
    </row>
    <row r="46" spans="1:3">
      <c r="A46" s="113">
        <f>LongTest!D25</f>
        <v>60</v>
      </c>
      <c r="B46" s="117">
        <f>LongTest!G25</f>
        <v>20.370976791160324</v>
      </c>
      <c r="C46" s="115">
        <v>1</v>
      </c>
    </row>
    <row r="47" spans="1:3">
      <c r="A47" s="113">
        <f>LongTest!D26</f>
        <v>75</v>
      </c>
      <c r="B47" s="117">
        <f>LongTest!G26</f>
        <v>21.365270428753625</v>
      </c>
      <c r="C47" s="115">
        <v>1</v>
      </c>
    </row>
    <row r="48" spans="1:3">
      <c r="A48" s="113">
        <f>LongTest!D27</f>
        <v>90</v>
      </c>
      <c r="B48" s="117">
        <f>LongTest!G27</f>
        <v>22.177667483692794</v>
      </c>
      <c r="C48" s="115">
        <v>1</v>
      </c>
    </row>
    <row r="49" spans="1:3">
      <c r="A49" s="113">
        <f>LongTest!D28</f>
        <v>105</v>
      </c>
      <c r="B49" s="117">
        <f>LongTest!G28</f>
        <v>22.864539406633114</v>
      </c>
      <c r="C49" s="115">
        <v>1</v>
      </c>
    </row>
    <row r="50" spans="1:3">
      <c r="A50" s="113">
        <f>LongTest!D29</f>
        <v>120</v>
      </c>
      <c r="B50" s="117">
        <f>LongTest!G29</f>
        <v>23.459534930024162</v>
      </c>
      <c r="C50" s="115">
        <v>1</v>
      </c>
    </row>
    <row r="51" spans="1:3">
      <c r="A51" s="113">
        <f>LongTest!D30</f>
        <v>140</v>
      </c>
      <c r="B51" s="117">
        <f>LongTest!G30</f>
        <v>24.146406852964482</v>
      </c>
      <c r="C51" s="115">
        <v>1</v>
      </c>
    </row>
    <row r="52" spans="1:3">
      <c r="A52" s="113">
        <f>LongTest!D31</f>
        <v>160</v>
      </c>
      <c r="B52" s="117">
        <f>LongTest!G31</f>
        <v>24.741402376355531</v>
      </c>
      <c r="C52" s="115">
        <v>1</v>
      </c>
    </row>
    <row r="53" spans="1:3">
      <c r="A53" s="113">
        <f>LongTest!D32</f>
        <v>180</v>
      </c>
      <c r="B53" s="117">
        <f>LongTest!G32</f>
        <v>25.266225622556632</v>
      </c>
      <c r="C53" s="115">
        <v>1</v>
      </c>
    </row>
    <row r="54" spans="1:3">
      <c r="A54" s="113">
        <f>LongTest!D33</f>
        <v>240</v>
      </c>
      <c r="B54" s="117">
        <f>LongTest!G33</f>
        <v>26.548093068888001</v>
      </c>
      <c r="C54" s="115">
        <v>1</v>
      </c>
    </row>
    <row r="55" spans="1:3">
      <c r="A55" s="113">
        <f>LongTest!D34</f>
        <v>300</v>
      </c>
      <c r="B55" s="117">
        <f>LongTest!G34</f>
        <v>27.542386706481288</v>
      </c>
      <c r="C55" s="115">
        <v>1</v>
      </c>
    </row>
    <row r="56" spans="1:3">
      <c r="A56" s="113">
        <f>LongTest!D35</f>
        <v>360</v>
      </c>
      <c r="B56" s="117">
        <f>LongTest!G35</f>
        <v>28.354783761420471</v>
      </c>
      <c r="C56" s="115">
        <v>1</v>
      </c>
    </row>
    <row r="57" spans="1:3">
      <c r="A57" s="113">
        <f>LongTest!D36</f>
        <v>420</v>
      </c>
      <c r="B57" s="117">
        <f>LongTest!G36</f>
        <v>29.041655684360791</v>
      </c>
      <c r="C57" s="115">
        <v>1</v>
      </c>
    </row>
    <row r="58" spans="1:3">
      <c r="A58" s="113">
        <f>LongTest!D37</f>
        <v>480</v>
      </c>
      <c r="B58" s="117">
        <f>LongTest!G37</f>
        <v>29.636651207751832</v>
      </c>
      <c r="C58" s="115">
        <v>1</v>
      </c>
    </row>
    <row r="59" spans="1:3">
      <c r="A59" s="113">
        <f>LongTest!D38</f>
        <v>540</v>
      </c>
      <c r="B59" s="117">
        <f>LongTest!G38</f>
        <v>30.161474453952941</v>
      </c>
      <c r="C59" s="115">
        <v>1</v>
      </c>
    </row>
    <row r="60" spans="1:3">
      <c r="A60" s="113">
        <f>LongTest!D39</f>
        <v>600</v>
      </c>
      <c r="B60" s="117">
        <f>LongTest!G39</f>
        <v>30.630944845345127</v>
      </c>
      <c r="C60" s="115">
        <v>1</v>
      </c>
    </row>
    <row r="61" spans="1:3">
      <c r="A61" s="113">
        <f>LongTest!D40</f>
        <v>660</v>
      </c>
      <c r="B61" s="117">
        <f>LongTest!G40</f>
        <v>31.055632472745444</v>
      </c>
      <c r="C61" s="115">
        <v>1</v>
      </c>
    </row>
    <row r="62" spans="1:3">
      <c r="A62" s="113">
        <f>LongTest!D41</f>
        <v>720</v>
      </c>
      <c r="B62" s="117">
        <f>LongTest!G41</f>
        <v>31.443341900284302</v>
      </c>
      <c r="C62" s="115">
        <v>1</v>
      </c>
    </row>
    <row r="63" spans="1:3">
      <c r="A63" s="113">
        <f>LongTest!D42</f>
        <v>780</v>
      </c>
      <c r="B63" s="117">
        <f>LongTest!G42</f>
        <v>31.799999999999997</v>
      </c>
      <c r="C63" s="115">
        <v>1</v>
      </c>
    </row>
    <row r="64" spans="1:3">
      <c r="A64" s="113">
        <f>LongTest!D43</f>
        <v>840</v>
      </c>
      <c r="B64" s="117">
        <f>LongTest!G43</f>
        <v>31.799999999999997</v>
      </c>
      <c r="C64" s="115">
        <v>1</v>
      </c>
    </row>
    <row r="65" spans="1:3">
      <c r="A65" s="113">
        <f>LongTest!D44</f>
        <v>900</v>
      </c>
      <c r="B65" s="117">
        <f>LongTest!G44</f>
        <v>31.799999999999997</v>
      </c>
      <c r="C65" s="115">
        <v>1</v>
      </c>
    </row>
    <row r="66" spans="1:3">
      <c r="A66" s="113">
        <f>LongTest!D45</f>
        <v>960</v>
      </c>
      <c r="B66" s="117">
        <f>LongTest!G45</f>
        <v>31.799999999999997</v>
      </c>
      <c r="C66" s="115">
        <v>1</v>
      </c>
    </row>
    <row r="67" spans="1:3">
      <c r="A67" s="113">
        <f>LongTest!D46</f>
        <v>1020</v>
      </c>
      <c r="B67" s="117">
        <f>LongTest!G46</f>
        <v>31.799999999999997</v>
      </c>
      <c r="C67" s="115">
        <v>1</v>
      </c>
    </row>
    <row r="68" spans="1:3">
      <c r="A68" s="113">
        <f>LongTest!D47</f>
        <v>1080</v>
      </c>
      <c r="B68" s="117">
        <f>LongTest!G47</f>
        <v>31.799999999999997</v>
      </c>
      <c r="C68" s="115">
        <v>1</v>
      </c>
    </row>
    <row r="69" spans="1:3">
      <c r="A69" s="113">
        <f>LongTest!D48</f>
        <v>1140</v>
      </c>
      <c r="B69" s="117">
        <f>LongTest!G48</f>
        <v>31.799999999999997</v>
      </c>
      <c r="C69" s="115">
        <v>1</v>
      </c>
    </row>
    <row r="70" spans="1:3">
      <c r="A70" s="113">
        <f>LongTest!D49</f>
        <v>1200</v>
      </c>
      <c r="B70" s="117">
        <f>LongTest!G49</f>
        <v>31.799999999999997</v>
      </c>
      <c r="C70" s="115">
        <v>1</v>
      </c>
    </row>
    <row r="71" spans="1:3">
      <c r="A71" s="113">
        <f>LongTest!D50</f>
        <v>1260</v>
      </c>
      <c r="B71" s="117">
        <f>LongTest!G50</f>
        <v>31.799999999999997</v>
      </c>
      <c r="C71" s="115">
        <v>1</v>
      </c>
    </row>
    <row r="72" spans="1:3">
      <c r="A72" s="113">
        <f>LongTest!D51</f>
        <v>1320</v>
      </c>
      <c r="B72" s="117">
        <f>LongTest!G51</f>
        <v>31.799999999999997</v>
      </c>
      <c r="C72" s="115">
        <v>1</v>
      </c>
    </row>
    <row r="73" spans="1:3">
      <c r="A73" s="113">
        <f>LongTest!D52</f>
        <v>1380</v>
      </c>
      <c r="B73" s="117">
        <f>LongTest!G52</f>
        <v>31.799999999999997</v>
      </c>
      <c r="C73" s="115">
        <v>1</v>
      </c>
    </row>
    <row r="74" spans="1:3">
      <c r="A74" s="113">
        <f>LongTest!D53</f>
        <v>1440</v>
      </c>
      <c r="B74" s="117">
        <f>LongTest!G53</f>
        <v>31.799999999999997</v>
      </c>
      <c r="C74" s="115">
        <v>1</v>
      </c>
    </row>
    <row r="75" spans="1:3">
      <c r="A75" s="113">
        <f>LongTest!D54</f>
        <v>1500</v>
      </c>
      <c r="B75" s="117">
        <f>LongTest!G54</f>
        <v>31.799999999999997</v>
      </c>
      <c r="C75" s="115">
        <v>1</v>
      </c>
    </row>
    <row r="76" spans="1:3">
      <c r="A76" s="113">
        <f>LongTest!D55</f>
        <v>1560</v>
      </c>
      <c r="B76" s="117">
        <f>LongTest!G55</f>
        <v>31.799999999999997</v>
      </c>
      <c r="C76" s="115">
        <v>1</v>
      </c>
    </row>
    <row r="77" spans="1:3">
      <c r="A77" s="113">
        <f>LongTest!D56</f>
        <v>1620</v>
      </c>
      <c r="B77" s="117">
        <f>LongTest!G56</f>
        <v>31.799999999999997</v>
      </c>
      <c r="C77" s="115">
        <v>1</v>
      </c>
    </row>
    <row r="78" spans="1:3">
      <c r="A78" s="113">
        <f>LongTest!D57</f>
        <v>1680</v>
      </c>
      <c r="B78" s="117">
        <f>LongTest!G57</f>
        <v>31.799999999999997</v>
      </c>
      <c r="C78" s="115">
        <v>1</v>
      </c>
    </row>
    <row r="79" spans="1:3">
      <c r="A79" s="113">
        <f>LongTest!D58</f>
        <v>1740</v>
      </c>
      <c r="B79" s="117">
        <f>LongTest!G58</f>
        <v>31.799999999999997</v>
      </c>
      <c r="C79" s="115">
        <v>1</v>
      </c>
    </row>
    <row r="80" spans="1:3">
      <c r="A80" s="113">
        <f>LongTest!D59</f>
        <v>1800</v>
      </c>
      <c r="B80" s="117">
        <f>LongTest!G59</f>
        <v>31.799999999999997</v>
      </c>
      <c r="C80" s="115">
        <v>1</v>
      </c>
    </row>
    <row r="81" spans="1:3">
      <c r="A81" s="113">
        <f>LongTest!D60</f>
        <v>1860</v>
      </c>
      <c r="B81" s="117">
        <f>LongTest!G60</f>
        <v>31.799999999999997</v>
      </c>
      <c r="C81" s="115">
        <v>1</v>
      </c>
    </row>
    <row r="82" spans="1:3">
      <c r="A82" s="113">
        <f>LongTest!D61</f>
        <v>1920</v>
      </c>
      <c r="B82" s="117">
        <f>LongTest!G61</f>
        <v>31.799999999999997</v>
      </c>
      <c r="C82" s="115">
        <v>1</v>
      </c>
    </row>
    <row r="83" spans="1:3">
      <c r="A83" s="113">
        <f>LongTest!D62</f>
        <v>1980</v>
      </c>
      <c r="B83" s="117">
        <f>LongTest!G62</f>
        <v>31.799999999999997</v>
      </c>
      <c r="C83" s="115">
        <v>1</v>
      </c>
    </row>
    <row r="84" spans="1:3">
      <c r="A84" s="113">
        <f>LongTest!D63</f>
        <v>2040</v>
      </c>
      <c r="B84" s="117">
        <f>LongTest!G63</f>
        <v>31.799999999999997</v>
      </c>
      <c r="C84" s="115">
        <v>1</v>
      </c>
    </row>
    <row r="85" spans="1:3">
      <c r="A85" s="113">
        <f>LongTest!D64</f>
        <v>2100</v>
      </c>
      <c r="B85" s="117">
        <f>LongTest!G64</f>
        <v>31.799999999999997</v>
      </c>
      <c r="C85" s="115">
        <v>1</v>
      </c>
    </row>
    <row r="86" spans="1:3">
      <c r="A86" s="113">
        <f>LongTest!D65</f>
        <v>2160</v>
      </c>
      <c r="B86" s="117">
        <f>LongTest!G65</f>
        <v>31.799999999999997</v>
      </c>
      <c r="C86" s="115">
        <v>1</v>
      </c>
    </row>
    <row r="87" spans="1:3">
      <c r="A87" s="113">
        <f>LongTest!D66</f>
        <v>2220</v>
      </c>
      <c r="B87" s="117">
        <f>LongTest!G66</f>
        <v>31.799999999999997</v>
      </c>
      <c r="C87" s="115">
        <v>1</v>
      </c>
    </row>
    <row r="88" spans="1:3">
      <c r="A88" s="113">
        <f>LongTest!D67</f>
        <v>2280</v>
      </c>
      <c r="B88" s="117">
        <f>LongTest!G67</f>
        <v>31.799999999999997</v>
      </c>
      <c r="C88" s="115">
        <v>1</v>
      </c>
    </row>
    <row r="89" spans="1:3">
      <c r="A89" s="113">
        <f>LongTest!D68</f>
        <v>2340</v>
      </c>
      <c r="B89" s="117">
        <f>LongTest!G68</f>
        <v>31.799999999999997</v>
      </c>
      <c r="C89" s="115">
        <v>1</v>
      </c>
    </row>
    <row r="90" spans="1:3">
      <c r="A90" s="113">
        <f>LongTest!D69</f>
        <v>2400</v>
      </c>
      <c r="B90" s="117">
        <f>LongTest!G69</f>
        <v>31.799999999999997</v>
      </c>
      <c r="C90" s="115">
        <v>1</v>
      </c>
    </row>
    <row r="91" spans="1:3">
      <c r="A91" s="113">
        <f>LongTest!D70</f>
        <v>2460</v>
      </c>
      <c r="B91" s="117">
        <f>LongTest!G70</f>
        <v>31.799999999999997</v>
      </c>
      <c r="C91" s="115">
        <v>1</v>
      </c>
    </row>
    <row r="92" spans="1:3">
      <c r="A92" s="113">
        <f>LongTest!D71</f>
        <v>2520</v>
      </c>
      <c r="B92" s="117">
        <f>LongTest!G71</f>
        <v>31.799999999999997</v>
      </c>
      <c r="C92" s="115">
        <v>1</v>
      </c>
    </row>
    <row r="93" spans="1:3">
      <c r="A93" s="113">
        <f>LongTest!D72</f>
        <v>2580</v>
      </c>
      <c r="B93" s="117">
        <f>LongTest!G72</f>
        <v>31.799999999999997</v>
      </c>
      <c r="C93" s="115">
        <v>1</v>
      </c>
    </row>
    <row r="94" spans="1:3">
      <c r="A94" s="113">
        <f>LongTest!D73</f>
        <v>2640</v>
      </c>
      <c r="B94" s="117">
        <f>LongTest!G73</f>
        <v>31.799999999999997</v>
      </c>
      <c r="C94" s="115">
        <v>1</v>
      </c>
    </row>
    <row r="95" spans="1:3">
      <c r="A95" s="113">
        <f>LongTest!D74</f>
        <v>2700</v>
      </c>
      <c r="B95" s="117">
        <f>LongTest!G74</f>
        <v>31.799999999999997</v>
      </c>
      <c r="C95" s="115">
        <v>1</v>
      </c>
    </row>
    <row r="96" spans="1:3">
      <c r="A96" s="113">
        <f>LongTest!D75</f>
        <v>2760</v>
      </c>
      <c r="B96" s="117">
        <f>LongTest!G75</f>
        <v>31.799999999999997</v>
      </c>
      <c r="C96" s="115">
        <v>1</v>
      </c>
    </row>
    <row r="97" spans="1:3">
      <c r="A97" s="113">
        <f>LongTest!D76</f>
        <v>2820</v>
      </c>
      <c r="B97" s="117">
        <f>LongTest!G76</f>
        <v>31.799999999999997</v>
      </c>
      <c r="C97" s="115">
        <v>1</v>
      </c>
    </row>
    <row r="98" spans="1:3">
      <c r="A98" s="113">
        <f>LongTest!D77</f>
        <v>2880</v>
      </c>
      <c r="B98" s="117">
        <f>LongTest!G77</f>
        <v>31.799999999999997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198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2.194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31.799999999999997</v>
      </c>
      <c r="C32" s="115">
        <v>1</v>
      </c>
    </row>
    <row r="33" spans="1:3">
      <c r="A33" s="113">
        <f>$A$32+LongTest!D78</f>
        <v>2881</v>
      </c>
      <c r="B33" s="114">
        <f>LongTest!G78</f>
        <v>19.592385761778836</v>
      </c>
      <c r="C33" s="115">
        <v>1</v>
      </c>
    </row>
    <row r="34" spans="1:3">
      <c r="A34" s="113">
        <f>$A$32+LongTest!D79</f>
        <v>2882</v>
      </c>
      <c r="B34" s="114">
        <f>LongTest!G79</f>
        <v>17.660968242164142</v>
      </c>
      <c r="C34" s="115">
        <v>1</v>
      </c>
    </row>
    <row r="35" spans="1:3">
      <c r="A35" s="113">
        <f>$A$32+LongTest!D80</f>
        <v>2883</v>
      </c>
      <c r="B35" s="114">
        <f>LongTest!G80</f>
        <v>15.919949874568585</v>
      </c>
      <c r="C35" s="115">
        <v>1</v>
      </c>
    </row>
    <row r="36" spans="1:3">
      <c r="A36" s="113">
        <f>$A$32+LongTest!D81</f>
        <v>2884</v>
      </c>
      <c r="B36" s="114">
        <f>LongTest!G81</f>
        <v>14.350561109310942</v>
      </c>
      <c r="C36" s="115">
        <v>1</v>
      </c>
    </row>
    <row r="37" spans="1:3">
      <c r="A37" s="113">
        <f>$A$32+LongTest!D82</f>
        <v>2885</v>
      </c>
      <c r="B37" s="114">
        <f>LongTest!G82</f>
        <v>12.935882699043253</v>
      </c>
      <c r="C37" s="115">
        <v>1</v>
      </c>
    </row>
    <row r="38" spans="1:3">
      <c r="A38" s="113">
        <f>$A$32+LongTest!D83</f>
        <v>2890</v>
      </c>
      <c r="B38" s="114">
        <f>LongTest!G83</f>
        <v>9.4749652968574445</v>
      </c>
      <c r="C38" s="115">
        <v>1</v>
      </c>
    </row>
    <row r="39" spans="1:3">
      <c r="A39" s="113">
        <f>$A$32+LongTest!D84</f>
        <v>2895</v>
      </c>
      <c r="B39" s="114">
        <f>LongTest!G84</f>
        <v>8.8415638097987674</v>
      </c>
      <c r="C39" s="115">
        <v>1</v>
      </c>
    </row>
    <row r="40" spans="1:3">
      <c r="A40" s="113">
        <f>$A$32+LongTest!D85</f>
        <v>2900</v>
      </c>
      <c r="B40" s="114">
        <f>LongTest!G85</f>
        <v>7.1842834444076562</v>
      </c>
      <c r="C40" s="115">
        <v>1</v>
      </c>
    </row>
    <row r="41" spans="1:3">
      <c r="A41" s="113">
        <f>$A$32+LongTest!D86</f>
        <v>2905</v>
      </c>
      <c r="B41" s="114">
        <f>LongTest!G86</f>
        <v>6.4760567343417499</v>
      </c>
      <c r="C41" s="115">
        <v>1</v>
      </c>
    </row>
    <row r="42" spans="1:3">
      <c r="A42" s="113">
        <f>$A$32+LongTest!D87</f>
        <v>2910</v>
      </c>
      <c r="B42" s="114">
        <f>LongTest!G87</f>
        <v>5.8376470180974334</v>
      </c>
      <c r="C42" s="115">
        <v>1</v>
      </c>
    </row>
    <row r="43" spans="1:3">
      <c r="A43" s="113">
        <f>$A$32+LongTest!D88</f>
        <v>2915</v>
      </c>
      <c r="B43" s="114">
        <f>LongTest!G88</f>
        <v>5.6391488719486738</v>
      </c>
      <c r="C43" s="115">
        <v>1</v>
      </c>
    </row>
    <row r="44" spans="1:3">
      <c r="A44" s="113">
        <f>$A$32+LongTest!D89</f>
        <v>2920</v>
      </c>
      <c r="B44" s="114">
        <f>LongTest!G89</f>
        <v>5.4474002798415233</v>
      </c>
      <c r="C44" s="115">
        <v>1</v>
      </c>
    </row>
    <row r="45" spans="1:3">
      <c r="A45" s="113">
        <f>$A$32+LongTest!D90</f>
        <v>2925</v>
      </c>
      <c r="B45" s="114">
        <f>LongTest!G90</f>
        <v>5.2621717359561835</v>
      </c>
      <c r="C45" s="115">
        <v>1</v>
      </c>
    </row>
    <row r="46" spans="1:3">
      <c r="A46" s="113">
        <f>$A$32+LongTest!D91</f>
        <v>2930</v>
      </c>
      <c r="B46" s="114">
        <f>LongTest!G91</f>
        <v>5.0832415383841942</v>
      </c>
      <c r="C46" s="115">
        <v>1</v>
      </c>
    </row>
    <row r="47" spans="1:3">
      <c r="A47" s="113">
        <f>$A$32+LongTest!D92</f>
        <v>2935</v>
      </c>
      <c r="B47" s="114">
        <f>LongTest!G92</f>
        <v>4.9103955237711903</v>
      </c>
      <c r="C47" s="115">
        <v>1</v>
      </c>
    </row>
    <row r="48" spans="1:3">
      <c r="A48" s="113">
        <f>$A$32+LongTest!D93</f>
        <v>2940</v>
      </c>
      <c r="B48" s="114">
        <f>LongTest!G93</f>
        <v>4.7434268109826219</v>
      </c>
      <c r="C48" s="115">
        <v>1</v>
      </c>
    </row>
    <row r="49" spans="1:3">
      <c r="A49" s="113">
        <f>$A$32+LongTest!D94</f>
        <v>2955</v>
      </c>
      <c r="B49" s="114">
        <f>LongTest!G94</f>
        <v>4.5821355534856503</v>
      </c>
      <c r="C49" s="115">
        <v>1</v>
      </c>
    </row>
    <row r="50" spans="1:3">
      <c r="A50" s="113">
        <f>$A$32+LongTest!D95</f>
        <v>2970</v>
      </c>
      <c r="B50" s="114">
        <f>LongTest!G95</f>
        <v>4.4263287001508189</v>
      </c>
      <c r="C50" s="115">
        <v>1</v>
      </c>
    </row>
    <row r="51" spans="1:3">
      <c r="A51" s="113">
        <f>$A$32+LongTest!D96</f>
        <v>2985</v>
      </c>
      <c r="B51" s="114">
        <f>LongTest!G96</f>
        <v>4.275819764187208</v>
      </c>
      <c r="C51" s="115">
        <v>1</v>
      </c>
    </row>
    <row r="52" spans="1:3">
      <c r="A52" s="113">
        <f>$A$32+LongTest!D97</f>
        <v>3000</v>
      </c>
      <c r="B52" s="114">
        <f>LongTest!G97</f>
        <v>3.8543094231966499</v>
      </c>
      <c r="C52" s="115">
        <v>1</v>
      </c>
    </row>
    <row r="53" spans="1:3">
      <c r="A53" s="113">
        <f>$A$32+LongTest!D98</f>
        <v>3060</v>
      </c>
      <c r="B53" s="114">
        <f>LongTest!G98</f>
        <v>3.7232509208897429</v>
      </c>
      <c r="C53" s="115">
        <v>1</v>
      </c>
    </row>
    <row r="54" spans="1:3">
      <c r="A54" s="113">
        <f>$A$32+LongTest!D99</f>
        <v>3120</v>
      </c>
      <c r="B54" s="114">
        <f>LongTest!G99</f>
        <v>3.0253573378816734</v>
      </c>
      <c r="C54" s="115">
        <v>1</v>
      </c>
    </row>
    <row r="55" spans="1:3">
      <c r="A55" s="113">
        <f>$A$32+LongTest!D100</f>
        <v>3180</v>
      </c>
      <c r="B55" s="114">
        <f>LongTest!G100</f>
        <v>2.4582783208409844</v>
      </c>
      <c r="C55" s="115">
        <v>1</v>
      </c>
    </row>
    <row r="56" spans="1:3">
      <c r="A56" s="113">
        <f>$A$32+LongTest!D101</f>
        <v>3240</v>
      </c>
      <c r="B56" s="114">
        <f>LongTest!G101</f>
        <v>1.9974937264594714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abSelected="1"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W-1</v>
      </c>
      <c r="E12" s="478"/>
      <c r="F12" s="477"/>
      <c r="H12" s="476" t="str">
        <f>C4</f>
        <v>W-1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2024-04-25T07:53:43Z</dcterms:modified>
</cp:coreProperties>
</file>