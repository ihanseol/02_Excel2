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4A314582-4650-43E8-B135-C62BE1FCF52F}" xr6:coauthVersionLast="47" xr6:coauthVersionMax="47" xr10:uidLastSave="{00000000-0000-0000-0000-000000000000}"/>
  <bookViews>
    <workbookView xWindow="38280" yWindow="-120" windowWidth="38640" windowHeight="21120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B12" i="18"/>
  <c r="B12" i="16"/>
  <c r="B12" i="20"/>
  <c r="B12" i="15"/>
  <c r="A27" i="9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<sst xmlns="http://schemas.openxmlformats.org/spreadsheetml/2006/main" count="1416" uniqueCount="348">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</sst>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6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82" fillId="0" borderId="1" xfId="0" applyNumberFormat="1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5" fillId="0" borderId="74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85" fillId="0" borderId="76" xfId="0" applyFont="1" applyBorder="1" applyAlignment="1">
      <alignment horizontal="center" vertical="center" wrapText="1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V28" sqref="V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9" t="s">
        <v>5</v>
      </c>
      <c r="F8" s="509"/>
      <c r="G8" s="509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10" t="s">
        <v>7</v>
      </c>
      <c r="G9" s="510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510" t="s">
        <v>8</v>
      </c>
      <c r="G10" s="510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510" t="s">
        <v>9</v>
      </c>
      <c r="G11" s="510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510" t="s">
        <v>10</v>
      </c>
      <c r="G12" s="510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9" t="s">
        <v>11</v>
      </c>
      <c r="F13" s="509"/>
      <c r="G13" s="509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510" t="s">
        <v>7</v>
      </c>
      <c r="G14" s="510"/>
    </row>
    <row r="15" spans="1:17" s="167" customFormat="1">
      <c r="A15" s="4"/>
      <c r="B15" s="4"/>
      <c r="C15" s="4"/>
      <c r="D15" s="4"/>
      <c r="E15" s="233">
        <v>1</v>
      </c>
      <c r="F15" s="510" t="s">
        <v>8</v>
      </c>
      <c r="G15" s="510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10" t="s">
        <v>9</v>
      </c>
      <c r="G16" s="510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510" t="s">
        <v>10</v>
      </c>
      <c r="G17" s="510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1" t="s">
        <v>14</v>
      </c>
      <c r="B26" s="491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1" t="s">
        <v>15</v>
      </c>
      <c r="B27" s="491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92" t="s">
        <v>339</v>
      </c>
      <c r="J44" s="493"/>
      <c r="K44" s="494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501" t="s">
        <v>340</v>
      </c>
      <c r="J45" s="502"/>
      <c r="K45" s="503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95" t="s">
        <v>36</v>
      </c>
      <c r="D46" s="495"/>
      <c r="E46" s="4"/>
      <c r="F46" s="4"/>
      <c r="G46" s="4"/>
      <c r="H46" s="224" t="s">
        <v>37</v>
      </c>
      <c r="I46" s="492" t="s">
        <v>338</v>
      </c>
      <c r="J46" s="493"/>
      <c r="K46" s="494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95" t="s">
        <v>40</v>
      </c>
      <c r="D47" s="495"/>
      <c r="E47" s="4"/>
      <c r="F47" s="4"/>
      <c r="G47" s="4"/>
      <c r="H47" s="224" t="s">
        <v>41</v>
      </c>
      <c r="I47" s="504" t="s">
        <v>341</v>
      </c>
      <c r="J47" s="505"/>
      <c r="K47" s="506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96" t="s">
        <v>293</v>
      </c>
      <c r="K48" s="496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97">
        <f>LongTest!C10</f>
        <v>45454.472222222219</v>
      </c>
      <c r="J49" s="497"/>
      <c r="K49" s="497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507"/>
      <c r="K50" s="508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8"/>
      <c r="J51" s="499"/>
      <c r="K51" s="500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90" t="s">
        <v>243</v>
      </c>
      <c r="J53" s="490"/>
      <c r="K53" s="490"/>
      <c r="L53" s="490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9" t="s">
        <v>62</v>
      </c>
      <c r="E57" s="480"/>
      <c r="F57" s="479" t="s">
        <v>61</v>
      </c>
      <c r="G57" s="480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79" t="s">
        <v>66</v>
      </c>
      <c r="M57" s="481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73">
        <v>0.22439999999999999</v>
      </c>
      <c r="E58" s="474"/>
      <c r="F58" s="473"/>
      <c r="G58" s="474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82">
        <f>B59</f>
        <v>59.61</v>
      </c>
      <c r="D59" s="484">
        <v>0.15190000000000001</v>
      </c>
      <c r="E59" s="485"/>
      <c r="F59" s="486">
        <f>INT((D59+D60)/1*10000000)/10000000</f>
        <v>0.15190000000000001</v>
      </c>
      <c r="G59" s="487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83"/>
      <c r="D60" s="484"/>
      <c r="E60" s="485"/>
      <c r="F60" s="488"/>
      <c r="G60" s="489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73"/>
      <c r="E61" s="474"/>
      <c r="F61" s="473"/>
      <c r="G61" s="474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75"/>
      <c r="E62" s="476"/>
      <c r="F62" s="477">
        <f>F59</f>
        <v>0.15190000000000001</v>
      </c>
      <c r="G62" s="478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8" sqref="H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3" t="s">
        <v>160</v>
      </c>
      <c r="B4" s="513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3" t="s">
        <v>161</v>
      </c>
      <c r="B5" s="513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3" t="s">
        <v>162</v>
      </c>
      <c r="B6" s="513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3" t="s">
        <v>163</v>
      </c>
      <c r="B7" s="513"/>
      <c r="C7" s="311" t="str">
        <f>Input!I47</f>
        <v>주식회사 한일지하수</v>
      </c>
      <c r="D7" s="312"/>
      <c r="E7" s="303"/>
      <c r="F7" s="313"/>
      <c r="G7" s="314">
        <f>Input!I49</f>
        <v>45454.472222222219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4">
        <f>Input!I48</f>
        <v>5</v>
      </c>
      <c r="D8" s="515"/>
      <c r="E8" s="516"/>
      <c r="F8" s="318" t="s">
        <v>165</v>
      </c>
      <c r="G8" s="314">
        <f>G7</f>
        <v>45454.472222222219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7">
        <f>Input!M44</f>
        <v>200</v>
      </c>
      <c r="E9" s="517"/>
      <c r="F9" s="301" t="s">
        <v>168</v>
      </c>
      <c r="G9" s="518">
        <f>Input!M45</f>
        <v>100</v>
      </c>
      <c r="H9" s="518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9">
        <f>Input!M48</f>
        <v>9.4499999999999993</v>
      </c>
      <c r="E10" s="520"/>
      <c r="F10" s="321" t="s">
        <v>4</v>
      </c>
      <c r="G10" s="521" t="s">
        <v>4</v>
      </c>
      <c r="H10" s="521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2" t="s">
        <v>173</v>
      </c>
      <c r="E11" s="522"/>
      <c r="F11" s="322" t="s">
        <v>174</v>
      </c>
      <c r="G11" s="523" t="s">
        <v>175</v>
      </c>
      <c r="H11" s="523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1">
        <v>1</v>
      </c>
      <c r="E12" s="511"/>
      <c r="F12" s="326">
        <f>G12+$D$10</f>
        <v>10.45</v>
      </c>
      <c r="G12" s="512">
        <f>AD4</f>
        <v>1</v>
      </c>
      <c r="H12" s="512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1">
        <v>2</v>
      </c>
      <c r="E13" s="511"/>
      <c r="F13" s="326">
        <f t="shared" ref="F13:F51" si="13">G13+$D$10</f>
        <v>11.27</v>
      </c>
      <c r="G13" s="512">
        <f t="shared" ref="G13:G51" si="14">AD5</f>
        <v>1.82</v>
      </c>
      <c r="H13" s="512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1">
        <v>3</v>
      </c>
      <c r="E14" s="511"/>
      <c r="F14" s="326">
        <f t="shared" si="13"/>
        <v>11.75</v>
      </c>
      <c r="G14" s="512">
        <f t="shared" si="14"/>
        <v>2.2999999999999998</v>
      </c>
      <c r="H14" s="512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1">
        <v>4</v>
      </c>
      <c r="E15" s="511"/>
      <c r="F15" s="326">
        <f t="shared" si="13"/>
        <v>12.079999999999998</v>
      </c>
      <c r="G15" s="512">
        <f t="shared" si="14"/>
        <v>2.63</v>
      </c>
      <c r="H15" s="512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1">
        <v>5</v>
      </c>
      <c r="E16" s="511"/>
      <c r="F16" s="326">
        <f t="shared" si="13"/>
        <v>12.35</v>
      </c>
      <c r="G16" s="512">
        <f t="shared" si="14"/>
        <v>2.9</v>
      </c>
      <c r="H16" s="512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1">
        <v>10</v>
      </c>
      <c r="E17" s="511"/>
      <c r="F17" s="326">
        <f t="shared" si="13"/>
        <v>13.16</v>
      </c>
      <c r="G17" s="512">
        <f t="shared" si="14"/>
        <v>3.71</v>
      </c>
      <c r="H17" s="512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1">
        <v>15</v>
      </c>
      <c r="E18" s="511"/>
      <c r="F18" s="326">
        <f t="shared" si="13"/>
        <v>13.64</v>
      </c>
      <c r="G18" s="512">
        <f t="shared" si="14"/>
        <v>4.1900000000000004</v>
      </c>
      <c r="H18" s="512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1">
        <v>20</v>
      </c>
      <c r="E19" s="511"/>
      <c r="F19" s="326">
        <f t="shared" si="13"/>
        <v>13.98</v>
      </c>
      <c r="G19" s="512">
        <f t="shared" si="14"/>
        <v>4.53</v>
      </c>
      <c r="H19" s="512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1">
        <v>25</v>
      </c>
      <c r="E20" s="511"/>
      <c r="F20" s="326">
        <f t="shared" si="13"/>
        <v>14.239999999999998</v>
      </c>
      <c r="G20" s="512">
        <f t="shared" si="14"/>
        <v>4.79</v>
      </c>
      <c r="H20" s="512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1">
        <v>30</v>
      </c>
      <c r="E21" s="511"/>
      <c r="F21" s="326">
        <f t="shared" si="13"/>
        <v>14.45</v>
      </c>
      <c r="G21" s="512">
        <f t="shared" si="14"/>
        <v>5</v>
      </c>
      <c r="H21" s="512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1">
        <v>35</v>
      </c>
      <c r="E22" s="511"/>
      <c r="F22" s="326">
        <f t="shared" si="13"/>
        <v>14.64</v>
      </c>
      <c r="G22" s="512">
        <f t="shared" si="14"/>
        <v>5.19</v>
      </c>
      <c r="H22" s="512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1">
        <v>40</v>
      </c>
      <c r="E23" s="511"/>
      <c r="F23" s="326">
        <f t="shared" si="13"/>
        <v>14.79</v>
      </c>
      <c r="G23" s="512">
        <f t="shared" si="14"/>
        <v>5.34</v>
      </c>
      <c r="H23" s="512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1">
        <v>45</v>
      </c>
      <c r="E24" s="511"/>
      <c r="F24" s="326">
        <f t="shared" si="13"/>
        <v>14.93</v>
      </c>
      <c r="G24" s="512">
        <f t="shared" si="14"/>
        <v>5.48</v>
      </c>
      <c r="H24" s="512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1">
        <v>50</v>
      </c>
      <c r="E25" s="511"/>
      <c r="F25" s="326">
        <f t="shared" si="13"/>
        <v>15.059999999999999</v>
      </c>
      <c r="G25" s="512">
        <f t="shared" si="14"/>
        <v>5.61</v>
      </c>
      <c r="H25" s="512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1">
        <v>55</v>
      </c>
      <c r="E26" s="511"/>
      <c r="F26" s="326">
        <f t="shared" si="13"/>
        <v>15.169999999999998</v>
      </c>
      <c r="G26" s="512">
        <f t="shared" si="14"/>
        <v>5.72</v>
      </c>
      <c r="H26" s="512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1">
        <v>60</v>
      </c>
      <c r="E27" s="511"/>
      <c r="F27" s="326">
        <f t="shared" si="13"/>
        <v>15.27</v>
      </c>
      <c r="G27" s="512">
        <f t="shared" si="14"/>
        <v>5.82</v>
      </c>
      <c r="H27" s="512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1">
        <v>75</v>
      </c>
      <c r="E28" s="511"/>
      <c r="F28" s="326">
        <f t="shared" si="13"/>
        <v>15.53</v>
      </c>
      <c r="G28" s="512">
        <f t="shared" si="14"/>
        <v>6.08</v>
      </c>
      <c r="H28" s="512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1">
        <v>90</v>
      </c>
      <c r="E29" s="511"/>
      <c r="F29" s="326">
        <f t="shared" si="13"/>
        <v>15.75</v>
      </c>
      <c r="G29" s="512">
        <f t="shared" si="14"/>
        <v>6.3</v>
      </c>
      <c r="H29" s="512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1">
        <v>105</v>
      </c>
      <c r="E30" s="511"/>
      <c r="F30" s="326">
        <f t="shared" si="13"/>
        <v>15.93</v>
      </c>
      <c r="G30" s="512">
        <f t="shared" si="14"/>
        <v>6.48</v>
      </c>
      <c r="H30" s="512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1">
        <v>120</v>
      </c>
      <c r="E31" s="511"/>
      <c r="F31" s="326">
        <f t="shared" si="13"/>
        <v>16.09</v>
      </c>
      <c r="G31" s="512">
        <f t="shared" si="14"/>
        <v>6.64</v>
      </c>
      <c r="H31" s="512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1">
        <v>130</v>
      </c>
      <c r="E32" s="511"/>
      <c r="F32" s="326">
        <f t="shared" si="13"/>
        <v>17.419999999999998</v>
      </c>
      <c r="G32" s="512">
        <f t="shared" si="14"/>
        <v>7.97</v>
      </c>
      <c r="H32" s="512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1">
        <v>140</v>
      </c>
      <c r="E33" s="511"/>
      <c r="F33" s="326">
        <f t="shared" si="13"/>
        <v>17.64</v>
      </c>
      <c r="G33" s="512">
        <f t="shared" si="14"/>
        <v>8.19</v>
      </c>
      <c r="H33" s="512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1">
        <v>150</v>
      </c>
      <c r="E34" s="511"/>
      <c r="F34" s="326">
        <f t="shared" si="13"/>
        <v>17.86</v>
      </c>
      <c r="G34" s="512">
        <f t="shared" si="14"/>
        <v>8.41</v>
      </c>
      <c r="H34" s="512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1">
        <v>180</v>
      </c>
      <c r="E35" s="511"/>
      <c r="F35" s="326">
        <f t="shared" si="13"/>
        <v>18.079999999999998</v>
      </c>
      <c r="G35" s="512">
        <f t="shared" si="14"/>
        <v>8.6300000000000008</v>
      </c>
      <c r="H35" s="512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1">
        <v>240</v>
      </c>
      <c r="E36" s="511"/>
      <c r="F36" s="326">
        <f t="shared" si="13"/>
        <v>18.309999999999999</v>
      </c>
      <c r="G36" s="512">
        <f t="shared" si="14"/>
        <v>8.86</v>
      </c>
      <c r="H36" s="512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1">
        <v>250</v>
      </c>
      <c r="E37" s="511"/>
      <c r="F37" s="326">
        <f t="shared" si="13"/>
        <v>19.799999999999997</v>
      </c>
      <c r="G37" s="512">
        <f t="shared" si="14"/>
        <v>10.35</v>
      </c>
      <c r="H37" s="512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1">
        <v>260</v>
      </c>
      <c r="E38" s="511"/>
      <c r="F38" s="326">
        <f t="shared" si="13"/>
        <v>20.049999999999997</v>
      </c>
      <c r="G38" s="512">
        <f t="shared" si="14"/>
        <v>10.6</v>
      </c>
      <c r="H38" s="512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1">
        <v>270</v>
      </c>
      <c r="E39" s="511"/>
      <c r="F39" s="326">
        <f t="shared" si="13"/>
        <v>20.299999999999997</v>
      </c>
      <c r="G39" s="512">
        <f t="shared" si="14"/>
        <v>10.85</v>
      </c>
      <c r="H39" s="512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1">
        <v>300</v>
      </c>
      <c r="E40" s="511"/>
      <c r="F40" s="326">
        <f t="shared" si="13"/>
        <v>20.549999999999997</v>
      </c>
      <c r="G40" s="512">
        <f t="shared" si="14"/>
        <v>11.1</v>
      </c>
      <c r="H40" s="512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1">
        <v>360</v>
      </c>
      <c r="E41" s="511"/>
      <c r="F41" s="326">
        <f t="shared" si="13"/>
        <v>20.799999999999997</v>
      </c>
      <c r="G41" s="512">
        <f t="shared" si="14"/>
        <v>11.35</v>
      </c>
      <c r="H41" s="512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1">
        <v>370</v>
      </c>
      <c r="E42" s="511"/>
      <c r="F42" s="326">
        <f t="shared" si="13"/>
        <v>22.46</v>
      </c>
      <c r="G42" s="512">
        <f t="shared" si="14"/>
        <v>13.01</v>
      </c>
      <c r="H42" s="512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1">
        <v>380</v>
      </c>
      <c r="E43" s="511"/>
      <c r="F43" s="326">
        <f t="shared" si="13"/>
        <v>22.74</v>
      </c>
      <c r="G43" s="512">
        <f t="shared" si="14"/>
        <v>13.29</v>
      </c>
      <c r="H43" s="512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1">
        <v>390</v>
      </c>
      <c r="E44" s="511"/>
      <c r="F44" s="326">
        <f t="shared" si="13"/>
        <v>23.02</v>
      </c>
      <c r="G44" s="512">
        <f t="shared" si="14"/>
        <v>13.57</v>
      </c>
      <c r="H44" s="512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1">
        <v>420</v>
      </c>
      <c r="E45" s="511"/>
      <c r="F45" s="326">
        <f t="shared" si="13"/>
        <v>23.299999999999997</v>
      </c>
      <c r="G45" s="512">
        <f t="shared" si="14"/>
        <v>13.85</v>
      </c>
      <c r="H45" s="512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1">
        <v>480</v>
      </c>
      <c r="E46" s="511"/>
      <c r="F46" s="326">
        <f t="shared" si="13"/>
        <v>23.58</v>
      </c>
      <c r="G46" s="512">
        <f t="shared" si="14"/>
        <v>14.13</v>
      </c>
      <c r="H46" s="512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1">
        <v>490</v>
      </c>
      <c r="E47" s="511"/>
      <c r="F47" s="326">
        <f t="shared" si="13"/>
        <v>25.27</v>
      </c>
      <c r="G47" s="512">
        <f t="shared" si="14"/>
        <v>15.82</v>
      </c>
      <c r="H47" s="512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1">
        <v>500</v>
      </c>
      <c r="E48" s="511"/>
      <c r="F48" s="326">
        <f t="shared" si="13"/>
        <v>25.9</v>
      </c>
      <c r="G48" s="512">
        <f t="shared" si="14"/>
        <v>16.45</v>
      </c>
      <c r="H48" s="512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1">
        <v>510</v>
      </c>
      <c r="E49" s="511"/>
      <c r="F49" s="326">
        <f t="shared" si="13"/>
        <v>26.54</v>
      </c>
      <c r="G49" s="512">
        <f t="shared" si="14"/>
        <v>17.09</v>
      </c>
      <c r="H49" s="512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1">
        <v>540</v>
      </c>
      <c r="E50" s="511"/>
      <c r="F50" s="326">
        <f t="shared" si="13"/>
        <v>27.169999999999998</v>
      </c>
      <c r="G50" s="512">
        <f t="shared" si="14"/>
        <v>17.72</v>
      </c>
      <c r="H50" s="512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1">
        <v>600</v>
      </c>
      <c r="E51" s="511"/>
      <c r="F51" s="326">
        <f t="shared" si="13"/>
        <v>27.81</v>
      </c>
      <c r="G51" s="512">
        <f t="shared" si="14"/>
        <v>18.36</v>
      </c>
      <c r="H51" s="512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C10" sqref="C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5" t="s">
        <v>183</v>
      </c>
      <c r="O1" s="525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6">
        <f>StepTest!C8</f>
        <v>5</v>
      </c>
      <c r="D6" s="526"/>
      <c r="E6" s="527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8" t="s">
        <v>173</v>
      </c>
      <c r="E9" s="528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4" t="s">
        <v>191</v>
      </c>
      <c r="I78" s="524"/>
      <c r="J78" s="524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4"/>
      <c r="I79" s="524"/>
      <c r="J79" s="524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4"/>
      <c r="I80" s="524"/>
      <c r="J80" s="524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4"/>
      <c r="I81" s="524"/>
      <c r="J81" s="524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4"/>
      <c r="I82" s="524"/>
      <c r="J82" s="524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4"/>
      <c r="I83" s="524"/>
      <c r="J83" s="524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4"/>
      <c r="I84" s="524"/>
      <c r="J84" s="524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4"/>
      <c r="I85" s="524"/>
      <c r="J85" s="524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4"/>
      <c r="I86" s="524"/>
      <c r="J86" s="524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4"/>
      <c r="I87" s="524"/>
      <c r="J87" s="524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4"/>
      <c r="I88" s="524"/>
      <c r="J88" s="524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4"/>
      <c r="I89" s="524"/>
      <c r="J89" s="524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4"/>
      <c r="I90" s="524"/>
      <c r="J90" s="524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4"/>
      <c r="I91" s="524"/>
      <c r="J91" s="524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4"/>
      <c r="I92" s="524"/>
      <c r="J92" s="524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4"/>
      <c r="I93" s="524"/>
      <c r="J93" s="524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4"/>
      <c r="I94" s="524"/>
      <c r="J94" s="524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4"/>
      <c r="I95" s="524"/>
      <c r="J95" s="524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4"/>
      <c r="I96" s="524"/>
      <c r="J96" s="524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4"/>
      <c r="I97" s="524"/>
      <c r="J97" s="524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4"/>
      <c r="I98" s="524"/>
      <c r="J98" s="524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4"/>
      <c r="I99" s="524"/>
      <c r="J99" s="524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4"/>
      <c r="I100" s="524"/>
      <c r="J100" s="524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4"/>
      <c r="I101" s="524"/>
      <c r="J101" s="524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topLeftCell="A4" workbookViewId="0">
      <selection activeCell="J26" sqref="J25:J26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9"/>
      <c r="M6" s="529"/>
      <c r="N6" s="529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12" zoomScaleNormal="100" zoomScaleSheetLayoutView="100" workbookViewId="0">
      <selection activeCell="M34" sqref="M34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6" t="s">
        <v>316</v>
      </c>
      <c r="B1" s="536"/>
      <c r="C1" s="536"/>
      <c r="D1" s="536"/>
      <c r="E1" s="536"/>
      <c r="F1" s="536"/>
      <c r="G1" s="536"/>
      <c r="H1" s="536"/>
      <c r="I1" s="536"/>
      <c r="J1" s="536"/>
    </row>
    <row r="2" spans="1:10" ht="24.95" customHeight="1">
      <c r="A2" s="537" t="s">
        <v>295</v>
      </c>
      <c r="B2" s="538"/>
      <c r="C2" s="539" t="str">
        <f>LongTest!C2</f>
        <v>순성중명아파트 이용허가 유효기간의 연장을 위한 지하수영향조사보고서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296</v>
      </c>
      <c r="B3" s="543"/>
      <c r="C3" s="547" t="str">
        <f>LongTest!C4</f>
        <v>충청남도 당진시 순성면 순성로 453-30번지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322</v>
      </c>
    </row>
    <row r="4" spans="1:10" ht="24.95" customHeight="1">
      <c r="A4" s="542" t="s">
        <v>297</v>
      </c>
      <c r="B4" s="543"/>
      <c r="C4" s="544">
        <f>LongTest!C10</f>
        <v>45454.472222222219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298</v>
      </c>
      <c r="B5" s="543"/>
      <c r="C5" s="544">
        <f>C103</f>
        <v>45456.722222222219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294</v>
      </c>
      <c r="B6" s="543"/>
      <c r="C6" s="551" t="str">
        <f>LongTest!C5</f>
        <v>주식회사 한일지하수</v>
      </c>
      <c r="D6" s="552"/>
      <c r="E6" s="552"/>
      <c r="F6" s="552"/>
      <c r="G6" s="552"/>
      <c r="H6" s="552"/>
      <c r="I6" s="552"/>
      <c r="J6" s="553"/>
    </row>
    <row r="7" spans="1:10" ht="24.95" customHeight="1">
      <c r="A7" s="542" t="s">
        <v>299</v>
      </c>
      <c r="B7" s="543"/>
      <c r="C7" s="550" t="s">
        <v>326</v>
      </c>
      <c r="D7" s="543"/>
      <c r="E7" s="426">
        <f>LongTest!C6</f>
        <v>5</v>
      </c>
      <c r="F7" s="426" t="s">
        <v>300</v>
      </c>
      <c r="G7" s="426" t="s">
        <v>328</v>
      </c>
      <c r="H7" s="550">
        <f>Input!I50</f>
        <v>50</v>
      </c>
      <c r="I7" s="543"/>
      <c r="J7" s="427" t="s">
        <v>301</v>
      </c>
    </row>
    <row r="8" spans="1:10" ht="24.95" customHeight="1">
      <c r="A8" s="542" t="s">
        <v>302</v>
      </c>
      <c r="B8" s="543"/>
      <c r="C8" s="550" t="s">
        <v>327</v>
      </c>
      <c r="D8" s="543"/>
      <c r="E8" s="426">
        <f>LongTest!D7</f>
        <v>200</v>
      </c>
      <c r="F8" s="426" t="s">
        <v>303</v>
      </c>
      <c r="G8" s="426" t="s">
        <v>304</v>
      </c>
      <c r="H8" s="550">
        <f>LongTest!G7</f>
        <v>100</v>
      </c>
      <c r="I8" s="543"/>
      <c r="J8" s="427" t="s">
        <v>301</v>
      </c>
    </row>
    <row r="9" spans="1:10" ht="24.95" customHeight="1">
      <c r="A9" s="542" t="s">
        <v>305</v>
      </c>
      <c r="B9" s="543"/>
      <c r="C9" s="550" t="s">
        <v>325</v>
      </c>
      <c r="D9" s="543"/>
      <c r="E9" s="426">
        <f>LongTest!D8</f>
        <v>9.4499999999999993</v>
      </c>
      <c r="F9" s="426" t="s">
        <v>301</v>
      </c>
      <c r="G9" s="426" t="s">
        <v>306</v>
      </c>
      <c r="H9" s="550">
        <f>LongTest!G8</f>
        <v>25.330000000000002</v>
      </c>
      <c r="I9" s="543"/>
      <c r="J9" s="427" t="s">
        <v>301</v>
      </c>
    </row>
    <row r="10" spans="1:10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9">
        <f>LongTest!B10</f>
        <v>150</v>
      </c>
      <c r="C12" s="430">
        <f t="shared" ref="C12:C43" si="0">$C$4+D12/1440</f>
        <v>45454.472916666666</v>
      </c>
      <c r="D12" s="554">
        <v>1</v>
      </c>
      <c r="E12" s="554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4">
        <v>2</v>
      </c>
      <c r="E13" s="554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4">
        <v>3</v>
      </c>
      <c r="E14" s="554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4">
        <v>4</v>
      </c>
      <c r="E15" s="554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4">
        <v>5</v>
      </c>
      <c r="E16" s="554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4">
        <v>10</v>
      </c>
      <c r="E17" s="554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4">
        <v>15</v>
      </c>
      <c r="E18" s="554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4">
        <v>20</v>
      </c>
      <c r="E19" s="554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4">
        <v>25</v>
      </c>
      <c r="E20" s="554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4">
        <v>30</v>
      </c>
      <c r="E21" s="554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4">
        <v>35</v>
      </c>
      <c r="E22" s="554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4">
        <v>40</v>
      </c>
      <c r="E23" s="554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4">
        <v>45</v>
      </c>
      <c r="E24" s="554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4">
        <v>50</v>
      </c>
      <c r="E25" s="554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4">
        <v>55</v>
      </c>
      <c r="E26" s="554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4">
        <v>60</v>
      </c>
      <c r="E27" s="554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4">
        <v>75</v>
      </c>
      <c r="E28" s="554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4">
        <v>90</v>
      </c>
      <c r="E29" s="554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4">
        <v>105</v>
      </c>
      <c r="E30" s="554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4">
        <v>120</v>
      </c>
      <c r="E31" s="554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4">
        <v>140</v>
      </c>
      <c r="E32" s="554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4">
        <v>160</v>
      </c>
      <c r="E33" s="554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4">
        <v>180</v>
      </c>
      <c r="E34" s="554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4">
        <v>240</v>
      </c>
      <c r="E35" s="554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4">
        <v>300</v>
      </c>
      <c r="E36" s="554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4">
        <v>360</v>
      </c>
      <c r="E37" s="554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4">
        <v>420</v>
      </c>
      <c r="E38" s="554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4">
        <v>480</v>
      </c>
      <c r="E39" s="554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4">
        <v>540</v>
      </c>
      <c r="E40" s="554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4">
        <v>600</v>
      </c>
      <c r="E41" s="554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4">
        <v>660</v>
      </c>
      <c r="E42" s="554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4">
        <v>720</v>
      </c>
      <c r="E43" s="554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4">
        <v>780</v>
      </c>
      <c r="E44" s="554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4">
        <v>840</v>
      </c>
      <c r="E45" s="554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4">
        <v>900</v>
      </c>
      <c r="E46" s="554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4">
        <v>960</v>
      </c>
      <c r="E47" s="554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4">
        <v>1020</v>
      </c>
      <c r="E48" s="554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4">
        <v>1080</v>
      </c>
      <c r="E49" s="554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4">
        <v>1140</v>
      </c>
      <c r="E50" s="554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4">
        <v>1200</v>
      </c>
      <c r="E51" s="554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4">
        <v>1260</v>
      </c>
      <c r="E52" s="554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4">
        <v>1320</v>
      </c>
      <c r="E53" s="554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4">
        <v>1380</v>
      </c>
      <c r="E54" s="554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4">
        <v>1440</v>
      </c>
      <c r="E55" s="554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30">
        <v>1500</v>
      </c>
      <c r="E56" s="557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30">
        <v>1560</v>
      </c>
      <c r="E57" s="557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30">
        <v>1620</v>
      </c>
      <c r="E58" s="557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30">
        <v>1680</v>
      </c>
      <c r="E59" s="557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30">
        <v>1740</v>
      </c>
      <c r="E60" s="557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30">
        <v>1800</v>
      </c>
      <c r="E61" s="557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30">
        <v>1860</v>
      </c>
      <c r="E62" s="557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30">
        <v>1920</v>
      </c>
      <c r="E63" s="557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30">
        <v>1980</v>
      </c>
      <c r="E64" s="557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30">
        <v>2040</v>
      </c>
      <c r="E65" s="557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30">
        <v>2100</v>
      </c>
      <c r="E66" s="557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30">
        <v>2160</v>
      </c>
      <c r="E67" s="557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30">
        <v>2220</v>
      </c>
      <c r="E68" s="557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30">
        <v>2280</v>
      </c>
      <c r="E69" s="557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30">
        <v>2340</v>
      </c>
      <c r="E70" s="557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30">
        <v>2400</v>
      </c>
      <c r="E71" s="557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30">
        <v>2460</v>
      </c>
      <c r="E72" s="557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30">
        <v>2520</v>
      </c>
      <c r="E73" s="557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30">
        <v>2580</v>
      </c>
      <c r="E74" s="557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30">
        <v>2640</v>
      </c>
      <c r="E75" s="557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30">
        <v>2700</v>
      </c>
      <c r="E76" s="557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30">
        <v>2760</v>
      </c>
      <c r="E77" s="557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30">
        <v>2820</v>
      </c>
      <c r="E78" s="557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30">
        <v>2880</v>
      </c>
      <c r="E79" s="557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30">
        <v>1</v>
      </c>
      <c r="E80" s="557"/>
      <c r="F80" s="431">
        <f>LongTest!F78</f>
        <v>20.232796980712919</v>
      </c>
      <c r="G80" s="431">
        <f>LongTest!G78</f>
        <v>10.782796980712918</v>
      </c>
      <c r="H80" s="550" t="s">
        <v>191</v>
      </c>
      <c r="I80" s="559"/>
      <c r="J80" s="560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30">
        <v>2</v>
      </c>
      <c r="E81" s="557"/>
      <c r="F81" s="431">
        <f>LongTest!F79</f>
        <v>19.374437782107812</v>
      </c>
      <c r="G81" s="431">
        <f>LongTest!G79</f>
        <v>9.9244377821078142</v>
      </c>
      <c r="H81" s="530"/>
      <c r="I81" s="531"/>
      <c r="J81" s="532"/>
    </row>
    <row r="82" spans="1:10" ht="24.95" customHeight="1">
      <c r="A82" s="453"/>
      <c r="B82" s="430"/>
      <c r="C82" s="430">
        <f t="shared" si="6"/>
        <v>45456.474305555552</v>
      </c>
      <c r="D82" s="530">
        <v>3</v>
      </c>
      <c r="E82" s="557"/>
      <c r="F82" s="431">
        <f>LongTest!F80</f>
        <v>18.58440784122201</v>
      </c>
      <c r="G82" s="431">
        <f>LongTest!G80</f>
        <v>9.1344078412220089</v>
      </c>
      <c r="H82" s="530"/>
      <c r="I82" s="531"/>
      <c r="J82" s="532"/>
    </row>
    <row r="83" spans="1:10" ht="24.95" customHeight="1">
      <c r="A83" s="453"/>
      <c r="B83" s="430"/>
      <c r="C83" s="430">
        <f t="shared" si="6"/>
        <v>45456.474999999999</v>
      </c>
      <c r="D83" s="530">
        <v>4</v>
      </c>
      <c r="E83" s="557"/>
      <c r="F83" s="431">
        <f>LongTest!F81</f>
        <v>17.857267841429007</v>
      </c>
      <c r="G83" s="431">
        <f>LongTest!G81</f>
        <v>8.4072678414290092</v>
      </c>
      <c r="H83" s="530"/>
      <c r="I83" s="531"/>
      <c r="J83" s="532"/>
    </row>
    <row r="84" spans="1:10" ht="24.95" customHeight="1">
      <c r="A84" s="453"/>
      <c r="B84" s="430"/>
      <c r="C84" s="430">
        <f t="shared" si="6"/>
        <v>45456.475694444438</v>
      </c>
      <c r="D84" s="530">
        <v>5</v>
      </c>
      <c r="E84" s="557"/>
      <c r="F84" s="431">
        <f>LongTest!F82</f>
        <v>17.188011460201068</v>
      </c>
      <c r="G84" s="431">
        <f>LongTest!G82</f>
        <v>7.7380114602010686</v>
      </c>
      <c r="H84" s="530"/>
      <c r="I84" s="531"/>
      <c r="J84" s="532"/>
    </row>
    <row r="85" spans="1:10" ht="24.95" customHeight="1">
      <c r="A85" s="453"/>
      <c r="B85" s="430"/>
      <c r="C85" s="430">
        <f t="shared" si="6"/>
        <v>45456.479166666664</v>
      </c>
      <c r="D85" s="530">
        <v>10</v>
      </c>
      <c r="E85" s="557"/>
      <c r="F85" s="431">
        <f>LongTest!F83</f>
        <v>15.483270868618019</v>
      </c>
      <c r="G85" s="431">
        <f>LongTest!G83</f>
        <v>6.0332708686180201</v>
      </c>
      <c r="H85" s="530"/>
      <c r="I85" s="531"/>
      <c r="J85" s="532"/>
    </row>
    <row r="86" spans="1:10" ht="24.95" customHeight="1">
      <c r="A86" s="453"/>
      <c r="B86" s="430"/>
      <c r="C86" s="430">
        <f t="shared" si="6"/>
        <v>45456.482638888883</v>
      </c>
      <c r="D86" s="530">
        <v>15</v>
      </c>
      <c r="E86" s="557"/>
      <c r="F86" s="431">
        <f>LongTest!F84</f>
        <v>15.158681504824028</v>
      </c>
      <c r="G86" s="431">
        <f>LongTest!G84</f>
        <v>5.7086815048240274</v>
      </c>
      <c r="H86" s="530"/>
      <c r="I86" s="531"/>
      <c r="J86" s="532"/>
    </row>
    <row r="87" spans="1:10" ht="24.95" customHeight="1">
      <c r="A87" s="453"/>
      <c r="B87" s="430"/>
      <c r="C87" s="430">
        <f t="shared" si="6"/>
        <v>45456.486111111109</v>
      </c>
      <c r="D87" s="530">
        <v>20</v>
      </c>
      <c r="E87" s="557"/>
      <c r="F87" s="431">
        <f>LongTest!F85</f>
        <v>14.285983204912011</v>
      </c>
      <c r="G87" s="431">
        <f>LongTest!G85</f>
        <v>4.8359832049120115</v>
      </c>
      <c r="H87" s="530"/>
      <c r="I87" s="531"/>
      <c r="J87" s="532"/>
    </row>
    <row r="88" spans="1:10" ht="24.95" customHeight="1">
      <c r="A88" s="453"/>
      <c r="B88" s="430"/>
      <c r="C88" s="430">
        <f t="shared" si="6"/>
        <v>45456.489583333328</v>
      </c>
      <c r="D88" s="530">
        <v>25</v>
      </c>
      <c r="E88" s="557"/>
      <c r="F88" s="431">
        <f>LongTest!F86</f>
        <v>13.901017163572192</v>
      </c>
      <c r="G88" s="431">
        <f>LongTest!G86</f>
        <v>4.4510171635721916</v>
      </c>
      <c r="H88" s="530"/>
      <c r="I88" s="531"/>
      <c r="J88" s="532"/>
    </row>
    <row r="89" spans="1:10" ht="24.95" customHeight="1">
      <c r="A89" s="453"/>
      <c r="B89" s="430"/>
      <c r="C89" s="430">
        <f t="shared" si="6"/>
        <v>45456.493055555555</v>
      </c>
      <c r="D89" s="530">
        <v>30</v>
      </c>
      <c r="E89" s="557"/>
      <c r="F89" s="431">
        <f>LongTest!F87</f>
        <v>13.54669615276811</v>
      </c>
      <c r="G89" s="431">
        <f>LongTest!G87</f>
        <v>4.0966961527681098</v>
      </c>
      <c r="H89" s="530"/>
      <c r="I89" s="531"/>
      <c r="J89" s="532"/>
    </row>
    <row r="90" spans="1:10" ht="24.95" customHeight="1">
      <c r="A90" s="453"/>
      <c r="B90" s="430"/>
      <c r="C90" s="430">
        <f t="shared" si="6"/>
        <v>45456.496527777774</v>
      </c>
      <c r="D90" s="530">
        <v>35</v>
      </c>
      <c r="E90" s="557"/>
      <c r="F90" s="431">
        <f>LongTest!F88</f>
        <v>13.434971769034254</v>
      </c>
      <c r="G90" s="431">
        <f>LongTest!G88</f>
        <v>3.9849717690342552</v>
      </c>
      <c r="H90" s="530"/>
      <c r="I90" s="531"/>
      <c r="J90" s="532"/>
    </row>
    <row r="91" spans="1:10" ht="24.95" customHeight="1">
      <c r="A91" s="453"/>
      <c r="B91" s="430"/>
      <c r="C91" s="430">
        <f t="shared" si="6"/>
        <v>45456.5</v>
      </c>
      <c r="D91" s="530">
        <v>40</v>
      </c>
      <c r="E91" s="557"/>
      <c r="F91" s="431">
        <f>LongTest!F89</f>
        <v>13.326294313228475</v>
      </c>
      <c r="G91" s="431">
        <f>LongTest!G89</f>
        <v>3.8762943132284762</v>
      </c>
      <c r="H91" s="530"/>
      <c r="I91" s="531"/>
      <c r="J91" s="532"/>
    </row>
    <row r="92" spans="1:10" ht="24.95" customHeight="1">
      <c r="A92" s="453"/>
      <c r="B92" s="430"/>
      <c r="C92" s="430">
        <f t="shared" si="6"/>
        <v>45456.503472222219</v>
      </c>
      <c r="D92" s="530">
        <v>45</v>
      </c>
      <c r="E92" s="557"/>
      <c r="F92" s="431">
        <f>LongTest!F90</f>
        <v>13.220580690063166</v>
      </c>
      <c r="G92" s="431">
        <f>LongTest!G90</f>
        <v>3.7705806900631673</v>
      </c>
      <c r="H92" s="530"/>
      <c r="I92" s="531"/>
      <c r="J92" s="532"/>
    </row>
    <row r="93" spans="1:10" ht="24.95" customHeight="1">
      <c r="A93" s="453"/>
      <c r="B93" s="430"/>
      <c r="C93" s="430">
        <f t="shared" si="6"/>
        <v>45456.506944444438</v>
      </c>
      <c r="D93" s="530">
        <v>50</v>
      </c>
      <c r="E93" s="557"/>
      <c r="F93" s="431">
        <f>LongTest!F91</f>
        <v>13.11775007041093</v>
      </c>
      <c r="G93" s="431">
        <f>LongTest!G91</f>
        <v>3.6677500704109298</v>
      </c>
      <c r="H93" s="530"/>
      <c r="I93" s="531"/>
      <c r="J93" s="532"/>
    </row>
    <row r="94" spans="1:10" ht="24.95" customHeight="1">
      <c r="A94" s="453"/>
      <c r="B94" s="430"/>
      <c r="C94" s="430">
        <f t="shared" si="6"/>
        <v>45456.510416666664</v>
      </c>
      <c r="D94" s="530">
        <v>55</v>
      </c>
      <c r="E94" s="557"/>
      <c r="F94" s="431">
        <f>LongTest!F92</f>
        <v>13.017723829502245</v>
      </c>
      <c r="G94" s="431">
        <f>LongTest!G92</f>
        <v>3.5677238295022455</v>
      </c>
      <c r="H94" s="530"/>
      <c r="I94" s="531"/>
      <c r="J94" s="532"/>
    </row>
    <row r="95" spans="1:10" ht="24.95" customHeight="1">
      <c r="A95" s="453"/>
      <c r="B95" s="430"/>
      <c r="C95" s="430">
        <f t="shared" si="6"/>
        <v>45456.513888888883</v>
      </c>
      <c r="D95" s="530">
        <v>60</v>
      </c>
      <c r="E95" s="557"/>
      <c r="F95" s="431">
        <f>LongTest!F93</f>
        <v>12.920425486808609</v>
      </c>
      <c r="G95" s="431">
        <f>LongTest!G93</f>
        <v>3.4704254868086104</v>
      </c>
      <c r="H95" s="530"/>
      <c r="I95" s="531"/>
      <c r="J95" s="532"/>
    </row>
    <row r="96" spans="1:10" ht="24.95" customHeight="1">
      <c r="A96" s="453"/>
      <c r="B96" s="430"/>
      <c r="C96" s="430">
        <f t="shared" si="6"/>
        <v>45456.524305555555</v>
      </c>
      <c r="D96" s="530">
        <v>75</v>
      </c>
      <c r="E96" s="557"/>
      <c r="F96" s="431">
        <f>LongTest!F94</f>
        <v>12.825780647565169</v>
      </c>
      <c r="G96" s="431">
        <f>LongTest!G94</f>
        <v>3.3757806475651706</v>
      </c>
      <c r="H96" s="530"/>
      <c r="I96" s="531"/>
      <c r="J96" s="532"/>
    </row>
    <row r="97" spans="1:10" ht="24.95" customHeight="1">
      <c r="A97" s="453"/>
      <c r="B97" s="430"/>
      <c r="C97" s="430">
        <f t="shared" si="6"/>
        <v>45456.534722222219</v>
      </c>
      <c r="D97" s="530">
        <v>90</v>
      </c>
      <c r="E97" s="557"/>
      <c r="F97" s="431">
        <f>LongTest!F95</f>
        <v>12.733716945888137</v>
      </c>
      <c r="G97" s="431">
        <f>LongTest!G95</f>
        <v>3.2837169458881377</v>
      </c>
      <c r="H97" s="530"/>
      <c r="I97" s="531"/>
      <c r="J97" s="532"/>
    </row>
    <row r="98" spans="1:10" ht="24.95" customHeight="1">
      <c r="A98" s="453"/>
      <c r="B98" s="430"/>
      <c r="C98" s="430">
        <f t="shared" si="6"/>
        <v>45456.545138888883</v>
      </c>
      <c r="D98" s="530">
        <v>105</v>
      </c>
      <c r="E98" s="557"/>
      <c r="F98" s="431">
        <f>LongTest!F96</f>
        <v>12.644163989443497</v>
      </c>
      <c r="G98" s="431">
        <f>LongTest!G96</f>
        <v>3.194163989443497</v>
      </c>
      <c r="H98" s="530"/>
      <c r="I98" s="531"/>
      <c r="J98" s="532"/>
    </row>
    <row r="99" spans="1:10" ht="24.95" customHeight="1">
      <c r="A99" s="453"/>
      <c r="B99" s="430"/>
      <c r="C99" s="430">
        <f t="shared" si="6"/>
        <v>45456.555555555555</v>
      </c>
      <c r="D99" s="530">
        <v>120</v>
      </c>
      <c r="E99" s="557"/>
      <c r="F99" s="431">
        <f>LongTest!F97</f>
        <v>12.389894151376794</v>
      </c>
      <c r="G99" s="431">
        <f>LongTest!G97</f>
        <v>2.9398941513767949</v>
      </c>
      <c r="H99" s="530"/>
      <c r="I99" s="531"/>
      <c r="J99" s="532"/>
    </row>
    <row r="100" spans="1:10" ht="24.95" customHeight="1">
      <c r="A100" s="453"/>
      <c r="B100" s="430"/>
      <c r="C100" s="430">
        <f t="shared" si="6"/>
        <v>45456.597222222219</v>
      </c>
      <c r="D100" s="530">
        <v>180</v>
      </c>
      <c r="E100" s="557"/>
      <c r="F100" s="431">
        <f>LongTest!F98</f>
        <v>12.309717870281746</v>
      </c>
      <c r="G100" s="431">
        <f>LongTest!G98</f>
        <v>2.859717870281747</v>
      </c>
      <c r="H100" s="530"/>
      <c r="I100" s="531"/>
      <c r="J100" s="532"/>
    </row>
    <row r="101" spans="1:10" ht="24.95" customHeight="1">
      <c r="A101" s="453"/>
      <c r="B101" s="430"/>
      <c r="C101" s="430">
        <f t="shared" si="6"/>
        <v>45456.638888888883</v>
      </c>
      <c r="D101" s="530">
        <v>240</v>
      </c>
      <c r="E101" s="557"/>
      <c r="F101" s="431">
        <f>LongTest!F99</f>
        <v>11.872546708864883</v>
      </c>
      <c r="G101" s="431">
        <f>LongTest!G99</f>
        <v>2.4225467088648833</v>
      </c>
      <c r="H101" s="530"/>
      <c r="I101" s="531"/>
      <c r="J101" s="532"/>
    </row>
    <row r="102" spans="1:10" ht="24.95" customHeight="1">
      <c r="A102" s="453"/>
      <c r="B102" s="430"/>
      <c r="C102" s="430">
        <f t="shared" si="6"/>
        <v>45456.680555555555</v>
      </c>
      <c r="D102" s="530">
        <v>300</v>
      </c>
      <c r="E102" s="557"/>
      <c r="F102" s="431">
        <f>LongTest!F100</f>
        <v>11.502206833974805</v>
      </c>
      <c r="G102" s="431">
        <f>LongTest!G100</f>
        <v>2.0522068339748056</v>
      </c>
      <c r="H102" s="530"/>
      <c r="I102" s="531"/>
      <c r="J102" s="532"/>
    </row>
    <row r="103" spans="1:10" ht="24.95" customHeight="1" thickBot="1">
      <c r="A103" s="457"/>
      <c r="B103" s="458"/>
      <c r="C103" s="458">
        <f t="shared" si="6"/>
        <v>45456.722222222219</v>
      </c>
      <c r="D103" s="533">
        <v>360</v>
      </c>
      <c r="E103" s="558"/>
      <c r="F103" s="459">
        <f>LongTest!F101</f>
        <v>11.18848160450383</v>
      </c>
      <c r="G103" s="459">
        <f>LongTest!G101</f>
        <v>1.7384816045038303</v>
      </c>
      <c r="H103" s="533" t="s">
        <v>323</v>
      </c>
      <c r="I103" s="534"/>
      <c r="J103" s="535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610" t="s">
        <v>316</v>
      </c>
      <c r="B1" s="611"/>
      <c r="C1" s="611"/>
      <c r="D1" s="611"/>
      <c r="E1" s="611"/>
      <c r="F1" s="611"/>
      <c r="G1" s="611"/>
      <c r="H1" s="611"/>
      <c r="I1" s="611"/>
      <c r="J1" s="612"/>
    </row>
    <row r="2" spans="1:10" ht="24.95" customHeight="1">
      <c r="A2" s="537" t="s">
        <v>295</v>
      </c>
      <c r="B2" s="538"/>
      <c r="C2" s="539" t="str">
        <f>LongTest!C2</f>
        <v>순성중명아파트 이용허가 유효기간의 연장을 위한 지하수영향조사보고서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296</v>
      </c>
      <c r="B3" s="543"/>
      <c r="C3" s="547" t="str">
        <f>LongTest!C4</f>
        <v>충청남도 당진시 순성면 순성로 453-30번지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322</v>
      </c>
    </row>
    <row r="4" spans="1:10" ht="24.95" customHeight="1">
      <c r="A4" s="542" t="s">
        <v>297</v>
      </c>
      <c r="B4" s="543"/>
      <c r="C4" s="544">
        <f>LongTest!C10</f>
        <v>45454.472222222219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298</v>
      </c>
      <c r="B5" s="543"/>
      <c r="C5" s="544">
        <f>C77</f>
        <v>45455.555555555555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294</v>
      </c>
      <c r="B6" s="543"/>
      <c r="C6" s="551" t="str">
        <f>LongTest!C5</f>
        <v>주식회사 한일지하수</v>
      </c>
      <c r="D6" s="552"/>
      <c r="E6" s="552"/>
      <c r="F6" s="552"/>
      <c r="G6" s="552"/>
      <c r="H6" s="552"/>
      <c r="I6" s="552"/>
      <c r="J6" s="553"/>
    </row>
    <row r="7" spans="1:10" ht="24.95" customHeight="1">
      <c r="A7" s="542" t="s">
        <v>299</v>
      </c>
      <c r="B7" s="543"/>
      <c r="C7" s="550" t="s">
        <v>326</v>
      </c>
      <c r="D7" s="543"/>
      <c r="E7" s="426">
        <f>LongTest!C6</f>
        <v>5</v>
      </c>
      <c r="F7" s="426" t="s">
        <v>300</v>
      </c>
      <c r="G7" s="426" t="s">
        <v>328</v>
      </c>
      <c r="H7" s="550">
        <f>Input!I50</f>
        <v>50</v>
      </c>
      <c r="I7" s="543"/>
      <c r="J7" s="427" t="s">
        <v>301</v>
      </c>
    </row>
    <row r="8" spans="1:10" ht="24.95" customHeight="1">
      <c r="A8" s="542" t="s">
        <v>302</v>
      </c>
      <c r="B8" s="543"/>
      <c r="C8" s="550" t="s">
        <v>327</v>
      </c>
      <c r="D8" s="543"/>
      <c r="E8" s="426">
        <f>LongTest!D7</f>
        <v>200</v>
      </c>
      <c r="F8" s="426" t="s">
        <v>303</v>
      </c>
      <c r="G8" s="426" t="s">
        <v>304</v>
      </c>
      <c r="H8" s="550">
        <f>LongTest!G7</f>
        <v>100</v>
      </c>
      <c r="I8" s="543"/>
      <c r="J8" s="427" t="s">
        <v>301</v>
      </c>
    </row>
    <row r="9" spans="1:10" ht="24.95" customHeight="1">
      <c r="A9" s="542" t="s">
        <v>305</v>
      </c>
      <c r="B9" s="543"/>
      <c r="C9" s="550" t="s">
        <v>325</v>
      </c>
      <c r="D9" s="543"/>
      <c r="E9" s="426">
        <f>LongTest!D8</f>
        <v>9.4499999999999993</v>
      </c>
      <c r="F9" s="426" t="s">
        <v>301</v>
      </c>
      <c r="G9" s="426" t="s">
        <v>306</v>
      </c>
      <c r="H9" s="550">
        <f>LongTest!G8</f>
        <v>25.330000000000002</v>
      </c>
      <c r="I9" s="543"/>
      <c r="J9" s="427" t="s">
        <v>301</v>
      </c>
    </row>
    <row r="10" spans="1:10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9">
        <f>LongTest!B10</f>
        <v>150</v>
      </c>
      <c r="C12" s="430">
        <f t="shared" ref="C12:C55" si="0">$C$4+D12/1440</f>
        <v>45454.472916666666</v>
      </c>
      <c r="D12" s="554">
        <v>1</v>
      </c>
      <c r="E12" s="554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4">
        <v>2</v>
      </c>
      <c r="E13" s="554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4">
        <v>3</v>
      </c>
      <c r="E14" s="554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4">
        <v>4</v>
      </c>
      <c r="E15" s="554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4">
        <v>5</v>
      </c>
      <c r="E16" s="554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4">
        <v>10</v>
      </c>
      <c r="E17" s="554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4">
        <v>15</v>
      </c>
      <c r="E18" s="554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4">
        <v>20</v>
      </c>
      <c r="E19" s="554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4">
        <v>25</v>
      </c>
      <c r="E20" s="554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4">
        <v>30</v>
      </c>
      <c r="E21" s="554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4">
        <v>35</v>
      </c>
      <c r="E22" s="554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4">
        <v>40</v>
      </c>
      <c r="E23" s="554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4">
        <v>45</v>
      </c>
      <c r="E24" s="554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4">
        <v>50</v>
      </c>
      <c r="E25" s="554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4">
        <v>55</v>
      </c>
      <c r="E26" s="554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4">
        <v>60</v>
      </c>
      <c r="E27" s="554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4">
        <v>75</v>
      </c>
      <c r="E28" s="554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4">
        <v>90</v>
      </c>
      <c r="E29" s="554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4">
        <v>105</v>
      </c>
      <c r="E30" s="554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4">
        <v>120</v>
      </c>
      <c r="E31" s="554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4">
        <v>140</v>
      </c>
      <c r="E32" s="554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4">
        <v>160</v>
      </c>
      <c r="E33" s="554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4">
        <v>180</v>
      </c>
      <c r="E34" s="554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4">
        <v>240</v>
      </c>
      <c r="E35" s="554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4">
        <v>300</v>
      </c>
      <c r="E36" s="554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4">
        <v>360</v>
      </c>
      <c r="E37" s="554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4">
        <v>420</v>
      </c>
      <c r="E38" s="554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4">
        <v>480</v>
      </c>
      <c r="E39" s="554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4">
        <v>540</v>
      </c>
      <c r="E40" s="554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4">
        <v>600</v>
      </c>
      <c r="E41" s="554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4">
        <v>660</v>
      </c>
      <c r="E42" s="554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4">
        <v>720</v>
      </c>
      <c r="E43" s="554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54">
        <v>780</v>
      </c>
      <c r="E44" s="554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54">
        <v>840</v>
      </c>
      <c r="E45" s="554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54">
        <v>900</v>
      </c>
      <c r="E46" s="554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54">
        <v>960</v>
      </c>
      <c r="E47" s="554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54">
        <v>1020</v>
      </c>
      <c r="E48" s="554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54">
        <v>1080</v>
      </c>
      <c r="E49" s="554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54">
        <v>1140</v>
      </c>
      <c r="E50" s="554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54">
        <v>1200</v>
      </c>
      <c r="E51" s="554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54">
        <v>1260</v>
      </c>
      <c r="E52" s="554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54">
        <v>1320</v>
      </c>
      <c r="E53" s="554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54">
        <v>1380</v>
      </c>
      <c r="E54" s="554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54">
        <v>1440</v>
      </c>
      <c r="E55" s="554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30"/>
      <c r="E56" s="557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30"/>
      <c r="E57" s="557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30">
        <v>1</v>
      </c>
      <c r="E58" s="557"/>
      <c r="F58" s="431">
        <f>LongTest!F78</f>
        <v>20.232796980712919</v>
      </c>
      <c r="G58" s="431">
        <f>LongTest!G78</f>
        <v>10.782796980712918</v>
      </c>
      <c r="H58" s="550" t="s">
        <v>191</v>
      </c>
      <c r="I58" s="559"/>
      <c r="J58" s="560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30">
        <v>2</v>
      </c>
      <c r="E59" s="557"/>
      <c r="F59" s="431">
        <f>LongTest!F79</f>
        <v>19.374437782107812</v>
      </c>
      <c r="G59" s="431">
        <f>LongTest!G79</f>
        <v>9.9244377821078142</v>
      </c>
      <c r="H59" s="530"/>
      <c r="I59" s="531"/>
      <c r="J59" s="532"/>
    </row>
    <row r="60" spans="1:10" ht="24.95" customHeight="1">
      <c r="A60" s="453"/>
      <c r="B60" s="430"/>
      <c r="C60" s="430">
        <f t="shared" si="1"/>
        <v>45455.474305555552</v>
      </c>
      <c r="D60" s="530">
        <v>3</v>
      </c>
      <c r="E60" s="557"/>
      <c r="F60" s="431">
        <f>LongTest!F80</f>
        <v>18.58440784122201</v>
      </c>
      <c r="G60" s="431">
        <f>LongTest!G80</f>
        <v>9.1344078412220089</v>
      </c>
      <c r="H60" s="530"/>
      <c r="I60" s="531"/>
      <c r="J60" s="532"/>
    </row>
    <row r="61" spans="1:10" ht="24.95" customHeight="1">
      <c r="A61" s="453"/>
      <c r="B61" s="430"/>
      <c r="C61" s="430">
        <f t="shared" si="1"/>
        <v>45455.474999999999</v>
      </c>
      <c r="D61" s="530">
        <v>4</v>
      </c>
      <c r="E61" s="557"/>
      <c r="F61" s="431">
        <f>LongTest!F81</f>
        <v>17.857267841429007</v>
      </c>
      <c r="G61" s="431">
        <f>LongTest!G81</f>
        <v>8.4072678414290092</v>
      </c>
      <c r="H61" s="530"/>
      <c r="I61" s="531"/>
      <c r="J61" s="532"/>
    </row>
    <row r="62" spans="1:10" ht="24.95" customHeight="1">
      <c r="A62" s="453"/>
      <c r="B62" s="430"/>
      <c r="C62" s="430">
        <f t="shared" si="1"/>
        <v>45455.475694444438</v>
      </c>
      <c r="D62" s="530">
        <v>5</v>
      </c>
      <c r="E62" s="557"/>
      <c r="F62" s="431">
        <f>LongTest!F82</f>
        <v>17.188011460201068</v>
      </c>
      <c r="G62" s="431">
        <f>LongTest!G82</f>
        <v>7.7380114602010686</v>
      </c>
      <c r="H62" s="530"/>
      <c r="I62" s="531"/>
      <c r="J62" s="532"/>
    </row>
    <row r="63" spans="1:10" ht="24.95" customHeight="1">
      <c r="A63" s="453"/>
      <c r="B63" s="430"/>
      <c r="C63" s="430">
        <f t="shared" si="1"/>
        <v>45455.479166666664</v>
      </c>
      <c r="D63" s="530">
        <v>10</v>
      </c>
      <c r="E63" s="557"/>
      <c r="F63" s="431">
        <f>LongTest!F83</f>
        <v>15.483270868618019</v>
      </c>
      <c r="G63" s="431">
        <f>LongTest!G83</f>
        <v>6.0332708686180201</v>
      </c>
      <c r="H63" s="530"/>
      <c r="I63" s="531"/>
      <c r="J63" s="532"/>
    </row>
    <row r="64" spans="1:10" ht="24.95" customHeight="1">
      <c r="A64" s="453"/>
      <c r="B64" s="430"/>
      <c r="C64" s="430">
        <f t="shared" si="1"/>
        <v>45455.482638888883</v>
      </c>
      <c r="D64" s="530">
        <v>15</v>
      </c>
      <c r="E64" s="557"/>
      <c r="F64" s="431">
        <f>LongTest!F84</f>
        <v>15.158681504824028</v>
      </c>
      <c r="G64" s="431">
        <f>LongTest!G84</f>
        <v>5.7086815048240274</v>
      </c>
      <c r="H64" s="530"/>
      <c r="I64" s="531"/>
      <c r="J64" s="532"/>
    </row>
    <row r="65" spans="1:10" ht="24.95" customHeight="1">
      <c r="A65" s="453"/>
      <c r="B65" s="430"/>
      <c r="C65" s="430">
        <f t="shared" si="1"/>
        <v>45455.486111111109</v>
      </c>
      <c r="D65" s="530">
        <v>20</v>
      </c>
      <c r="E65" s="557"/>
      <c r="F65" s="431">
        <f>LongTest!F85</f>
        <v>14.285983204912011</v>
      </c>
      <c r="G65" s="431">
        <f>LongTest!G85</f>
        <v>4.8359832049120115</v>
      </c>
      <c r="H65" s="530"/>
      <c r="I65" s="531"/>
      <c r="J65" s="532"/>
    </row>
    <row r="66" spans="1:10" ht="24.95" customHeight="1">
      <c r="A66" s="453"/>
      <c r="B66" s="430"/>
      <c r="C66" s="430">
        <f t="shared" si="1"/>
        <v>45455.489583333328</v>
      </c>
      <c r="D66" s="530">
        <v>25</v>
      </c>
      <c r="E66" s="557"/>
      <c r="F66" s="431">
        <f>LongTest!F86</f>
        <v>13.901017163572192</v>
      </c>
      <c r="G66" s="431">
        <f>LongTest!G86</f>
        <v>4.4510171635721916</v>
      </c>
      <c r="H66" s="530"/>
      <c r="I66" s="531"/>
      <c r="J66" s="532"/>
    </row>
    <row r="67" spans="1:10" ht="24.95" customHeight="1">
      <c r="A67" s="453"/>
      <c r="B67" s="430"/>
      <c r="C67" s="430">
        <f t="shared" si="1"/>
        <v>45455.493055555555</v>
      </c>
      <c r="D67" s="530">
        <v>30</v>
      </c>
      <c r="E67" s="557"/>
      <c r="F67" s="431">
        <f>LongTest!F87</f>
        <v>13.54669615276811</v>
      </c>
      <c r="G67" s="431">
        <f>LongTest!G87</f>
        <v>4.0966961527681098</v>
      </c>
      <c r="H67" s="530"/>
      <c r="I67" s="531"/>
      <c r="J67" s="532"/>
    </row>
    <row r="68" spans="1:10" ht="24.95" customHeight="1">
      <c r="A68" s="453"/>
      <c r="B68" s="430"/>
      <c r="C68" s="430">
        <f t="shared" si="1"/>
        <v>45455.496527777774</v>
      </c>
      <c r="D68" s="530">
        <v>35</v>
      </c>
      <c r="E68" s="557"/>
      <c r="F68" s="431">
        <f>LongTest!F88</f>
        <v>13.434971769034254</v>
      </c>
      <c r="G68" s="431">
        <f>LongTest!G88</f>
        <v>3.9849717690342552</v>
      </c>
      <c r="H68" s="530"/>
      <c r="I68" s="531"/>
      <c r="J68" s="532"/>
    </row>
    <row r="69" spans="1:10" ht="24.95" customHeight="1">
      <c r="A69" s="453"/>
      <c r="B69" s="430"/>
      <c r="C69" s="430">
        <f t="shared" si="1"/>
        <v>45455.5</v>
      </c>
      <c r="D69" s="530">
        <v>40</v>
      </c>
      <c r="E69" s="557"/>
      <c r="F69" s="431">
        <f>LongTest!F89</f>
        <v>13.326294313228475</v>
      </c>
      <c r="G69" s="431">
        <f>LongTest!G89</f>
        <v>3.8762943132284762</v>
      </c>
      <c r="H69" s="530"/>
      <c r="I69" s="531"/>
      <c r="J69" s="532"/>
    </row>
    <row r="70" spans="1:10" ht="24.95" customHeight="1">
      <c r="A70" s="453"/>
      <c r="B70" s="430"/>
      <c r="C70" s="430">
        <f t="shared" si="1"/>
        <v>45455.503472222219</v>
      </c>
      <c r="D70" s="530">
        <v>45</v>
      </c>
      <c r="E70" s="557"/>
      <c r="F70" s="431">
        <f>LongTest!F90</f>
        <v>13.220580690063166</v>
      </c>
      <c r="G70" s="431">
        <f>LongTest!G90</f>
        <v>3.7705806900631673</v>
      </c>
      <c r="H70" s="530"/>
      <c r="I70" s="531"/>
      <c r="J70" s="532"/>
    </row>
    <row r="71" spans="1:10" ht="24.95" customHeight="1">
      <c r="A71" s="453"/>
      <c r="B71" s="430"/>
      <c r="C71" s="430">
        <f t="shared" si="1"/>
        <v>45455.506944444438</v>
      </c>
      <c r="D71" s="530">
        <v>50</v>
      </c>
      <c r="E71" s="557"/>
      <c r="F71" s="431">
        <f>LongTest!F91</f>
        <v>13.11775007041093</v>
      </c>
      <c r="G71" s="431">
        <f>LongTest!G91</f>
        <v>3.6677500704109298</v>
      </c>
      <c r="H71" s="530"/>
      <c r="I71" s="531"/>
      <c r="J71" s="532"/>
    </row>
    <row r="72" spans="1:10" ht="24.95" customHeight="1">
      <c r="A72" s="453"/>
      <c r="B72" s="430"/>
      <c r="C72" s="430">
        <f t="shared" si="1"/>
        <v>45455.510416666664</v>
      </c>
      <c r="D72" s="530">
        <v>55</v>
      </c>
      <c r="E72" s="557"/>
      <c r="F72" s="431">
        <f>LongTest!F92</f>
        <v>13.017723829502245</v>
      </c>
      <c r="G72" s="431">
        <f>LongTest!G92</f>
        <v>3.5677238295022455</v>
      </c>
      <c r="H72" s="530"/>
      <c r="I72" s="531"/>
      <c r="J72" s="532"/>
    </row>
    <row r="73" spans="1:10" ht="24.95" customHeight="1">
      <c r="A73" s="453"/>
      <c r="B73" s="430"/>
      <c r="C73" s="430">
        <f t="shared" si="1"/>
        <v>45455.513888888883</v>
      </c>
      <c r="D73" s="530">
        <v>60</v>
      </c>
      <c r="E73" s="557"/>
      <c r="F73" s="431">
        <f>LongTest!F93</f>
        <v>12.920425486808609</v>
      </c>
      <c r="G73" s="431">
        <f>LongTest!G93</f>
        <v>3.4704254868086104</v>
      </c>
      <c r="H73" s="530"/>
      <c r="I73" s="531"/>
      <c r="J73" s="532"/>
    </row>
    <row r="74" spans="1:10" ht="24.95" customHeight="1">
      <c r="A74" s="453"/>
      <c r="B74" s="430"/>
      <c r="C74" s="430">
        <f t="shared" si="1"/>
        <v>45455.524305555555</v>
      </c>
      <c r="D74" s="530">
        <v>75</v>
      </c>
      <c r="E74" s="557"/>
      <c r="F74" s="431">
        <f>LongTest!F94</f>
        <v>12.825780647565169</v>
      </c>
      <c r="G74" s="431">
        <f>LongTest!G94</f>
        <v>3.3757806475651706</v>
      </c>
      <c r="H74" s="530"/>
      <c r="I74" s="531"/>
      <c r="J74" s="532"/>
    </row>
    <row r="75" spans="1:10" ht="24.95" customHeight="1">
      <c r="A75" s="453"/>
      <c r="B75" s="430"/>
      <c r="C75" s="430">
        <f t="shared" si="1"/>
        <v>45455.534722222219</v>
      </c>
      <c r="D75" s="530">
        <v>90</v>
      </c>
      <c r="E75" s="557"/>
      <c r="F75" s="431">
        <f>LongTest!F95</f>
        <v>12.733716945888137</v>
      </c>
      <c r="G75" s="431">
        <f>LongTest!G95</f>
        <v>3.2837169458881377</v>
      </c>
      <c r="H75" s="530"/>
      <c r="I75" s="531"/>
      <c r="J75" s="532"/>
    </row>
    <row r="76" spans="1:10" ht="24.95" customHeight="1">
      <c r="A76" s="453"/>
      <c r="B76" s="430"/>
      <c r="C76" s="430">
        <f t="shared" si="1"/>
        <v>45455.545138888883</v>
      </c>
      <c r="D76" s="530">
        <v>105</v>
      </c>
      <c r="E76" s="557"/>
      <c r="F76" s="431">
        <f>LongTest!F96</f>
        <v>12.644163989443497</v>
      </c>
      <c r="G76" s="431">
        <f>LongTest!G96</f>
        <v>3.194163989443497</v>
      </c>
      <c r="H76" s="530"/>
      <c r="I76" s="531"/>
      <c r="J76" s="532"/>
    </row>
    <row r="77" spans="1:10" ht="24.95" customHeight="1">
      <c r="A77" s="453"/>
      <c r="B77" s="430"/>
      <c r="C77" s="430">
        <f t="shared" si="1"/>
        <v>45455.555555555555</v>
      </c>
      <c r="D77" s="530">
        <v>120</v>
      </c>
      <c r="E77" s="557"/>
      <c r="F77" s="431">
        <f>LongTest!F97</f>
        <v>12.389894151376794</v>
      </c>
      <c r="G77" s="431">
        <f>LongTest!G97</f>
        <v>2.9398941513767949</v>
      </c>
      <c r="H77" s="530" t="s">
        <v>329</v>
      </c>
      <c r="I77" s="531"/>
      <c r="J77" s="532"/>
    </row>
    <row r="78" spans="1:10" ht="24.95" customHeight="1">
      <c r="A78" s="453"/>
      <c r="B78" s="430"/>
      <c r="C78" s="430"/>
      <c r="D78" s="530"/>
      <c r="E78" s="557"/>
      <c r="F78" s="431"/>
      <c r="G78" s="431"/>
      <c r="H78" s="530"/>
      <c r="I78" s="531"/>
      <c r="J78" s="532"/>
    </row>
    <row r="79" spans="1:10" ht="24.95" customHeight="1">
      <c r="A79" s="453"/>
      <c r="B79" s="430"/>
      <c r="C79" s="430"/>
      <c r="D79" s="530"/>
      <c r="E79" s="557"/>
      <c r="F79" s="431"/>
      <c r="G79" s="431"/>
      <c r="H79" s="530"/>
      <c r="I79" s="531"/>
      <c r="J79" s="532"/>
    </row>
    <row r="80" spans="1:10" ht="24.95" customHeight="1">
      <c r="A80" s="453"/>
      <c r="B80" s="430"/>
      <c r="C80" s="430"/>
      <c r="D80" s="530"/>
      <c r="E80" s="557"/>
      <c r="F80" s="431"/>
      <c r="G80" s="431"/>
      <c r="H80" s="530"/>
      <c r="I80" s="531"/>
      <c r="J80" s="532"/>
    </row>
    <row r="81" spans="1:10" ht="24.95" customHeight="1" thickBot="1">
      <c r="A81" s="457"/>
      <c r="B81" s="458"/>
      <c r="C81" s="458"/>
      <c r="D81" s="533"/>
      <c r="E81" s="558"/>
      <c r="F81" s="459"/>
      <c r="G81" s="459"/>
      <c r="H81" s="533"/>
      <c r="I81" s="534"/>
      <c r="J81" s="535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610" t="s">
        <v>320</v>
      </c>
      <c r="B1" s="611"/>
      <c r="C1" s="611"/>
      <c r="D1" s="611"/>
      <c r="E1" s="611"/>
      <c r="F1" s="611"/>
      <c r="G1" s="611"/>
      <c r="H1" s="611"/>
      <c r="I1" s="611"/>
      <c r="J1" s="612"/>
    </row>
    <row r="2" spans="1:11" ht="24.95" customHeight="1">
      <c r="A2" s="537" t="s">
        <v>295</v>
      </c>
      <c r="B2" s="538"/>
      <c r="C2" s="539" t="str">
        <f>LongTest!C2</f>
        <v>순성중명아파트 이용허가 유효기간의 연장을 위한 지하수영향조사보고서</v>
      </c>
      <c r="D2" s="540"/>
      <c r="E2" s="540"/>
      <c r="F2" s="540"/>
      <c r="G2" s="540"/>
      <c r="H2" s="540"/>
      <c r="I2" s="540"/>
      <c r="J2" s="541"/>
    </row>
    <row r="3" spans="1:11" ht="24.95" customHeight="1">
      <c r="A3" s="542" t="s">
        <v>296</v>
      </c>
      <c r="B3" s="543"/>
      <c r="C3" s="547" t="str">
        <f>LongTest!C4</f>
        <v>충청남도 당진시 순성면 순성로 453-30번지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322</v>
      </c>
    </row>
    <row r="4" spans="1:11" ht="24.95" customHeight="1">
      <c r="A4" s="542" t="s">
        <v>297</v>
      </c>
      <c r="B4" s="543"/>
      <c r="C4" s="544">
        <f>StepTest!C12</f>
        <v>45489.458333333336</v>
      </c>
      <c r="D4" s="545"/>
      <c r="E4" s="545"/>
      <c r="F4" s="545"/>
      <c r="G4" s="545"/>
      <c r="H4" s="545"/>
      <c r="I4" s="545"/>
      <c r="J4" s="546"/>
    </row>
    <row r="5" spans="1:11" ht="24.95" customHeight="1">
      <c r="A5" s="542" t="s">
        <v>298</v>
      </c>
      <c r="B5" s="543"/>
      <c r="C5" s="544">
        <f>StepTest!C51</f>
        <v>45489.875</v>
      </c>
      <c r="D5" s="545"/>
      <c r="E5" s="545"/>
      <c r="F5" s="545"/>
      <c r="G5" s="545"/>
      <c r="H5" s="545"/>
      <c r="I5" s="545"/>
      <c r="J5" s="546"/>
    </row>
    <row r="6" spans="1:11" ht="24.95" customHeight="1">
      <c r="A6" s="542" t="s">
        <v>294</v>
      </c>
      <c r="B6" s="543"/>
      <c r="C6" s="551" t="str">
        <f>LongTest!C5</f>
        <v>주식회사 한일지하수</v>
      </c>
      <c r="D6" s="552"/>
      <c r="E6" s="552"/>
      <c r="F6" s="552"/>
      <c r="G6" s="552"/>
      <c r="H6" s="552"/>
      <c r="I6" s="552"/>
      <c r="J6" s="553"/>
    </row>
    <row r="7" spans="1:11" ht="24.95" customHeight="1">
      <c r="A7" s="542" t="s">
        <v>299</v>
      </c>
      <c r="B7" s="543"/>
      <c r="C7" s="550" t="s">
        <v>326</v>
      </c>
      <c r="D7" s="543"/>
      <c r="E7" s="426">
        <f>LongTest!C6</f>
        <v>5</v>
      </c>
      <c r="F7" s="426" t="s">
        <v>300</v>
      </c>
      <c r="G7" s="530"/>
      <c r="H7" s="531"/>
      <c r="I7" s="531"/>
      <c r="J7" s="532"/>
    </row>
    <row r="8" spans="1:11" ht="24.95" customHeight="1">
      <c r="A8" s="542" t="s">
        <v>302</v>
      </c>
      <c r="B8" s="543"/>
      <c r="C8" s="550" t="s">
        <v>327</v>
      </c>
      <c r="D8" s="543"/>
      <c r="E8" s="426">
        <f>LongTest!D7</f>
        <v>200</v>
      </c>
      <c r="F8" s="426" t="s">
        <v>303</v>
      </c>
      <c r="G8" s="426" t="s">
        <v>328</v>
      </c>
      <c r="H8" s="550">
        <f>LongTest!G7</f>
        <v>100</v>
      </c>
      <c r="I8" s="543"/>
      <c r="J8" s="427" t="s">
        <v>301</v>
      </c>
    </row>
    <row r="9" spans="1:11" ht="24.95" customHeight="1">
      <c r="A9" s="542" t="s">
        <v>305</v>
      </c>
      <c r="B9" s="543"/>
      <c r="C9" s="550" t="s">
        <v>325</v>
      </c>
      <c r="D9" s="543"/>
      <c r="E9" s="426">
        <f>LongTest!D8</f>
        <v>9.4499999999999993</v>
      </c>
      <c r="F9" s="426" t="s">
        <v>301</v>
      </c>
      <c r="G9" s="426" t="s">
        <v>321</v>
      </c>
      <c r="H9" s="550">
        <f>Input!M51</f>
        <v>150</v>
      </c>
      <c r="I9" s="543"/>
      <c r="J9" s="427" t="s">
        <v>309</v>
      </c>
    </row>
    <row r="10" spans="1:11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54">
        <v>1</v>
      </c>
      <c r="E12" s="554"/>
      <c r="F12" s="431">
        <f>StepTest!F12</f>
        <v>10.45</v>
      </c>
      <c r="G12" s="431">
        <f>StepTest!G12</f>
        <v>1</v>
      </c>
      <c r="H12" s="572"/>
      <c r="I12" s="573"/>
      <c r="J12" s="574"/>
    </row>
    <row r="13" spans="1:11" ht="24.95" customHeight="1">
      <c r="A13" s="428"/>
      <c r="B13" s="426"/>
      <c r="C13" s="430">
        <f t="shared" si="0"/>
        <v>45489.459722222222</v>
      </c>
      <c r="D13" s="554">
        <v>2</v>
      </c>
      <c r="E13" s="554"/>
      <c r="F13" s="431">
        <f>StepTest!F13</f>
        <v>11.27</v>
      </c>
      <c r="G13" s="431">
        <f>StepTest!G13</f>
        <v>1.82</v>
      </c>
      <c r="H13" s="572"/>
      <c r="I13" s="573"/>
      <c r="J13" s="574"/>
    </row>
    <row r="14" spans="1:11" ht="24.95" customHeight="1">
      <c r="A14" s="428"/>
      <c r="B14" s="426"/>
      <c r="C14" s="430">
        <f t="shared" si="0"/>
        <v>45489.460416666669</v>
      </c>
      <c r="D14" s="554">
        <v>3</v>
      </c>
      <c r="E14" s="554"/>
      <c r="F14" s="431">
        <f>StepTest!F14</f>
        <v>11.75</v>
      </c>
      <c r="G14" s="431">
        <f>StepTest!G14</f>
        <v>2.2999999999999998</v>
      </c>
      <c r="H14" s="572"/>
      <c r="I14" s="573"/>
      <c r="J14" s="574"/>
    </row>
    <row r="15" spans="1:11" ht="24.95" customHeight="1">
      <c r="A15" s="428"/>
      <c r="B15" s="426"/>
      <c r="C15" s="430">
        <f t="shared" si="0"/>
        <v>45489.461111111115</v>
      </c>
      <c r="D15" s="554">
        <v>4</v>
      </c>
      <c r="E15" s="554"/>
      <c r="F15" s="431">
        <f>StepTest!F15</f>
        <v>12.079999999999998</v>
      </c>
      <c r="G15" s="431">
        <f>StepTest!G15</f>
        <v>2.63</v>
      </c>
      <c r="H15" s="572"/>
      <c r="I15" s="573"/>
      <c r="J15" s="574"/>
    </row>
    <row r="16" spans="1:11" ht="24.95" customHeight="1">
      <c r="A16" s="428"/>
      <c r="B16" s="426"/>
      <c r="C16" s="430">
        <f t="shared" si="0"/>
        <v>45489.461805555555</v>
      </c>
      <c r="D16" s="554">
        <v>5</v>
      </c>
      <c r="E16" s="554"/>
      <c r="F16" s="431">
        <f>StepTest!F16</f>
        <v>12.35</v>
      </c>
      <c r="G16" s="431">
        <f>StepTest!G16</f>
        <v>2.9</v>
      </c>
      <c r="H16" s="530"/>
      <c r="I16" s="531"/>
      <c r="J16" s="532"/>
    </row>
    <row r="17" spans="1:10" ht="24.95" customHeight="1">
      <c r="A17" s="428"/>
      <c r="B17" s="426"/>
      <c r="C17" s="430">
        <f t="shared" si="0"/>
        <v>45489.465277777781</v>
      </c>
      <c r="D17" s="554">
        <v>10</v>
      </c>
      <c r="E17" s="554"/>
      <c r="F17" s="431">
        <f>StepTest!F17</f>
        <v>13.16</v>
      </c>
      <c r="G17" s="431">
        <f>StepTest!G17</f>
        <v>3.71</v>
      </c>
      <c r="H17" s="530"/>
      <c r="I17" s="531"/>
      <c r="J17" s="532"/>
    </row>
    <row r="18" spans="1:10" ht="24.95" customHeight="1">
      <c r="A18" s="428"/>
      <c r="B18" s="426"/>
      <c r="C18" s="430">
        <f t="shared" si="0"/>
        <v>45489.46875</v>
      </c>
      <c r="D18" s="554">
        <v>15</v>
      </c>
      <c r="E18" s="554"/>
      <c r="F18" s="431">
        <f>StepTest!F18</f>
        <v>13.64</v>
      </c>
      <c r="G18" s="431">
        <f>StepTest!G18</f>
        <v>4.1900000000000004</v>
      </c>
      <c r="H18" s="530"/>
      <c r="I18" s="531"/>
      <c r="J18" s="532"/>
    </row>
    <row r="19" spans="1:10" ht="24.95" customHeight="1">
      <c r="A19" s="428"/>
      <c r="B19" s="426"/>
      <c r="C19" s="430">
        <f t="shared" si="0"/>
        <v>45489.472222222226</v>
      </c>
      <c r="D19" s="554">
        <v>20</v>
      </c>
      <c r="E19" s="554"/>
      <c r="F19" s="431">
        <f>StepTest!F19</f>
        <v>13.98</v>
      </c>
      <c r="G19" s="431">
        <f>StepTest!G19</f>
        <v>4.53</v>
      </c>
      <c r="H19" s="530"/>
      <c r="I19" s="531"/>
      <c r="J19" s="532"/>
    </row>
    <row r="20" spans="1:10" ht="24.95" customHeight="1">
      <c r="A20" s="428"/>
      <c r="B20" s="426"/>
      <c r="C20" s="430">
        <f t="shared" si="0"/>
        <v>45489.475694444445</v>
      </c>
      <c r="D20" s="554">
        <v>25</v>
      </c>
      <c r="E20" s="554"/>
      <c r="F20" s="431">
        <f>StepTest!F20</f>
        <v>14.239999999999998</v>
      </c>
      <c r="G20" s="431">
        <f>StepTest!G20</f>
        <v>4.79</v>
      </c>
      <c r="H20" s="530"/>
      <c r="I20" s="531"/>
      <c r="J20" s="532"/>
    </row>
    <row r="21" spans="1:10" ht="24.95" customHeight="1">
      <c r="A21" s="428"/>
      <c r="B21" s="426"/>
      <c r="C21" s="430">
        <f t="shared" si="0"/>
        <v>45489.479166666672</v>
      </c>
      <c r="D21" s="554">
        <v>30</v>
      </c>
      <c r="E21" s="554"/>
      <c r="F21" s="431">
        <f>StepTest!F21</f>
        <v>14.45</v>
      </c>
      <c r="G21" s="431">
        <f>StepTest!G21</f>
        <v>5</v>
      </c>
      <c r="H21" s="530"/>
      <c r="I21" s="531"/>
      <c r="J21" s="532"/>
    </row>
    <row r="22" spans="1:10" ht="24.95" customHeight="1">
      <c r="A22" s="428"/>
      <c r="B22" s="426"/>
      <c r="C22" s="430">
        <f t="shared" si="0"/>
        <v>45489.482638888891</v>
      </c>
      <c r="D22" s="554">
        <v>35</v>
      </c>
      <c r="E22" s="554"/>
      <c r="F22" s="431">
        <f>StepTest!F22</f>
        <v>14.64</v>
      </c>
      <c r="G22" s="431">
        <f>StepTest!G22</f>
        <v>5.19</v>
      </c>
      <c r="H22" s="530"/>
      <c r="I22" s="531"/>
      <c r="J22" s="532"/>
    </row>
    <row r="23" spans="1:10" ht="24.95" customHeight="1">
      <c r="A23" s="428"/>
      <c r="B23" s="426"/>
      <c r="C23" s="430">
        <f t="shared" si="0"/>
        <v>45489.486111111117</v>
      </c>
      <c r="D23" s="554">
        <v>40</v>
      </c>
      <c r="E23" s="554"/>
      <c r="F23" s="431">
        <f>StepTest!F23</f>
        <v>14.79</v>
      </c>
      <c r="G23" s="431">
        <f>StepTest!G23</f>
        <v>5.34</v>
      </c>
      <c r="H23" s="530"/>
      <c r="I23" s="531"/>
      <c r="J23" s="532"/>
    </row>
    <row r="24" spans="1:10" ht="24.95" customHeight="1">
      <c r="A24" s="428"/>
      <c r="B24" s="426"/>
      <c r="C24" s="430">
        <f t="shared" si="0"/>
        <v>45489.489583333336</v>
      </c>
      <c r="D24" s="554">
        <v>45</v>
      </c>
      <c r="E24" s="554"/>
      <c r="F24" s="431">
        <f>StepTest!F24</f>
        <v>14.93</v>
      </c>
      <c r="G24" s="431">
        <f>StepTest!G24</f>
        <v>5.48</v>
      </c>
      <c r="H24" s="530"/>
      <c r="I24" s="531"/>
      <c r="J24" s="532"/>
    </row>
    <row r="25" spans="1:10" ht="24.95" customHeight="1">
      <c r="A25" s="428"/>
      <c r="B25" s="426"/>
      <c r="C25" s="430">
        <f t="shared" si="0"/>
        <v>45489.493055555555</v>
      </c>
      <c r="D25" s="554">
        <v>50</v>
      </c>
      <c r="E25" s="554"/>
      <c r="F25" s="431">
        <f>StepTest!F25</f>
        <v>15.059999999999999</v>
      </c>
      <c r="G25" s="431">
        <f>StepTest!G25</f>
        <v>5.61</v>
      </c>
      <c r="H25" s="530"/>
      <c r="I25" s="531"/>
      <c r="J25" s="532"/>
    </row>
    <row r="26" spans="1:10" ht="24.95" customHeight="1">
      <c r="A26" s="428"/>
      <c r="B26" s="426"/>
      <c r="C26" s="430">
        <f t="shared" si="0"/>
        <v>45489.496527777781</v>
      </c>
      <c r="D26" s="554">
        <v>55</v>
      </c>
      <c r="E26" s="554"/>
      <c r="F26" s="431">
        <f>StepTest!F26</f>
        <v>15.169999999999998</v>
      </c>
      <c r="G26" s="431">
        <f>StepTest!G26</f>
        <v>5.72</v>
      </c>
      <c r="H26" s="530"/>
      <c r="I26" s="531"/>
      <c r="J26" s="532"/>
    </row>
    <row r="27" spans="1:10" ht="24.95" customHeight="1">
      <c r="A27" s="428"/>
      <c r="B27" s="426"/>
      <c r="C27" s="430">
        <f t="shared" si="0"/>
        <v>45489.5</v>
      </c>
      <c r="D27" s="554">
        <v>60</v>
      </c>
      <c r="E27" s="554"/>
      <c r="F27" s="431">
        <f>StepTest!F27</f>
        <v>15.27</v>
      </c>
      <c r="G27" s="431">
        <f>StepTest!G27</f>
        <v>5.82</v>
      </c>
      <c r="H27" s="530"/>
      <c r="I27" s="531"/>
      <c r="J27" s="532"/>
    </row>
    <row r="28" spans="1:10" ht="24.95" customHeight="1">
      <c r="A28" s="428"/>
      <c r="B28" s="426"/>
      <c r="C28" s="430">
        <f t="shared" si="0"/>
        <v>45489.510416666672</v>
      </c>
      <c r="D28" s="554">
        <v>75</v>
      </c>
      <c r="E28" s="554"/>
      <c r="F28" s="431">
        <f>StepTest!F28</f>
        <v>15.53</v>
      </c>
      <c r="G28" s="431">
        <f>StepTest!G28</f>
        <v>6.08</v>
      </c>
      <c r="H28" s="530"/>
      <c r="I28" s="531"/>
      <c r="J28" s="532"/>
    </row>
    <row r="29" spans="1:10" ht="24.95" customHeight="1">
      <c r="A29" s="428"/>
      <c r="B29" s="426"/>
      <c r="C29" s="430">
        <f t="shared" si="0"/>
        <v>45489.520833333336</v>
      </c>
      <c r="D29" s="554">
        <v>90</v>
      </c>
      <c r="E29" s="554"/>
      <c r="F29" s="431">
        <f>StepTest!F29</f>
        <v>15.75</v>
      </c>
      <c r="G29" s="431">
        <f>StepTest!G29</f>
        <v>6.3</v>
      </c>
      <c r="H29" s="530"/>
      <c r="I29" s="531"/>
      <c r="J29" s="532"/>
    </row>
    <row r="30" spans="1:10" ht="24.95" customHeight="1">
      <c r="A30" s="428"/>
      <c r="B30" s="426"/>
      <c r="C30" s="430">
        <f t="shared" si="0"/>
        <v>45489.53125</v>
      </c>
      <c r="D30" s="554">
        <v>105</v>
      </c>
      <c r="E30" s="554"/>
      <c r="F30" s="431">
        <f>StepTest!F30</f>
        <v>15.93</v>
      </c>
      <c r="G30" s="431">
        <f>StepTest!G30</f>
        <v>6.48</v>
      </c>
      <c r="H30" s="530"/>
      <c r="I30" s="531"/>
      <c r="J30" s="532"/>
    </row>
    <row r="31" spans="1:10" ht="24.95" customHeight="1">
      <c r="A31" s="428"/>
      <c r="B31" s="426"/>
      <c r="C31" s="430">
        <f t="shared" si="0"/>
        <v>45489.541666666672</v>
      </c>
      <c r="D31" s="554">
        <v>120</v>
      </c>
      <c r="E31" s="554"/>
      <c r="F31" s="431">
        <f>StepTest!F31</f>
        <v>16.09</v>
      </c>
      <c r="G31" s="431">
        <f>StepTest!G31</f>
        <v>6.64</v>
      </c>
      <c r="H31" s="530"/>
      <c r="I31" s="531"/>
      <c r="J31" s="532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54">
        <v>130</v>
      </c>
      <c r="E32" s="554"/>
      <c r="F32" s="431">
        <f>StepTest!F32</f>
        <v>17.419999999999998</v>
      </c>
      <c r="G32" s="431">
        <f>StepTest!G32</f>
        <v>7.97</v>
      </c>
      <c r="H32" s="530"/>
      <c r="I32" s="531"/>
      <c r="J32" s="532"/>
    </row>
    <row r="33" spans="1:10" ht="24.95" customHeight="1">
      <c r="A33" s="432"/>
      <c r="B33" s="429"/>
      <c r="C33" s="430">
        <f t="shared" si="0"/>
        <v>45489.555555555555</v>
      </c>
      <c r="D33" s="554">
        <v>140</v>
      </c>
      <c r="E33" s="554"/>
      <c r="F33" s="431">
        <f>StepTest!F33</f>
        <v>17.64</v>
      </c>
      <c r="G33" s="431">
        <f>StepTest!G33</f>
        <v>8.19</v>
      </c>
      <c r="H33" s="530"/>
      <c r="I33" s="531"/>
      <c r="J33" s="532"/>
    </row>
    <row r="34" spans="1:10" ht="24.95" customHeight="1">
      <c r="A34" s="432"/>
      <c r="B34" s="429"/>
      <c r="C34" s="430">
        <f t="shared" si="0"/>
        <v>45489.5625</v>
      </c>
      <c r="D34" s="554">
        <v>150</v>
      </c>
      <c r="E34" s="554"/>
      <c r="F34" s="431">
        <f>StepTest!F34</f>
        <v>17.86</v>
      </c>
      <c r="G34" s="431">
        <f>StepTest!G34</f>
        <v>8.41</v>
      </c>
      <c r="H34" s="530"/>
      <c r="I34" s="531"/>
      <c r="J34" s="532"/>
    </row>
    <row r="35" spans="1:10" ht="24.95" customHeight="1">
      <c r="A35" s="432"/>
      <c r="B35" s="429"/>
      <c r="C35" s="430">
        <f t="shared" si="0"/>
        <v>45489.583333333336</v>
      </c>
      <c r="D35" s="554">
        <v>180</v>
      </c>
      <c r="E35" s="554"/>
      <c r="F35" s="431">
        <f>StepTest!F35</f>
        <v>18.079999999999998</v>
      </c>
      <c r="G35" s="431">
        <f>StepTest!G35</f>
        <v>8.6300000000000008</v>
      </c>
      <c r="H35" s="530"/>
      <c r="I35" s="531"/>
      <c r="J35" s="532"/>
    </row>
    <row r="36" spans="1:10" ht="24.95" customHeight="1">
      <c r="A36" s="432"/>
      <c r="B36" s="429"/>
      <c r="C36" s="430">
        <f t="shared" si="0"/>
        <v>45489.625</v>
      </c>
      <c r="D36" s="554">
        <v>240</v>
      </c>
      <c r="E36" s="554"/>
      <c r="F36" s="431">
        <f>StepTest!F36</f>
        <v>18.309999999999999</v>
      </c>
      <c r="G36" s="431">
        <f>StepTest!G36</f>
        <v>8.86</v>
      </c>
      <c r="H36" s="530"/>
      <c r="I36" s="531"/>
      <c r="J36" s="532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54">
        <v>250</v>
      </c>
      <c r="E37" s="554"/>
      <c r="F37" s="431">
        <f>StepTest!F37</f>
        <v>19.799999999999997</v>
      </c>
      <c r="G37" s="431">
        <f>StepTest!G37</f>
        <v>10.35</v>
      </c>
      <c r="H37" s="530"/>
      <c r="I37" s="531"/>
      <c r="J37" s="532"/>
    </row>
    <row r="38" spans="1:10" ht="24.95" customHeight="1">
      <c r="A38" s="432"/>
      <c r="B38" s="429"/>
      <c r="C38" s="430">
        <f t="shared" si="0"/>
        <v>45489.638888888891</v>
      </c>
      <c r="D38" s="554">
        <v>260</v>
      </c>
      <c r="E38" s="554"/>
      <c r="F38" s="431">
        <f>StepTest!F38</f>
        <v>20.049999999999997</v>
      </c>
      <c r="G38" s="431">
        <f>StepTest!G38</f>
        <v>10.6</v>
      </c>
      <c r="H38" s="530"/>
      <c r="I38" s="531"/>
      <c r="J38" s="532"/>
    </row>
    <row r="39" spans="1:10" ht="24.95" customHeight="1">
      <c r="A39" s="432"/>
      <c r="B39" s="429"/>
      <c r="C39" s="430">
        <f t="shared" si="0"/>
        <v>45489.645833333336</v>
      </c>
      <c r="D39" s="554">
        <v>270</v>
      </c>
      <c r="E39" s="554"/>
      <c r="F39" s="431">
        <f>StepTest!F39</f>
        <v>20.299999999999997</v>
      </c>
      <c r="G39" s="431">
        <f>StepTest!G39</f>
        <v>10.85</v>
      </c>
      <c r="H39" s="530"/>
      <c r="I39" s="531"/>
      <c r="J39" s="532"/>
    </row>
    <row r="40" spans="1:10" ht="24.95" customHeight="1">
      <c r="A40" s="432"/>
      <c r="B40" s="429"/>
      <c r="C40" s="430">
        <f t="shared" si="0"/>
        <v>45489.666666666672</v>
      </c>
      <c r="D40" s="554">
        <v>300</v>
      </c>
      <c r="E40" s="554"/>
      <c r="F40" s="431">
        <f>StepTest!F40</f>
        <v>20.549999999999997</v>
      </c>
      <c r="G40" s="431">
        <f>StepTest!G40</f>
        <v>11.1</v>
      </c>
      <c r="H40" s="530"/>
      <c r="I40" s="531"/>
      <c r="J40" s="532"/>
    </row>
    <row r="41" spans="1:10" ht="24.95" customHeight="1">
      <c r="A41" s="432"/>
      <c r="B41" s="429"/>
      <c r="C41" s="430">
        <f t="shared" si="0"/>
        <v>45489.708333333336</v>
      </c>
      <c r="D41" s="554">
        <v>360</v>
      </c>
      <c r="E41" s="554"/>
      <c r="F41" s="431">
        <f>StepTest!F41</f>
        <v>20.799999999999997</v>
      </c>
      <c r="G41" s="431">
        <f>StepTest!G41</f>
        <v>11.35</v>
      </c>
      <c r="H41" s="530"/>
      <c r="I41" s="531"/>
      <c r="J41" s="532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50">
        <v>370</v>
      </c>
      <c r="E42" s="543"/>
      <c r="F42" s="431">
        <f>StepTest!F42</f>
        <v>22.46</v>
      </c>
      <c r="G42" s="431">
        <f>StepTest!G42</f>
        <v>13.01</v>
      </c>
      <c r="H42" s="530"/>
      <c r="I42" s="531"/>
      <c r="J42" s="532"/>
    </row>
    <row r="43" spans="1:10" ht="24.95" customHeight="1">
      <c r="A43" s="432"/>
      <c r="B43" s="429"/>
      <c r="C43" s="430">
        <f t="shared" si="0"/>
        <v>45489.722222222226</v>
      </c>
      <c r="D43" s="550">
        <v>380</v>
      </c>
      <c r="E43" s="543"/>
      <c r="F43" s="431">
        <f>StepTest!F43</f>
        <v>22.74</v>
      </c>
      <c r="G43" s="431">
        <f>StepTest!G43</f>
        <v>13.29</v>
      </c>
      <c r="H43" s="530"/>
      <c r="I43" s="531"/>
      <c r="J43" s="532"/>
    </row>
    <row r="44" spans="1:10" ht="24.95" customHeight="1">
      <c r="A44" s="432"/>
      <c r="B44" s="429"/>
      <c r="C44" s="430">
        <f t="shared" si="0"/>
        <v>45489.729166666672</v>
      </c>
      <c r="D44" s="550">
        <v>390</v>
      </c>
      <c r="E44" s="543"/>
      <c r="F44" s="431">
        <f>StepTest!F44</f>
        <v>23.02</v>
      </c>
      <c r="G44" s="431">
        <f>StepTest!G44</f>
        <v>13.57</v>
      </c>
      <c r="H44" s="530"/>
      <c r="I44" s="531"/>
      <c r="J44" s="532"/>
    </row>
    <row r="45" spans="1:10" ht="24.95" customHeight="1">
      <c r="A45" s="432"/>
      <c r="B45" s="429"/>
      <c r="C45" s="430">
        <f t="shared" si="0"/>
        <v>45489.75</v>
      </c>
      <c r="D45" s="550">
        <v>420</v>
      </c>
      <c r="E45" s="543"/>
      <c r="F45" s="431">
        <f>StepTest!F45</f>
        <v>23.299999999999997</v>
      </c>
      <c r="G45" s="431">
        <f>StepTest!G45</f>
        <v>13.85</v>
      </c>
      <c r="H45" s="530"/>
      <c r="I45" s="531"/>
      <c r="J45" s="532"/>
    </row>
    <row r="46" spans="1:10" ht="24.95" customHeight="1">
      <c r="A46" s="432"/>
      <c r="B46" s="429"/>
      <c r="C46" s="430">
        <f t="shared" si="0"/>
        <v>45489.791666666672</v>
      </c>
      <c r="D46" s="550">
        <v>480</v>
      </c>
      <c r="E46" s="543"/>
      <c r="F46" s="431">
        <f>StepTest!F46</f>
        <v>23.58</v>
      </c>
      <c r="G46" s="431">
        <f>StepTest!G46</f>
        <v>14.13</v>
      </c>
      <c r="H46" s="530"/>
      <c r="I46" s="531"/>
      <c r="J46" s="532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50">
        <v>490</v>
      </c>
      <c r="E47" s="543"/>
      <c r="F47" s="431">
        <f>StepTest!F47</f>
        <v>25.27</v>
      </c>
      <c r="G47" s="431">
        <f>StepTest!G47</f>
        <v>15.82</v>
      </c>
      <c r="H47" s="530"/>
      <c r="I47" s="531"/>
      <c r="J47" s="532"/>
    </row>
    <row r="48" spans="1:10" ht="24.95" customHeight="1">
      <c r="A48" s="432"/>
      <c r="B48" s="429"/>
      <c r="C48" s="430">
        <f t="shared" si="0"/>
        <v>45489.805555555555</v>
      </c>
      <c r="D48" s="550">
        <v>500</v>
      </c>
      <c r="E48" s="543"/>
      <c r="F48" s="431">
        <f>StepTest!F48</f>
        <v>25.9</v>
      </c>
      <c r="G48" s="431">
        <f>StepTest!G48</f>
        <v>16.45</v>
      </c>
      <c r="H48" s="530"/>
      <c r="I48" s="531"/>
      <c r="J48" s="532"/>
    </row>
    <row r="49" spans="1:10" ht="24.95" customHeight="1">
      <c r="A49" s="432"/>
      <c r="B49" s="429"/>
      <c r="C49" s="430">
        <f t="shared" si="0"/>
        <v>45489.8125</v>
      </c>
      <c r="D49" s="550">
        <v>510</v>
      </c>
      <c r="E49" s="543"/>
      <c r="F49" s="431">
        <f>StepTest!F49</f>
        <v>26.54</v>
      </c>
      <c r="G49" s="431">
        <f>StepTest!G49</f>
        <v>17.09</v>
      </c>
      <c r="H49" s="530"/>
      <c r="I49" s="531"/>
      <c r="J49" s="532"/>
    </row>
    <row r="50" spans="1:10" ht="24.95" customHeight="1">
      <c r="A50" s="432"/>
      <c r="B50" s="429"/>
      <c r="C50" s="430">
        <f t="shared" si="0"/>
        <v>45489.833333333336</v>
      </c>
      <c r="D50" s="550">
        <v>540</v>
      </c>
      <c r="E50" s="543"/>
      <c r="F50" s="431">
        <f>StepTest!F50</f>
        <v>27.169999999999998</v>
      </c>
      <c r="G50" s="431">
        <f>StepTest!G50</f>
        <v>17.72</v>
      </c>
      <c r="H50" s="530"/>
      <c r="I50" s="531"/>
      <c r="J50" s="532"/>
    </row>
    <row r="51" spans="1:10" ht="24.95" customHeight="1">
      <c r="A51" s="433"/>
      <c r="B51" s="434"/>
      <c r="C51" s="435">
        <f t="shared" si="0"/>
        <v>45489.875</v>
      </c>
      <c r="D51" s="575">
        <v>600</v>
      </c>
      <c r="E51" s="576"/>
      <c r="F51" s="436">
        <f>StepTest!F51</f>
        <v>27.81</v>
      </c>
      <c r="G51" s="436">
        <f>StepTest!G51</f>
        <v>18.36</v>
      </c>
      <c r="H51" s="569"/>
      <c r="I51" s="570"/>
      <c r="J51" s="571"/>
    </row>
    <row r="52" spans="1:10" ht="24.95" customHeight="1">
      <c r="A52" s="453"/>
      <c r="B52" s="461"/>
      <c r="C52" s="461"/>
      <c r="D52" s="561"/>
      <c r="E52" s="567"/>
      <c r="F52" s="461"/>
      <c r="G52" s="461"/>
      <c r="H52" s="561"/>
      <c r="I52" s="562"/>
      <c r="J52" s="563"/>
    </row>
    <row r="53" spans="1:10" ht="24.95" customHeight="1">
      <c r="A53" s="453"/>
      <c r="B53" s="461"/>
      <c r="C53" s="461"/>
      <c r="D53" s="561"/>
      <c r="E53" s="567"/>
      <c r="F53" s="461"/>
      <c r="G53" s="461"/>
      <c r="H53" s="561"/>
      <c r="I53" s="562"/>
      <c r="J53" s="563"/>
    </row>
    <row r="54" spans="1:10" ht="24.95" customHeight="1">
      <c r="A54" s="453"/>
      <c r="B54" s="461"/>
      <c r="C54" s="461"/>
      <c r="D54" s="561"/>
      <c r="E54" s="567"/>
      <c r="F54" s="461"/>
      <c r="G54" s="461"/>
      <c r="H54" s="561"/>
      <c r="I54" s="562"/>
      <c r="J54" s="563"/>
    </row>
    <row r="55" spans="1:10" ht="24.95" customHeight="1">
      <c r="A55" s="453"/>
      <c r="B55" s="461"/>
      <c r="C55" s="461"/>
      <c r="D55" s="561"/>
      <c r="E55" s="567"/>
      <c r="F55" s="461"/>
      <c r="G55" s="461"/>
      <c r="H55" s="561"/>
      <c r="I55" s="562"/>
      <c r="J55" s="563"/>
    </row>
    <row r="56" spans="1:10" ht="24.95" customHeight="1">
      <c r="A56" s="453"/>
      <c r="B56" s="461"/>
      <c r="C56" s="461"/>
      <c r="D56" s="561"/>
      <c r="E56" s="567"/>
      <c r="F56" s="461"/>
      <c r="G56" s="461"/>
      <c r="H56" s="561"/>
      <c r="I56" s="562"/>
      <c r="J56" s="563"/>
    </row>
    <row r="57" spans="1:10" ht="24.95" customHeight="1" thickBot="1">
      <c r="A57" s="457"/>
      <c r="B57" s="462"/>
      <c r="C57" s="462"/>
      <c r="D57" s="564"/>
      <c r="E57" s="568"/>
      <c r="F57" s="462"/>
      <c r="G57" s="462"/>
      <c r="H57" s="564"/>
      <c r="I57" s="565"/>
      <c r="J57" s="566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610" t="s">
        <v>319</v>
      </c>
      <c r="B1" s="611"/>
      <c r="C1" s="611"/>
      <c r="D1" s="611"/>
      <c r="E1" s="611"/>
      <c r="F1" s="611"/>
      <c r="G1" s="611"/>
      <c r="H1" s="611"/>
      <c r="I1" s="611"/>
      <c r="J1" s="612"/>
    </row>
    <row r="2" spans="1:10" ht="24.95" customHeight="1">
      <c r="A2" s="537" t="s">
        <v>295</v>
      </c>
      <c r="B2" s="538"/>
      <c r="C2" s="539" t="str">
        <f>LongTest!C2</f>
        <v>순성중명아파트 이용허가 유효기간의 연장을 위한 지하수영향조사보고서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296</v>
      </c>
      <c r="B3" s="543"/>
      <c r="C3" s="547" t="str">
        <f>LongTest!C4</f>
        <v>충청남도 당진시 순성면 순성로 453-30번지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322</v>
      </c>
    </row>
    <row r="4" spans="1:10" ht="24.95" customHeight="1">
      <c r="A4" s="542" t="s">
        <v>297</v>
      </c>
      <c r="B4" s="543"/>
      <c r="C4" s="544">
        <f>LongTest!C10</f>
        <v>45454.472222222219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298</v>
      </c>
      <c r="B5" s="543"/>
      <c r="C5" s="544">
        <f>LongTest!C77</f>
        <v>45456.472222222219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294</v>
      </c>
      <c r="B6" s="543"/>
      <c r="C6" s="551" t="str">
        <f>LongTest!C5</f>
        <v>주식회사 한일지하수</v>
      </c>
      <c r="D6" s="552"/>
      <c r="E6" s="552"/>
      <c r="F6" s="552"/>
      <c r="G6" s="552"/>
      <c r="H6" s="552"/>
      <c r="I6" s="552"/>
      <c r="J6" s="553"/>
    </row>
    <row r="7" spans="1:10" ht="24.95" customHeight="1">
      <c r="A7" s="542" t="s">
        <v>299</v>
      </c>
      <c r="B7" s="543"/>
      <c r="C7" s="550" t="s">
        <v>326</v>
      </c>
      <c r="D7" s="543"/>
      <c r="E7" s="426">
        <f>LongTest!C6</f>
        <v>5</v>
      </c>
      <c r="F7" s="426" t="s">
        <v>300</v>
      </c>
      <c r="G7" s="426" t="s">
        <v>328</v>
      </c>
      <c r="H7" s="550">
        <f>Input!I50</f>
        <v>50</v>
      </c>
      <c r="I7" s="543"/>
      <c r="J7" s="427" t="s">
        <v>301</v>
      </c>
    </row>
    <row r="8" spans="1:10" ht="24.95" customHeight="1">
      <c r="A8" s="542" t="s">
        <v>302</v>
      </c>
      <c r="B8" s="543"/>
      <c r="C8" s="550" t="s">
        <v>327</v>
      </c>
      <c r="D8" s="543"/>
      <c r="E8" s="426">
        <f>LongTest!D7</f>
        <v>200</v>
      </c>
      <c r="F8" s="426" t="s">
        <v>303</v>
      </c>
      <c r="G8" s="426" t="s">
        <v>304</v>
      </c>
      <c r="H8" s="550">
        <f>LongTest!G7</f>
        <v>100</v>
      </c>
      <c r="I8" s="543"/>
      <c r="J8" s="427" t="s">
        <v>301</v>
      </c>
    </row>
    <row r="9" spans="1:10" ht="24.95" customHeight="1">
      <c r="A9" s="542" t="s">
        <v>305</v>
      </c>
      <c r="B9" s="543"/>
      <c r="C9" s="550" t="s">
        <v>325</v>
      </c>
      <c r="D9" s="543"/>
      <c r="E9" s="426">
        <f>LongTest!D8</f>
        <v>9.4499999999999993</v>
      </c>
      <c r="F9" s="426" t="s">
        <v>301</v>
      </c>
      <c r="G9" s="426" t="s">
        <v>306</v>
      </c>
      <c r="H9" s="550">
        <f>LongTest!G8</f>
        <v>25.330000000000002</v>
      </c>
      <c r="I9" s="543"/>
      <c r="J9" s="427" t="s">
        <v>301</v>
      </c>
    </row>
    <row r="10" spans="1:10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9">
        <f>LongTest!B10</f>
        <v>150</v>
      </c>
      <c r="C12" s="430">
        <f t="shared" ref="C12:C43" si="0">$C$4+D12/1440</f>
        <v>45454.472916666666</v>
      </c>
      <c r="D12" s="554">
        <v>1</v>
      </c>
      <c r="E12" s="554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54">
        <v>2</v>
      </c>
      <c r="E13" s="554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54">
        <v>3</v>
      </c>
      <c r="E14" s="554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54">
        <v>4</v>
      </c>
      <c r="E15" s="554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54">
        <v>5</v>
      </c>
      <c r="E16" s="554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54">
        <v>10</v>
      </c>
      <c r="E17" s="554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54">
        <v>15</v>
      </c>
      <c r="E18" s="554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54">
        <v>20</v>
      </c>
      <c r="E19" s="554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54">
        <v>25</v>
      </c>
      <c r="E20" s="554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54">
        <v>30</v>
      </c>
      <c r="E21" s="554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54">
        <v>35</v>
      </c>
      <c r="E22" s="554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54">
        <v>40</v>
      </c>
      <c r="E23" s="554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54">
        <v>45</v>
      </c>
      <c r="E24" s="554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54">
        <v>50</v>
      </c>
      <c r="E25" s="554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54">
        <v>55</v>
      </c>
      <c r="E26" s="554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54">
        <v>60</v>
      </c>
      <c r="E27" s="554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54">
        <v>75</v>
      </c>
      <c r="E28" s="554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54">
        <v>90</v>
      </c>
      <c r="E29" s="554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54">
        <v>105</v>
      </c>
      <c r="E30" s="554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54">
        <v>120</v>
      </c>
      <c r="E31" s="554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54">
        <v>140</v>
      </c>
      <c r="E32" s="554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54">
        <v>160</v>
      </c>
      <c r="E33" s="554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54">
        <v>180</v>
      </c>
      <c r="E34" s="554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54">
        <v>240</v>
      </c>
      <c r="E35" s="554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54">
        <v>300</v>
      </c>
      <c r="E36" s="554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54">
        <v>360</v>
      </c>
      <c r="E37" s="554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54">
        <v>420</v>
      </c>
      <c r="E38" s="554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54">
        <v>480</v>
      </c>
      <c r="E39" s="554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54">
        <v>540</v>
      </c>
      <c r="E40" s="554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54">
        <v>600</v>
      </c>
      <c r="E41" s="554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54">
        <v>660</v>
      </c>
      <c r="E42" s="554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54">
        <v>720</v>
      </c>
      <c r="E43" s="554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54">
        <v>780</v>
      </c>
      <c r="E44" s="554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54">
        <v>840</v>
      </c>
      <c r="E45" s="554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54">
        <v>900</v>
      </c>
      <c r="E46" s="554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54">
        <v>960</v>
      </c>
      <c r="E47" s="554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54">
        <v>1020</v>
      </c>
      <c r="E48" s="554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54">
        <v>1080</v>
      </c>
      <c r="E49" s="554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54">
        <v>1140</v>
      </c>
      <c r="E50" s="554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54">
        <v>1200</v>
      </c>
      <c r="E51" s="554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54">
        <v>1260</v>
      </c>
      <c r="E52" s="554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54">
        <v>1320</v>
      </c>
      <c r="E53" s="554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54">
        <v>1380</v>
      </c>
      <c r="E54" s="554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54">
        <v>1440</v>
      </c>
      <c r="E55" s="554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30">
        <v>1500</v>
      </c>
      <c r="E56" s="557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30">
        <v>1560</v>
      </c>
      <c r="E57" s="557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30">
        <v>1620</v>
      </c>
      <c r="E58" s="557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30">
        <v>1680</v>
      </c>
      <c r="E59" s="557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30">
        <v>1740</v>
      </c>
      <c r="E60" s="557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30">
        <v>1800</v>
      </c>
      <c r="E61" s="557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30">
        <v>1860</v>
      </c>
      <c r="E62" s="557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30">
        <v>1920</v>
      </c>
      <c r="E63" s="557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30">
        <v>1980</v>
      </c>
      <c r="E64" s="557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30">
        <v>2040</v>
      </c>
      <c r="E65" s="557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30">
        <v>2100</v>
      </c>
      <c r="E66" s="557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30">
        <v>2160</v>
      </c>
      <c r="E67" s="557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30">
        <v>2220</v>
      </c>
      <c r="E68" s="557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30">
        <v>2280</v>
      </c>
      <c r="E69" s="557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30">
        <v>2340</v>
      </c>
      <c r="E70" s="557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30">
        <v>2400</v>
      </c>
      <c r="E71" s="557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30">
        <v>2460</v>
      </c>
      <c r="E72" s="557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30">
        <v>2520</v>
      </c>
      <c r="E73" s="557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30">
        <v>2580</v>
      </c>
      <c r="E74" s="557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30">
        <v>2640</v>
      </c>
      <c r="E75" s="557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30">
        <v>2700</v>
      </c>
      <c r="E76" s="557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30">
        <v>2760</v>
      </c>
      <c r="E77" s="557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30">
        <v>2820</v>
      </c>
      <c r="E78" s="557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9">
        <v>2880</v>
      </c>
      <c r="E79" s="580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7" t="s">
        <v>324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610" t="s">
        <v>330</v>
      </c>
      <c r="B1" s="611"/>
      <c r="C1" s="611"/>
      <c r="D1" s="611"/>
      <c r="E1" s="611"/>
      <c r="F1" s="611"/>
      <c r="G1" s="611"/>
      <c r="H1" s="611"/>
      <c r="I1" s="611"/>
      <c r="J1" s="612"/>
    </row>
    <row r="2" spans="1:10" ht="24.95" customHeight="1">
      <c r="A2" s="537" t="s">
        <v>295</v>
      </c>
      <c r="B2" s="538"/>
      <c r="C2" s="539" t="str">
        <f>LongTest!C2</f>
        <v>순성중명아파트 이용허가 유효기간의 연장을 위한 지하수영향조사보고서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296</v>
      </c>
      <c r="B3" s="543"/>
      <c r="C3" s="547" t="str">
        <f>LongTest!C4</f>
        <v>충청남도 당진시 순성면 순성로 453-30번지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322</v>
      </c>
    </row>
    <row r="4" spans="1:10" ht="24.95" customHeight="1">
      <c r="A4" s="542" t="s">
        <v>297</v>
      </c>
      <c r="B4" s="543"/>
      <c r="C4" s="544">
        <f>장기28!C5</f>
        <v>45456.472222222219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298</v>
      </c>
      <c r="B5" s="543"/>
      <c r="C5" s="544">
        <f>LongTest!C101</f>
        <v>45456.722222222219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294</v>
      </c>
      <c r="B6" s="543"/>
      <c r="C6" s="551" t="str">
        <f>LongTest!C5</f>
        <v>주식회사 한일지하수</v>
      </c>
      <c r="D6" s="552"/>
      <c r="E6" s="552"/>
      <c r="F6" s="552"/>
      <c r="G6" s="552"/>
      <c r="H6" s="552"/>
      <c r="I6" s="552"/>
      <c r="J6" s="553"/>
    </row>
    <row r="7" spans="1:10" ht="24.95" customHeight="1">
      <c r="A7" s="542" t="s">
        <v>299</v>
      </c>
      <c r="B7" s="543"/>
      <c r="C7" s="550" t="s">
        <v>326</v>
      </c>
      <c r="D7" s="543"/>
      <c r="E7" s="426">
        <f>LongTest!C6</f>
        <v>5</v>
      </c>
      <c r="F7" s="426" t="s">
        <v>300</v>
      </c>
      <c r="G7" s="426" t="s">
        <v>328</v>
      </c>
      <c r="H7" s="550">
        <f>Input!I50</f>
        <v>50</v>
      </c>
      <c r="I7" s="543"/>
      <c r="J7" s="427" t="s">
        <v>301</v>
      </c>
    </row>
    <row r="8" spans="1:10" ht="24.95" customHeight="1">
      <c r="A8" s="542" t="s">
        <v>302</v>
      </c>
      <c r="B8" s="543"/>
      <c r="C8" s="550" t="s">
        <v>327</v>
      </c>
      <c r="D8" s="543"/>
      <c r="E8" s="426">
        <f>LongTest!D7</f>
        <v>200</v>
      </c>
      <c r="F8" s="426" t="s">
        <v>303</v>
      </c>
      <c r="G8" s="426" t="s">
        <v>304</v>
      </c>
      <c r="H8" s="550">
        <f>LongTest!G7</f>
        <v>100</v>
      </c>
      <c r="I8" s="543"/>
      <c r="J8" s="427" t="s">
        <v>301</v>
      </c>
    </row>
    <row r="9" spans="1:10" ht="24.95" customHeight="1">
      <c r="A9" s="542" t="s">
        <v>305</v>
      </c>
      <c r="B9" s="543"/>
      <c r="C9" s="550" t="s">
        <v>325</v>
      </c>
      <c r="D9" s="543"/>
      <c r="E9" s="426">
        <f>LongTest!D8</f>
        <v>9.4499999999999993</v>
      </c>
      <c r="F9" s="426" t="s">
        <v>301</v>
      </c>
      <c r="G9" s="426" t="s">
        <v>306</v>
      </c>
      <c r="H9" s="550">
        <f>LongTest!G8</f>
        <v>25.330000000000002</v>
      </c>
      <c r="I9" s="543"/>
      <c r="J9" s="427" t="s">
        <v>301</v>
      </c>
    </row>
    <row r="10" spans="1:10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30">
        <v>1</v>
      </c>
      <c r="E12" s="557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30">
        <v>2</v>
      </c>
      <c r="E13" s="557"/>
      <c r="F13" s="431">
        <f>LongTest!F79</f>
        <v>19.374437782107812</v>
      </c>
      <c r="G13" s="431">
        <f>LongTest!G79</f>
        <v>9.9244377821078142</v>
      </c>
      <c r="H13" s="530"/>
      <c r="I13" s="531"/>
      <c r="J13" s="532"/>
    </row>
    <row r="14" spans="1:10" ht="24.95" customHeight="1">
      <c r="A14" s="453"/>
      <c r="B14" s="430"/>
      <c r="C14" s="430">
        <f t="shared" si="0"/>
        <v>45456.474305555552</v>
      </c>
      <c r="D14" s="530">
        <v>3</v>
      </c>
      <c r="E14" s="557"/>
      <c r="F14" s="431">
        <f>LongTest!F80</f>
        <v>18.58440784122201</v>
      </c>
      <c r="G14" s="431">
        <f>LongTest!G80</f>
        <v>9.1344078412220089</v>
      </c>
      <c r="H14" s="530"/>
      <c r="I14" s="531"/>
      <c r="J14" s="532"/>
    </row>
    <row r="15" spans="1:10" ht="24.95" customHeight="1">
      <c r="A15" s="453"/>
      <c r="B15" s="430"/>
      <c r="C15" s="430">
        <f t="shared" si="0"/>
        <v>45456.474999999999</v>
      </c>
      <c r="D15" s="530">
        <v>4</v>
      </c>
      <c r="E15" s="557"/>
      <c r="F15" s="431">
        <f>LongTest!F81</f>
        <v>17.857267841429007</v>
      </c>
      <c r="G15" s="431">
        <f>LongTest!G81</f>
        <v>8.4072678414290092</v>
      </c>
      <c r="H15" s="530"/>
      <c r="I15" s="531"/>
      <c r="J15" s="532"/>
    </row>
    <row r="16" spans="1:10" ht="24.95" customHeight="1">
      <c r="A16" s="453"/>
      <c r="B16" s="430"/>
      <c r="C16" s="430">
        <f t="shared" si="0"/>
        <v>45456.475694444438</v>
      </c>
      <c r="D16" s="530">
        <v>5</v>
      </c>
      <c r="E16" s="557"/>
      <c r="F16" s="431">
        <f>LongTest!F82</f>
        <v>17.188011460201068</v>
      </c>
      <c r="G16" s="431">
        <f>LongTest!G82</f>
        <v>7.7380114602010686</v>
      </c>
      <c r="H16" s="530"/>
      <c r="I16" s="531"/>
      <c r="J16" s="532"/>
    </row>
    <row r="17" spans="1:10" ht="24.95" customHeight="1">
      <c r="A17" s="453"/>
      <c r="B17" s="430"/>
      <c r="C17" s="430">
        <f t="shared" si="0"/>
        <v>45456.479166666664</v>
      </c>
      <c r="D17" s="530">
        <v>10</v>
      </c>
      <c r="E17" s="557"/>
      <c r="F17" s="431">
        <f>LongTest!F83</f>
        <v>15.483270868618019</v>
      </c>
      <c r="G17" s="431">
        <f>LongTest!G83</f>
        <v>6.0332708686180201</v>
      </c>
      <c r="H17" s="530"/>
      <c r="I17" s="531"/>
      <c r="J17" s="532"/>
    </row>
    <row r="18" spans="1:10" ht="24.95" customHeight="1">
      <c r="A18" s="453"/>
      <c r="B18" s="430"/>
      <c r="C18" s="430">
        <f t="shared" si="0"/>
        <v>45456.482638888883</v>
      </c>
      <c r="D18" s="530">
        <v>15</v>
      </c>
      <c r="E18" s="557"/>
      <c r="F18" s="431">
        <f>LongTest!F84</f>
        <v>15.158681504824028</v>
      </c>
      <c r="G18" s="431">
        <f>LongTest!G84</f>
        <v>5.7086815048240274</v>
      </c>
      <c r="H18" s="530"/>
      <c r="I18" s="531"/>
      <c r="J18" s="532"/>
    </row>
    <row r="19" spans="1:10" ht="24.95" customHeight="1">
      <c r="A19" s="453"/>
      <c r="B19" s="430"/>
      <c r="C19" s="430">
        <f t="shared" si="0"/>
        <v>45456.486111111109</v>
      </c>
      <c r="D19" s="530">
        <v>20</v>
      </c>
      <c r="E19" s="557"/>
      <c r="F19" s="431">
        <f>LongTest!F85</f>
        <v>14.285983204912011</v>
      </c>
      <c r="G19" s="431">
        <f>LongTest!G85</f>
        <v>4.8359832049120115</v>
      </c>
      <c r="H19" s="530"/>
      <c r="I19" s="531"/>
      <c r="J19" s="532"/>
    </row>
    <row r="20" spans="1:10" ht="24.95" customHeight="1">
      <c r="A20" s="453"/>
      <c r="B20" s="430"/>
      <c r="C20" s="430">
        <f t="shared" si="0"/>
        <v>45456.489583333328</v>
      </c>
      <c r="D20" s="530">
        <v>25</v>
      </c>
      <c r="E20" s="557"/>
      <c r="F20" s="431">
        <f>LongTest!F86</f>
        <v>13.901017163572192</v>
      </c>
      <c r="G20" s="431">
        <f>LongTest!G86</f>
        <v>4.4510171635721916</v>
      </c>
      <c r="H20" s="530"/>
      <c r="I20" s="531"/>
      <c r="J20" s="532"/>
    </row>
    <row r="21" spans="1:10" ht="24.95" customHeight="1">
      <c r="A21" s="453"/>
      <c r="B21" s="430"/>
      <c r="C21" s="430">
        <f t="shared" si="0"/>
        <v>45456.493055555555</v>
      </c>
      <c r="D21" s="530">
        <v>30</v>
      </c>
      <c r="E21" s="557"/>
      <c r="F21" s="431">
        <f>LongTest!F87</f>
        <v>13.54669615276811</v>
      </c>
      <c r="G21" s="431">
        <f>LongTest!G87</f>
        <v>4.0966961527681098</v>
      </c>
      <c r="H21" s="530"/>
      <c r="I21" s="531"/>
      <c r="J21" s="532"/>
    </row>
    <row r="22" spans="1:10" ht="24.95" customHeight="1">
      <c r="A22" s="453"/>
      <c r="B22" s="430"/>
      <c r="C22" s="430">
        <f t="shared" si="0"/>
        <v>45456.496527777774</v>
      </c>
      <c r="D22" s="530">
        <v>35</v>
      </c>
      <c r="E22" s="557"/>
      <c r="F22" s="431">
        <f>LongTest!F88</f>
        <v>13.434971769034254</v>
      </c>
      <c r="G22" s="431">
        <f>LongTest!G88</f>
        <v>3.9849717690342552</v>
      </c>
      <c r="H22" s="530"/>
      <c r="I22" s="531"/>
      <c r="J22" s="532"/>
    </row>
    <row r="23" spans="1:10" ht="24.95" customHeight="1">
      <c r="A23" s="453"/>
      <c r="B23" s="430"/>
      <c r="C23" s="430">
        <f t="shared" si="0"/>
        <v>45456.5</v>
      </c>
      <c r="D23" s="530">
        <v>40</v>
      </c>
      <c r="E23" s="557"/>
      <c r="F23" s="431">
        <f>LongTest!F89</f>
        <v>13.326294313228475</v>
      </c>
      <c r="G23" s="431">
        <f>LongTest!G89</f>
        <v>3.8762943132284762</v>
      </c>
      <c r="H23" s="530"/>
      <c r="I23" s="531"/>
      <c r="J23" s="532"/>
    </row>
    <row r="24" spans="1:10" ht="24.95" customHeight="1">
      <c r="A24" s="453"/>
      <c r="B24" s="430"/>
      <c r="C24" s="430">
        <f t="shared" si="0"/>
        <v>45456.503472222219</v>
      </c>
      <c r="D24" s="530">
        <v>45</v>
      </c>
      <c r="E24" s="557"/>
      <c r="F24" s="431">
        <f>LongTest!F90</f>
        <v>13.220580690063166</v>
      </c>
      <c r="G24" s="431">
        <f>LongTest!G90</f>
        <v>3.7705806900631673</v>
      </c>
      <c r="H24" s="530"/>
      <c r="I24" s="531"/>
      <c r="J24" s="532"/>
    </row>
    <row r="25" spans="1:10" ht="24.95" customHeight="1">
      <c r="A25" s="453"/>
      <c r="B25" s="430"/>
      <c r="C25" s="430">
        <f t="shared" si="0"/>
        <v>45456.506944444438</v>
      </c>
      <c r="D25" s="530">
        <v>50</v>
      </c>
      <c r="E25" s="557"/>
      <c r="F25" s="431">
        <f>LongTest!F91</f>
        <v>13.11775007041093</v>
      </c>
      <c r="G25" s="431">
        <f>LongTest!G91</f>
        <v>3.6677500704109298</v>
      </c>
      <c r="H25" s="530"/>
      <c r="I25" s="531"/>
      <c r="J25" s="532"/>
    </row>
    <row r="26" spans="1:10" ht="24.95" customHeight="1">
      <c r="A26" s="453"/>
      <c r="B26" s="430"/>
      <c r="C26" s="430">
        <f t="shared" si="0"/>
        <v>45456.510416666664</v>
      </c>
      <c r="D26" s="530">
        <v>55</v>
      </c>
      <c r="E26" s="557"/>
      <c r="F26" s="431">
        <f>LongTest!F92</f>
        <v>13.017723829502245</v>
      </c>
      <c r="G26" s="431">
        <f>LongTest!G92</f>
        <v>3.5677238295022455</v>
      </c>
      <c r="H26" s="530"/>
      <c r="I26" s="531"/>
      <c r="J26" s="532"/>
    </row>
    <row r="27" spans="1:10" ht="24.95" customHeight="1">
      <c r="A27" s="453"/>
      <c r="B27" s="430"/>
      <c r="C27" s="430">
        <f t="shared" si="0"/>
        <v>45456.513888888883</v>
      </c>
      <c r="D27" s="530">
        <v>60</v>
      </c>
      <c r="E27" s="557"/>
      <c r="F27" s="431">
        <f>LongTest!F93</f>
        <v>12.920425486808609</v>
      </c>
      <c r="G27" s="431">
        <f>LongTest!G93</f>
        <v>3.4704254868086104</v>
      </c>
      <c r="H27" s="530"/>
      <c r="I27" s="531"/>
      <c r="J27" s="532"/>
    </row>
    <row r="28" spans="1:10" ht="24.95" customHeight="1">
      <c r="A28" s="453"/>
      <c r="B28" s="430"/>
      <c r="C28" s="430">
        <f t="shared" si="0"/>
        <v>45456.524305555555</v>
      </c>
      <c r="D28" s="530">
        <v>75</v>
      </c>
      <c r="E28" s="557"/>
      <c r="F28" s="431">
        <f>LongTest!F94</f>
        <v>12.825780647565169</v>
      </c>
      <c r="G28" s="431">
        <f>LongTest!G94</f>
        <v>3.3757806475651706</v>
      </c>
      <c r="H28" s="530"/>
      <c r="I28" s="531"/>
      <c r="J28" s="532"/>
    </row>
    <row r="29" spans="1:10" ht="24.95" customHeight="1">
      <c r="A29" s="453"/>
      <c r="B29" s="430"/>
      <c r="C29" s="430">
        <f t="shared" si="0"/>
        <v>45456.534722222219</v>
      </c>
      <c r="D29" s="530">
        <v>90</v>
      </c>
      <c r="E29" s="557"/>
      <c r="F29" s="431">
        <f>LongTest!F95</f>
        <v>12.733716945888137</v>
      </c>
      <c r="G29" s="431">
        <f>LongTest!G95</f>
        <v>3.2837169458881377</v>
      </c>
      <c r="H29" s="530"/>
      <c r="I29" s="531"/>
      <c r="J29" s="532"/>
    </row>
    <row r="30" spans="1:10" ht="24.95" customHeight="1">
      <c r="A30" s="453"/>
      <c r="B30" s="430"/>
      <c r="C30" s="430">
        <f t="shared" si="0"/>
        <v>45456.545138888883</v>
      </c>
      <c r="D30" s="530">
        <v>105</v>
      </c>
      <c r="E30" s="557"/>
      <c r="F30" s="431">
        <f>LongTest!F96</f>
        <v>12.644163989443497</v>
      </c>
      <c r="G30" s="431">
        <f>LongTest!G96</f>
        <v>3.194163989443497</v>
      </c>
      <c r="H30" s="530"/>
      <c r="I30" s="531"/>
      <c r="J30" s="532"/>
    </row>
    <row r="31" spans="1:10" ht="24.95" customHeight="1">
      <c r="A31" s="453"/>
      <c r="B31" s="430"/>
      <c r="C31" s="430">
        <f t="shared" si="0"/>
        <v>45456.555555555555</v>
      </c>
      <c r="D31" s="530">
        <v>120</v>
      </c>
      <c r="E31" s="557"/>
      <c r="F31" s="431">
        <f>LongTest!F97</f>
        <v>12.389894151376794</v>
      </c>
      <c r="G31" s="431">
        <f>LongTest!G97</f>
        <v>2.9398941513767949</v>
      </c>
      <c r="H31" s="530"/>
      <c r="I31" s="531"/>
      <c r="J31" s="532"/>
    </row>
    <row r="32" spans="1:10" ht="24.95" customHeight="1">
      <c r="A32" s="453"/>
      <c r="B32" s="430"/>
      <c r="C32" s="430">
        <f t="shared" si="0"/>
        <v>45456.597222222219</v>
      </c>
      <c r="D32" s="530">
        <v>180</v>
      </c>
      <c r="E32" s="557"/>
      <c r="F32" s="431">
        <f>LongTest!F98</f>
        <v>12.309717870281746</v>
      </c>
      <c r="G32" s="431">
        <f>LongTest!G98</f>
        <v>2.859717870281747</v>
      </c>
      <c r="H32" s="530"/>
      <c r="I32" s="531"/>
      <c r="J32" s="532"/>
    </row>
    <row r="33" spans="1:10" ht="24.95" customHeight="1">
      <c r="A33" s="453"/>
      <c r="B33" s="430"/>
      <c r="C33" s="430">
        <f t="shared" si="0"/>
        <v>45456.638888888883</v>
      </c>
      <c r="D33" s="530">
        <v>240</v>
      </c>
      <c r="E33" s="557"/>
      <c r="F33" s="431">
        <f>LongTest!F99</f>
        <v>11.872546708864883</v>
      </c>
      <c r="G33" s="431">
        <f>LongTest!G99</f>
        <v>2.4225467088648833</v>
      </c>
      <c r="H33" s="530"/>
      <c r="I33" s="531"/>
      <c r="J33" s="532"/>
    </row>
    <row r="34" spans="1:10" ht="24.95" customHeight="1">
      <c r="A34" s="453"/>
      <c r="B34" s="430"/>
      <c r="C34" s="430">
        <f t="shared" si="0"/>
        <v>45456.680555555555</v>
      </c>
      <c r="D34" s="530">
        <v>300</v>
      </c>
      <c r="E34" s="557"/>
      <c r="F34" s="431">
        <f>LongTest!F100</f>
        <v>11.502206833974805</v>
      </c>
      <c r="G34" s="431">
        <f>LongTest!G100</f>
        <v>2.0522068339748056</v>
      </c>
      <c r="H34" s="530"/>
      <c r="I34" s="531"/>
      <c r="J34" s="532"/>
    </row>
    <row r="35" spans="1:10" ht="24.95" customHeight="1" thickBot="1">
      <c r="A35" s="457"/>
      <c r="B35" s="458"/>
      <c r="C35" s="458">
        <f t="shared" si="0"/>
        <v>45456.722222222219</v>
      </c>
      <c r="D35" s="533">
        <v>360</v>
      </c>
      <c r="E35" s="558"/>
      <c r="F35" s="459">
        <f>LongTest!F101</f>
        <v>11.18848160450383</v>
      </c>
      <c r="G35" s="459">
        <f>LongTest!G101</f>
        <v>1.7384816045038303</v>
      </c>
      <c r="H35" s="533" t="s">
        <v>323</v>
      </c>
      <c r="I35" s="534"/>
      <c r="J35" s="535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613" t="s">
        <v>319</v>
      </c>
      <c r="B1" s="614"/>
      <c r="C1" s="614"/>
      <c r="D1" s="614"/>
      <c r="E1" s="614"/>
      <c r="F1" s="614"/>
      <c r="G1" s="614"/>
      <c r="H1" s="614"/>
      <c r="I1" s="614"/>
      <c r="J1" s="615"/>
    </row>
    <row r="2" spans="1:10" ht="24.95" customHeight="1">
      <c r="A2" s="595" t="s">
        <v>295</v>
      </c>
      <c r="B2" s="596"/>
      <c r="C2" s="597" t="str">
        <f>LongTest!C2</f>
        <v>순성중명아파트 이용허가 유효기간의 연장을 위한 지하수영향조사보고서</v>
      </c>
      <c r="D2" s="598"/>
      <c r="E2" s="598"/>
      <c r="F2" s="598"/>
      <c r="G2" s="598"/>
      <c r="H2" s="598"/>
      <c r="I2" s="598"/>
      <c r="J2" s="599"/>
    </row>
    <row r="3" spans="1:10" ht="24.95" customHeight="1">
      <c r="A3" s="586" t="s">
        <v>296</v>
      </c>
      <c r="B3" s="587"/>
      <c r="C3" s="600" t="str">
        <f>LongTest!C4</f>
        <v>충청남도 당진시 순성면 순성로 453-30번지</v>
      </c>
      <c r="D3" s="601"/>
      <c r="E3" s="601"/>
      <c r="F3" s="601"/>
      <c r="G3" s="601"/>
      <c r="H3" s="602"/>
      <c r="I3" s="438" t="str">
        <f>Input!I54</f>
        <v>W-1</v>
      </c>
      <c r="J3" s="439" t="s">
        <v>322</v>
      </c>
    </row>
    <row r="4" spans="1:10" ht="24.95" customHeight="1">
      <c r="A4" s="586" t="s">
        <v>297</v>
      </c>
      <c r="B4" s="587"/>
      <c r="C4" s="589">
        <f>LongTest!C10</f>
        <v>45454.472222222219</v>
      </c>
      <c r="D4" s="590"/>
      <c r="E4" s="590"/>
      <c r="F4" s="590"/>
      <c r="G4" s="590"/>
      <c r="H4" s="590"/>
      <c r="I4" s="590"/>
      <c r="J4" s="591"/>
    </row>
    <row r="5" spans="1:10" ht="24.95" customHeight="1">
      <c r="A5" s="586" t="s">
        <v>298</v>
      </c>
      <c r="B5" s="587"/>
      <c r="C5" s="589">
        <f>C55</f>
        <v>45455.472222222219</v>
      </c>
      <c r="D5" s="590"/>
      <c r="E5" s="590"/>
      <c r="F5" s="590"/>
      <c r="G5" s="590"/>
      <c r="H5" s="590"/>
      <c r="I5" s="590"/>
      <c r="J5" s="591"/>
    </row>
    <row r="6" spans="1:10" ht="24.95" customHeight="1">
      <c r="A6" s="586" t="s">
        <v>294</v>
      </c>
      <c r="B6" s="587"/>
      <c r="C6" s="592" t="str">
        <f>LongTest!C5</f>
        <v>주식회사 한일지하수</v>
      </c>
      <c r="D6" s="593"/>
      <c r="E6" s="593"/>
      <c r="F6" s="593"/>
      <c r="G6" s="593"/>
      <c r="H6" s="593"/>
      <c r="I6" s="593"/>
      <c r="J6" s="594"/>
    </row>
    <row r="7" spans="1:10" ht="24.95" customHeight="1">
      <c r="A7" s="586" t="s">
        <v>299</v>
      </c>
      <c r="B7" s="587"/>
      <c r="C7" s="588" t="s">
        <v>326</v>
      </c>
      <c r="D7" s="587"/>
      <c r="E7" s="440">
        <f>LongTest!C6</f>
        <v>5</v>
      </c>
      <c r="F7" s="440" t="s">
        <v>300</v>
      </c>
      <c r="G7" s="440" t="s">
        <v>328</v>
      </c>
      <c r="H7" s="588">
        <f>Input!I50</f>
        <v>50</v>
      </c>
      <c r="I7" s="587"/>
      <c r="J7" s="441" t="s">
        <v>301</v>
      </c>
    </row>
    <row r="8" spans="1:10" ht="24.95" customHeight="1">
      <c r="A8" s="586" t="s">
        <v>302</v>
      </c>
      <c r="B8" s="587"/>
      <c r="C8" s="588" t="s">
        <v>327</v>
      </c>
      <c r="D8" s="587"/>
      <c r="E8" s="440">
        <f>LongTest!D7</f>
        <v>200</v>
      </c>
      <c r="F8" s="440" t="s">
        <v>303</v>
      </c>
      <c r="G8" s="440" t="s">
        <v>304</v>
      </c>
      <c r="H8" s="588">
        <f>LongTest!G7</f>
        <v>100</v>
      </c>
      <c r="I8" s="587"/>
      <c r="J8" s="441" t="s">
        <v>301</v>
      </c>
    </row>
    <row r="9" spans="1:10" ht="24.95" customHeight="1">
      <c r="A9" s="586" t="s">
        <v>305</v>
      </c>
      <c r="B9" s="587"/>
      <c r="C9" s="588" t="s">
        <v>325</v>
      </c>
      <c r="D9" s="587"/>
      <c r="E9" s="440">
        <f>LongTest!D8</f>
        <v>9.4499999999999993</v>
      </c>
      <c r="F9" s="440" t="s">
        <v>301</v>
      </c>
      <c r="G9" s="440" t="s">
        <v>306</v>
      </c>
      <c r="H9" s="588">
        <f>LongTest!G8</f>
        <v>25.330000000000002</v>
      </c>
      <c r="I9" s="587"/>
      <c r="J9" s="441" t="s">
        <v>301</v>
      </c>
    </row>
    <row r="10" spans="1:10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472">
        <f>LongTest!B10</f>
        <v>150</v>
      </c>
      <c r="C12" s="443">
        <f t="shared" ref="C12:C55" si="0">$C$4+D12/1440</f>
        <v>45454.472916666666</v>
      </c>
      <c r="D12" s="556">
        <v>1</v>
      </c>
      <c r="E12" s="556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56">
        <v>2</v>
      </c>
      <c r="E13" s="556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56">
        <v>3</v>
      </c>
      <c r="E14" s="556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56">
        <v>4</v>
      </c>
      <c r="E15" s="556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56">
        <v>5</v>
      </c>
      <c r="E16" s="556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56">
        <v>10</v>
      </c>
      <c r="E17" s="556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56">
        <v>15</v>
      </c>
      <c r="E18" s="556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56">
        <v>20</v>
      </c>
      <c r="E19" s="556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56">
        <v>25</v>
      </c>
      <c r="E20" s="556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56">
        <v>30</v>
      </c>
      <c r="E21" s="556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56">
        <v>35</v>
      </c>
      <c r="E22" s="556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56">
        <v>40</v>
      </c>
      <c r="E23" s="556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56">
        <v>45</v>
      </c>
      <c r="E24" s="556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56">
        <v>50</v>
      </c>
      <c r="E25" s="556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56">
        <v>55</v>
      </c>
      <c r="E26" s="556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56">
        <v>60</v>
      </c>
      <c r="E27" s="556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56">
        <v>75</v>
      </c>
      <c r="E28" s="556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56">
        <v>90</v>
      </c>
      <c r="E29" s="556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56">
        <v>105</v>
      </c>
      <c r="E30" s="556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56">
        <v>120</v>
      </c>
      <c r="E31" s="556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56">
        <v>140</v>
      </c>
      <c r="E32" s="556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56">
        <v>160</v>
      </c>
      <c r="E33" s="556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56">
        <v>180</v>
      </c>
      <c r="E34" s="556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56">
        <v>240</v>
      </c>
      <c r="E35" s="556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56">
        <v>300</v>
      </c>
      <c r="E36" s="556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56">
        <v>360</v>
      </c>
      <c r="E37" s="556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56">
        <v>420</v>
      </c>
      <c r="E38" s="556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56">
        <v>480</v>
      </c>
      <c r="E39" s="556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56">
        <v>540</v>
      </c>
      <c r="E40" s="556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56">
        <v>600</v>
      </c>
      <c r="E41" s="556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56">
        <v>660</v>
      </c>
      <c r="E42" s="556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56">
        <v>720</v>
      </c>
      <c r="E43" s="556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56">
        <v>780</v>
      </c>
      <c r="E44" s="556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56">
        <v>840</v>
      </c>
      <c r="E45" s="556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56">
        <v>900</v>
      </c>
      <c r="E46" s="556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56">
        <v>960</v>
      </c>
      <c r="E47" s="556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56">
        <v>1020</v>
      </c>
      <c r="E48" s="556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56">
        <v>1080</v>
      </c>
      <c r="E49" s="556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56">
        <v>1140</v>
      </c>
      <c r="E50" s="556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56">
        <v>1200</v>
      </c>
      <c r="E51" s="556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56">
        <v>1260</v>
      </c>
      <c r="E52" s="556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56">
        <v>1320</v>
      </c>
      <c r="E53" s="556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56">
        <v>1380</v>
      </c>
      <c r="E54" s="556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56">
        <v>1440</v>
      </c>
      <c r="E55" s="556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84"/>
      <c r="E56" s="585"/>
      <c r="F56" s="440"/>
      <c r="G56" s="440"/>
      <c r="H56" s="440"/>
      <c r="I56" s="440"/>
      <c r="J56" s="441"/>
    </row>
    <row r="57" spans="1:10" ht="24.95" customHeight="1" thickBot="1">
      <c r="A57" s="581" t="s">
        <v>324</v>
      </c>
      <c r="B57" s="582"/>
      <c r="C57" s="582"/>
      <c r="D57" s="582"/>
      <c r="E57" s="582"/>
      <c r="F57" s="582"/>
      <c r="G57" s="582"/>
      <c r="H57" s="582"/>
      <c r="I57" s="582"/>
      <c r="J57" s="58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610" t="s">
        <v>330</v>
      </c>
      <c r="B1" s="611"/>
      <c r="C1" s="611"/>
      <c r="D1" s="611"/>
      <c r="E1" s="611"/>
      <c r="F1" s="611"/>
      <c r="G1" s="611"/>
      <c r="H1" s="611"/>
      <c r="I1" s="611"/>
      <c r="J1" s="612"/>
    </row>
    <row r="2" spans="1:10" ht="24.95" customHeight="1">
      <c r="A2" s="537" t="s">
        <v>295</v>
      </c>
      <c r="B2" s="538"/>
      <c r="C2" s="539" t="str">
        <f>LongTest!C2</f>
        <v>순성중명아파트 이용허가 유효기간의 연장을 위한 지하수영향조사보고서</v>
      </c>
      <c r="D2" s="540"/>
      <c r="E2" s="540"/>
      <c r="F2" s="540"/>
      <c r="G2" s="540"/>
      <c r="H2" s="540"/>
      <c r="I2" s="540"/>
      <c r="J2" s="541"/>
    </row>
    <row r="3" spans="1:10" ht="24.95" customHeight="1">
      <c r="A3" s="542" t="s">
        <v>296</v>
      </c>
      <c r="B3" s="543"/>
      <c r="C3" s="547" t="str">
        <f>LongTest!C4</f>
        <v>충청남도 당진시 순성면 순성로 453-30번지</v>
      </c>
      <c r="D3" s="548"/>
      <c r="E3" s="548"/>
      <c r="F3" s="548"/>
      <c r="G3" s="548"/>
      <c r="H3" s="549"/>
      <c r="I3" s="424" t="str">
        <f>Input!I54</f>
        <v>W-1</v>
      </c>
      <c r="J3" s="425" t="s">
        <v>322</v>
      </c>
    </row>
    <row r="4" spans="1:10" ht="24.95" customHeight="1">
      <c r="A4" s="542" t="s">
        <v>297</v>
      </c>
      <c r="B4" s="543"/>
      <c r="C4" s="544">
        <f>장기14!C55</f>
        <v>45455.472222222219</v>
      </c>
      <c r="D4" s="545"/>
      <c r="E4" s="545"/>
      <c r="F4" s="545"/>
      <c r="G4" s="545"/>
      <c r="H4" s="545"/>
      <c r="I4" s="545"/>
      <c r="J4" s="546"/>
    </row>
    <row r="5" spans="1:10" ht="24.95" customHeight="1">
      <c r="A5" s="542" t="s">
        <v>298</v>
      </c>
      <c r="B5" s="543"/>
      <c r="C5" s="544">
        <f>C31</f>
        <v>45455.555555555555</v>
      </c>
      <c r="D5" s="545"/>
      <c r="E5" s="545"/>
      <c r="F5" s="545"/>
      <c r="G5" s="545"/>
      <c r="H5" s="545"/>
      <c r="I5" s="545"/>
      <c r="J5" s="546"/>
    </row>
    <row r="6" spans="1:10" ht="24.95" customHeight="1">
      <c r="A6" s="542" t="s">
        <v>294</v>
      </c>
      <c r="B6" s="543"/>
      <c r="C6" s="551" t="str">
        <f>LongTest!C5</f>
        <v>주식회사 한일지하수</v>
      </c>
      <c r="D6" s="552"/>
      <c r="E6" s="552"/>
      <c r="F6" s="552"/>
      <c r="G6" s="552"/>
      <c r="H6" s="552"/>
      <c r="I6" s="552"/>
      <c r="J6" s="553"/>
    </row>
    <row r="7" spans="1:10" ht="24.95" customHeight="1">
      <c r="A7" s="542" t="s">
        <v>299</v>
      </c>
      <c r="B7" s="543"/>
      <c r="C7" s="550" t="s">
        <v>326</v>
      </c>
      <c r="D7" s="543"/>
      <c r="E7" s="426">
        <f>LongTest!C6</f>
        <v>5</v>
      </c>
      <c r="F7" s="426" t="s">
        <v>300</v>
      </c>
      <c r="G7" s="426" t="s">
        <v>328</v>
      </c>
      <c r="H7" s="550">
        <f>Input!I50</f>
        <v>50</v>
      </c>
      <c r="I7" s="543"/>
      <c r="J7" s="427" t="s">
        <v>301</v>
      </c>
    </row>
    <row r="8" spans="1:10" ht="24.95" customHeight="1">
      <c r="A8" s="542" t="s">
        <v>302</v>
      </c>
      <c r="B8" s="543"/>
      <c r="C8" s="550" t="s">
        <v>327</v>
      </c>
      <c r="D8" s="543"/>
      <c r="E8" s="426">
        <f>LongTest!D7</f>
        <v>200</v>
      </c>
      <c r="F8" s="426" t="s">
        <v>303</v>
      </c>
      <c r="G8" s="426" t="s">
        <v>304</v>
      </c>
      <c r="H8" s="550">
        <f>LongTest!G7</f>
        <v>100</v>
      </c>
      <c r="I8" s="543"/>
      <c r="J8" s="427" t="s">
        <v>301</v>
      </c>
    </row>
    <row r="9" spans="1:10" ht="24.95" customHeight="1">
      <c r="A9" s="542" t="s">
        <v>305</v>
      </c>
      <c r="B9" s="543"/>
      <c r="C9" s="550" t="s">
        <v>325</v>
      </c>
      <c r="D9" s="543"/>
      <c r="E9" s="426">
        <f>LongTest!D8</f>
        <v>9.4499999999999993</v>
      </c>
      <c r="F9" s="426" t="s">
        <v>301</v>
      </c>
      <c r="G9" s="426" t="s">
        <v>306</v>
      </c>
      <c r="H9" s="550">
        <f>LongTest!G8</f>
        <v>25.330000000000002</v>
      </c>
      <c r="I9" s="543"/>
      <c r="J9" s="427" t="s">
        <v>301</v>
      </c>
    </row>
    <row r="10" spans="1:10" ht="24.95" customHeight="1">
      <c r="A10" s="555" t="s">
        <v>307</v>
      </c>
      <c r="B10" s="440" t="s">
        <v>308</v>
      </c>
      <c r="C10" s="556" t="s">
        <v>190</v>
      </c>
      <c r="D10" s="556" t="s">
        <v>310</v>
      </c>
      <c r="E10" s="556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55"/>
      <c r="B11" s="440" t="s">
        <v>331</v>
      </c>
      <c r="C11" s="556"/>
      <c r="D11" s="556" t="s">
        <v>332</v>
      </c>
      <c r="E11" s="556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30">
        <v>1</v>
      </c>
      <c r="E12" s="557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30">
        <v>2</v>
      </c>
      <c r="E13" s="557"/>
      <c r="F13" s="431">
        <f>LongTest!F79</f>
        <v>19.374437782107812</v>
      </c>
      <c r="G13" s="431">
        <f>LongTest!G79</f>
        <v>9.9244377821078142</v>
      </c>
      <c r="H13" s="530"/>
      <c r="I13" s="531"/>
      <c r="J13" s="532"/>
    </row>
    <row r="14" spans="1:10" ht="24.95" customHeight="1">
      <c r="A14" s="453"/>
      <c r="B14" s="430"/>
      <c r="C14" s="430">
        <f t="shared" si="0"/>
        <v>45455.474305555552</v>
      </c>
      <c r="D14" s="530">
        <v>3</v>
      </c>
      <c r="E14" s="557"/>
      <c r="F14" s="431">
        <f>LongTest!F80</f>
        <v>18.58440784122201</v>
      </c>
      <c r="G14" s="431">
        <f>LongTest!G80</f>
        <v>9.1344078412220089</v>
      </c>
      <c r="H14" s="530"/>
      <c r="I14" s="531"/>
      <c r="J14" s="532"/>
    </row>
    <row r="15" spans="1:10" ht="24.95" customHeight="1">
      <c r="A15" s="453"/>
      <c r="B15" s="430"/>
      <c r="C15" s="430">
        <f t="shared" si="0"/>
        <v>45455.474999999999</v>
      </c>
      <c r="D15" s="530">
        <v>4</v>
      </c>
      <c r="E15" s="557"/>
      <c r="F15" s="431">
        <f>LongTest!F81</f>
        <v>17.857267841429007</v>
      </c>
      <c r="G15" s="431">
        <f>LongTest!G81</f>
        <v>8.4072678414290092</v>
      </c>
      <c r="H15" s="530"/>
      <c r="I15" s="531"/>
      <c r="J15" s="532"/>
    </row>
    <row r="16" spans="1:10" ht="24.95" customHeight="1">
      <c r="A16" s="453"/>
      <c r="B16" s="430"/>
      <c r="C16" s="430">
        <f t="shared" si="0"/>
        <v>45455.475694444438</v>
      </c>
      <c r="D16" s="530">
        <v>5</v>
      </c>
      <c r="E16" s="557"/>
      <c r="F16" s="431">
        <f>LongTest!F82</f>
        <v>17.188011460201068</v>
      </c>
      <c r="G16" s="431">
        <f>LongTest!G82</f>
        <v>7.7380114602010686</v>
      </c>
      <c r="H16" s="530"/>
      <c r="I16" s="531"/>
      <c r="J16" s="532"/>
    </row>
    <row r="17" spans="1:10" ht="24.95" customHeight="1">
      <c r="A17" s="453"/>
      <c r="B17" s="430"/>
      <c r="C17" s="430">
        <f t="shared" si="0"/>
        <v>45455.479166666664</v>
      </c>
      <c r="D17" s="530">
        <v>10</v>
      </c>
      <c r="E17" s="557"/>
      <c r="F17" s="431">
        <f>LongTest!F83</f>
        <v>15.483270868618019</v>
      </c>
      <c r="G17" s="431">
        <f>LongTest!G83</f>
        <v>6.0332708686180201</v>
      </c>
      <c r="H17" s="530"/>
      <c r="I17" s="531"/>
      <c r="J17" s="532"/>
    </row>
    <row r="18" spans="1:10" ht="24.95" customHeight="1">
      <c r="A18" s="453"/>
      <c r="B18" s="430"/>
      <c r="C18" s="430">
        <f t="shared" si="0"/>
        <v>45455.482638888883</v>
      </c>
      <c r="D18" s="530">
        <v>15</v>
      </c>
      <c r="E18" s="557"/>
      <c r="F18" s="431">
        <f>LongTest!F84</f>
        <v>15.158681504824028</v>
      </c>
      <c r="G18" s="431">
        <f>LongTest!G84</f>
        <v>5.7086815048240274</v>
      </c>
      <c r="H18" s="530"/>
      <c r="I18" s="531"/>
      <c r="J18" s="532"/>
    </row>
    <row r="19" spans="1:10" ht="24.95" customHeight="1">
      <c r="A19" s="453"/>
      <c r="B19" s="430"/>
      <c r="C19" s="430">
        <f t="shared" si="0"/>
        <v>45455.486111111109</v>
      </c>
      <c r="D19" s="530">
        <v>20</v>
      </c>
      <c r="E19" s="557"/>
      <c r="F19" s="431">
        <f>LongTest!F85</f>
        <v>14.285983204912011</v>
      </c>
      <c r="G19" s="431">
        <f>LongTest!G85</f>
        <v>4.8359832049120115</v>
      </c>
      <c r="H19" s="530"/>
      <c r="I19" s="531"/>
      <c r="J19" s="532"/>
    </row>
    <row r="20" spans="1:10" ht="24.95" customHeight="1">
      <c r="A20" s="453"/>
      <c r="B20" s="430"/>
      <c r="C20" s="430">
        <f t="shared" si="0"/>
        <v>45455.489583333328</v>
      </c>
      <c r="D20" s="530">
        <v>25</v>
      </c>
      <c r="E20" s="557"/>
      <c r="F20" s="431">
        <f>LongTest!F86</f>
        <v>13.901017163572192</v>
      </c>
      <c r="G20" s="431">
        <f>LongTest!G86</f>
        <v>4.4510171635721916</v>
      </c>
      <c r="H20" s="530"/>
      <c r="I20" s="531"/>
      <c r="J20" s="532"/>
    </row>
    <row r="21" spans="1:10" ht="24.95" customHeight="1">
      <c r="A21" s="453"/>
      <c r="B21" s="430"/>
      <c r="C21" s="430">
        <f t="shared" si="0"/>
        <v>45455.493055555555</v>
      </c>
      <c r="D21" s="530">
        <v>30</v>
      </c>
      <c r="E21" s="557"/>
      <c r="F21" s="431">
        <f>LongTest!F87</f>
        <v>13.54669615276811</v>
      </c>
      <c r="G21" s="431">
        <f>LongTest!G87</f>
        <v>4.0966961527681098</v>
      </c>
      <c r="H21" s="530"/>
      <c r="I21" s="531"/>
      <c r="J21" s="532"/>
    </row>
    <row r="22" spans="1:10" ht="24.95" customHeight="1">
      <c r="A22" s="453"/>
      <c r="B22" s="430"/>
      <c r="C22" s="430">
        <f t="shared" si="0"/>
        <v>45455.496527777774</v>
      </c>
      <c r="D22" s="530">
        <v>35</v>
      </c>
      <c r="E22" s="557"/>
      <c r="F22" s="431">
        <f>LongTest!F88</f>
        <v>13.434971769034254</v>
      </c>
      <c r="G22" s="431">
        <f>LongTest!G88</f>
        <v>3.9849717690342552</v>
      </c>
      <c r="H22" s="530"/>
      <c r="I22" s="531"/>
      <c r="J22" s="532"/>
    </row>
    <row r="23" spans="1:10" ht="24.95" customHeight="1">
      <c r="A23" s="453"/>
      <c r="B23" s="430"/>
      <c r="C23" s="430">
        <f t="shared" si="0"/>
        <v>45455.5</v>
      </c>
      <c r="D23" s="530">
        <v>40</v>
      </c>
      <c r="E23" s="557"/>
      <c r="F23" s="431">
        <f>LongTest!F89</f>
        <v>13.326294313228475</v>
      </c>
      <c r="G23" s="431">
        <f>LongTest!G89</f>
        <v>3.8762943132284762</v>
      </c>
      <c r="H23" s="530"/>
      <c r="I23" s="531"/>
      <c r="J23" s="532"/>
    </row>
    <row r="24" spans="1:10" ht="24.95" customHeight="1">
      <c r="A24" s="453"/>
      <c r="B24" s="430"/>
      <c r="C24" s="430">
        <f t="shared" si="0"/>
        <v>45455.503472222219</v>
      </c>
      <c r="D24" s="530">
        <v>45</v>
      </c>
      <c r="E24" s="557"/>
      <c r="F24" s="431">
        <f>LongTest!F90</f>
        <v>13.220580690063166</v>
      </c>
      <c r="G24" s="431">
        <f>LongTest!G90</f>
        <v>3.7705806900631673</v>
      </c>
      <c r="H24" s="530"/>
      <c r="I24" s="531"/>
      <c r="J24" s="532"/>
    </row>
    <row r="25" spans="1:10" ht="24.95" customHeight="1">
      <c r="A25" s="453"/>
      <c r="B25" s="430"/>
      <c r="C25" s="430">
        <f t="shared" si="0"/>
        <v>45455.506944444438</v>
      </c>
      <c r="D25" s="530">
        <v>50</v>
      </c>
      <c r="E25" s="557"/>
      <c r="F25" s="431">
        <f>LongTest!F91</f>
        <v>13.11775007041093</v>
      </c>
      <c r="G25" s="431">
        <f>LongTest!G91</f>
        <v>3.6677500704109298</v>
      </c>
      <c r="H25" s="530"/>
      <c r="I25" s="531"/>
      <c r="J25" s="532"/>
    </row>
    <row r="26" spans="1:10" ht="24.95" customHeight="1">
      <c r="A26" s="453"/>
      <c r="B26" s="430"/>
      <c r="C26" s="430">
        <f t="shared" si="0"/>
        <v>45455.510416666664</v>
      </c>
      <c r="D26" s="530">
        <v>55</v>
      </c>
      <c r="E26" s="557"/>
      <c r="F26" s="431">
        <f>LongTest!F92</f>
        <v>13.017723829502245</v>
      </c>
      <c r="G26" s="431">
        <f>LongTest!G92</f>
        <v>3.5677238295022455</v>
      </c>
      <c r="H26" s="530"/>
      <c r="I26" s="531"/>
      <c r="J26" s="532"/>
    </row>
    <row r="27" spans="1:10" ht="24.95" customHeight="1">
      <c r="A27" s="453"/>
      <c r="B27" s="430"/>
      <c r="C27" s="430">
        <f t="shared" si="0"/>
        <v>45455.513888888883</v>
      </c>
      <c r="D27" s="530">
        <v>60</v>
      </c>
      <c r="E27" s="557"/>
      <c r="F27" s="431">
        <f>LongTest!F93</f>
        <v>12.920425486808609</v>
      </c>
      <c r="G27" s="431">
        <f>LongTest!G93</f>
        <v>3.4704254868086104</v>
      </c>
      <c r="H27" s="530"/>
      <c r="I27" s="531"/>
      <c r="J27" s="532"/>
    </row>
    <row r="28" spans="1:10" ht="24.95" customHeight="1">
      <c r="A28" s="453"/>
      <c r="B28" s="430"/>
      <c r="C28" s="430">
        <f t="shared" si="0"/>
        <v>45455.524305555555</v>
      </c>
      <c r="D28" s="530">
        <v>75</v>
      </c>
      <c r="E28" s="557"/>
      <c r="F28" s="431">
        <f>LongTest!F94</f>
        <v>12.825780647565169</v>
      </c>
      <c r="G28" s="431">
        <f>LongTest!G94</f>
        <v>3.3757806475651706</v>
      </c>
      <c r="H28" s="530"/>
      <c r="I28" s="531"/>
      <c r="J28" s="532"/>
    </row>
    <row r="29" spans="1:10" ht="24.95" customHeight="1">
      <c r="A29" s="453"/>
      <c r="B29" s="430"/>
      <c r="C29" s="430">
        <f t="shared" si="0"/>
        <v>45455.534722222219</v>
      </c>
      <c r="D29" s="530">
        <v>90</v>
      </c>
      <c r="E29" s="557"/>
      <c r="F29" s="431">
        <f>LongTest!F95</f>
        <v>12.733716945888137</v>
      </c>
      <c r="G29" s="431">
        <f>LongTest!G95</f>
        <v>3.2837169458881377</v>
      </c>
      <c r="H29" s="530"/>
      <c r="I29" s="531"/>
      <c r="J29" s="532"/>
    </row>
    <row r="30" spans="1:10" ht="24.95" customHeight="1">
      <c r="A30" s="453"/>
      <c r="B30" s="430"/>
      <c r="C30" s="430">
        <f t="shared" si="0"/>
        <v>45455.545138888883</v>
      </c>
      <c r="D30" s="530">
        <v>105</v>
      </c>
      <c r="E30" s="557"/>
      <c r="F30" s="431">
        <f>LongTest!F96</f>
        <v>12.644163989443497</v>
      </c>
      <c r="G30" s="431">
        <f>LongTest!G96</f>
        <v>3.194163989443497</v>
      </c>
      <c r="H30" s="530"/>
      <c r="I30" s="531"/>
      <c r="J30" s="532"/>
    </row>
    <row r="31" spans="1:10" ht="24.95" customHeight="1">
      <c r="A31" s="453"/>
      <c r="B31" s="430"/>
      <c r="C31" s="430">
        <f t="shared" si="0"/>
        <v>45455.555555555555</v>
      </c>
      <c r="D31" s="530">
        <v>120</v>
      </c>
      <c r="E31" s="557"/>
      <c r="F31" s="431">
        <f>LongTest!F97</f>
        <v>12.389894151376794</v>
      </c>
      <c r="G31" s="431">
        <f>LongTest!G97</f>
        <v>2.9398941513767949</v>
      </c>
      <c r="H31" s="530" t="s">
        <v>329</v>
      </c>
      <c r="I31" s="531"/>
      <c r="J31" s="532"/>
    </row>
    <row r="32" spans="1:10" ht="24.95" customHeight="1">
      <c r="A32" s="453"/>
      <c r="B32" s="430"/>
      <c r="C32" s="430"/>
      <c r="D32" s="530"/>
      <c r="E32" s="557"/>
      <c r="F32" s="431"/>
      <c r="G32" s="431"/>
      <c r="H32" s="530"/>
      <c r="I32" s="531"/>
      <c r="J32" s="532"/>
    </row>
    <row r="33" spans="1:10" ht="24.95" customHeight="1">
      <c r="A33" s="453"/>
      <c r="B33" s="430"/>
      <c r="C33" s="430"/>
      <c r="D33" s="530"/>
      <c r="E33" s="557"/>
      <c r="F33" s="431"/>
      <c r="G33" s="431"/>
      <c r="H33" s="530"/>
      <c r="I33" s="531"/>
      <c r="J33" s="532"/>
    </row>
    <row r="34" spans="1:10" ht="24.95" customHeight="1">
      <c r="A34" s="453"/>
      <c r="B34" s="430"/>
      <c r="C34" s="430"/>
      <c r="D34" s="530"/>
      <c r="E34" s="557"/>
      <c r="F34" s="431"/>
      <c r="G34" s="431"/>
      <c r="H34" s="530"/>
      <c r="I34" s="531"/>
      <c r="J34" s="532"/>
    </row>
    <row r="35" spans="1:10" ht="24.95" customHeight="1" thickBot="1">
      <c r="A35" s="457"/>
      <c r="B35" s="458"/>
      <c r="C35" s="458"/>
      <c r="D35" s="533"/>
      <c r="E35" s="558"/>
      <c r="F35" s="459"/>
      <c r="G35" s="459"/>
      <c r="H35" s="533"/>
      <c r="I35" s="534"/>
      <c r="J35" s="535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2024-12-19T03:41:23Z</dcterms:modified>
</cp:coreProperties>
</file>