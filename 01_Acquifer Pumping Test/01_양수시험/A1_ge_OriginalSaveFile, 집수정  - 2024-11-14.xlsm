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66D74F30-29EA-48D3-BF79-A5D0145295EF}" xr6:coauthVersionLast="47" xr6:coauthVersionMax="47" xr10:uidLastSave="{00000000-0000-0000-0000-000000000000}"/>
  <bookViews>
    <workbookView xWindow="-120" yWindow="-120" windowWidth="29040" windowHeight="175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B12" i="18"/>
  <c r="B12" i="16"/>
  <c r="B12" i="20"/>
  <c r="B12" i="15"/>
  <c r="A27" i="9"/>
  <c r="I49" i="2"/>
  <c r="H7" i="20"/>
  <c r="C4" i="20"/>
  <c r="C22" i="20" s="1"/>
  <c r="I3" i="20"/>
  <c r="H7" i="19"/>
  <c r="I3" i="19"/>
  <c r="C41" i="18"/>
  <c r="C40" i="18"/>
  <c r="C33" i="18"/>
  <c r="C31" i="18"/>
  <c r="C28" i="18"/>
  <c r="H7" i="18"/>
  <c r="C4" i="18"/>
  <c r="C35" i="18" s="1"/>
  <c r="I3" i="18"/>
  <c r="I3" i="13"/>
  <c r="I3" i="15"/>
  <c r="I3" i="17"/>
  <c r="I3" i="16"/>
  <c r="C12" i="18" l="1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3" i="16"/>
  <c r="C68" i="16"/>
  <c r="C54" i="16"/>
  <c r="C48" i="16"/>
  <c r="C40" i="16"/>
  <c r="C29" i="16"/>
  <c r="C27" i="16"/>
  <c r="H7" i="16"/>
  <c r="C4" i="16"/>
  <c r="C70" i="16" s="1"/>
  <c r="C79" i="15"/>
  <c r="C73" i="15"/>
  <c r="C71" i="15"/>
  <c r="C70" i="15"/>
  <c r="C69" i="15"/>
  <c r="C68" i="15"/>
  <c r="C67" i="15"/>
  <c r="C66" i="15"/>
  <c r="C65" i="15"/>
  <c r="C64" i="15"/>
  <c r="C63" i="15"/>
  <c r="C57" i="15"/>
  <c r="C55" i="15"/>
  <c r="C54" i="15"/>
  <c r="C53" i="15"/>
  <c r="C52" i="15"/>
  <c r="C51" i="15"/>
  <c r="C50" i="15"/>
  <c r="C49" i="15"/>
  <c r="C48" i="15"/>
  <c r="C47" i="15"/>
  <c r="C41" i="15"/>
  <c r="C39" i="15"/>
  <c r="C38" i="15"/>
  <c r="C37" i="15"/>
  <c r="C36" i="15"/>
  <c r="C35" i="15"/>
  <c r="C34" i="15"/>
  <c r="C33" i="15"/>
  <c r="C32" i="15"/>
  <c r="C31" i="15"/>
  <c r="C25" i="15"/>
  <c r="C23" i="15"/>
  <c r="C22" i="15"/>
  <c r="C21" i="15"/>
  <c r="C20" i="15"/>
  <c r="C19" i="15"/>
  <c r="C18" i="15"/>
  <c r="C17" i="15"/>
  <c r="C16" i="15"/>
  <c r="C15" i="15"/>
  <c r="H7" i="15"/>
  <c r="C4" i="15"/>
  <c r="C58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74" i="16" l="1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C2" i="20" l="1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R4" i="6" l="1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S18" i="6" l="1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C50" i="12" s="1"/>
  <c r="D50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B90" i="8" l="1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F32" i="20" l="1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97" i="12" l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<sst xmlns="http://schemas.openxmlformats.org/spreadsheetml/2006/main" count="1417" uniqueCount="349">
  <si>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</si>
  <si>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</si>
  <si>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</si>
  <si>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</si>
  <si>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</si>
  <si>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</si>
  <si>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</si>
  <si>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</si>
  <si>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</si>
  <si>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</si>
  <si>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</si>
  <si>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</si>
  <si>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</si>
  <si>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</si>
  <si>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</si>
  <si>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</si>
  <si>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</si>
  <si>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</si>
  <si>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</si>
  <si>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</si>
  <si>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</si>
  <si>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</si>
  <si>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</si>
  <si>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</si>
  <si>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</si>
  <si>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</si>
  <si>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</si>
  <si>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</si>
  <si>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</si>
  <si>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</si>
  <si>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</si>
  <si>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</si>
  <si>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</si>
  <si>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</si>
  <si>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</si>
  <si>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</si>
  <si>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</si>
  <si>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</si>
  <si>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</si>
  <si>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</si>
  <si>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</si>
  <si>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</si>
  <si>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</si>
  <si>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</si>
  <si>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</si>
  <si>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</si>
  <si>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</si>
  <si>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</si>
  <si>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</si>
  <si>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</si>
  <si>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</si>
  <si>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</si>
  <si>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</si>
  <si>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</si>
  <si>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</si>
  <si>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</si>
  <si>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</si>
  <si>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</si>
  <si>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</si>
  <si>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</si>
  <si>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</si>
  <si>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</si>
  <si>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</si>
  <si>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</si>
  <si>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</si>
  <si>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</si>
  <si>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</si>
  <si>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</si>
  <si>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</si>
  <si>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</si>
  <si>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</si>
  <si>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</si>
  <si>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</si>
  <si>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</si>
  <si>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</si>
  <si>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</si>
  <si>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</si>
  <si>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</si>
  <si>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</si>
  <si>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</si>
  <si>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</si>
  <si>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</si>
  <si>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</si>
  <si>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</si>
  <si>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</si>
  <si>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</si>
  <si>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</si>
  <si>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</si>
  <si>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</si>
  <si>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</si>
  <si>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</si>
  <si>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</si>
  <si>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</si>
  <si>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</si>
  <si>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</si>
  <si>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</si>
  <si>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</si>
  <si>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</si>
  <si>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</si>
  <si>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</si>
  <si>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</si>
  <si>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</si>
  <si>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</si>
  <si>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</si>
  <si>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</si>
  <si>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</si>
  <si>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</si>
  <si>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</si>
  <si>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</si>
  <si>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</si>
  <si>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</si>
  <si>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</si>
  <si>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</si>
  <si>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</si>
  <si>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</si>
  <si>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</si>
  <si>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</si>
  <si>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</si>
  <si>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</si>
  <si>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</si>
  <si>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</si>
  <si>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</si>
  <si>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</si>
  <si>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</si>
  <si>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</si>
  <si>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</si>
  <si>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</si>
  <si>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</si>
  <si>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</si>
  <si>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</si>
  <si>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</si>
  <si>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</si>
  <si>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</si>
  <si>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</si>
  <si>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</si>
  <si>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</si>
  <si>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</si>
  <si>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</si>
  <si>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</si>
  <si>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</si>
  <si>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</si>
  <si>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</si>
  <si>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</si>
  <si>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</si>
  <si>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</si>
  <si>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</si>
  <si>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</si>
  <si>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</si>
  <si>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</si>
  <si>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</si>
  <si>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</si>
  <si>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</si>
  <si>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</si>
  <si>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</si>
  <si>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</si>
  <si>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</si>
  <si>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</si>
  <si>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</si>
  <si>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</si>
  <si>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</si>
  <si>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</si>
  <si>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</si>
  <si>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</si>
  <si>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</si>
  <si>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</si>
  <si>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</si>
  <si>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</si>
  <si>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</si>
  <si>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</si>
  <si>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</si>
  <si>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</si>
  <si>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</si>
  <si>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</si>
  <si>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</si>
  <si>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</si>
  <si>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</si>
  <si>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</si>
  <si>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</si>
  <si>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</si>
  <si>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</si>
  <si>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</si>
  <si>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</si>
  <si>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</si>
  <si>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</si>
  <si>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</si>
  <si>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</si>
  <si>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</si>
  <si>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</si>
  <si>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</si>
  <si>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</si>
  <si>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</si>
  <si>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</si>
  <si>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</si>
  <si>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</si>
  <si>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</si>
  <si>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</si>
  <si>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</si>
  <si>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</si>
  <si>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</si>
  <si>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</si>
  <si>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</si>
  <si>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</si>
  <si>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</si>
  <si>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</si>
  <si>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</si>
  <si>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</si>
  <si>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</si>
  <si>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</si>
  <si>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</si>
  <si>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</si>
  <si>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</si>
  <si>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</si>
  <si>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</si>
  <si>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</si>
  <si>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</si>
  <si>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</si>
  <si>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</si>
  <si>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</si>
  <si>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</si>
  <si>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</si>
  <si>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</si>
  <si>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</si>
  <si>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</si>
  <si>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</si>
  <si>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</si>
  <si>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</si>
  <si>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</si>
  <si>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</si>
  <si>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</si>
  <si>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</si>
  <si>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</si>
  <si>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</si>
  <si>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</si>
  <si>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</si>
  <si>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</si>
  <si>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</si>
  <si>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</si>
  <si>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</si>
  <si>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</si>
  <si>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</si>
  <si>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</si>
  <si>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</si>
  <si>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</si>
  <si>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</si>
  <si>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</si>
  <si>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</si>
  <si>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</si>
  <si>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</si>
  <si>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</si>
  <si>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</si>
  <si>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</si>
  <si>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</si>
  <si>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</si>
  <si>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</si>
  <si>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</si>
  <si>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</si>
  <si>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</si>
  <si>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</si>
  <si>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</si>
  <si>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</si>
  <si>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</si>
  <si>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</si>
  <si>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</si>
  <si>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</si>
  <si>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</si>
  <si>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</si>
  <si>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</si>
  <si>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</si>
  <si>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</si>
  <si>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</si>
  <si>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</si>
  <si>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</si>
  <si>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</si>
  <si>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</si>
  <si>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</si>
  <si>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</si>
  <si>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</si>
  <si>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</si>
  <si>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</si>
  <si>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</si>
  <si>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</si>
  <si>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</si>
  <si>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</si>
  <si>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</si>
  <si>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</si>
  <si>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</si>
  <si>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</si>
  <si>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</si>
  <si>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</si>
  <si>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</si>
  <si>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</si>
  <si>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</si>
  <si>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</si>
  <si>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  <phoneticPr fontId="7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</si>
  <si>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</si>
  <si>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</si>
  <si>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</si>
  <si>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</si>
  <si>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</si>
  <si>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</si>
  <si>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</si>
  <si>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</si>
  <si>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</si>
  <si>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</si>
  <si>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</si>
  <si>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</si>
  <si>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</si>
  <si>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</si>
  <si>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</si>
  <si>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</si>
  <si>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</si>
  <si>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</si>
  <si>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</si>
  <si>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</si>
  <si>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</si>
  <si>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</si>
  <si>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</si>
  <si>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</si>
  <si>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</si>
  <si>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</si>
  <si>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</si>
  <si>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</si>
  <si>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</si>
  <si>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</si>
  <si>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</si>
  <si>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</si>
  <si>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</si>
  <si>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</si>
  <si>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</si>
  <si>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</si>
  <si>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</si>
  <si>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</si>
  <si>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</si>
  <si>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</si>
  <si>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</si>
  <si>
    <t>STABLETIME</t>
  </si>
  <si>
    <t>MY_TIME</t>
  </si>
  <si>
    <t>DAY</t>
  </si>
  <si>
    <t>충청남도 당진시 순성면 순성로 453-30번지</t>
    <phoneticPr fontId="7" type="noConversion"/>
  </si>
  <si>
    <t>순성중명아파트 이용허가 유효기간의 연장을 위한 지하수영향조사보고서</t>
    <phoneticPr fontId="7" type="noConversion"/>
  </si>
  <si>
    <t>순성중명아파트</t>
    <phoneticPr fontId="7" type="noConversion"/>
  </si>
  <si>
    <t>주식회사 한일지하수</t>
    <phoneticPr fontId="7" type="noConversion"/>
  </si>
  <si>
    <t>94
120
146
172
198</t>
  </si>
  <si>
    <t>16.09
18.31
20.80
23.58
27.81</t>
  </si>
  <si>
    <t>6.64
8.86
11.35
14.13
18.36</t>
  </si>
  <si>
    <t>14.157
13.544
12.881
12.173
10.773</t>
  </si>
  <si>
    <t>0.070638
0.073833
0.077633
0.082151
0.092821</t>
  </si>
  <si>
    <t>주식회사 보성건설</t>
  </si>
  <si>
    <t>2024,11,14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</si>
</sst>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18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2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right" vertical="center" wrapText="1"/>
    </xf>
    <xf numFmtId="220" fontId="84" fillId="0" borderId="50" xfId="0" applyNumberFormat="1" applyFont="1" applyBorder="1" applyAlignment="1">
      <alignment vertical="center" wrapText="1"/>
    </xf>
    <xf numFmtId="0" fontId="84" fillId="0" borderId="1" xfId="0" applyFont="1" applyBorder="1" applyAlignment="1">
      <alignment horizontal="center" vertical="center" wrapText="1"/>
    </xf>
    <xf numFmtId="0" fontId="84" fillId="0" borderId="33" xfId="0" applyFont="1" applyBorder="1" applyAlignment="1">
      <alignment horizontal="center" vertical="center" wrapText="1"/>
    </xf>
    <xf numFmtId="0" fontId="84" fillId="0" borderId="14" xfId="0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32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33" xfId="0" applyFont="1" applyBorder="1" applyAlignment="1">
      <alignment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/>
    </xf>
    <xf numFmtId="0" fontId="87" fillId="0" borderId="33" xfId="2" applyFont="1" applyBorder="1" applyAlignment="1">
      <alignment horizontal="center" vertical="center"/>
    </xf>
    <xf numFmtId="0" fontId="86" fillId="0" borderId="14" xfId="0" applyFont="1" applyBorder="1">
      <alignment vertical="center"/>
    </xf>
    <xf numFmtId="0" fontId="89" fillId="0" borderId="0" xfId="0" applyFont="1">
      <alignment vertical="center"/>
    </xf>
    <xf numFmtId="0" fontId="68" fillId="0" borderId="33" xfId="2" applyFont="1" applyBorder="1" applyAlignment="1">
      <alignment horizontal="center" vertical="center"/>
    </xf>
    <xf numFmtId="0" fontId="84" fillId="0" borderId="1" xfId="0" applyFont="1" applyBorder="1" applyAlignment="1">
      <alignment vertical="center" wrapText="1"/>
    </xf>
    <xf numFmtId="0" fontId="90" fillId="0" borderId="14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4" xfId="0" applyFont="1" applyBorder="1">
      <alignment vertical="center"/>
    </xf>
    <xf numFmtId="0" fontId="89" fillId="0" borderId="69" xfId="0" applyFont="1" applyBorder="1">
      <alignment vertical="center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9" fillId="0" borderId="34" xfId="0" applyFont="1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9" fillId="0" borderId="1" xfId="0" applyFont="1" applyBorder="1">
      <alignment vertical="center"/>
    </xf>
    <xf numFmtId="0" fontId="89" fillId="0" borderId="17" xfId="0" applyFont="1" applyBorder="1">
      <alignment vertical="center"/>
    </xf>
    <xf numFmtId="0" fontId="89" fillId="0" borderId="2" xfId="0" applyFont="1" applyBorder="1">
      <alignment vertical="center"/>
    </xf>
    <xf numFmtId="0" fontId="89" fillId="0" borderId="6" xfId="0" applyFont="1" applyBorder="1">
      <alignment vertical="center"/>
    </xf>
    <xf numFmtId="0" fontId="89" fillId="0" borderId="50" xfId="0" applyFont="1" applyBorder="1">
      <alignment vertical="center"/>
    </xf>
    <xf numFmtId="0" fontId="94" fillId="0" borderId="1" xfId="0" applyFont="1" applyBorder="1" applyAlignment="1">
      <alignment horizontal="center" vertical="center" wrapText="1"/>
    </xf>
    <xf numFmtId="0" fontId="95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82" fillId="0" borderId="1" xfId="0" applyNumberFormat="1" applyFont="1" applyBorder="1" applyAlignment="1">
      <alignment horizontal="center" vertical="center" wrapText="1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221" fontId="41" fillId="33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3" fillId="0" borderId="0" xfId="0" applyFont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2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3" fillId="0" borderId="74" xfId="0" applyFont="1" applyBorder="1" applyAlignment="1">
      <alignment horizontal="center" vertical="center" wrapText="1"/>
    </xf>
    <xf numFmtId="0" fontId="83" fillId="0" borderId="75" xfId="0" applyFont="1" applyBorder="1" applyAlignment="1">
      <alignment horizontal="center" vertical="center" wrapText="1"/>
    </xf>
    <xf numFmtId="0" fontId="83" fillId="0" borderId="76" xfId="0" applyFont="1" applyBorder="1" applyAlignment="1">
      <alignment horizontal="center" vertical="center" wrapText="1"/>
    </xf>
    <xf numFmtId="0" fontId="89" fillId="0" borderId="2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89" fillId="0" borderId="50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68" fillId="0" borderId="2" xfId="2" applyFont="1" applyBorder="1" applyAlignment="1">
      <alignment horizontal="center" vertical="center"/>
    </xf>
    <xf numFmtId="0" fontId="68" fillId="0" borderId="6" xfId="2" applyFont="1" applyBorder="1" applyAlignment="1">
      <alignment horizontal="center" vertical="center"/>
    </xf>
    <xf numFmtId="0" fontId="68" fillId="0" borderId="50" xfId="2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91" fillId="0" borderId="71" xfId="0" applyFont="1" applyBorder="1" applyAlignment="1">
      <alignment horizontal="center" vertical="center"/>
    </xf>
    <xf numFmtId="0" fontId="91" fillId="0" borderId="67" xfId="0" applyFont="1" applyBorder="1" applyAlignment="1">
      <alignment horizontal="center" vertical="center"/>
    </xf>
    <xf numFmtId="0" fontId="91" fillId="0" borderId="68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88" fillId="0" borderId="71" xfId="0" applyFont="1" applyBorder="1" applyAlignment="1">
      <alignment horizontal="center" vertical="center"/>
    </xf>
    <xf numFmtId="0" fontId="88" fillId="0" borderId="67" xfId="0" applyFont="1" applyBorder="1" applyAlignment="1">
      <alignment horizontal="center" vertical="center"/>
    </xf>
    <xf numFmtId="0" fontId="88" fillId="0" borderId="68" xfId="0" applyFont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0" fontId="82" fillId="0" borderId="2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5" fillId="0" borderId="74" xfId="0" applyFont="1" applyBorder="1" applyAlignment="1">
      <alignment horizontal="center" vertical="center" wrapText="1"/>
    </xf>
    <xf numFmtId="0" fontId="85" fillId="0" borderId="75" xfId="0" applyFont="1" applyBorder="1" applyAlignment="1">
      <alignment horizontal="center" vertical="center" wrapText="1"/>
    </xf>
    <xf numFmtId="0" fontId="85" fillId="0" borderId="76" xfId="0" applyFont="1" applyBorder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  <xf numFmtId="14" fontId="48" fillId="24" borderId="2" xfId="2" applyNumberFormat="1" applyFont="1" applyFill="1" applyBorder="1" applyAlignment="1">
      <alignment horizontal="center" vertical="center"/>
    </xf>
    <xf numFmtId="14" fontId="48" fillId="24" borderId="6" xfId="2" applyNumberFormat="1" applyFont="1" applyFill="1" applyBorder="1" applyAlignment="1">
      <alignment horizontal="center" vertical="center"/>
    </xf>
    <xf numFmtId="14" fontId="48" fillId="24" borderId="7" xfId="2" applyNumberFormat="1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4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4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5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2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8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0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J25" sqref="J25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  <c r="J20" s="10" t="s">
        <v>347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1.82</v>
      </c>
      <c r="E2" s="6">
        <v>2</v>
      </c>
      <c r="F2" s="6">
        <f>StepTest!G13</f>
        <v>1.82</v>
      </c>
    </row>
    <row r="3" spans="1:6">
      <c r="A3" s="100">
        <v>3</v>
      </c>
      <c r="B3" s="6">
        <f t="shared" si="0"/>
        <v>2.2999999999999998</v>
      </c>
      <c r="E3" s="6">
        <v>3</v>
      </c>
      <c r="F3" s="6">
        <f>StepTest!G14</f>
        <v>2.2999999999999998</v>
      </c>
    </row>
    <row r="4" spans="1:6">
      <c r="A4" s="100">
        <v>4</v>
      </c>
      <c r="B4" s="6">
        <f t="shared" si="0"/>
        <v>2.63</v>
      </c>
      <c r="E4" s="6">
        <v>4</v>
      </c>
      <c r="F4" s="6">
        <f>StepTest!G15</f>
        <v>2.63</v>
      </c>
    </row>
    <row r="5" spans="1:6">
      <c r="A5" s="100">
        <v>5</v>
      </c>
      <c r="B5" s="6">
        <f t="shared" si="0"/>
        <v>2.9</v>
      </c>
      <c r="E5" s="6">
        <v>5</v>
      </c>
      <c r="F5" s="6">
        <f>StepTest!G16</f>
        <v>2.9</v>
      </c>
    </row>
    <row r="6" spans="1:6">
      <c r="A6" s="100">
        <v>10</v>
      </c>
      <c r="B6" s="6">
        <f t="shared" si="0"/>
        <v>3.71</v>
      </c>
      <c r="E6" s="6">
        <v>10</v>
      </c>
      <c r="F6" s="6">
        <f>StepTest!G17</f>
        <v>3.71</v>
      </c>
    </row>
    <row r="7" spans="1:6">
      <c r="A7" s="100">
        <v>15</v>
      </c>
      <c r="B7" s="6">
        <f t="shared" si="0"/>
        <v>4.1900000000000004</v>
      </c>
      <c r="E7" s="6">
        <v>15</v>
      </c>
      <c r="F7" s="6">
        <f>StepTest!G18</f>
        <v>4.1900000000000004</v>
      </c>
    </row>
    <row r="8" spans="1:6">
      <c r="A8" s="100">
        <v>20</v>
      </c>
      <c r="B8" s="6">
        <f t="shared" si="0"/>
        <v>4.53</v>
      </c>
      <c r="E8" s="6">
        <v>20</v>
      </c>
      <c r="F8" s="6">
        <f>StepTest!G19</f>
        <v>4.53</v>
      </c>
    </row>
    <row r="9" spans="1:6">
      <c r="A9" s="100">
        <v>25</v>
      </c>
      <c r="B9" s="6">
        <f t="shared" si="0"/>
        <v>4.79</v>
      </c>
      <c r="E9" s="6">
        <v>25</v>
      </c>
      <c r="F9" s="6">
        <f>StepTest!G20</f>
        <v>4.79</v>
      </c>
    </row>
    <row r="10" spans="1:6">
      <c r="A10" s="100">
        <v>30</v>
      </c>
      <c r="B10" s="6">
        <f t="shared" si="0"/>
        <v>5</v>
      </c>
      <c r="E10" s="6">
        <v>30</v>
      </c>
      <c r="F10" s="6">
        <f>StepTest!G21</f>
        <v>5</v>
      </c>
    </row>
    <row r="11" spans="1:6">
      <c r="A11" s="100">
        <v>35</v>
      </c>
      <c r="B11" s="6">
        <f t="shared" si="0"/>
        <v>5.19</v>
      </c>
      <c r="E11" s="6">
        <v>35</v>
      </c>
      <c r="F11" s="6">
        <f>StepTest!G22</f>
        <v>5.19</v>
      </c>
    </row>
    <row r="12" spans="1:6">
      <c r="A12" s="100">
        <v>40</v>
      </c>
      <c r="B12" s="6">
        <f t="shared" si="0"/>
        <v>5.34</v>
      </c>
      <c r="E12" s="6">
        <v>40</v>
      </c>
      <c r="F12" s="6">
        <f>StepTest!G23</f>
        <v>5.34</v>
      </c>
    </row>
    <row r="13" spans="1:6">
      <c r="A13" s="100">
        <v>45</v>
      </c>
      <c r="B13" s="6">
        <f t="shared" si="0"/>
        <v>5.48</v>
      </c>
      <c r="E13" s="6">
        <v>45</v>
      </c>
      <c r="F13" s="6">
        <f>StepTest!G24</f>
        <v>5.48</v>
      </c>
    </row>
    <row r="14" spans="1:6">
      <c r="A14" s="100">
        <v>50</v>
      </c>
      <c r="B14" s="6">
        <f t="shared" si="0"/>
        <v>5.61</v>
      </c>
      <c r="E14" s="6">
        <v>50</v>
      </c>
      <c r="F14" s="6">
        <f>StepTest!G25</f>
        <v>5.61</v>
      </c>
    </row>
    <row r="15" spans="1:6">
      <c r="A15" s="100">
        <v>55</v>
      </c>
      <c r="B15" s="6">
        <f t="shared" si="0"/>
        <v>5.72</v>
      </c>
      <c r="E15" s="6">
        <v>55</v>
      </c>
      <c r="F15" s="6">
        <f>StepTest!G26</f>
        <v>5.72</v>
      </c>
    </row>
    <row r="16" spans="1:6">
      <c r="A16" s="100">
        <v>60</v>
      </c>
      <c r="B16" s="6">
        <f t="shared" si="0"/>
        <v>5.82</v>
      </c>
      <c r="E16" s="6">
        <v>60</v>
      </c>
      <c r="F16" s="6">
        <f>StepTest!G27</f>
        <v>5.82</v>
      </c>
    </row>
    <row r="17" spans="1:6">
      <c r="A17" s="100">
        <v>75</v>
      </c>
      <c r="B17" s="6">
        <f t="shared" si="0"/>
        <v>6.08</v>
      </c>
      <c r="E17" s="6">
        <v>75</v>
      </c>
      <c r="F17" s="6">
        <f>StepTest!G28</f>
        <v>6.08</v>
      </c>
    </row>
    <row r="18" spans="1:6">
      <c r="A18" s="100">
        <v>90</v>
      </c>
      <c r="B18" s="6">
        <f t="shared" si="0"/>
        <v>6.3</v>
      </c>
      <c r="E18" s="6">
        <v>90</v>
      </c>
      <c r="F18" s="6">
        <f>StepTest!G29</f>
        <v>6.3</v>
      </c>
    </row>
    <row r="19" spans="1:6">
      <c r="A19" s="100">
        <v>105</v>
      </c>
      <c r="B19" s="6">
        <f t="shared" si="0"/>
        <v>6.48</v>
      </c>
      <c r="E19" s="6">
        <v>105</v>
      </c>
      <c r="F19" s="6">
        <f>StepTest!G30</f>
        <v>6.48</v>
      </c>
    </row>
    <row r="20" spans="1:6">
      <c r="A20" s="101">
        <v>120</v>
      </c>
      <c r="B20" s="102">
        <f t="shared" si="0"/>
        <v>6.64</v>
      </c>
      <c r="C20" s="102">
        <f>B26-B20</f>
        <v>1.33</v>
      </c>
      <c r="D20" s="103">
        <f>C20/10</f>
        <v>0.13300000000000001</v>
      </c>
      <c r="E20" s="6">
        <v>120</v>
      </c>
      <c r="F20" s="6">
        <f>StepTest!G31</f>
        <v>6.64</v>
      </c>
    </row>
    <row r="21" spans="1:6">
      <c r="A21" s="100">
        <v>121</v>
      </c>
      <c r="B21" s="104">
        <f>B20+D21</f>
        <v>6.8</v>
      </c>
      <c r="D21" s="6">
        <v>0.16</v>
      </c>
      <c r="E21" s="6">
        <v>130</v>
      </c>
      <c r="F21" s="6">
        <f>StepTest!G32</f>
        <v>7.97</v>
      </c>
    </row>
    <row r="22" spans="1:6">
      <c r="A22" s="100">
        <v>122</v>
      </c>
      <c r="B22" s="104">
        <f>B21+D22</f>
        <v>6.95</v>
      </c>
      <c r="D22" s="6">
        <v>0.15</v>
      </c>
      <c r="E22" s="6">
        <v>140</v>
      </c>
      <c r="F22" s="6">
        <f>StepTest!G33</f>
        <v>8.19</v>
      </c>
    </row>
    <row r="23" spans="1:6">
      <c r="A23" s="100">
        <v>123</v>
      </c>
      <c r="B23" s="104">
        <f>B22+D23</f>
        <v>7.09</v>
      </c>
      <c r="D23" s="6">
        <v>0.14000000000000001</v>
      </c>
      <c r="E23" s="6">
        <v>150</v>
      </c>
      <c r="F23" s="6">
        <f>StepTest!G34</f>
        <v>8.41</v>
      </c>
    </row>
    <row r="24" spans="1:6">
      <c r="A24" s="100">
        <v>124</v>
      </c>
      <c r="B24" s="104">
        <f>B23+D24</f>
        <v>7.22</v>
      </c>
      <c r="D24" s="6">
        <v>0.13</v>
      </c>
      <c r="E24" s="6">
        <v>180</v>
      </c>
      <c r="F24" s="6">
        <f>StepTest!G35</f>
        <v>8.6300000000000008</v>
      </c>
    </row>
    <row r="25" spans="1:6">
      <c r="A25" s="100">
        <v>125</v>
      </c>
      <c r="B25" s="104">
        <f>B24+D25</f>
        <v>7.35</v>
      </c>
      <c r="D25" s="6">
        <v>0.13</v>
      </c>
      <c r="E25" s="6">
        <v>240</v>
      </c>
      <c r="F25" s="6">
        <f>StepTest!G36</f>
        <v>8.86</v>
      </c>
    </row>
    <row r="26" spans="1:6">
      <c r="A26" s="100">
        <v>130</v>
      </c>
      <c r="B26" s="102">
        <f>F21</f>
        <v>7.97</v>
      </c>
      <c r="C26" s="102">
        <f>B28-B26</f>
        <v>0.21999999999999975</v>
      </c>
      <c r="D26" s="102">
        <f>C26/2</f>
        <v>0.10999999999999988</v>
      </c>
      <c r="E26" s="6">
        <v>250</v>
      </c>
      <c r="F26" s="6">
        <f>StepTest!G37</f>
        <v>10.35</v>
      </c>
    </row>
    <row r="27" spans="1:6">
      <c r="A27" s="100">
        <v>135</v>
      </c>
      <c r="B27" s="104">
        <f>B26+D27</f>
        <v>8.08</v>
      </c>
      <c r="D27" s="6">
        <v>0.11</v>
      </c>
      <c r="E27" s="6">
        <v>260</v>
      </c>
      <c r="F27" s="6">
        <f>StepTest!G38</f>
        <v>10.6</v>
      </c>
    </row>
    <row r="28" spans="1:6">
      <c r="A28" s="100">
        <v>140</v>
      </c>
      <c r="B28" s="102">
        <f>F22</f>
        <v>8.19</v>
      </c>
      <c r="C28" s="102">
        <f>B30-B28</f>
        <v>0.22000000000000064</v>
      </c>
      <c r="D28" s="102">
        <f>C28/2</f>
        <v>0.11000000000000032</v>
      </c>
      <c r="E28" s="6">
        <v>270</v>
      </c>
      <c r="F28" s="6">
        <f>StepTest!G39</f>
        <v>10.85</v>
      </c>
    </row>
    <row r="29" spans="1:6">
      <c r="A29" s="100">
        <v>145</v>
      </c>
      <c r="B29" s="104">
        <f>B28+D29</f>
        <v>8.2899999999999991</v>
      </c>
      <c r="D29" s="6">
        <v>0.1</v>
      </c>
      <c r="E29" s="6">
        <v>300</v>
      </c>
      <c r="F29" s="6">
        <f>StepTest!G40</f>
        <v>11.1</v>
      </c>
    </row>
    <row r="30" spans="1:6">
      <c r="A30" s="100">
        <v>150</v>
      </c>
      <c r="B30" s="102">
        <f>F23</f>
        <v>8.41</v>
      </c>
      <c r="C30" s="102">
        <f>B36-B30</f>
        <v>0.22000000000000064</v>
      </c>
      <c r="D30" s="105">
        <f>C30/6</f>
        <v>3.6666666666666771E-2</v>
      </c>
      <c r="E30" s="6">
        <v>360</v>
      </c>
      <c r="F30" s="6">
        <f>StepTest!G41</f>
        <v>11.35</v>
      </c>
    </row>
    <row r="31" spans="1:6">
      <c r="A31" s="100">
        <v>155</v>
      </c>
      <c r="B31" s="104">
        <f>B30+D31</f>
        <v>8.4700000000000006</v>
      </c>
      <c r="D31" s="6">
        <v>0.06</v>
      </c>
    </row>
    <row r="32" spans="1:6">
      <c r="A32" s="100">
        <v>160</v>
      </c>
      <c r="B32" s="104">
        <f t="shared" ref="B32:B39" si="1">B31+D32</f>
        <v>8.5200000000000014</v>
      </c>
      <c r="D32" s="6">
        <v>0.05</v>
      </c>
    </row>
    <row r="33" spans="1:4">
      <c r="A33" s="100">
        <v>165</v>
      </c>
      <c r="B33" s="104">
        <f t="shared" si="1"/>
        <v>8.56</v>
      </c>
      <c r="D33" s="6">
        <v>0.04</v>
      </c>
    </row>
    <row r="34" spans="1:4">
      <c r="A34" s="100">
        <v>170</v>
      </c>
      <c r="B34" s="104">
        <f t="shared" si="1"/>
        <v>8.59</v>
      </c>
      <c r="D34" s="6">
        <v>0.03</v>
      </c>
    </row>
    <row r="35" spans="1:4">
      <c r="A35" s="100">
        <v>175</v>
      </c>
      <c r="B35" s="104">
        <f t="shared" si="1"/>
        <v>8.61</v>
      </c>
      <c r="D35" s="6">
        <v>0.02</v>
      </c>
    </row>
    <row r="36" spans="1:4">
      <c r="A36" s="100">
        <v>180</v>
      </c>
      <c r="B36" s="102">
        <f>F24</f>
        <v>8.6300000000000008</v>
      </c>
      <c r="C36" s="102">
        <f>B40-B36</f>
        <v>0.22999999999999865</v>
      </c>
      <c r="D36" s="102">
        <f>C36/4</f>
        <v>5.7499999999999662E-2</v>
      </c>
    </row>
    <row r="37" spans="1:4">
      <c r="A37" s="100">
        <v>195</v>
      </c>
      <c r="B37" s="104">
        <f t="shared" si="1"/>
        <v>8.7000000000000011</v>
      </c>
      <c r="D37" s="6">
        <v>7.0000000000000007E-2</v>
      </c>
    </row>
    <row r="38" spans="1:4">
      <c r="A38" s="100">
        <v>210</v>
      </c>
      <c r="B38" s="104">
        <f t="shared" si="1"/>
        <v>8.7600000000000016</v>
      </c>
      <c r="D38" s="6">
        <v>0.06</v>
      </c>
    </row>
    <row r="39" spans="1:4">
      <c r="A39" s="100">
        <v>225</v>
      </c>
      <c r="B39" s="104">
        <f t="shared" si="1"/>
        <v>8.8100000000000023</v>
      </c>
      <c r="D39" s="6">
        <v>0.05</v>
      </c>
    </row>
    <row r="40" spans="1:4">
      <c r="A40" s="101">
        <v>240</v>
      </c>
      <c r="B40" s="102">
        <f>F25</f>
        <v>8.86</v>
      </c>
      <c r="C40" s="102">
        <f>B46-B40</f>
        <v>1.4900000000000002</v>
      </c>
      <c r="D40" s="103">
        <f>C40/10</f>
        <v>0.14900000000000002</v>
      </c>
    </row>
    <row r="41" spans="1:4">
      <c r="A41" s="100">
        <v>241</v>
      </c>
      <c r="B41" s="104">
        <f>B40+D41</f>
        <v>9.0399999999999991</v>
      </c>
      <c r="D41" s="6">
        <v>0.18</v>
      </c>
    </row>
    <row r="42" spans="1:4">
      <c r="A42" s="100">
        <v>242</v>
      </c>
      <c r="B42" s="104">
        <f>B41+D42</f>
        <v>9.1999999999999993</v>
      </c>
      <c r="D42" s="6">
        <v>0.16</v>
      </c>
    </row>
    <row r="43" spans="1:4">
      <c r="A43" s="100">
        <v>243</v>
      </c>
      <c r="B43" s="104">
        <f>B42+D43</f>
        <v>9.35</v>
      </c>
      <c r="D43" s="6">
        <v>0.15</v>
      </c>
    </row>
    <row r="44" spans="1:4">
      <c r="A44" s="100">
        <v>244</v>
      </c>
      <c r="B44" s="104">
        <f>B43+D44</f>
        <v>9.49</v>
      </c>
      <c r="D44" s="6">
        <v>0.14000000000000001</v>
      </c>
    </row>
    <row r="45" spans="1:4">
      <c r="A45" s="100">
        <v>245</v>
      </c>
      <c r="B45" s="104">
        <f>B44+D45</f>
        <v>9.620000000000001</v>
      </c>
      <c r="D45" s="6">
        <v>0.13</v>
      </c>
    </row>
    <row r="46" spans="1:4">
      <c r="A46" s="100">
        <v>250</v>
      </c>
      <c r="B46" s="102">
        <f>F26</f>
        <v>10.35</v>
      </c>
      <c r="C46" s="102">
        <f>B48-B46</f>
        <v>0.25</v>
      </c>
      <c r="D46" s="102">
        <f>C46/2</f>
        <v>0.125</v>
      </c>
    </row>
    <row r="47" spans="1:4">
      <c r="A47" s="100">
        <v>255</v>
      </c>
      <c r="B47" s="104">
        <f>B46+D47</f>
        <v>10.459999999999999</v>
      </c>
      <c r="D47" s="6">
        <v>0.11</v>
      </c>
    </row>
    <row r="48" spans="1:4">
      <c r="A48" s="100">
        <v>260</v>
      </c>
      <c r="B48" s="102">
        <f>F27</f>
        <v>10.6</v>
      </c>
      <c r="C48" s="102">
        <f>B50-B48</f>
        <v>0.25</v>
      </c>
      <c r="D48" s="102">
        <f>C48/2</f>
        <v>0.125</v>
      </c>
    </row>
    <row r="49" spans="1:6">
      <c r="A49" s="100">
        <v>265</v>
      </c>
      <c r="B49" s="104">
        <f>B48+D49</f>
        <v>10.709999999999999</v>
      </c>
      <c r="D49" s="6">
        <v>0.11</v>
      </c>
    </row>
    <row r="50" spans="1:6">
      <c r="A50" s="100">
        <v>270</v>
      </c>
      <c r="B50" s="102">
        <f>F28</f>
        <v>10.85</v>
      </c>
      <c r="C50" s="102">
        <f>B56-B50</f>
        <v>0.25</v>
      </c>
      <c r="D50" s="105">
        <f>C50/6</f>
        <v>4.1666666666666664E-2</v>
      </c>
    </row>
    <row r="51" spans="1:6">
      <c r="A51" s="100">
        <v>275</v>
      </c>
      <c r="B51" s="104">
        <f>B50+D51</f>
        <v>10.92</v>
      </c>
      <c r="D51" s="6">
        <v>7.0000000000000007E-2</v>
      </c>
    </row>
    <row r="52" spans="1:6">
      <c r="A52" s="100">
        <v>280</v>
      </c>
      <c r="B52" s="104">
        <f>B51+D52</f>
        <v>10.97</v>
      </c>
      <c r="D52" s="6">
        <v>0.05</v>
      </c>
    </row>
    <row r="53" spans="1:6">
      <c r="A53" s="100">
        <v>285</v>
      </c>
      <c r="B53" s="104">
        <f>B52+D53</f>
        <v>11.01</v>
      </c>
      <c r="D53" s="6">
        <v>0.04</v>
      </c>
    </row>
    <row r="54" spans="1:6">
      <c r="A54" s="100">
        <v>290</v>
      </c>
      <c r="B54" s="104">
        <f>B53+D54</f>
        <v>11.04</v>
      </c>
      <c r="D54" s="6">
        <v>0.03</v>
      </c>
    </row>
    <row r="55" spans="1:6">
      <c r="A55" s="100">
        <v>295</v>
      </c>
      <c r="B55" s="104">
        <f>B54+D55</f>
        <v>11.059999999999999</v>
      </c>
      <c r="D55" s="6">
        <v>0.02</v>
      </c>
    </row>
    <row r="56" spans="1:6">
      <c r="A56" s="100">
        <v>300</v>
      </c>
      <c r="B56" s="102">
        <f>F29</f>
        <v>11.1</v>
      </c>
      <c r="C56" s="102">
        <f>B60-B56</f>
        <v>0.25</v>
      </c>
      <c r="D56" s="102">
        <f>C56/4</f>
        <v>6.25E-2</v>
      </c>
    </row>
    <row r="57" spans="1:6">
      <c r="A57" s="100">
        <v>315</v>
      </c>
      <c r="B57" s="104">
        <f>B56+D57</f>
        <v>11.18</v>
      </c>
      <c r="D57" s="6">
        <v>0.08</v>
      </c>
    </row>
    <row r="58" spans="1:6">
      <c r="A58" s="100">
        <v>330</v>
      </c>
      <c r="B58" s="104">
        <f>B57+D58</f>
        <v>11.24</v>
      </c>
      <c r="D58" s="6">
        <v>0.06</v>
      </c>
    </row>
    <row r="59" spans="1:6">
      <c r="A59" s="100">
        <v>345</v>
      </c>
      <c r="B59" s="104">
        <f>B58+D59</f>
        <v>11.290000000000001</v>
      </c>
      <c r="D59" s="6">
        <v>0.05</v>
      </c>
    </row>
    <row r="60" spans="1:6">
      <c r="A60" s="101">
        <v>360</v>
      </c>
      <c r="B60" s="102">
        <f>F30</f>
        <v>11.35</v>
      </c>
      <c r="C60" s="102">
        <f>B66-B60</f>
        <v>1.6600000000000001</v>
      </c>
      <c r="D60" s="103">
        <f>C60/10</f>
        <v>0.16600000000000001</v>
      </c>
    </row>
    <row r="61" spans="1:6">
      <c r="A61" s="100">
        <v>361</v>
      </c>
      <c r="B61" s="104">
        <f>B60+D61</f>
        <v>11.54</v>
      </c>
      <c r="D61" s="6">
        <v>0.19</v>
      </c>
    </row>
    <row r="62" spans="1:6">
      <c r="A62" s="100">
        <v>362</v>
      </c>
      <c r="B62" s="104">
        <f>B61+D62</f>
        <v>11.709999999999999</v>
      </c>
      <c r="D62" s="6">
        <v>0.17</v>
      </c>
    </row>
    <row r="63" spans="1:6">
      <c r="A63" s="100">
        <v>363</v>
      </c>
      <c r="B63" s="104">
        <f>B62+D63</f>
        <v>11.87</v>
      </c>
      <c r="D63" s="6">
        <v>0.16</v>
      </c>
      <c r="E63" s="6">
        <v>370</v>
      </c>
      <c r="F63" s="6">
        <f>StepTest!G42</f>
        <v>13.01</v>
      </c>
    </row>
    <row r="64" spans="1:6">
      <c r="A64" s="100">
        <v>364</v>
      </c>
      <c r="B64" s="104">
        <f>B63+D64</f>
        <v>12.02</v>
      </c>
      <c r="D64" s="6">
        <v>0.15</v>
      </c>
      <c r="E64" s="6">
        <v>380</v>
      </c>
      <c r="F64" s="6">
        <f>StepTest!G43</f>
        <v>13.29</v>
      </c>
    </row>
    <row r="65" spans="1:6">
      <c r="A65" s="100">
        <v>365</v>
      </c>
      <c r="B65" s="104">
        <f>B64+D65</f>
        <v>12.16</v>
      </c>
      <c r="D65" s="6">
        <v>0.14000000000000001</v>
      </c>
      <c r="E65" s="6">
        <v>390</v>
      </c>
      <c r="F65" s="6">
        <f>StepTest!G44</f>
        <v>13.57</v>
      </c>
    </row>
    <row r="66" spans="1:6">
      <c r="A66" s="100">
        <v>370</v>
      </c>
      <c r="B66" s="102">
        <f>F63</f>
        <v>13.01</v>
      </c>
      <c r="C66" s="106">
        <f>B68-B66</f>
        <v>0.27999999999999936</v>
      </c>
      <c r="D66" s="102">
        <f>C66/2</f>
        <v>0.13999999999999968</v>
      </c>
      <c r="E66" s="6">
        <v>420</v>
      </c>
      <c r="F66" s="6">
        <f>StepTest!G45</f>
        <v>13.85</v>
      </c>
    </row>
    <row r="67" spans="1:6">
      <c r="A67" s="100">
        <v>375</v>
      </c>
      <c r="B67" s="104">
        <f>B66+D67</f>
        <v>13.129999999999999</v>
      </c>
      <c r="D67" s="6">
        <v>0.12</v>
      </c>
      <c r="E67" s="6">
        <v>480</v>
      </c>
      <c r="F67" s="6">
        <f>StepTest!G46</f>
        <v>14.13</v>
      </c>
    </row>
    <row r="68" spans="1:6">
      <c r="A68" s="100">
        <v>380</v>
      </c>
      <c r="B68" s="107">
        <f>F64</f>
        <v>13.29</v>
      </c>
      <c r="C68" s="102">
        <f>B70-B68</f>
        <v>0.28000000000000114</v>
      </c>
      <c r="D68" s="102">
        <f>C68/2</f>
        <v>0.14000000000000057</v>
      </c>
      <c r="E68" s="6">
        <v>490</v>
      </c>
      <c r="F68" s="6">
        <f>StepTest!G47</f>
        <v>15.82</v>
      </c>
    </row>
    <row r="69" spans="1:6">
      <c r="A69" s="100">
        <v>385</v>
      </c>
      <c r="B69" s="104">
        <f>B68+D69</f>
        <v>13.409999999999998</v>
      </c>
      <c r="D69" s="6">
        <v>0.12</v>
      </c>
      <c r="E69" s="6">
        <v>500</v>
      </c>
      <c r="F69" s="6">
        <f>StepTest!G48</f>
        <v>16.45</v>
      </c>
    </row>
    <row r="70" spans="1:6">
      <c r="A70" s="100">
        <v>390</v>
      </c>
      <c r="B70" s="107">
        <f>F65</f>
        <v>13.57</v>
      </c>
      <c r="C70" s="102">
        <f>B76-B70</f>
        <v>0.27999999999999936</v>
      </c>
      <c r="D70" s="105">
        <f>C70/6</f>
        <v>4.6666666666666558E-2</v>
      </c>
      <c r="E70" s="6">
        <v>510</v>
      </c>
      <c r="F70" s="6">
        <f>StepTest!G49</f>
        <v>17.09</v>
      </c>
    </row>
    <row r="71" spans="1:6">
      <c r="A71" s="100">
        <v>395</v>
      </c>
      <c r="B71" s="104">
        <f>B70+D71</f>
        <v>13.64</v>
      </c>
      <c r="D71" s="6">
        <v>7.0000000000000007E-2</v>
      </c>
      <c r="E71" s="6">
        <v>540</v>
      </c>
      <c r="F71" s="6">
        <f>StepTest!G50</f>
        <v>17.72</v>
      </c>
    </row>
    <row r="72" spans="1:6">
      <c r="A72" s="100">
        <v>400</v>
      </c>
      <c r="B72" s="104">
        <f>B71+D72</f>
        <v>13.690000000000001</v>
      </c>
      <c r="D72" s="6">
        <v>0.05</v>
      </c>
      <c r="E72" s="6">
        <v>600</v>
      </c>
      <c r="F72" s="6">
        <f>StepTest!G51</f>
        <v>18.36</v>
      </c>
    </row>
    <row r="73" spans="1:6">
      <c r="A73" s="100">
        <v>405</v>
      </c>
      <c r="B73" s="104">
        <f>B72+D73</f>
        <v>13.73</v>
      </c>
      <c r="D73" s="6">
        <v>0.04</v>
      </c>
    </row>
    <row r="74" spans="1:6">
      <c r="A74" s="100">
        <v>410</v>
      </c>
      <c r="B74" s="104">
        <f>B73+D74</f>
        <v>13.76</v>
      </c>
      <c r="D74" s="6">
        <v>0.03</v>
      </c>
    </row>
    <row r="75" spans="1:6">
      <c r="A75" s="100">
        <v>415</v>
      </c>
      <c r="B75" s="104">
        <f>B74+D75</f>
        <v>13.79</v>
      </c>
      <c r="D75" s="6">
        <v>0.03</v>
      </c>
    </row>
    <row r="76" spans="1:6">
      <c r="A76" s="100">
        <v>420</v>
      </c>
      <c r="B76" s="107">
        <f>F66</f>
        <v>13.85</v>
      </c>
      <c r="C76" s="102">
        <f>B80-B76</f>
        <v>0.28000000000000114</v>
      </c>
      <c r="D76" s="102">
        <f>C76/4</f>
        <v>7.0000000000000284E-2</v>
      </c>
    </row>
    <row r="77" spans="1:6">
      <c r="A77" s="100">
        <v>435</v>
      </c>
      <c r="B77" s="104">
        <f>B76+D77</f>
        <v>13.94</v>
      </c>
      <c r="D77" s="6">
        <v>0.09</v>
      </c>
    </row>
    <row r="78" spans="1:6">
      <c r="A78" s="100">
        <v>450</v>
      </c>
      <c r="B78" s="104">
        <f>B77+D78</f>
        <v>14.01</v>
      </c>
      <c r="D78" s="6">
        <v>7.0000000000000007E-2</v>
      </c>
    </row>
    <row r="79" spans="1:6">
      <c r="A79" s="100">
        <v>465</v>
      </c>
      <c r="B79" s="104">
        <f>B78+D79</f>
        <v>14.06</v>
      </c>
      <c r="D79" s="6">
        <v>0.05</v>
      </c>
    </row>
    <row r="80" spans="1:6">
      <c r="A80" s="101">
        <v>480</v>
      </c>
      <c r="B80" s="107">
        <f>F67</f>
        <v>14.13</v>
      </c>
      <c r="C80" s="102">
        <f>B86-B80</f>
        <v>1.6899999999999995</v>
      </c>
      <c r="D80" s="103">
        <f>C80/10</f>
        <v>0.16899999999999996</v>
      </c>
    </row>
    <row r="81" spans="1:4">
      <c r="A81" s="100">
        <v>481</v>
      </c>
      <c r="B81" s="104">
        <f>B80+D81</f>
        <v>14.340000000000002</v>
      </c>
      <c r="D81" s="6">
        <v>0.21</v>
      </c>
    </row>
    <row r="82" spans="1:4">
      <c r="A82" s="100">
        <v>482</v>
      </c>
      <c r="B82" s="104">
        <f>B81+D82</f>
        <v>14.530000000000001</v>
      </c>
      <c r="D82" s="6">
        <v>0.19</v>
      </c>
    </row>
    <row r="83" spans="1:4">
      <c r="A83" s="100">
        <v>483</v>
      </c>
      <c r="B83" s="104">
        <f>B82+D83</f>
        <v>14.700000000000001</v>
      </c>
      <c r="D83" s="6">
        <v>0.17</v>
      </c>
    </row>
    <row r="84" spans="1:4">
      <c r="A84" s="100">
        <v>484</v>
      </c>
      <c r="B84" s="104">
        <f>B83+D84</f>
        <v>14.860000000000001</v>
      </c>
      <c r="D84" s="6">
        <v>0.16</v>
      </c>
    </row>
    <row r="85" spans="1:4">
      <c r="A85" s="100">
        <v>485</v>
      </c>
      <c r="B85" s="104">
        <f>B84+D85</f>
        <v>15.000000000000002</v>
      </c>
      <c r="D85" s="6">
        <v>0.14000000000000001</v>
      </c>
    </row>
    <row r="86" spans="1:4">
      <c r="A86" s="100">
        <v>490</v>
      </c>
      <c r="B86" s="107">
        <f>F68</f>
        <v>15.82</v>
      </c>
      <c r="C86" s="102">
        <f>B88-B86</f>
        <v>0.62999999999999901</v>
      </c>
      <c r="D86" s="102">
        <f>C86/2</f>
        <v>0.3149999999999995</v>
      </c>
    </row>
    <row r="87" spans="1:4">
      <c r="A87" s="100">
        <v>495</v>
      </c>
      <c r="B87" s="104">
        <f>B86+D87</f>
        <v>16.13</v>
      </c>
      <c r="D87" s="6">
        <v>0.31</v>
      </c>
    </row>
    <row r="88" spans="1:4">
      <c r="A88" s="100">
        <v>500</v>
      </c>
      <c r="B88" s="107">
        <f>F69</f>
        <v>16.45</v>
      </c>
      <c r="C88" s="102">
        <f>B90-B88</f>
        <v>0.64000000000000057</v>
      </c>
      <c r="D88" s="102">
        <f>C88/2</f>
        <v>0.32000000000000028</v>
      </c>
    </row>
    <row r="89" spans="1:4">
      <c r="A89" s="100">
        <v>505</v>
      </c>
      <c r="B89" s="104">
        <f>B88+D89</f>
        <v>16.75</v>
      </c>
      <c r="D89" s="6">
        <v>0.3</v>
      </c>
    </row>
    <row r="90" spans="1:4">
      <c r="A90" s="100">
        <v>510</v>
      </c>
      <c r="B90" s="107">
        <f>F70</f>
        <v>17.09</v>
      </c>
      <c r="C90" s="102">
        <f>B96-B90</f>
        <v>0.62999999999999901</v>
      </c>
      <c r="D90" s="105">
        <f>C90/6</f>
        <v>0.10499999999999983</v>
      </c>
    </row>
    <row r="91" spans="1:4">
      <c r="A91" s="100">
        <v>515</v>
      </c>
      <c r="B91" s="104">
        <f>B90+D91</f>
        <v>17.239999999999998</v>
      </c>
      <c r="D91" s="6">
        <v>0.15</v>
      </c>
    </row>
    <row r="92" spans="1:4">
      <c r="A92" s="100">
        <v>520</v>
      </c>
      <c r="B92" s="104">
        <f>B91+D92</f>
        <v>17.369999999999997</v>
      </c>
      <c r="D92" s="6">
        <v>0.13</v>
      </c>
    </row>
    <row r="93" spans="1:4">
      <c r="A93" s="100">
        <v>525</v>
      </c>
      <c r="B93" s="104">
        <f>B92+D93</f>
        <v>17.479999999999997</v>
      </c>
      <c r="D93" s="6">
        <v>0.11</v>
      </c>
    </row>
    <row r="94" spans="1:4">
      <c r="A94" s="100">
        <v>530</v>
      </c>
      <c r="B94" s="104">
        <f>B93+D94</f>
        <v>17.559999999999995</v>
      </c>
      <c r="D94" s="6">
        <v>0.08</v>
      </c>
    </row>
    <row r="95" spans="1:4">
      <c r="A95" s="100">
        <v>535</v>
      </c>
      <c r="B95" s="104">
        <f>B94+D95</f>
        <v>17.629999999999995</v>
      </c>
      <c r="D95" s="6">
        <v>7.0000000000000007E-2</v>
      </c>
    </row>
    <row r="96" spans="1:4">
      <c r="A96" s="100">
        <v>540</v>
      </c>
      <c r="B96" s="107">
        <f>F71</f>
        <v>17.72</v>
      </c>
      <c r="C96" s="102">
        <f>B100-B96</f>
        <v>0.64000000000000057</v>
      </c>
      <c r="D96" s="102">
        <f>C96/4</f>
        <v>0.16000000000000014</v>
      </c>
    </row>
    <row r="97" spans="1:4">
      <c r="A97" s="100">
        <v>555</v>
      </c>
      <c r="B97" s="104">
        <f>B96+D97</f>
        <v>17.91</v>
      </c>
      <c r="D97" s="6">
        <v>0.19</v>
      </c>
    </row>
    <row r="98" spans="1:4">
      <c r="A98" s="100">
        <v>570</v>
      </c>
      <c r="B98" s="104">
        <f>B97+D98</f>
        <v>18.07</v>
      </c>
      <c r="D98" s="6">
        <v>0.16</v>
      </c>
    </row>
    <row r="99" spans="1:4">
      <c r="A99" s="100">
        <v>585</v>
      </c>
      <c r="B99" s="104">
        <f>B98+D99</f>
        <v>18.21</v>
      </c>
      <c r="D99" s="6">
        <v>0.14000000000000001</v>
      </c>
    </row>
    <row r="100" spans="1:4">
      <c r="A100" s="101">
        <v>600</v>
      </c>
      <c r="B100" s="65">
        <f>F72</f>
        <v>18.36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S28" sqref="S28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9" s="167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9" s="167" customFormat="1">
      <c r="A2" s="233" t="s">
        <v>0</v>
      </c>
      <c r="B2" s="233" t="s">
        <v>238</v>
      </c>
      <c r="C2" s="4"/>
      <c r="D2" s="171">
        <f>D19</f>
        <v>84</v>
      </c>
      <c r="E2" s="3">
        <f>M51/3</f>
        <v>50</v>
      </c>
      <c r="F2" s="234" t="s">
        <v>2</v>
      </c>
      <c r="G2" s="3" t="s">
        <v>3</v>
      </c>
    </row>
    <row r="3" spans="1:19" s="167" customFormat="1">
      <c r="A3" s="172">
        <f>B3+$M$48</f>
        <v>16.09</v>
      </c>
      <c r="B3" s="254">
        <f>B20</f>
        <v>6.64</v>
      </c>
      <c r="C3" s="173"/>
      <c r="D3" s="255">
        <f t="shared" ref="D3:D7" si="0">D20</f>
        <v>94</v>
      </c>
      <c r="E3" s="4">
        <f>D3/12</f>
        <v>7.833333333333333</v>
      </c>
      <c r="F3" s="174">
        <f>B3/D3</f>
        <v>7.0638297872340425E-2</v>
      </c>
      <c r="G3" s="174">
        <f>1/F3</f>
        <v>14.156626506024097</v>
      </c>
    </row>
    <row r="4" spans="1:19" s="167" customFormat="1">
      <c r="A4" s="172">
        <f>B4+$M$48</f>
        <v>18.309999999999999</v>
      </c>
      <c r="B4" s="173">
        <f>B21</f>
        <v>8.86</v>
      </c>
      <c r="C4" s="173"/>
      <c r="D4" s="171">
        <f t="shared" si="0"/>
        <v>120</v>
      </c>
      <c r="E4" s="4">
        <f>D4/12</f>
        <v>10</v>
      </c>
      <c r="F4" s="174">
        <f t="shared" ref="F4:F7" si="1">B4/D4</f>
        <v>7.3833333333333334E-2</v>
      </c>
      <c r="G4" s="174">
        <f t="shared" ref="G4:G7" si="2">1/F4</f>
        <v>13.544018058690744</v>
      </c>
    </row>
    <row r="5" spans="1:19" s="167" customFormat="1">
      <c r="A5" s="172">
        <f>B5+$M$48</f>
        <v>20.799999999999997</v>
      </c>
      <c r="B5" s="173">
        <f>B22</f>
        <v>11.35</v>
      </c>
      <c r="C5" s="173"/>
      <c r="D5" s="171">
        <f t="shared" si="0"/>
        <v>146.19999999999999</v>
      </c>
      <c r="E5" s="4">
        <f>D5/12</f>
        <v>12.183333333333332</v>
      </c>
      <c r="F5" s="174">
        <f t="shared" si="1"/>
        <v>7.7633378932968539E-2</v>
      </c>
      <c r="G5" s="174">
        <f t="shared" si="2"/>
        <v>12.881057268722467</v>
      </c>
    </row>
    <row r="6" spans="1:19" s="167" customFormat="1">
      <c r="A6" s="172">
        <f>B6+$M$48</f>
        <v>23.58</v>
      </c>
      <c r="B6" s="254">
        <f>B23</f>
        <v>14.13</v>
      </c>
      <c r="C6" s="173"/>
      <c r="D6" s="171">
        <f>D23</f>
        <v>172</v>
      </c>
      <c r="E6" s="4">
        <f>D6/12</f>
        <v>14.333333333333334</v>
      </c>
      <c r="F6" s="174">
        <f t="shared" si="1"/>
        <v>8.2151162790697674E-2</v>
      </c>
      <c r="G6" s="174">
        <f t="shared" si="2"/>
        <v>12.172682236376504</v>
      </c>
    </row>
    <row r="7" spans="1:19" s="167" customFormat="1">
      <c r="A7" s="172">
        <f>B7+$M$48</f>
        <v>27.81</v>
      </c>
      <c r="B7" s="173">
        <f>B24</f>
        <v>18.36</v>
      </c>
      <c r="C7" s="173"/>
      <c r="D7" s="171">
        <f t="shared" si="0"/>
        <v>197.79999999999998</v>
      </c>
      <c r="E7" s="4">
        <f>D7/12</f>
        <v>16.483333333333331</v>
      </c>
      <c r="F7" s="174">
        <f t="shared" si="1"/>
        <v>9.282103134479272E-2</v>
      </c>
      <c r="G7" s="174">
        <f t="shared" si="2"/>
        <v>10.773420479302832</v>
      </c>
    </row>
    <row r="8" spans="1:19" s="167" customFormat="1">
      <c r="A8" s="4"/>
      <c r="B8" s="4" t="s">
        <v>4</v>
      </c>
      <c r="C8" s="4"/>
      <c r="D8" s="4"/>
      <c r="E8" s="508" t="s">
        <v>5</v>
      </c>
      <c r="F8" s="508"/>
      <c r="G8" s="508"/>
    </row>
    <row r="9" spans="1:19" s="167" customFormat="1">
      <c r="A9" s="4" t="s">
        <v>6</v>
      </c>
      <c r="B9" s="4" t="s">
        <v>2</v>
      </c>
      <c r="C9" s="4"/>
      <c r="D9" s="4"/>
      <c r="E9" s="232">
        <v>0.98</v>
      </c>
      <c r="F9" s="509" t="s">
        <v>7</v>
      </c>
      <c r="G9" s="509"/>
    </row>
    <row r="10" spans="1:19" s="167" customFormat="1">
      <c r="A10" s="176">
        <f>D20/B20</f>
        <v>14.156626506024097</v>
      </c>
      <c r="B10" s="176">
        <f>B20/D20</f>
        <v>7.0638297872340425E-2</v>
      </c>
      <c r="C10" s="4"/>
      <c r="D10" s="4"/>
      <c r="E10" s="232">
        <v>0.98</v>
      </c>
      <c r="F10" s="509" t="s">
        <v>8</v>
      </c>
      <c r="G10" s="509"/>
    </row>
    <row r="11" spans="1:19" s="167" customFormat="1">
      <c r="A11" s="176">
        <f t="shared" ref="A11:A14" si="3">D21/B21</f>
        <v>13.544018058690746</v>
      </c>
      <c r="B11" s="176">
        <f t="shared" ref="B11:B14" si="4">B21/D21</f>
        <v>7.3833333333333334E-2</v>
      </c>
      <c r="C11" s="4"/>
      <c r="D11" s="4" t="s">
        <v>4</v>
      </c>
      <c r="E11" s="232">
        <v>0.98</v>
      </c>
      <c r="F11" s="509" t="s">
        <v>9</v>
      </c>
      <c r="G11" s="509"/>
    </row>
    <row r="12" spans="1:19" s="167" customFormat="1">
      <c r="A12" s="176">
        <f t="shared" si="3"/>
        <v>12.881057268722467</v>
      </c>
      <c r="B12" s="176">
        <f t="shared" si="4"/>
        <v>7.7633378932968539E-2</v>
      </c>
      <c r="C12" s="4"/>
      <c r="D12" s="4"/>
      <c r="E12" s="232">
        <v>1</v>
      </c>
      <c r="F12" s="509" t="s">
        <v>10</v>
      </c>
      <c r="G12" s="509"/>
    </row>
    <row r="13" spans="1:19" s="167" customFormat="1">
      <c r="A13" s="176">
        <f t="shared" si="3"/>
        <v>12.172682236376502</v>
      </c>
      <c r="B13" s="176">
        <f t="shared" si="4"/>
        <v>8.2151162790697674E-2</v>
      </c>
      <c r="C13" s="4"/>
      <c r="D13" s="4" t="s">
        <v>4</v>
      </c>
      <c r="E13" s="508" t="s">
        <v>11</v>
      </c>
      <c r="F13" s="508"/>
      <c r="G13" s="508"/>
    </row>
    <row r="14" spans="1:19" s="167" customFormat="1">
      <c r="A14" s="176">
        <f t="shared" si="3"/>
        <v>10.773420479302832</v>
      </c>
      <c r="B14" s="176">
        <f t="shared" si="4"/>
        <v>9.282103134479272E-2</v>
      </c>
      <c r="C14" s="4"/>
      <c r="D14" s="4"/>
      <c r="E14" s="232">
        <v>1</v>
      </c>
      <c r="F14" s="509" t="s">
        <v>7</v>
      </c>
      <c r="G14" s="509"/>
    </row>
    <row r="15" spans="1:19" s="167" customFormat="1">
      <c r="A15" s="4"/>
      <c r="B15" s="4"/>
      <c r="C15" s="4"/>
      <c r="D15" s="4"/>
      <c r="E15" s="232">
        <v>1</v>
      </c>
      <c r="F15" s="509" t="s">
        <v>8</v>
      </c>
      <c r="G15" s="509"/>
    </row>
    <row r="16" spans="1:19" s="167" customFormat="1">
      <c r="A16" s="4"/>
      <c r="B16" s="166" t="s">
        <v>12</v>
      </c>
      <c r="C16" s="4"/>
      <c r="D16" s="166" t="s">
        <v>13</v>
      </c>
      <c r="E16" s="232">
        <v>1</v>
      </c>
      <c r="F16" s="509" t="s">
        <v>9</v>
      </c>
      <c r="G16" s="509"/>
      <c r="Q16" s="615" t="s">
        <v>348</v>
      </c>
      <c r="R16" s="616"/>
      <c r="S16" s="617"/>
    </row>
    <row r="17" spans="1:21" s="167" customFormat="1">
      <c r="A17" s="4"/>
      <c r="B17" s="175">
        <f>M52</f>
        <v>14.13</v>
      </c>
      <c r="C17" s="4"/>
      <c r="D17" s="239">
        <f>M47</f>
        <v>172</v>
      </c>
      <c r="E17" s="232">
        <v>1</v>
      </c>
      <c r="F17" s="509" t="s">
        <v>10</v>
      </c>
      <c r="G17" s="509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84</v>
      </c>
      <c r="E19" s="4"/>
      <c r="F19" s="173"/>
      <c r="G19" s="173"/>
    </row>
    <row r="20" spans="1:21" s="167" customFormat="1">
      <c r="A20" s="233" t="s">
        <v>244</v>
      </c>
      <c r="B20" s="180">
        <f>INT(B$17*C20*100)/100</f>
        <v>6.64</v>
      </c>
      <c r="C20" s="4">
        <f>0.48*E9</f>
        <v>0.47039999999999998</v>
      </c>
      <c r="D20" s="198">
        <f>INT(D$17*E20)</f>
        <v>94</v>
      </c>
      <c r="E20" s="240">
        <f>0.55*E14</f>
        <v>0.55000000000000004</v>
      </c>
      <c r="F20" s="174">
        <f>B20/D20</f>
        <v>7.0638297872340425E-2</v>
      </c>
      <c r="G20" s="4">
        <f>F20-F19</f>
        <v>7.0638297872340425E-2</v>
      </c>
    </row>
    <row r="21" spans="1:21" s="167" customFormat="1" ht="16.5">
      <c r="A21" s="173">
        <f>B21-B20</f>
        <v>2.2199999999999998</v>
      </c>
      <c r="B21" s="180">
        <f>INT(B$17*C21*100)/100</f>
        <v>8.86</v>
      </c>
      <c r="C21" s="4">
        <f>0.64*E10</f>
        <v>0.62719999999999998</v>
      </c>
      <c r="D21" s="198">
        <f>INT(D$17*E21)</f>
        <v>120</v>
      </c>
      <c r="E21" s="240">
        <f>0.7*E15</f>
        <v>0.7</v>
      </c>
      <c r="F21" s="174">
        <f>B21/D21</f>
        <v>7.3833333333333334E-2</v>
      </c>
      <c r="G21" s="4">
        <f>F21-F20</f>
        <v>3.1950354609929094E-3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2.4900000000000002</v>
      </c>
      <c r="B22" s="180">
        <f>INT(B$17*C22*100)/100</f>
        <v>11.35</v>
      </c>
      <c r="C22" s="4">
        <f>0.82*E11</f>
        <v>0.80359999999999998</v>
      </c>
      <c r="D22" s="199">
        <f>(D$17*E22)</f>
        <v>146.19999999999999</v>
      </c>
      <c r="E22" s="240">
        <f>0.85*E16</f>
        <v>0.85</v>
      </c>
      <c r="F22" s="174">
        <f>B22/D22</f>
        <v>7.7633378932968539E-2</v>
      </c>
      <c r="G22" s="4">
        <f>F22-F21</f>
        <v>3.8000455996352045E-3</v>
      </c>
    </row>
    <row r="23" spans="1:21" s="167" customFormat="1">
      <c r="A23" s="173">
        <f>B23-B22</f>
        <v>2.7800000000000011</v>
      </c>
      <c r="B23" s="180">
        <f>INT(B$17*C23*100)/100</f>
        <v>14.13</v>
      </c>
      <c r="C23" s="4">
        <v>1</v>
      </c>
      <c r="D23" s="198">
        <f>D$17*E23</f>
        <v>172</v>
      </c>
      <c r="E23" s="238">
        <v>1</v>
      </c>
      <c r="F23" s="174">
        <f>B23/D23</f>
        <v>8.2151162790697674E-2</v>
      </c>
      <c r="G23" s="4">
        <f>F23-F22</f>
        <v>4.5177838577291352E-3</v>
      </c>
      <c r="O23" s="182"/>
      <c r="Q23" s="182"/>
      <c r="S23" s="182"/>
      <c r="U23" s="182"/>
    </row>
    <row r="24" spans="1:21" s="167" customFormat="1">
      <c r="A24" s="173">
        <f>B24-B23</f>
        <v>4.2299999999999986</v>
      </c>
      <c r="B24" s="180">
        <f>INT(B$17*C24*100)/100</f>
        <v>18.36</v>
      </c>
      <c r="C24" s="4">
        <f>1.3*E12</f>
        <v>1.3</v>
      </c>
      <c r="D24" s="198">
        <f>D$17*E24</f>
        <v>197.79999999999998</v>
      </c>
      <c r="E24" s="238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9.282103134479272E-2</v>
      </c>
      <c r="G25" s="173"/>
      <c r="O25" s="182"/>
      <c r="Q25" s="182"/>
      <c r="S25" s="182"/>
      <c r="U25" s="182"/>
    </row>
    <row r="26" spans="1:21" s="167" customFormat="1">
      <c r="A26" s="490" t="s">
        <v>14</v>
      </c>
      <c r="B26" s="490"/>
      <c r="C26" s="184">
        <f>INT(M51*1)</f>
        <v>150</v>
      </c>
      <c r="D26" s="4"/>
      <c r="E26" s="4"/>
      <c r="F26" s="185">
        <f>M50/M51</f>
        <v>0.10586666666666666</v>
      </c>
      <c r="G26" s="4"/>
      <c r="O26" s="182"/>
      <c r="Q26" s="182"/>
      <c r="S26" s="182"/>
      <c r="U26" s="182"/>
    </row>
    <row r="27" spans="1:21" s="167" customFormat="1">
      <c r="A27" s="490" t="s">
        <v>15</v>
      </c>
      <c r="B27" s="490"/>
      <c r="C27" s="186">
        <f>SafeYield!B7</f>
        <v>155.516775123532</v>
      </c>
      <c r="D27" s="173">
        <f>(C27/D6)*100</f>
        <v>90.416729722983717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2">
        <v>1.473E-4</v>
      </c>
      <c r="B31" s="232">
        <v>5.6462999999999999E-2</v>
      </c>
      <c r="C31" s="4"/>
      <c r="D31" s="171">
        <f t="shared" ref="D31:D36" si="5">D19</f>
        <v>84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1.473E-4</v>
      </c>
      <c r="B32" s="4">
        <f t="shared" si="6"/>
        <v>5.6462999999999999E-2</v>
      </c>
      <c r="C32" s="4"/>
      <c r="D32" s="171">
        <f t="shared" si="5"/>
        <v>94</v>
      </c>
      <c r="E32" s="4"/>
      <c r="F32" s="187">
        <f>B32*D32/(B32*D32+A32*D32*D32)*100</f>
        <v>80.306702394565718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1.473E-4</v>
      </c>
      <c r="B33" s="4">
        <f t="shared" si="6"/>
        <v>5.6462999999999999E-2</v>
      </c>
      <c r="C33" s="4"/>
      <c r="D33" s="171">
        <f t="shared" si="5"/>
        <v>120</v>
      </c>
      <c r="E33" s="4"/>
      <c r="F33" s="187">
        <f>B33*D33/(B33*D33+A33*D33*D33)*100</f>
        <v>76.158297252458212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1.473E-4</v>
      </c>
      <c r="B34" s="4">
        <f t="shared" si="6"/>
        <v>5.6462999999999999E-2</v>
      </c>
      <c r="C34" s="4"/>
      <c r="D34" s="171">
        <f t="shared" si="5"/>
        <v>146.19999999999999</v>
      </c>
      <c r="E34" s="4"/>
      <c r="F34" s="187">
        <f>B34*D34/(B34*D34+A34*D34*D34)*100</f>
        <v>72.390076394011871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1.473E-4</v>
      </c>
      <c r="B35" s="4">
        <f>B34</f>
        <v>5.6462999999999999E-2</v>
      </c>
      <c r="C35" s="4"/>
      <c r="D35" s="171">
        <f t="shared" si="5"/>
        <v>172</v>
      </c>
      <c r="E35" s="4"/>
      <c r="F35" s="187">
        <f>B35*D35/(B35*D35+A35*D35*D35)*100</f>
        <v>69.02685376033331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197.79999999999998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74.470482450342288</v>
      </c>
      <c r="G37" s="4"/>
      <c r="P37" s="220">
        <v>1.473E-4</v>
      </c>
      <c r="Q37" s="220">
        <v>0.14499999999999999</v>
      </c>
    </row>
    <row r="38" spans="1:21" s="167" customFormat="1" ht="13.5" customHeight="1">
      <c r="A38" s="241">
        <v>71.951999999999998</v>
      </c>
      <c r="B38" s="232">
        <v>0.14499999999999999</v>
      </c>
      <c r="C38" s="232">
        <v>93.701999999999998</v>
      </c>
      <c r="D38" s="4"/>
      <c r="E38" s="4" t="s">
        <v>21</v>
      </c>
      <c r="F38" s="4"/>
      <c r="G38" s="4"/>
      <c r="P38" s="220">
        <v>5.6462999999999999E-2</v>
      </c>
      <c r="Q38" s="220">
        <v>93.701999999999998</v>
      </c>
    </row>
    <row r="39" spans="1:21" s="167" customFormat="1" ht="13.5" customHeight="1">
      <c r="A39" s="168"/>
      <c r="B39" s="4" t="s">
        <v>22</v>
      </c>
      <c r="C39" s="173">
        <f>(C38-A38)/B38</f>
        <v>150</v>
      </c>
      <c r="D39" s="4">
        <f>C38-B38*M51</f>
        <v>71.951999999999998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5" t="s">
        <v>24</v>
      </c>
      <c r="B42" s="236"/>
      <c r="C42" s="4"/>
      <c r="D42" s="4"/>
      <c r="E42" s="4"/>
      <c r="F42" s="4"/>
      <c r="G42" s="4"/>
    </row>
    <row r="43" spans="1:21" s="167" customFormat="1" ht="21" customHeight="1">
      <c r="A43" s="235" t="s">
        <v>25</v>
      </c>
      <c r="B43" s="237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6" t="s">
        <v>27</v>
      </c>
      <c r="R43" s="247" t="s">
        <v>0</v>
      </c>
      <c r="S43" s="247" t="s">
        <v>1</v>
      </c>
      <c r="T43" s="247" t="s">
        <v>3</v>
      </c>
      <c r="U43" s="248" t="s">
        <v>2</v>
      </c>
    </row>
    <row r="44" spans="1:21" s="167" customFormat="1" ht="16.5">
      <c r="A44" s="191">
        <f>B58</f>
        <v>40.21</v>
      </c>
      <c r="B44" s="363" t="s">
        <v>28</v>
      </c>
      <c r="C44" s="364"/>
      <c r="D44" s="364"/>
      <c r="E44" s="4"/>
      <c r="F44" s="4"/>
      <c r="G44" s="4"/>
      <c r="H44" s="223" t="s">
        <v>29</v>
      </c>
      <c r="I44" s="491" t="s">
        <v>339</v>
      </c>
      <c r="J44" s="492"/>
      <c r="K44" s="493"/>
      <c r="L44" s="223" t="s">
        <v>30</v>
      </c>
      <c r="M44" s="227">
        <v>200</v>
      </c>
      <c r="N44" s="223" t="s">
        <v>31</v>
      </c>
      <c r="Q44" s="368">
        <v>94</v>
      </c>
      <c r="R44" s="200">
        <v>16.09</v>
      </c>
      <c r="S44" s="200">
        <v>6.64</v>
      </c>
      <c r="T44" s="201">
        <v>14.157</v>
      </c>
      <c r="U44" s="249">
        <v>7.0638297872340425E-2</v>
      </c>
    </row>
    <row r="45" spans="1:21" s="167" customFormat="1" ht="16.5">
      <c r="A45" s="232">
        <v>5.0000000000000001E-4</v>
      </c>
      <c r="B45" s="363" t="s">
        <v>32</v>
      </c>
      <c r="C45" s="364"/>
      <c r="D45" s="364"/>
      <c r="E45" s="4"/>
      <c r="F45" s="4"/>
      <c r="G45" s="4"/>
      <c r="H45" s="223" t="s">
        <v>33</v>
      </c>
      <c r="I45" s="500" t="s">
        <v>340</v>
      </c>
      <c r="J45" s="501"/>
      <c r="K45" s="502"/>
      <c r="L45" s="223" t="s">
        <v>34</v>
      </c>
      <c r="M45" s="195">
        <v>100</v>
      </c>
      <c r="N45" s="228">
        <f>M44</f>
        <v>200</v>
      </c>
      <c r="Q45" s="368">
        <v>120</v>
      </c>
      <c r="R45" s="200">
        <v>18.309999999999999</v>
      </c>
      <c r="S45" s="200">
        <v>8.86</v>
      </c>
      <c r="T45" s="201">
        <v>13.544</v>
      </c>
      <c r="U45" s="249">
        <v>7.3833333333333334E-2</v>
      </c>
    </row>
    <row r="46" spans="1:21" s="167" customFormat="1" ht="16.5">
      <c r="A46" s="4">
        <f>B34</f>
        <v>5.6462999999999999E-2</v>
      </c>
      <c r="B46" s="363" t="s">
        <v>35</v>
      </c>
      <c r="C46" s="494" t="s">
        <v>36</v>
      </c>
      <c r="D46" s="494"/>
      <c r="E46" s="4"/>
      <c r="F46" s="4"/>
      <c r="G46" s="4"/>
      <c r="H46" s="223" t="s">
        <v>37</v>
      </c>
      <c r="I46" s="491" t="s">
        <v>338</v>
      </c>
      <c r="J46" s="492"/>
      <c r="K46" s="493"/>
      <c r="L46" s="223" t="s">
        <v>38</v>
      </c>
      <c r="M46" s="192">
        <f>IF(I52&gt;M48, M45-I52,M45-M48)</f>
        <v>83</v>
      </c>
      <c r="N46" s="11"/>
      <c r="Q46" s="368">
        <v>146</v>
      </c>
      <c r="R46" s="200">
        <v>20.799999999999997</v>
      </c>
      <c r="S46" s="200">
        <v>11.35</v>
      </c>
      <c r="T46" s="201">
        <v>12.881</v>
      </c>
      <c r="U46" s="249">
        <v>7.7633378932968539E-2</v>
      </c>
    </row>
    <row r="47" spans="1:21" s="167" customFormat="1" ht="16.5">
      <c r="A47" s="4">
        <f>120/1440</f>
        <v>8.3333333333333329E-2</v>
      </c>
      <c r="B47" s="363" t="s">
        <v>39</v>
      </c>
      <c r="C47" s="494" t="s">
        <v>40</v>
      </c>
      <c r="D47" s="494"/>
      <c r="E47" s="4"/>
      <c r="F47" s="4"/>
      <c r="G47" s="4"/>
      <c r="H47" s="223" t="s">
        <v>41</v>
      </c>
      <c r="I47" s="503" t="s">
        <v>341</v>
      </c>
      <c r="J47" s="504"/>
      <c r="K47" s="505"/>
      <c r="L47" s="223" t="s">
        <v>42</v>
      </c>
      <c r="M47" s="193">
        <f>INT((M51*100)/M53)</f>
        <v>172</v>
      </c>
      <c r="N47" s="11"/>
      <c r="Q47" s="368">
        <v>172</v>
      </c>
      <c r="R47" s="200">
        <v>23.58</v>
      </c>
      <c r="S47" s="200">
        <v>14.13</v>
      </c>
      <c r="T47" s="201">
        <v>12.173</v>
      </c>
      <c r="U47" s="249">
        <v>8.2151162790697674E-2</v>
      </c>
    </row>
    <row r="48" spans="1:21" s="167" customFormat="1" ht="17.25" thickBot="1">
      <c r="A48" s="4"/>
      <c r="B48" s="364"/>
      <c r="C48" s="364"/>
      <c r="D48" s="364"/>
      <c r="E48" s="4"/>
      <c r="F48" s="4"/>
      <c r="G48" s="4"/>
      <c r="H48" s="223" t="s">
        <v>43</v>
      </c>
      <c r="I48" s="245">
        <v>5</v>
      </c>
      <c r="J48" s="495" t="s">
        <v>293</v>
      </c>
      <c r="K48" s="495"/>
      <c r="L48" s="223" t="s">
        <v>44</v>
      </c>
      <c r="M48" s="195">
        <v>9.4499999999999993</v>
      </c>
      <c r="N48" s="11"/>
      <c r="Q48" s="369">
        <v>198</v>
      </c>
      <c r="R48" s="250">
        <v>27.81</v>
      </c>
      <c r="S48" s="250">
        <v>18.36</v>
      </c>
      <c r="T48" s="251">
        <v>10.773</v>
      </c>
      <c r="U48" s="252">
        <v>9.282103134479272E-2</v>
      </c>
    </row>
    <row r="49" spans="1:24" s="167" customFormat="1" ht="16.5">
      <c r="A49" s="4" t="s">
        <v>45</v>
      </c>
      <c r="B49" s="365">
        <f>INT(SQRT(B54)*1000)/1000</f>
        <v>0</v>
      </c>
      <c r="C49" s="363" t="s">
        <v>46</v>
      </c>
      <c r="D49" s="366" t="s">
        <v>21</v>
      </c>
      <c r="E49" s="4"/>
      <c r="F49" s="4"/>
      <c r="G49" s="4"/>
      <c r="H49" s="223" t="s">
        <v>47</v>
      </c>
      <c r="I49" s="496">
        <f>LongTest!C10</f>
        <v>45454.472222222219</v>
      </c>
      <c r="J49" s="496"/>
      <c r="K49" s="496"/>
      <c r="L49" s="223" t="s">
        <v>48</v>
      </c>
      <c r="M49" s="195">
        <v>25.33</v>
      </c>
      <c r="N49" s="11"/>
    </row>
    <row r="50" spans="1:24" s="167" customFormat="1" ht="16.5">
      <c r="A50" s="4" t="s">
        <v>49</v>
      </c>
      <c r="B50" s="363">
        <f>INT(2.25*A44*A47*1000)/1000</f>
        <v>7.5389999999999997</v>
      </c>
      <c r="C50" s="363">
        <f>B50</f>
        <v>7.5389999999999997</v>
      </c>
      <c r="D50" s="364"/>
      <c r="E50" s="4"/>
      <c r="F50" s="4"/>
      <c r="G50" s="4"/>
      <c r="H50" s="223" t="s">
        <v>317</v>
      </c>
      <c r="I50" s="245">
        <v>50</v>
      </c>
      <c r="J50" s="506"/>
      <c r="K50" s="507"/>
      <c r="L50" s="223" t="s">
        <v>50</v>
      </c>
      <c r="M50" s="194">
        <f>M49-M48</f>
        <v>15.879999999999999</v>
      </c>
      <c r="N50" s="11"/>
    </row>
    <row r="51" spans="1:24" s="167" customFormat="1" ht="16.5">
      <c r="A51" s="4" t="s">
        <v>51</v>
      </c>
      <c r="B51" s="363">
        <f>A45</f>
        <v>5.0000000000000001E-4</v>
      </c>
      <c r="C51" s="363" t="s">
        <v>35</v>
      </c>
      <c r="D51" s="367" t="s">
        <v>21</v>
      </c>
      <c r="E51" s="4"/>
      <c r="F51" s="4"/>
      <c r="G51" s="4"/>
      <c r="H51" s="223"/>
      <c r="I51" s="497"/>
      <c r="J51" s="498"/>
      <c r="K51" s="499"/>
      <c r="L51" s="169" t="s">
        <v>52</v>
      </c>
      <c r="M51" s="195">
        <v>150</v>
      </c>
      <c r="N51" s="11"/>
      <c r="O51" s="167">
        <f>M51</f>
        <v>150</v>
      </c>
      <c r="P51" s="165">
        <f>ROUND((O51/O52)*100,1)</f>
        <v>172.4</v>
      </c>
    </row>
    <row r="52" spans="1:24" s="167" customFormat="1" ht="16.5">
      <c r="A52" s="168" t="s">
        <v>53</v>
      </c>
      <c r="B52" s="363">
        <f>INT(10^((INT(5.46*A44*A46*1000))/1000)*1000)/1000</f>
        <v>2488857318282.3979</v>
      </c>
      <c r="C52" s="363">
        <f>INT(B52*B51*1000)/1000</f>
        <v>1244428659.141</v>
      </c>
      <c r="D52" s="364"/>
      <c r="E52" s="4"/>
      <c r="F52" s="4"/>
      <c r="G52" s="4"/>
      <c r="H52" s="224" t="s">
        <v>54</v>
      </c>
      <c r="I52" s="245">
        <v>17</v>
      </c>
      <c r="J52" s="222" t="s">
        <v>55</v>
      </c>
      <c r="K52" s="170">
        <v>0</v>
      </c>
      <c r="L52" s="221" t="s">
        <v>56</v>
      </c>
      <c r="M52" s="192">
        <f>INT(M50*0.89*100)/100</f>
        <v>14.13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89" t="s">
        <v>243</v>
      </c>
      <c r="J53" s="489"/>
      <c r="K53" s="489"/>
      <c r="L53" s="489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5" t="s">
        <v>58</v>
      </c>
      <c r="I54" s="226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197.79999999999998</v>
      </c>
      <c r="R55" s="253"/>
    </row>
    <row r="56" spans="1:24" ht="14.25" thickBot="1">
      <c r="A56" s="7"/>
    </row>
    <row r="57" spans="1:24" s="167" customFormat="1" ht="18" customHeight="1">
      <c r="A57" s="231"/>
      <c r="B57" s="348" t="s">
        <v>60</v>
      </c>
      <c r="C57" s="348" t="s">
        <v>61</v>
      </c>
      <c r="D57" s="478" t="s">
        <v>62</v>
      </c>
      <c r="E57" s="479"/>
      <c r="F57" s="478" t="s">
        <v>61</v>
      </c>
      <c r="G57" s="479"/>
      <c r="H57" s="348" t="s">
        <v>63</v>
      </c>
      <c r="I57" s="349">
        <f>M50</f>
        <v>15.879999999999999</v>
      </c>
      <c r="J57" s="348" t="s">
        <v>64</v>
      </c>
      <c r="K57" s="348" t="s">
        <v>65</v>
      </c>
      <c r="L57" s="478" t="s">
        <v>66</v>
      </c>
      <c r="M57" s="480"/>
      <c r="P57" s="167">
        <f xml:space="preserve"> ((147 * M53) / 1.15) / 100</f>
        <v>111.20869565217392</v>
      </c>
    </row>
    <row r="58" spans="1:24" s="167" customFormat="1" ht="18" customHeight="1">
      <c r="A58" s="229" t="s">
        <v>67</v>
      </c>
      <c r="B58" s="350">
        <v>40.21</v>
      </c>
      <c r="C58" s="222"/>
      <c r="D58" s="472">
        <v>0.22439999999999999</v>
      </c>
      <c r="E58" s="473"/>
      <c r="F58" s="472"/>
      <c r="G58" s="473"/>
      <c r="H58" s="222" t="s">
        <v>68</v>
      </c>
      <c r="I58" s="351">
        <f>C62/M46</f>
        <v>0.54722891566265064</v>
      </c>
      <c r="J58" s="222" t="s">
        <v>69</v>
      </c>
      <c r="K58" s="352">
        <f>INT((6*I57*I58*I60/I59)^0.5)</f>
        <v>13</v>
      </c>
      <c r="L58" s="222" t="s">
        <v>70</v>
      </c>
      <c r="M58" s="353" t="s">
        <v>71</v>
      </c>
    </row>
    <row r="59" spans="1:24" s="167" customFormat="1" ht="18" customHeight="1">
      <c r="A59" s="229" t="s">
        <v>72</v>
      </c>
      <c r="B59" s="350">
        <v>59.61</v>
      </c>
      <c r="C59" s="481">
        <f>B59</f>
        <v>59.61</v>
      </c>
      <c r="D59" s="483">
        <v>0.15190000000000001</v>
      </c>
      <c r="E59" s="484"/>
      <c r="F59" s="485">
        <f>INT((D59+D60)/1*10000000)/10000000</f>
        <v>0.15190000000000001</v>
      </c>
      <c r="G59" s="486"/>
      <c r="H59" s="222" t="s">
        <v>32</v>
      </c>
      <c r="I59" s="222">
        <f>F62</f>
        <v>0.15190000000000001</v>
      </c>
      <c r="J59" s="222" t="s">
        <v>73</v>
      </c>
      <c r="K59" s="352">
        <f>INT(3*(I57*I58*I60/I59)^0.5)</f>
        <v>16</v>
      </c>
      <c r="L59" s="352"/>
      <c r="M59" s="354"/>
    </row>
    <row r="60" spans="1:24" s="167" customFormat="1" ht="18" customHeight="1">
      <c r="A60" s="229" t="s">
        <v>74</v>
      </c>
      <c r="B60" s="350"/>
      <c r="C60" s="482"/>
      <c r="D60" s="483"/>
      <c r="E60" s="484"/>
      <c r="F60" s="487"/>
      <c r="G60" s="488"/>
      <c r="H60" s="355">
        <f>LongTest!AE33</f>
        <v>720</v>
      </c>
      <c r="I60" s="351">
        <f>INT(H60/1440*10000)/10000</f>
        <v>0.5</v>
      </c>
      <c r="J60" s="222" t="s">
        <v>75</v>
      </c>
      <c r="K60" s="352">
        <f>(2.25*I61*I60/I59)^0.5</f>
        <v>18.340912511588275</v>
      </c>
      <c r="L60" s="352"/>
      <c r="M60" s="354"/>
    </row>
    <row r="61" spans="1:24" s="167" customFormat="1" ht="18" customHeight="1">
      <c r="A61" s="229" t="s">
        <v>76</v>
      </c>
      <c r="B61" s="350">
        <v>31.23</v>
      </c>
      <c r="C61" s="222">
        <f>B61</f>
        <v>31.23</v>
      </c>
      <c r="D61" s="472"/>
      <c r="E61" s="473"/>
      <c r="F61" s="472"/>
      <c r="G61" s="473"/>
      <c r="H61" s="222" t="s">
        <v>28</v>
      </c>
      <c r="I61" s="222">
        <f>C62</f>
        <v>45.42</v>
      </c>
      <c r="J61" s="222" t="s">
        <v>77</v>
      </c>
      <c r="K61" s="352">
        <f>((K58+K59+K60)/3)</f>
        <v>15.780304170529424</v>
      </c>
      <c r="L61" s="352"/>
      <c r="M61" s="354"/>
    </row>
    <row r="62" spans="1:24" s="167" customFormat="1" ht="18" customHeight="1" thickBot="1">
      <c r="A62" s="230" t="s">
        <v>61</v>
      </c>
      <c r="B62" s="356"/>
      <c r="C62" s="357">
        <f>INT((C58+C59+C61)*1000/2)/1000</f>
        <v>45.42</v>
      </c>
      <c r="D62" s="474"/>
      <c r="E62" s="475"/>
      <c r="F62" s="476">
        <f>F59</f>
        <v>0.15190000000000001</v>
      </c>
      <c r="G62" s="477"/>
      <c r="H62" s="358" t="s">
        <v>78</v>
      </c>
      <c r="I62" s="359">
        <v>70.33</v>
      </c>
      <c r="J62" s="358" t="s">
        <v>79</v>
      </c>
      <c r="K62" s="360">
        <f>MAX(K58:K60)</f>
        <v>18.340912511588275</v>
      </c>
      <c r="L62" s="361"/>
      <c r="M62" s="362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2" t="s">
        <v>342</v>
      </c>
      <c r="R64" s="243" t="s">
        <v>343</v>
      </c>
      <c r="S64" s="243" t="s">
        <v>344</v>
      </c>
      <c r="T64" s="243" t="s">
        <v>345</v>
      </c>
      <c r="U64" s="243" t="s">
        <v>346</v>
      </c>
      <c r="V64" s="243" t="s">
        <v>219</v>
      </c>
      <c r="W64" s="243" t="s">
        <v>220</v>
      </c>
      <c r="X64" s="244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7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</mergeCells>
  <phoneticPr fontId="7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_CB1">
          <controlPr defaultSize="0" autoLine="0" r:id="rId5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4" name="CommandButton_CB1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8" r:id="rId8" name="CommandButton_STEP">
          <controlPr defaultSize="0" autoLine="0" r:id="rId9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8" name="CommandButton_STEP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31" r:id="rId14" name="CommandButton_1440">
          <controlPr defaultSize="0" autoLine="0" r:id="rId15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4" name="CommandButton_1440"/>
      </mc:Fallback>
    </mc:AlternateContent>
    <mc:AlternateContent xmlns:mc="http://schemas.openxmlformats.org/markup-compatibility/2006">
      <mc:Choice Requires="x14">
        <control shapeId="1056" r:id="rId16" name="CommandButton_ClearReport">
          <controlPr defaultSize="0" autoLine="0" r:id="rId17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6" name="CommandButton_ClearReport"/>
      </mc:Fallback>
    </mc:AlternateContent>
    <mc:AlternateContent xmlns:mc="http://schemas.openxmlformats.org/markup-compatibility/2006">
      <mc:Choice Requires="x14">
        <control shapeId="1059" r:id="rId18" name="CommandButton1">
          <controlPr defaultSize="0" autoLine="0" r:id="rId19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18" name="CommandButton1"/>
      </mc:Fallback>
    </mc:AlternateContent>
    <mc:AlternateContent xmlns:mc="http://schemas.openxmlformats.org/markup-compatibility/2006">
      <mc:Choice Requires="x14">
        <control shapeId="1060" r:id="rId20" name="CommandButton2">
          <controlPr defaultSize="0" autoLine="0" r:id="rId21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20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28" sqref="H28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순성중명아파트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당진시 순성면 순성로 453-30번지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0" t="s">
        <v>116</v>
      </c>
      <c r="C3" s="281" t="s">
        <v>13</v>
      </c>
      <c r="D3" s="281" t="s">
        <v>28</v>
      </c>
      <c r="E3" s="281" t="s">
        <v>117</v>
      </c>
      <c r="F3" s="281" t="s">
        <v>32</v>
      </c>
      <c r="G3" s="281" t="s">
        <v>118</v>
      </c>
      <c r="H3" s="282" t="s">
        <v>35</v>
      </c>
      <c r="I3" s="269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3">
        <f>LongTest!G10</f>
        <v>3.3156559522114577</v>
      </c>
      <c r="C4" s="275">
        <f>LongTest!B10</f>
        <v>150</v>
      </c>
      <c r="D4" s="276">
        <v>1.855</v>
      </c>
      <c r="E4" s="277">
        <f>Input!M44/2000</f>
        <v>0.1</v>
      </c>
      <c r="F4" s="19">
        <v>5.0000000000000001E-4</v>
      </c>
      <c r="G4" s="19">
        <f>PI()</f>
        <v>3.1415926535897931</v>
      </c>
      <c r="H4" s="108">
        <f>Input!$A$46</f>
        <v>5.6462999999999999E-2</v>
      </c>
      <c r="I4" s="270">
        <f>Input!M48</f>
        <v>9.4499999999999993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1"/>
      <c r="C5" s="21"/>
      <c r="D5" s="272">
        <v>4.1534000000000004</v>
      </c>
      <c r="E5" s="273" t="s">
        <v>237</v>
      </c>
      <c r="F5" s="21"/>
      <c r="G5" s="21"/>
      <c r="H5" s="274"/>
      <c r="I5" s="278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0.57684857972915171</v>
      </c>
      <c r="D6" s="203"/>
      <c r="E6" s="202">
        <f>1.15*LOG((2.25*D5*(1/1440))/(F4*E4^2))</f>
        <v>3.5802418472835975</v>
      </c>
      <c r="F6" s="204" t="s">
        <v>121</v>
      </c>
      <c r="G6" s="383">
        <f>C6-E6</f>
        <v>-3.0033932675544457</v>
      </c>
      <c r="H6" s="35"/>
      <c r="I6" s="270">
        <f>Input!M49</f>
        <v>25.33</v>
      </c>
      <c r="J6" s="263">
        <f>MAX(C13,C18,C23)</f>
        <v>60.6</v>
      </c>
      <c r="K6" s="261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1.8657102918072644E-3</v>
      </c>
      <c r="G7" s="205" t="s">
        <v>124</v>
      </c>
      <c r="H7" s="35">
        <f>F4*EXP(4*G4*D4*H4)</f>
        <v>1.8645881819731776E-3</v>
      </c>
      <c r="I7" s="278" t="s">
        <v>125</v>
      </c>
      <c r="J7" s="264">
        <f>ROUND((C13+C18+C23)/3,1)</f>
        <v>52.3</v>
      </c>
      <c r="K7" s="262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2">
        <f>ROUND(E4*EXP(-1*G6),3)</f>
        <v>2.0150000000000001</v>
      </c>
      <c r="D8" s="209"/>
      <c r="E8" s="209"/>
      <c r="F8" s="210"/>
      <c r="G8" s="209"/>
      <c r="H8" s="211"/>
      <c r="I8" s="279">
        <f>Input!M45</f>
        <v>100</v>
      </c>
      <c r="J8" s="259" t="s">
        <v>240</v>
      </c>
      <c r="K8" s="265">
        <f>ROUND(SQRT(C7/F7),4)</f>
        <v>13.653700000000001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8" t="s">
        <v>127</v>
      </c>
      <c r="J9" s="259" t="s">
        <v>241</v>
      </c>
      <c r="K9" s="266">
        <f>ROUND(SQRT(C7/H7),4)</f>
        <v>13.6578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11.18848160450383</v>
      </c>
      <c r="D10" s="24" t="s">
        <v>236</v>
      </c>
      <c r="E10" s="256">
        <v>8.029E-2</v>
      </c>
      <c r="H10" s="212" t="s">
        <v>214</v>
      </c>
      <c r="I10" s="218">
        <f>Input!I52</f>
        <v>17</v>
      </c>
      <c r="J10" s="260" t="s">
        <v>242</v>
      </c>
      <c r="K10" s="267">
        <f>ROUND(E4*SQRT(E10/F4),4)</f>
        <v>1.2672000000000001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14.141518395496169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5" t="s">
        <v>130</v>
      </c>
      <c r="C13" s="287">
        <f>ROUND(SQRT(6*B16*E16*H16/I16),1)</f>
        <v>43.3</v>
      </c>
      <c r="D13" s="25"/>
      <c r="E13" s="385" t="s">
        <v>251</v>
      </c>
      <c r="F13" s="286">
        <f>D5</f>
        <v>4.1534000000000004</v>
      </c>
      <c r="G13" s="385" t="s">
        <v>250</v>
      </c>
      <c r="H13" s="257">
        <v>3.8359999999999999</v>
      </c>
      <c r="I13" s="284">
        <v>57.09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4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15.879999999999999</v>
      </c>
      <c r="C16" s="213">
        <f>I8-IF(I4&gt;I10,I4,I10)</f>
        <v>83</v>
      </c>
      <c r="D16" s="215">
        <f>(F13+H13)/2</f>
        <v>3.9946999999999999</v>
      </c>
      <c r="E16" s="30">
        <f>INT(D16/C16*100000)/100000</f>
        <v>4.8120000000000003E-2</v>
      </c>
      <c r="F16" s="31">
        <v>1440</v>
      </c>
      <c r="G16" s="217">
        <v>540</v>
      </c>
      <c r="H16" s="215">
        <f>INT(G16/F16*10000)/10000</f>
        <v>0.375</v>
      </c>
      <c r="I16" s="258">
        <v>9.165E-4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5" t="s">
        <v>137</v>
      </c>
      <c r="C18" s="287">
        <f>ROUND(3*SQRT(B21*E21*H21/I21),1)</f>
        <v>53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15.879999999999999</v>
      </c>
      <c r="C21" s="214">
        <f t="shared" si="0"/>
        <v>83</v>
      </c>
      <c r="D21" s="31">
        <f t="shared" si="0"/>
        <v>3.9946999999999999</v>
      </c>
      <c r="E21" s="215">
        <f t="shared" si="0"/>
        <v>4.8120000000000003E-2</v>
      </c>
      <c r="F21" s="31">
        <f t="shared" si="0"/>
        <v>1440</v>
      </c>
      <c r="G21" s="31">
        <f>G16</f>
        <v>540</v>
      </c>
      <c r="H21" s="31">
        <f t="shared" si="0"/>
        <v>0.375</v>
      </c>
      <c r="I21" s="37">
        <f t="shared" si="0"/>
        <v>9.165E-4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5" t="s">
        <v>141</v>
      </c>
      <c r="C23" s="287">
        <f>ROUND(SQRT((2.25*D26*H26)/I26),1)</f>
        <v>60.6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15.879999999999999</v>
      </c>
      <c r="C26" s="31">
        <f t="shared" si="1"/>
        <v>83</v>
      </c>
      <c r="D26" s="31">
        <f t="shared" si="1"/>
        <v>3.9946999999999999</v>
      </c>
      <c r="E26" s="30">
        <f t="shared" si="1"/>
        <v>4.8120000000000003E-2</v>
      </c>
      <c r="F26" s="31">
        <f t="shared" si="1"/>
        <v>1440</v>
      </c>
      <c r="G26" s="31">
        <f t="shared" si="1"/>
        <v>540</v>
      </c>
      <c r="H26" s="215">
        <f>INT(G16/F16*10000)/10000</f>
        <v>0.375</v>
      </c>
      <c r="I26" s="37">
        <f t="shared" si="1"/>
        <v>9.165E-4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8">
        <f>D16</f>
        <v>3.9946999999999999</v>
      </c>
      <c r="D28" s="381">
        <f>(C28/C16)*(100/86400)</f>
        <v>5.5704763498438192E-5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79">
        <f>I16</f>
        <v>9.165E-4</v>
      </c>
      <c r="D29" s="15">
        <f>(C28*100)/(C16*86400)</f>
        <v>5.5704763498438192E-5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0">
        <f>(C13+C18+C23)/3</f>
        <v>52.300000000000004</v>
      </c>
      <c r="D30" s="14"/>
      <c r="E30" s="375">
        <f>(C13+C18)/2</f>
        <v>48.15</v>
      </c>
      <c r="F30" s="376">
        <f>MAX(C13,C18)</f>
        <v>53</v>
      </c>
      <c r="G30" s="377">
        <f>ROUND(C4/(G4*F30^2*I16),3)</f>
        <v>18.545999999999999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94</v>
      </c>
    </row>
    <row r="3" spans="1:2" ht="20.100000000000001" customHeight="1">
      <c r="A3" s="42" t="s">
        <v>146</v>
      </c>
      <c r="B3" s="156">
        <f>StepTest!G31</f>
        <v>6.64</v>
      </c>
    </row>
    <row r="4" spans="1:2" ht="20.100000000000001" customHeight="1">
      <c r="A4" s="42" t="s">
        <v>147</v>
      </c>
      <c r="B4" s="157">
        <f>StepTest!G46</f>
        <v>14.13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155.516775123532</v>
      </c>
    </row>
    <row r="8" spans="1:2" ht="20.100000000000001" customHeight="1">
      <c r="A8" s="42" t="s">
        <v>150</v>
      </c>
      <c r="B8" s="157">
        <f>INT(B7)</f>
        <v>155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0.90116279069767447</v>
      </c>
    </row>
    <row r="12" spans="1:2" ht="17.25" thickBot="1"/>
    <row r="13" spans="1:2" ht="24.95" customHeight="1">
      <c r="A13" s="44" t="s">
        <v>151</v>
      </c>
      <c r="B13" s="159">
        <f>Input!$D$6</f>
        <v>172</v>
      </c>
    </row>
    <row r="14" spans="1:2" ht="24.95" customHeight="1">
      <c r="A14" s="45" t="s">
        <v>52</v>
      </c>
      <c r="B14" s="160">
        <f>B8</f>
        <v>155</v>
      </c>
    </row>
    <row r="15" spans="1:2" ht="24.95" customHeight="1" thickBot="1">
      <c r="A15" s="46" t="s">
        <v>152</v>
      </c>
      <c r="B15" s="161">
        <f>Input!$M$51</f>
        <v>150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5" t="s">
        <v>154</v>
      </c>
      <c r="T2" s="296" t="s">
        <v>155</v>
      </c>
      <c r="U2" s="297"/>
      <c r="V2" s="296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8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12" t="s">
        <v>160</v>
      </c>
      <c r="B4" s="512"/>
      <c r="C4" s="301" t="str">
        <f>Input!I44</f>
        <v>순성중명아파트 이용허가 유효기간의 연장을 위한 지하수영향조사보고서</v>
      </c>
      <c r="D4" s="302"/>
      <c r="E4" s="302"/>
      <c r="F4" s="302"/>
      <c r="G4" s="302"/>
      <c r="H4" s="303"/>
      <c r="I4" s="304"/>
      <c r="P4" s="51">
        <v>1</v>
      </c>
      <c r="Q4" s="371"/>
      <c r="R4" s="55">
        <f>B12</f>
        <v>94</v>
      </c>
      <c r="S4" s="51">
        <f>$R$4</f>
        <v>94</v>
      </c>
      <c r="T4" s="299">
        <v>6.3520341974657759</v>
      </c>
      <c r="U4" s="298">
        <f>Input!M44/2/1000</f>
        <v>0.1</v>
      </c>
      <c r="V4" s="288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8.9320761964825959</v>
      </c>
      <c r="Z4" s="58">
        <f>Z22</f>
        <v>7.9235925198589596</v>
      </c>
      <c r="AA4" s="57">
        <f>$Z$4</f>
        <v>7.9235925198589596</v>
      </c>
      <c r="AB4" s="57">
        <f>X4</f>
        <v>1</v>
      </c>
      <c r="AC4" s="57">
        <f>Y4-AA4</f>
        <v>1.0084836766236362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12" t="s">
        <v>161</v>
      </c>
      <c r="B5" s="512"/>
      <c r="C5" s="305" t="str">
        <f>Input!I45</f>
        <v>순성중명아파트</v>
      </c>
      <c r="D5" s="302"/>
      <c r="E5" s="302"/>
      <c r="F5" s="306"/>
      <c r="G5" s="302"/>
      <c r="H5" s="307" t="str">
        <f>Input!J48</f>
        <v>공  번 : W - 1</v>
      </c>
      <c r="I5" s="308"/>
      <c r="P5" s="51">
        <v>2</v>
      </c>
      <c r="Q5" s="371"/>
      <c r="S5" s="51">
        <f t="shared" ref="S5:S23" si="3">$R$4</f>
        <v>94</v>
      </c>
      <c r="T5" s="51">
        <f>$T4</f>
        <v>6.3520341974657759</v>
      </c>
      <c r="U5" s="61">
        <f>$U4</f>
        <v>0.1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9.7474237462116946</v>
      </c>
      <c r="AA5" s="57">
        <f t="shared" ref="AA5:AA23" si="5">$Z$4</f>
        <v>7.9235925198589596</v>
      </c>
      <c r="AB5" s="57">
        <f t="shared" ref="AB5:AB43" si="6">X5</f>
        <v>2</v>
      </c>
      <c r="AC5" s="57">
        <f t="shared" ref="AC5:AC43" si="7">Y5-AA5</f>
        <v>1.823831226352735</v>
      </c>
      <c r="AD5" s="59">
        <f t="shared" ref="AD5:AD16" si="8">INT((AC5-AE5)*100)/100</f>
        <v>1.82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12" t="s">
        <v>162</v>
      </c>
      <c r="B6" s="512"/>
      <c r="C6" s="309" t="str">
        <f>Input!I46</f>
        <v>충청남도 당진시 순성면 순성로 453-30번지</v>
      </c>
      <c r="D6" s="302"/>
      <c r="E6" s="302"/>
      <c r="F6" s="302"/>
      <c r="G6" s="302"/>
      <c r="H6" s="303"/>
      <c r="I6" s="304"/>
      <c r="P6" s="51">
        <v>3</v>
      </c>
      <c r="Q6" s="371"/>
      <c r="S6" s="51">
        <f t="shared" si="3"/>
        <v>94</v>
      </c>
      <c r="T6" s="51">
        <f t="shared" ref="T6:T51" si="10">$T5</f>
        <v>6.3520341974657759</v>
      </c>
      <c r="U6" s="61">
        <f t="shared" ref="U6:U51" si="11">$U5</f>
        <v>0.1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10.224371487858095</v>
      </c>
      <c r="AA6" s="57">
        <f t="shared" si="5"/>
        <v>7.9235925198589596</v>
      </c>
      <c r="AB6" s="57">
        <f t="shared" si="6"/>
        <v>3</v>
      </c>
      <c r="AC6" s="57">
        <f t="shared" si="7"/>
        <v>2.3007789679991353</v>
      </c>
      <c r="AD6" s="59">
        <f t="shared" si="8"/>
        <v>2.2999999999999998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12" t="s">
        <v>163</v>
      </c>
      <c r="B7" s="512"/>
      <c r="C7" s="310" t="str">
        <f>Input!I47</f>
        <v>주식회사 한일지하수</v>
      </c>
      <c r="D7" s="311"/>
      <c r="E7" s="302"/>
      <c r="F7" s="312"/>
      <c r="G7" s="313">
        <f>Input!I49</f>
        <v>45454.472222222219</v>
      </c>
      <c r="H7" s="314"/>
      <c r="I7" s="315"/>
      <c r="P7" s="51">
        <v>4</v>
      </c>
      <c r="Q7" s="371"/>
      <c r="S7" s="51">
        <f t="shared" si="3"/>
        <v>94</v>
      </c>
      <c r="T7" s="51">
        <f t="shared" si="10"/>
        <v>6.3520341974657759</v>
      </c>
      <c r="U7" s="61">
        <f t="shared" si="11"/>
        <v>0.1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10.562771295940793</v>
      </c>
      <c r="AA7" s="57">
        <f t="shared" si="5"/>
        <v>7.9235925198589596</v>
      </c>
      <c r="AB7" s="57">
        <f t="shared" si="6"/>
        <v>4</v>
      </c>
      <c r="AC7" s="57">
        <f t="shared" si="7"/>
        <v>2.6391787760818337</v>
      </c>
      <c r="AD7" s="59">
        <f t="shared" si="8"/>
        <v>2.63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6" t="s">
        <v>164</v>
      </c>
      <c r="B8" s="316"/>
      <c r="C8" s="513">
        <f>Input!I48</f>
        <v>5</v>
      </c>
      <c r="D8" s="514"/>
      <c r="E8" s="515"/>
      <c r="F8" s="317" t="s">
        <v>165</v>
      </c>
      <c r="G8" s="313">
        <f>G7</f>
        <v>45454.472222222219</v>
      </c>
      <c r="H8" s="314"/>
      <c r="I8" s="318"/>
      <c r="K8" s="62"/>
      <c r="P8" s="51">
        <v>5</v>
      </c>
      <c r="Q8" s="371"/>
      <c r="S8" s="51">
        <f t="shared" si="3"/>
        <v>94</v>
      </c>
      <c r="T8" s="51">
        <f t="shared" si="10"/>
        <v>6.3520341974657759</v>
      </c>
      <c r="U8" s="61">
        <f t="shared" si="11"/>
        <v>0.1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10.825254579296161</v>
      </c>
      <c r="AA8" s="57">
        <f t="shared" si="5"/>
        <v>7.9235925198589596</v>
      </c>
      <c r="AB8" s="57">
        <f t="shared" si="6"/>
        <v>5</v>
      </c>
      <c r="AC8" s="57">
        <f t="shared" si="7"/>
        <v>2.9016620594372009</v>
      </c>
      <c r="AD8" s="59">
        <f t="shared" si="8"/>
        <v>2.9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6" t="s">
        <v>166</v>
      </c>
      <c r="B9" s="316"/>
      <c r="C9" s="319" t="s">
        <v>167</v>
      </c>
      <c r="D9" s="516">
        <f>Input!M44</f>
        <v>200</v>
      </c>
      <c r="E9" s="516"/>
      <c r="F9" s="300" t="s">
        <v>168</v>
      </c>
      <c r="G9" s="517">
        <f>Input!M45</f>
        <v>100</v>
      </c>
      <c r="H9" s="517"/>
      <c r="I9" s="300"/>
      <c r="P9" s="51">
        <v>10</v>
      </c>
      <c r="Q9" s="371"/>
      <c r="S9" s="51">
        <f t="shared" si="3"/>
        <v>94</v>
      </c>
      <c r="T9" s="51">
        <f t="shared" si="10"/>
        <v>6.3520341974657759</v>
      </c>
      <c r="U9" s="61">
        <f t="shared" si="11"/>
        <v>0.1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11.640602129025259</v>
      </c>
      <c r="AA9" s="57">
        <f t="shared" si="5"/>
        <v>7.9235925198589596</v>
      </c>
      <c r="AB9" s="57">
        <f t="shared" si="6"/>
        <v>10</v>
      </c>
      <c r="AC9" s="57">
        <f t="shared" si="7"/>
        <v>3.7170096091662996</v>
      </c>
      <c r="AD9" s="59">
        <f t="shared" si="8"/>
        <v>3.71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6" t="s">
        <v>169</v>
      </c>
      <c r="B10" s="316"/>
      <c r="C10" s="319" t="s">
        <v>217</v>
      </c>
      <c r="D10" s="518">
        <f>Input!M48</f>
        <v>9.4499999999999993</v>
      </c>
      <c r="E10" s="519"/>
      <c r="F10" s="320" t="s">
        <v>4</v>
      </c>
      <c r="G10" s="520" t="s">
        <v>4</v>
      </c>
      <c r="H10" s="520"/>
      <c r="I10" s="308"/>
      <c r="P10" s="51">
        <v>15</v>
      </c>
      <c r="Q10" s="371"/>
      <c r="S10" s="51">
        <f t="shared" si="3"/>
        <v>94</v>
      </c>
      <c r="T10" s="51">
        <f t="shared" si="10"/>
        <v>6.3520341974657759</v>
      </c>
      <c r="U10" s="61">
        <f t="shared" si="11"/>
        <v>0.1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12.117549870671661</v>
      </c>
      <c r="AA10" s="57">
        <f t="shared" si="5"/>
        <v>7.9235925198589596</v>
      </c>
      <c r="AB10" s="57">
        <f t="shared" si="6"/>
        <v>15</v>
      </c>
      <c r="AC10" s="57">
        <f t="shared" si="7"/>
        <v>4.1939573508127017</v>
      </c>
      <c r="AD10" s="59">
        <f t="shared" si="8"/>
        <v>4.1900000000000004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0" t="s">
        <v>170</v>
      </c>
      <c r="B11" s="321" t="s">
        <v>171</v>
      </c>
      <c r="C11" s="319" t="s">
        <v>172</v>
      </c>
      <c r="D11" s="521" t="s">
        <v>173</v>
      </c>
      <c r="E11" s="521"/>
      <c r="F11" s="321" t="s">
        <v>174</v>
      </c>
      <c r="G11" s="522" t="s">
        <v>175</v>
      </c>
      <c r="H11" s="522"/>
      <c r="I11" s="300" t="s">
        <v>176</v>
      </c>
      <c r="J11" s="63">
        <f>G12-J13</f>
        <v>0.17999999999999994</v>
      </c>
      <c r="P11" s="51">
        <v>20</v>
      </c>
      <c r="Q11" s="371"/>
      <c r="S11" s="51">
        <f t="shared" si="3"/>
        <v>94</v>
      </c>
      <c r="T11" s="51">
        <f t="shared" si="10"/>
        <v>6.3520341974657759</v>
      </c>
      <c r="U11" s="61">
        <f t="shared" si="11"/>
        <v>0.1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12.45594967875436</v>
      </c>
      <c r="AA11" s="57">
        <f t="shared" si="5"/>
        <v>7.9235925198589596</v>
      </c>
      <c r="AB11" s="57">
        <f t="shared" si="6"/>
        <v>20</v>
      </c>
      <c r="AC11" s="57">
        <f t="shared" si="7"/>
        <v>4.5323571588954001</v>
      </c>
      <c r="AD11" s="59">
        <f t="shared" si="8"/>
        <v>4.53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2">
        <v>1</v>
      </c>
      <c r="B12" s="323">
        <f>Input!D20</f>
        <v>94</v>
      </c>
      <c r="C12" s="324">
        <v>45489.458333333336</v>
      </c>
      <c r="D12" s="510">
        <v>1</v>
      </c>
      <c r="E12" s="510"/>
      <c r="F12" s="325">
        <f>G12+$D$10</f>
        <v>10.45</v>
      </c>
      <c r="G12" s="511">
        <f>AD4</f>
        <v>1</v>
      </c>
      <c r="H12" s="511"/>
      <c r="I12" s="300" t="s">
        <v>177</v>
      </c>
      <c r="J12" s="64"/>
      <c r="P12" s="51">
        <v>25</v>
      </c>
      <c r="Q12" s="371"/>
      <c r="S12" s="51">
        <f t="shared" si="3"/>
        <v>94</v>
      </c>
      <c r="T12" s="51">
        <f t="shared" si="10"/>
        <v>6.3520341974657759</v>
      </c>
      <c r="U12" s="61">
        <f t="shared" si="11"/>
        <v>0.1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12.718432962109727</v>
      </c>
      <c r="AA12" s="57">
        <f t="shared" si="5"/>
        <v>7.9235925198589596</v>
      </c>
      <c r="AB12" s="57">
        <f t="shared" si="6"/>
        <v>25</v>
      </c>
      <c r="AC12" s="57">
        <f t="shared" si="7"/>
        <v>4.7948404422507673</v>
      </c>
      <c r="AD12" s="59">
        <f t="shared" si="8"/>
        <v>4.79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2"/>
      <c r="B13" s="322"/>
      <c r="C13" s="324"/>
      <c r="D13" s="510">
        <v>2</v>
      </c>
      <c r="E13" s="510"/>
      <c r="F13" s="325">
        <f t="shared" ref="F13:F51" si="13">G13+$D$10</f>
        <v>11.27</v>
      </c>
      <c r="G13" s="511">
        <f t="shared" ref="G13:G51" si="14">AD5</f>
        <v>1.82</v>
      </c>
      <c r="H13" s="511"/>
      <c r="I13" s="326"/>
      <c r="J13" s="327">
        <f>G13-G12</f>
        <v>0.82000000000000006</v>
      </c>
      <c r="P13" s="51">
        <v>30</v>
      </c>
      <c r="Q13" s="371"/>
      <c r="S13" s="51">
        <f t="shared" si="3"/>
        <v>94</v>
      </c>
      <c r="T13" s="51">
        <f t="shared" si="10"/>
        <v>6.3520341974657759</v>
      </c>
      <c r="U13" s="61">
        <f t="shared" si="11"/>
        <v>0.1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12.93289742040076</v>
      </c>
      <c r="AA13" s="57">
        <f t="shared" si="5"/>
        <v>7.9235925198589596</v>
      </c>
      <c r="AB13" s="57">
        <f t="shared" si="6"/>
        <v>30</v>
      </c>
      <c r="AC13" s="57">
        <f t="shared" si="7"/>
        <v>5.0093049005418004</v>
      </c>
      <c r="AD13" s="59">
        <f t="shared" si="8"/>
        <v>5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2"/>
      <c r="B14" s="322"/>
      <c r="C14" s="324"/>
      <c r="D14" s="510">
        <v>3</v>
      </c>
      <c r="E14" s="510"/>
      <c r="F14" s="325">
        <f t="shared" si="13"/>
        <v>11.75</v>
      </c>
      <c r="G14" s="511">
        <f t="shared" si="14"/>
        <v>2.2999999999999998</v>
      </c>
      <c r="H14" s="511"/>
      <c r="I14" s="326"/>
      <c r="J14" s="327">
        <f t="shared" ref="J14:J51" si="15">G14-G13</f>
        <v>0.47999999999999976</v>
      </c>
      <c r="Q14" s="371"/>
      <c r="S14" s="51">
        <f t="shared" si="3"/>
        <v>94</v>
      </c>
      <c r="T14" s="51">
        <f t="shared" si="10"/>
        <v>6.3520341974657759</v>
      </c>
      <c r="U14" s="61">
        <f t="shared" si="11"/>
        <v>0.1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13.114224536215755</v>
      </c>
      <c r="AA14" s="57">
        <f t="shared" si="5"/>
        <v>7.9235925198589596</v>
      </c>
      <c r="AB14" s="57">
        <f t="shared" si="6"/>
        <v>35</v>
      </c>
      <c r="AC14" s="57">
        <f t="shared" si="7"/>
        <v>5.1906320163567949</v>
      </c>
      <c r="AD14" s="59">
        <f t="shared" si="8"/>
        <v>5.19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2"/>
      <c r="B15" s="322"/>
      <c r="C15" s="324"/>
      <c r="D15" s="510">
        <v>4</v>
      </c>
      <c r="E15" s="510"/>
      <c r="F15" s="325">
        <f t="shared" si="13"/>
        <v>12.079999999999998</v>
      </c>
      <c r="G15" s="511">
        <f t="shared" si="14"/>
        <v>2.63</v>
      </c>
      <c r="H15" s="511"/>
      <c r="I15" s="326"/>
      <c r="J15" s="327">
        <f t="shared" si="15"/>
        <v>0.33000000000000007</v>
      </c>
      <c r="Q15" s="371"/>
      <c r="S15" s="51">
        <f t="shared" si="3"/>
        <v>94</v>
      </c>
      <c r="T15" s="51">
        <f t="shared" si="10"/>
        <v>6.3520341974657759</v>
      </c>
      <c r="U15" s="61">
        <f t="shared" si="11"/>
        <v>0.1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13.271297228483458</v>
      </c>
      <c r="AA15" s="57">
        <f t="shared" si="5"/>
        <v>7.9235925198589596</v>
      </c>
      <c r="AB15" s="57">
        <f t="shared" si="6"/>
        <v>40</v>
      </c>
      <c r="AC15" s="57">
        <f t="shared" si="7"/>
        <v>5.3477047086244989</v>
      </c>
      <c r="AD15" s="59">
        <f t="shared" si="8"/>
        <v>5.34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2"/>
      <c r="B16" s="322"/>
      <c r="C16" s="324"/>
      <c r="D16" s="510">
        <v>5</v>
      </c>
      <c r="E16" s="510"/>
      <c r="F16" s="325">
        <f t="shared" si="13"/>
        <v>12.35</v>
      </c>
      <c r="G16" s="511">
        <f t="shared" si="14"/>
        <v>2.9</v>
      </c>
      <c r="H16" s="511"/>
      <c r="I16" s="326"/>
      <c r="J16" s="327">
        <f t="shared" si="15"/>
        <v>0.27</v>
      </c>
      <c r="K16" s="386" t="s">
        <v>247</v>
      </c>
      <c r="L16" s="387" t="s">
        <v>178</v>
      </c>
      <c r="M16" s="387" t="s">
        <v>179</v>
      </c>
      <c r="N16" s="387" t="s">
        <v>245</v>
      </c>
      <c r="O16" s="387" t="s">
        <v>246</v>
      </c>
      <c r="P16" s="387" t="s">
        <v>248</v>
      </c>
      <c r="S16" s="51">
        <f t="shared" si="3"/>
        <v>94</v>
      </c>
      <c r="T16" s="51">
        <f t="shared" si="10"/>
        <v>6.3520341974657759</v>
      </c>
      <c r="U16" s="61">
        <f t="shared" si="11"/>
        <v>0.1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13.409845162047162</v>
      </c>
      <c r="AA16" s="57">
        <f t="shared" si="5"/>
        <v>7.9235925198589596</v>
      </c>
      <c r="AB16" s="57">
        <f t="shared" si="6"/>
        <v>45</v>
      </c>
      <c r="AC16" s="57">
        <f t="shared" si="7"/>
        <v>5.4862526421882025</v>
      </c>
      <c r="AD16" s="59">
        <f t="shared" si="8"/>
        <v>5.48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2"/>
      <c r="B17" s="322"/>
      <c r="C17" s="324"/>
      <c r="D17" s="510">
        <v>10</v>
      </c>
      <c r="E17" s="510"/>
      <c r="F17" s="325">
        <f t="shared" si="13"/>
        <v>13.16</v>
      </c>
      <c r="G17" s="511">
        <f t="shared" si="14"/>
        <v>3.71</v>
      </c>
      <c r="H17" s="511"/>
      <c r="I17" s="326"/>
      <c r="J17" s="327">
        <f t="shared" si="15"/>
        <v>0.81</v>
      </c>
      <c r="K17" s="372">
        <f>D12</f>
        <v>1</v>
      </c>
      <c r="L17" s="373">
        <f>INT(B12/1440*10000)/10000</f>
        <v>6.5199999999999994E-2</v>
      </c>
      <c r="M17" s="373">
        <f>K17*L17</f>
        <v>6.5199999999999994E-2</v>
      </c>
      <c r="N17" s="373">
        <f>INT((D9/2000)^2*3.14159*100000)/100000</f>
        <v>3.141E-2</v>
      </c>
      <c r="O17" s="373">
        <f>INT(M17/N17*100)/100</f>
        <v>2.0699999999999998</v>
      </c>
      <c r="P17" s="374">
        <f>INT((G12-O17)*100)/100</f>
        <v>-1.07</v>
      </c>
      <c r="S17" s="51">
        <f t="shared" si="3"/>
        <v>94</v>
      </c>
      <c r="T17" s="51">
        <f t="shared" si="10"/>
        <v>6.3520341974657759</v>
      </c>
      <c r="U17" s="61">
        <f t="shared" si="11"/>
        <v>0.1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13.533780511838826</v>
      </c>
      <c r="AA17" s="57">
        <f t="shared" si="5"/>
        <v>7.9235925198589596</v>
      </c>
      <c r="AB17" s="57">
        <f t="shared" si="6"/>
        <v>50</v>
      </c>
      <c r="AC17" s="57">
        <f t="shared" si="7"/>
        <v>5.6101879919798661</v>
      </c>
      <c r="AD17" s="59">
        <f t="shared" ref="AD17:AD22" si="16">INT(AC17*100)/100</f>
        <v>5.61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2"/>
      <c r="B18" s="322"/>
      <c r="C18" s="324"/>
      <c r="D18" s="510">
        <v>15</v>
      </c>
      <c r="E18" s="510"/>
      <c r="F18" s="325">
        <f t="shared" si="13"/>
        <v>13.64</v>
      </c>
      <c r="G18" s="511">
        <f t="shared" si="14"/>
        <v>4.1900000000000004</v>
      </c>
      <c r="H18" s="511"/>
      <c r="I18" s="326"/>
      <c r="J18" s="327">
        <f t="shared" si="15"/>
        <v>0.48000000000000043</v>
      </c>
      <c r="K18" s="372">
        <f>D13</f>
        <v>2</v>
      </c>
      <c r="L18" s="373">
        <f>L17</f>
        <v>6.5199999999999994E-2</v>
      </c>
      <c r="M18" s="373">
        <f t="shared" ref="M18:M32" si="17">K18*L18</f>
        <v>0.13039999999999999</v>
      </c>
      <c r="N18" s="373">
        <f>N17</f>
        <v>3.141E-2</v>
      </c>
      <c r="O18" s="373">
        <f>INT(M18/N18*100)/100</f>
        <v>4.1500000000000004</v>
      </c>
      <c r="P18" s="374">
        <f>INT((G13-O18)*100*0.98)/100</f>
        <v>-2.29</v>
      </c>
      <c r="S18" s="51">
        <f t="shared" si="3"/>
        <v>94</v>
      </c>
      <c r="T18" s="51">
        <f t="shared" si="10"/>
        <v>6.3520341974657759</v>
      </c>
      <c r="U18" s="61">
        <f t="shared" si="11"/>
        <v>0.1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13.645893673007453</v>
      </c>
      <c r="AA18" s="57">
        <f t="shared" si="5"/>
        <v>7.9235925198589596</v>
      </c>
      <c r="AB18" s="57">
        <f t="shared" si="6"/>
        <v>55</v>
      </c>
      <c r="AC18" s="57">
        <f t="shared" si="7"/>
        <v>5.7223011531484937</v>
      </c>
      <c r="AD18" s="59">
        <f t="shared" si="16"/>
        <v>5.72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2"/>
      <c r="B19" s="322"/>
      <c r="C19" s="324"/>
      <c r="D19" s="510">
        <v>20</v>
      </c>
      <c r="E19" s="510"/>
      <c r="F19" s="325">
        <f t="shared" si="13"/>
        <v>13.98</v>
      </c>
      <c r="G19" s="511">
        <f t="shared" si="14"/>
        <v>4.53</v>
      </c>
      <c r="H19" s="511"/>
      <c r="I19" s="326"/>
      <c r="J19" s="327">
        <f t="shared" si="15"/>
        <v>0.33999999999999986</v>
      </c>
      <c r="K19" s="372">
        <f t="shared" ref="K19:K32" si="18">D14</f>
        <v>3</v>
      </c>
      <c r="L19" s="373">
        <f>L18</f>
        <v>6.5199999999999994E-2</v>
      </c>
      <c r="M19" s="373">
        <f t="shared" si="17"/>
        <v>0.1956</v>
      </c>
      <c r="N19" s="373">
        <f t="shared" ref="N19:N32" si="19">N18</f>
        <v>3.141E-2</v>
      </c>
      <c r="O19" s="373">
        <f>INT(M19/N19*100)/100</f>
        <v>6.22</v>
      </c>
      <c r="P19" s="374">
        <f>INT((G14-O19)*100*0.95)/100</f>
        <v>-3.73</v>
      </c>
      <c r="S19" s="51">
        <f t="shared" si="3"/>
        <v>94</v>
      </c>
      <c r="T19" s="51">
        <f t="shared" si="10"/>
        <v>6.3520341974657759</v>
      </c>
      <c r="U19" s="61">
        <f t="shared" si="11"/>
        <v>0.1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13.748244970129859</v>
      </c>
      <c r="AA19" s="57">
        <f t="shared" si="5"/>
        <v>7.9235925198589596</v>
      </c>
      <c r="AB19" s="57">
        <f t="shared" si="6"/>
        <v>60</v>
      </c>
      <c r="AC19" s="57">
        <f t="shared" si="7"/>
        <v>5.8246524502708992</v>
      </c>
      <c r="AD19" s="59">
        <f t="shared" si="16"/>
        <v>5.82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2"/>
      <c r="B20" s="322"/>
      <c r="C20" s="324"/>
      <c r="D20" s="510">
        <v>25</v>
      </c>
      <c r="E20" s="510"/>
      <c r="F20" s="325">
        <f t="shared" si="13"/>
        <v>14.239999999999998</v>
      </c>
      <c r="G20" s="511">
        <f t="shared" si="14"/>
        <v>4.79</v>
      </c>
      <c r="H20" s="511"/>
      <c r="I20" s="326"/>
      <c r="J20" s="327">
        <f t="shared" si="15"/>
        <v>0.25999999999999979</v>
      </c>
      <c r="K20" s="372">
        <f t="shared" si="18"/>
        <v>4</v>
      </c>
      <c r="L20" s="373">
        <f>L19</f>
        <v>6.5199999999999994E-2</v>
      </c>
      <c r="M20" s="373">
        <f t="shared" si="17"/>
        <v>0.26079999999999998</v>
      </c>
      <c r="N20" s="373">
        <f t="shared" si="19"/>
        <v>3.141E-2</v>
      </c>
      <c r="O20" s="373">
        <f>INT(M20/N20*100)/100</f>
        <v>8.3000000000000007</v>
      </c>
      <c r="P20" s="374">
        <f>INT((G15-O20)*100*0.91)/100</f>
        <v>-5.16</v>
      </c>
      <c r="S20" s="51">
        <f t="shared" si="3"/>
        <v>94</v>
      </c>
      <c r="T20" s="51">
        <f t="shared" si="10"/>
        <v>6.3520341974657759</v>
      </c>
      <c r="U20" s="61">
        <f t="shared" si="11"/>
        <v>0.1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14.010728253485228</v>
      </c>
      <c r="AA20" s="57">
        <f t="shared" si="5"/>
        <v>7.9235925198589596</v>
      </c>
      <c r="AB20" s="57">
        <f t="shared" si="6"/>
        <v>75</v>
      </c>
      <c r="AC20" s="57">
        <f t="shared" si="7"/>
        <v>6.0871357336262681</v>
      </c>
      <c r="AD20" s="59">
        <f t="shared" si="16"/>
        <v>6.08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2"/>
      <c r="B21" s="322"/>
      <c r="C21" s="324"/>
      <c r="D21" s="510">
        <v>30</v>
      </c>
      <c r="E21" s="510"/>
      <c r="F21" s="325">
        <f t="shared" si="13"/>
        <v>14.45</v>
      </c>
      <c r="G21" s="511">
        <f t="shared" si="14"/>
        <v>5</v>
      </c>
      <c r="H21" s="511"/>
      <c r="I21" s="326"/>
      <c r="J21" s="327">
        <f t="shared" si="15"/>
        <v>0.20999999999999996</v>
      </c>
      <c r="K21" s="372">
        <f t="shared" si="18"/>
        <v>5</v>
      </c>
      <c r="L21" s="372">
        <f>L20</f>
        <v>6.5199999999999994E-2</v>
      </c>
      <c r="M21" s="373">
        <f t="shared" si="17"/>
        <v>0.32599999999999996</v>
      </c>
      <c r="N21" s="373">
        <f t="shared" si="19"/>
        <v>3.141E-2</v>
      </c>
      <c r="O21" s="372">
        <f>INT(M21/N21*100)/100</f>
        <v>10.37</v>
      </c>
      <c r="P21" s="374">
        <f>INT((G16-O21)*100*0.86)/100</f>
        <v>-6.43</v>
      </c>
      <c r="S21" s="51">
        <f t="shared" si="3"/>
        <v>94</v>
      </c>
      <c r="T21" s="51">
        <f t="shared" si="10"/>
        <v>6.3520341974657759</v>
      </c>
      <c r="U21" s="61">
        <f t="shared" si="11"/>
        <v>0.1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14.225192711776261</v>
      </c>
      <c r="AA21" s="57">
        <f t="shared" si="5"/>
        <v>7.9235925198589596</v>
      </c>
      <c r="AB21" s="57">
        <f t="shared" si="6"/>
        <v>90</v>
      </c>
      <c r="AC21" s="57">
        <f t="shared" si="7"/>
        <v>6.3016001919173013</v>
      </c>
      <c r="AD21" s="59">
        <f t="shared" si="16"/>
        <v>6.3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2"/>
      <c r="B22" s="322"/>
      <c r="C22" s="324"/>
      <c r="D22" s="510">
        <v>35</v>
      </c>
      <c r="E22" s="510"/>
      <c r="F22" s="325">
        <f t="shared" si="13"/>
        <v>14.64</v>
      </c>
      <c r="G22" s="511">
        <f t="shared" si="14"/>
        <v>5.19</v>
      </c>
      <c r="H22" s="511"/>
      <c r="I22" s="300"/>
      <c r="J22" s="327">
        <f t="shared" si="15"/>
        <v>0.19000000000000039</v>
      </c>
      <c r="K22" s="372">
        <f t="shared" si="18"/>
        <v>10</v>
      </c>
      <c r="L22" s="372">
        <f t="shared" ref="L22:L32" si="20">L21</f>
        <v>6.5199999999999994E-2</v>
      </c>
      <c r="M22" s="373">
        <f t="shared" si="17"/>
        <v>0.65199999999999991</v>
      </c>
      <c r="N22" s="373">
        <f t="shared" si="19"/>
        <v>3.141E-2</v>
      </c>
      <c r="O22" s="372">
        <f t="shared" ref="O22:O30" si="21">INT(M22/N22*100)/100</f>
        <v>20.75</v>
      </c>
      <c r="P22" s="374">
        <f>INT((G17-O22)*100*0.8)/100</f>
        <v>-13.64</v>
      </c>
      <c r="S22" s="51">
        <f t="shared" si="3"/>
        <v>94</v>
      </c>
      <c r="T22" s="51">
        <f t="shared" si="10"/>
        <v>6.3520341974657759</v>
      </c>
      <c r="U22" s="61">
        <f t="shared" si="11"/>
        <v>0.1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14.406519827591255</v>
      </c>
      <c r="Z22" s="57">
        <f>Y23-Z23</f>
        <v>7.9235925198589596</v>
      </c>
      <c r="AA22" s="57">
        <f t="shared" si="5"/>
        <v>7.9235925198589596</v>
      </c>
      <c r="AB22" s="57">
        <f t="shared" si="6"/>
        <v>105</v>
      </c>
      <c r="AC22" s="57">
        <f t="shared" si="7"/>
        <v>6.4829273077322958</v>
      </c>
      <c r="AD22" s="59">
        <f t="shared" si="16"/>
        <v>6.48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2"/>
      <c r="B23" s="322"/>
      <c r="C23" s="324"/>
      <c r="D23" s="510">
        <v>40</v>
      </c>
      <c r="E23" s="510"/>
      <c r="F23" s="325">
        <f t="shared" si="13"/>
        <v>14.79</v>
      </c>
      <c r="G23" s="511">
        <f t="shared" si="14"/>
        <v>5.34</v>
      </c>
      <c r="H23" s="511"/>
      <c r="I23" s="300"/>
      <c r="J23" s="327">
        <f t="shared" si="15"/>
        <v>0.14999999999999947</v>
      </c>
      <c r="K23" s="372">
        <f t="shared" si="18"/>
        <v>15</v>
      </c>
      <c r="L23" s="372">
        <f t="shared" si="20"/>
        <v>6.5199999999999994E-2</v>
      </c>
      <c r="M23" s="373">
        <f t="shared" si="17"/>
        <v>0.97799999999999987</v>
      </c>
      <c r="N23" s="373">
        <f t="shared" si="19"/>
        <v>3.141E-2</v>
      </c>
      <c r="O23" s="372">
        <f t="shared" si="21"/>
        <v>31.13</v>
      </c>
      <c r="P23" s="374">
        <f t="shared" ref="P23:P32" si="22">INT((G18-O23)*100)/100</f>
        <v>-26.94</v>
      </c>
      <c r="S23" s="51">
        <f t="shared" si="3"/>
        <v>94</v>
      </c>
      <c r="T23" s="51">
        <f t="shared" si="10"/>
        <v>6.3520341974657759</v>
      </c>
      <c r="U23" s="61">
        <f t="shared" si="11"/>
        <v>0.1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14.563592519858959</v>
      </c>
      <c r="Z23" s="57">
        <f>Input!B20</f>
        <v>6.64</v>
      </c>
      <c r="AA23" s="57">
        <f t="shared" si="5"/>
        <v>7.9235925198589596</v>
      </c>
      <c r="AB23" s="57">
        <f t="shared" si="6"/>
        <v>120</v>
      </c>
      <c r="AC23" s="57">
        <f t="shared" si="7"/>
        <v>6.64</v>
      </c>
      <c r="AD23" s="59">
        <f>INT((AC$3+AE23)*100)/100</f>
        <v>6.64</v>
      </c>
      <c r="AE23" s="57">
        <f>AG$23*AF23</f>
        <v>6.64</v>
      </c>
      <c r="AF23" s="57">
        <v>1</v>
      </c>
      <c r="AG23" s="57">
        <f>AC23-AC3</f>
        <v>6.64</v>
      </c>
      <c r="AH23" s="57"/>
      <c r="AI23" s="57"/>
      <c r="EF23" s="51">
        <v>10.02</v>
      </c>
    </row>
    <row r="24" spans="1:136" s="51" customFormat="1" ht="23.1" customHeight="1">
      <c r="A24" s="322"/>
      <c r="B24" s="322"/>
      <c r="C24" s="324"/>
      <c r="D24" s="510">
        <v>45</v>
      </c>
      <c r="E24" s="510"/>
      <c r="F24" s="325">
        <f t="shared" si="13"/>
        <v>14.93</v>
      </c>
      <c r="G24" s="511">
        <f t="shared" si="14"/>
        <v>5.48</v>
      </c>
      <c r="H24" s="511"/>
      <c r="I24" s="300"/>
      <c r="J24" s="327">
        <f t="shared" si="15"/>
        <v>0.14000000000000057</v>
      </c>
      <c r="K24" s="372">
        <f t="shared" si="18"/>
        <v>20</v>
      </c>
      <c r="L24" s="372">
        <f t="shared" si="20"/>
        <v>6.5199999999999994E-2</v>
      </c>
      <c r="M24" s="373">
        <f t="shared" si="17"/>
        <v>1.3039999999999998</v>
      </c>
      <c r="N24" s="373">
        <f t="shared" si="19"/>
        <v>3.141E-2</v>
      </c>
      <c r="O24" s="372">
        <f t="shared" si="21"/>
        <v>41.51</v>
      </c>
      <c r="P24" s="374">
        <f t="shared" si="22"/>
        <v>-36.979999999999997</v>
      </c>
      <c r="R24" s="55">
        <f>B32</f>
        <v>120</v>
      </c>
      <c r="S24" s="51">
        <f>$R$24</f>
        <v>120</v>
      </c>
      <c r="T24" s="51">
        <f t="shared" si="10"/>
        <v>6.3520341974657759</v>
      </c>
      <c r="U24" s="61">
        <f t="shared" si="11"/>
        <v>0.1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18.712016918466176</v>
      </c>
      <c r="Z24" s="57">
        <f>Z27</f>
        <v>10.772689450537946</v>
      </c>
      <c r="AA24" s="57">
        <f>$Z$24</f>
        <v>10.772689450537946</v>
      </c>
      <c r="AB24" s="57">
        <f t="shared" si="6"/>
        <v>130</v>
      </c>
      <c r="AC24" s="57">
        <f t="shared" si="7"/>
        <v>7.93932746792823</v>
      </c>
      <c r="AD24" s="59">
        <f>INT((AC$23+AE24)*100)/100</f>
        <v>7.97</v>
      </c>
      <c r="AE24" s="57">
        <f>AF24*AG$28</f>
        <v>1.3319999999999999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2"/>
      <c r="B25" s="322"/>
      <c r="C25" s="324"/>
      <c r="D25" s="510">
        <v>50</v>
      </c>
      <c r="E25" s="510"/>
      <c r="F25" s="325">
        <f t="shared" si="13"/>
        <v>15.059999999999999</v>
      </c>
      <c r="G25" s="511">
        <f t="shared" si="14"/>
        <v>5.61</v>
      </c>
      <c r="H25" s="511"/>
      <c r="I25" s="300"/>
      <c r="J25" s="327">
        <f t="shared" si="15"/>
        <v>0.12999999999999989</v>
      </c>
      <c r="K25" s="372">
        <f t="shared" si="18"/>
        <v>25</v>
      </c>
      <c r="L25" s="372">
        <f t="shared" si="20"/>
        <v>6.5199999999999994E-2</v>
      </c>
      <c r="M25" s="373">
        <f t="shared" si="17"/>
        <v>1.63</v>
      </c>
      <c r="N25" s="373">
        <f t="shared" si="19"/>
        <v>3.141E-2</v>
      </c>
      <c r="O25" s="372">
        <f t="shared" si="21"/>
        <v>51.89</v>
      </c>
      <c r="P25" s="374">
        <f t="shared" si="22"/>
        <v>-47.1</v>
      </c>
      <c r="S25" s="51">
        <f>$R$24</f>
        <v>120</v>
      </c>
      <c r="T25" s="51">
        <f t="shared" si="10"/>
        <v>6.3520341974657759</v>
      </c>
      <c r="U25" s="61">
        <f t="shared" si="11"/>
        <v>0.1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18.823301662562493</v>
      </c>
      <c r="AA25" s="57">
        <f>$Z$24</f>
        <v>10.772689450537946</v>
      </c>
      <c r="AB25" s="57">
        <f t="shared" si="6"/>
        <v>140</v>
      </c>
      <c r="AC25" s="57">
        <f t="shared" si="7"/>
        <v>8.0506122120245465</v>
      </c>
      <c r="AD25" s="59">
        <f>INT((AC$23+AE25)*100)/100</f>
        <v>8.19</v>
      </c>
      <c r="AE25" s="57">
        <f>AF25*AG$28</f>
        <v>1.5539999999999998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2"/>
      <c r="B26" s="322"/>
      <c r="C26" s="324"/>
      <c r="D26" s="510">
        <v>55</v>
      </c>
      <c r="E26" s="510"/>
      <c r="F26" s="325">
        <f t="shared" si="13"/>
        <v>15.169999999999998</v>
      </c>
      <c r="G26" s="511">
        <f t="shared" si="14"/>
        <v>5.72</v>
      </c>
      <c r="H26" s="511"/>
      <c r="I26" s="300"/>
      <c r="J26" s="327">
        <f t="shared" si="15"/>
        <v>0.10999999999999943</v>
      </c>
      <c r="K26" s="372">
        <f t="shared" si="18"/>
        <v>30</v>
      </c>
      <c r="L26" s="372">
        <f t="shared" si="20"/>
        <v>6.5199999999999994E-2</v>
      </c>
      <c r="M26" s="373">
        <f t="shared" si="17"/>
        <v>1.9559999999999997</v>
      </c>
      <c r="N26" s="373">
        <f t="shared" si="19"/>
        <v>3.141E-2</v>
      </c>
      <c r="O26" s="373">
        <f t="shared" si="21"/>
        <v>62.27</v>
      </c>
      <c r="P26" s="374">
        <f t="shared" si="22"/>
        <v>-57.27</v>
      </c>
      <c r="S26" s="51">
        <f>$R$24</f>
        <v>120</v>
      </c>
      <c r="T26" s="51">
        <f t="shared" si="10"/>
        <v>6.3520341974657759</v>
      </c>
      <c r="U26" s="61">
        <f t="shared" si="11"/>
        <v>0.1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18.926905280699138</v>
      </c>
      <c r="AA26" s="57">
        <f>$Z$24</f>
        <v>10.772689450537946</v>
      </c>
      <c r="AB26" s="57">
        <f t="shared" si="6"/>
        <v>150</v>
      </c>
      <c r="AC26" s="57">
        <f t="shared" si="7"/>
        <v>8.154215830161192</v>
      </c>
      <c r="AD26" s="59">
        <f>INT((AC$23+AE26)*100)/100</f>
        <v>8.41</v>
      </c>
      <c r="AE26" s="57">
        <f>AF26*AG$28</f>
        <v>1.7759999999999998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2"/>
      <c r="B27" s="322"/>
      <c r="C27" s="324">
        <f>$C$12+D27/1440</f>
        <v>45489.5</v>
      </c>
      <c r="D27" s="510">
        <v>60</v>
      </c>
      <c r="E27" s="510"/>
      <c r="F27" s="325">
        <f t="shared" si="13"/>
        <v>15.27</v>
      </c>
      <c r="G27" s="511">
        <f t="shared" si="14"/>
        <v>5.82</v>
      </c>
      <c r="H27" s="511"/>
      <c r="I27" s="300"/>
      <c r="J27" s="327">
        <f t="shared" si="15"/>
        <v>0.10000000000000053</v>
      </c>
      <c r="K27" s="372">
        <f t="shared" si="18"/>
        <v>35</v>
      </c>
      <c r="L27" s="372">
        <f t="shared" si="20"/>
        <v>6.5199999999999994E-2</v>
      </c>
      <c r="M27" s="373">
        <f t="shared" si="17"/>
        <v>2.2819999999999996</v>
      </c>
      <c r="N27" s="373">
        <f t="shared" si="19"/>
        <v>3.141E-2</v>
      </c>
      <c r="O27" s="373">
        <f t="shared" si="21"/>
        <v>72.650000000000006</v>
      </c>
      <c r="P27" s="374">
        <f t="shared" si="22"/>
        <v>-67.459999999999994</v>
      </c>
      <c r="S27" s="51">
        <f>$R$24</f>
        <v>120</v>
      </c>
      <c r="T27" s="51">
        <f t="shared" si="10"/>
        <v>6.3520341974657759</v>
      </c>
      <c r="U27" s="61">
        <f t="shared" si="11"/>
        <v>0.1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19.200689695538756</v>
      </c>
      <c r="Z27" s="57">
        <f>Y28-Z28</f>
        <v>10.772689450537946</v>
      </c>
      <c r="AA27" s="57">
        <f>$Z$24</f>
        <v>10.772689450537946</v>
      </c>
      <c r="AB27" s="57">
        <f t="shared" si="6"/>
        <v>180</v>
      </c>
      <c r="AC27" s="57">
        <f t="shared" si="7"/>
        <v>8.4280002450008098</v>
      </c>
      <c r="AD27" s="59">
        <f>INT((AC$23+AE27)*100)/100</f>
        <v>8.6300000000000008</v>
      </c>
      <c r="AE27" s="57">
        <f>AF27*AG$28</f>
        <v>1.9979999999999998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2"/>
      <c r="B28" s="322"/>
      <c r="C28" s="324"/>
      <c r="D28" s="510">
        <v>75</v>
      </c>
      <c r="E28" s="510"/>
      <c r="F28" s="325">
        <f t="shared" si="13"/>
        <v>15.53</v>
      </c>
      <c r="G28" s="511">
        <f t="shared" si="14"/>
        <v>6.08</v>
      </c>
      <c r="H28" s="511"/>
      <c r="I28" s="300"/>
      <c r="J28" s="327">
        <f t="shared" si="15"/>
        <v>0.25999999999999979</v>
      </c>
      <c r="K28" s="372">
        <f t="shared" si="18"/>
        <v>40</v>
      </c>
      <c r="L28" s="372">
        <f t="shared" si="20"/>
        <v>6.5199999999999994E-2</v>
      </c>
      <c r="M28" s="373">
        <f t="shared" si="17"/>
        <v>2.6079999999999997</v>
      </c>
      <c r="N28" s="373">
        <f t="shared" si="19"/>
        <v>3.141E-2</v>
      </c>
      <c r="O28" s="373">
        <f t="shared" si="21"/>
        <v>83.03</v>
      </c>
      <c r="P28" s="374">
        <f t="shared" si="22"/>
        <v>-77.69</v>
      </c>
      <c r="S28" s="51">
        <f>$R$24</f>
        <v>120</v>
      </c>
      <c r="T28" s="51">
        <f t="shared" si="10"/>
        <v>6.3520341974657759</v>
      </c>
      <c r="U28" s="61">
        <f t="shared" si="11"/>
        <v>0.1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19.632689450537946</v>
      </c>
      <c r="Z28" s="57">
        <f>Input!B21</f>
        <v>8.86</v>
      </c>
      <c r="AA28" s="57">
        <f>$Z$24</f>
        <v>10.772689450537946</v>
      </c>
      <c r="AB28" s="57">
        <f t="shared" si="6"/>
        <v>240</v>
      </c>
      <c r="AC28" s="57">
        <f t="shared" si="7"/>
        <v>8.86</v>
      </c>
      <c r="AD28" s="59">
        <f>INT((AC$23+AE28)*100)/100</f>
        <v>8.86</v>
      </c>
      <c r="AE28" s="57">
        <f>AF28*AG$28</f>
        <v>2.2199999999999998</v>
      </c>
      <c r="AF28" s="57">
        <v>1</v>
      </c>
      <c r="AG28" s="57">
        <f>AC28-AC23</f>
        <v>2.2199999999999998</v>
      </c>
      <c r="AH28" s="57"/>
      <c r="EF28" s="51">
        <v>10.15</v>
      </c>
    </row>
    <row r="29" spans="1:136" s="51" customFormat="1" ht="23.1" customHeight="1">
      <c r="A29" s="322"/>
      <c r="B29" s="322"/>
      <c r="C29" s="324"/>
      <c r="D29" s="510">
        <v>90</v>
      </c>
      <c r="E29" s="510"/>
      <c r="F29" s="325">
        <f t="shared" si="13"/>
        <v>15.75</v>
      </c>
      <c r="G29" s="511">
        <f t="shared" si="14"/>
        <v>6.3</v>
      </c>
      <c r="H29" s="511"/>
      <c r="I29" s="300"/>
      <c r="J29" s="327">
        <f t="shared" si="15"/>
        <v>0.21999999999999975</v>
      </c>
      <c r="K29" s="372">
        <f t="shared" si="18"/>
        <v>45</v>
      </c>
      <c r="L29" s="372">
        <f t="shared" si="20"/>
        <v>6.5199999999999994E-2</v>
      </c>
      <c r="M29" s="373">
        <f t="shared" si="17"/>
        <v>2.9339999999999997</v>
      </c>
      <c r="N29" s="373">
        <f t="shared" si="19"/>
        <v>3.141E-2</v>
      </c>
      <c r="O29" s="373">
        <f t="shared" si="21"/>
        <v>93.4</v>
      </c>
      <c r="P29" s="374">
        <f t="shared" si="22"/>
        <v>-87.92</v>
      </c>
      <c r="R29" s="55">
        <f>B37</f>
        <v>146.19999999999999</v>
      </c>
      <c r="S29" s="51">
        <f>$R$29</f>
        <v>146.19999999999999</v>
      </c>
      <c r="T29" s="51">
        <f t="shared" si="10"/>
        <v>6.3520341974657759</v>
      </c>
      <c r="U29" s="61">
        <f t="shared" si="11"/>
        <v>0.1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23.993844578704032</v>
      </c>
      <c r="Z29" s="57">
        <f>Z32</f>
        <v>13.310965936196569</v>
      </c>
      <c r="AA29" s="57">
        <f>$Z$29</f>
        <v>13.310965936196569</v>
      </c>
      <c r="AB29" s="57">
        <f t="shared" si="6"/>
        <v>250</v>
      </c>
      <c r="AC29" s="57">
        <f t="shared" si="7"/>
        <v>10.682878642507463</v>
      </c>
      <c r="AD29" s="59">
        <f>INT((AC$28+AE29)*100)/100</f>
        <v>10.35</v>
      </c>
      <c r="AE29" s="57">
        <f>AF29*AG$33</f>
        <v>1.494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2"/>
      <c r="B30" s="322"/>
      <c r="C30" s="324"/>
      <c r="D30" s="510">
        <v>105</v>
      </c>
      <c r="E30" s="510"/>
      <c r="F30" s="325">
        <f t="shared" si="13"/>
        <v>15.93</v>
      </c>
      <c r="G30" s="511">
        <f t="shared" si="14"/>
        <v>6.48</v>
      </c>
      <c r="H30" s="511"/>
      <c r="I30" s="300"/>
      <c r="J30" s="327">
        <f t="shared" si="15"/>
        <v>0.1800000000000006</v>
      </c>
      <c r="K30" s="372">
        <f t="shared" si="18"/>
        <v>50</v>
      </c>
      <c r="L30" s="372">
        <f t="shared" si="20"/>
        <v>6.5199999999999994E-2</v>
      </c>
      <c r="M30" s="373">
        <f t="shared" si="17"/>
        <v>3.26</v>
      </c>
      <c r="N30" s="373">
        <f t="shared" si="19"/>
        <v>3.141E-2</v>
      </c>
      <c r="O30" s="373">
        <f t="shared" si="21"/>
        <v>103.78</v>
      </c>
      <c r="P30" s="374">
        <f t="shared" si="22"/>
        <v>-98.17</v>
      </c>
      <c r="R30" s="51" t="s">
        <v>21</v>
      </c>
      <c r="S30" s="51">
        <f>$R$29</f>
        <v>146.19999999999999</v>
      </c>
      <c r="T30" s="51">
        <f t="shared" si="10"/>
        <v>6.3520341974657759</v>
      </c>
      <c r="U30" s="61">
        <f t="shared" si="11"/>
        <v>0.1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24.065599602796471</v>
      </c>
      <c r="AA30" s="57">
        <f>$Z$29</f>
        <v>13.310965936196569</v>
      </c>
      <c r="AB30" s="57">
        <f t="shared" si="6"/>
        <v>260</v>
      </c>
      <c r="AC30" s="57">
        <f t="shared" si="7"/>
        <v>10.754633666599902</v>
      </c>
      <c r="AD30" s="59">
        <f>INT((AC$28+AE30)*100)/100</f>
        <v>10.6</v>
      </c>
      <c r="AE30" s="57">
        <f>AF30*AG$33</f>
        <v>1.7430000000000001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2"/>
      <c r="B31" s="322"/>
      <c r="C31" s="324"/>
      <c r="D31" s="510">
        <v>120</v>
      </c>
      <c r="E31" s="510"/>
      <c r="F31" s="325">
        <f t="shared" si="13"/>
        <v>16.09</v>
      </c>
      <c r="G31" s="511">
        <f t="shared" si="14"/>
        <v>6.64</v>
      </c>
      <c r="H31" s="511"/>
      <c r="I31" s="300"/>
      <c r="J31" s="327">
        <f t="shared" si="15"/>
        <v>0.15999999999999925</v>
      </c>
      <c r="K31" s="372">
        <f t="shared" si="18"/>
        <v>55</v>
      </c>
      <c r="L31" s="372">
        <f t="shared" si="20"/>
        <v>6.5199999999999994E-2</v>
      </c>
      <c r="M31" s="373">
        <f t="shared" si="17"/>
        <v>3.5859999999999999</v>
      </c>
      <c r="N31" s="373">
        <f t="shared" si="19"/>
        <v>3.141E-2</v>
      </c>
      <c r="O31" s="373">
        <f>INT(M31/N31*100)/100</f>
        <v>114.16</v>
      </c>
      <c r="P31" s="374">
        <f t="shared" si="22"/>
        <v>-108.44</v>
      </c>
      <c r="S31" s="51">
        <f>$R$29</f>
        <v>146.19999999999999</v>
      </c>
      <c r="T31" s="51">
        <f t="shared" si="10"/>
        <v>6.3520341974657759</v>
      </c>
      <c r="U31" s="61">
        <f t="shared" si="11"/>
        <v>0.1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24.134646234689217</v>
      </c>
      <c r="AA31" s="57">
        <f>$Z$29</f>
        <v>13.310965936196569</v>
      </c>
      <c r="AB31" s="57">
        <f t="shared" si="6"/>
        <v>270</v>
      </c>
      <c r="AC31" s="57">
        <f t="shared" si="7"/>
        <v>10.823680298492649</v>
      </c>
      <c r="AD31" s="59">
        <f>INT((AC$28+AE31)*100)/100</f>
        <v>10.85</v>
      </c>
      <c r="AE31" s="57">
        <f>AF31*AG$33</f>
        <v>1.9920000000000002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2">
        <v>2</v>
      </c>
      <c r="B32" s="323">
        <f>Input!D21</f>
        <v>120</v>
      </c>
      <c r="C32" s="324">
        <f>$C$12+D32/1440</f>
        <v>45489.548611111117</v>
      </c>
      <c r="D32" s="510">
        <v>130</v>
      </c>
      <c r="E32" s="510"/>
      <c r="F32" s="325">
        <f t="shared" si="13"/>
        <v>17.419999999999998</v>
      </c>
      <c r="G32" s="511">
        <f t="shared" si="14"/>
        <v>7.97</v>
      </c>
      <c r="H32" s="511"/>
      <c r="I32" s="300"/>
      <c r="J32" s="327">
        <f t="shared" si="15"/>
        <v>1.33</v>
      </c>
      <c r="K32" s="372">
        <f t="shared" si="18"/>
        <v>60</v>
      </c>
      <c r="L32" s="372">
        <f t="shared" si="20"/>
        <v>6.5199999999999994E-2</v>
      </c>
      <c r="M32" s="373">
        <f t="shared" si="17"/>
        <v>3.9119999999999995</v>
      </c>
      <c r="N32" s="373">
        <f t="shared" si="19"/>
        <v>3.141E-2</v>
      </c>
      <c r="O32" s="373">
        <f>INT(M32/N32*100)/100</f>
        <v>124.54</v>
      </c>
      <c r="P32" s="374">
        <f t="shared" si="22"/>
        <v>-118.72</v>
      </c>
      <c r="S32" s="51">
        <f>$R$29</f>
        <v>146.19999999999999</v>
      </c>
      <c r="T32" s="51">
        <f t="shared" si="10"/>
        <v>6.3520341974657759</v>
      </c>
      <c r="U32" s="61">
        <f t="shared" si="11"/>
        <v>0.1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24.327405257450298</v>
      </c>
      <c r="Z32" s="57">
        <f>Y33-Z33</f>
        <v>13.310965936196569</v>
      </c>
      <c r="AA32" s="57">
        <f>$Z$29</f>
        <v>13.310965936196569</v>
      </c>
      <c r="AB32" s="57">
        <f t="shared" si="6"/>
        <v>300</v>
      </c>
      <c r="AC32" s="57">
        <f t="shared" si="7"/>
        <v>11.016439321253729</v>
      </c>
      <c r="AD32" s="59">
        <f>INT((AC$28+AE32)*100)/100</f>
        <v>11.1</v>
      </c>
      <c r="AE32" s="57">
        <f>AF32*AG$33</f>
        <v>2.2410000000000001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2"/>
      <c r="B33" s="322"/>
      <c r="C33" s="324"/>
      <c r="D33" s="510">
        <v>140</v>
      </c>
      <c r="E33" s="510"/>
      <c r="F33" s="325">
        <f t="shared" si="13"/>
        <v>17.64</v>
      </c>
      <c r="G33" s="511">
        <f t="shared" si="14"/>
        <v>8.19</v>
      </c>
      <c r="H33" s="511"/>
      <c r="I33" s="300"/>
      <c r="J33" s="327">
        <f t="shared" si="15"/>
        <v>0.21999999999999975</v>
      </c>
      <c r="L33" s="66" t="s">
        <v>21</v>
      </c>
      <c r="P33" s="58"/>
      <c r="S33" s="51">
        <f>$R$29</f>
        <v>146.19999999999999</v>
      </c>
      <c r="T33" s="51">
        <f t="shared" si="10"/>
        <v>6.3520341974657759</v>
      </c>
      <c r="U33" s="61">
        <f t="shared" si="11"/>
        <v>0.1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24.660965936196568</v>
      </c>
      <c r="Z33" s="57">
        <f>Input!B22</f>
        <v>11.35</v>
      </c>
      <c r="AA33" s="57">
        <f>$Z$29</f>
        <v>13.310965936196569</v>
      </c>
      <c r="AB33" s="57">
        <f t="shared" si="6"/>
        <v>360</v>
      </c>
      <c r="AC33" s="57">
        <f t="shared" si="7"/>
        <v>11.35</v>
      </c>
      <c r="AD33" s="59">
        <f>INT((AC$28+AE33)*100)/100</f>
        <v>11.35</v>
      </c>
      <c r="AE33" s="57">
        <f>AF33*AG$33</f>
        <v>2.4900000000000002</v>
      </c>
      <c r="AF33" s="57">
        <v>1</v>
      </c>
      <c r="AG33" s="57">
        <f>AC33-AC28</f>
        <v>2.4900000000000002</v>
      </c>
      <c r="AH33" s="57"/>
      <c r="EF33" s="51">
        <v>15.41</v>
      </c>
    </row>
    <row r="34" spans="1:136" s="51" customFormat="1" ht="23.1" customHeight="1">
      <c r="A34" s="322"/>
      <c r="B34" s="322"/>
      <c r="C34" s="324"/>
      <c r="D34" s="510">
        <v>150</v>
      </c>
      <c r="E34" s="510"/>
      <c r="F34" s="325">
        <f t="shared" si="13"/>
        <v>17.86</v>
      </c>
      <c r="G34" s="511">
        <f t="shared" si="14"/>
        <v>8.41</v>
      </c>
      <c r="H34" s="511"/>
      <c r="I34" s="300"/>
      <c r="J34" s="327">
        <f t="shared" si="15"/>
        <v>0.22000000000000064</v>
      </c>
      <c r="L34" s="66" t="s">
        <v>21</v>
      </c>
      <c r="R34" s="51">
        <f>B42</f>
        <v>172</v>
      </c>
      <c r="S34" s="51">
        <f>$R$34</f>
        <v>172</v>
      </c>
      <c r="T34" s="51">
        <f t="shared" si="10"/>
        <v>6.3520341974657759</v>
      </c>
      <c r="U34" s="61">
        <f t="shared" si="11"/>
        <v>0.1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29.071873963536582</v>
      </c>
      <c r="Z34" s="57">
        <f>Z37</f>
        <v>15.502100750239899</v>
      </c>
      <c r="AA34" s="57">
        <f>$Z$34</f>
        <v>15.502100750239899</v>
      </c>
      <c r="AB34" s="57">
        <f t="shared" si="6"/>
        <v>370</v>
      </c>
      <c r="AC34" s="57">
        <f t="shared" si="7"/>
        <v>13.569773213296683</v>
      </c>
      <c r="AD34" s="59">
        <f>INT((AC$33+AE34)*100)/100</f>
        <v>13.01</v>
      </c>
      <c r="AE34" s="57">
        <f>AG$38*AF34</f>
        <v>1.6680000000000006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2"/>
      <c r="B35" s="322"/>
      <c r="C35" s="324"/>
      <c r="D35" s="510">
        <v>180</v>
      </c>
      <c r="E35" s="510"/>
      <c r="F35" s="325">
        <f t="shared" si="13"/>
        <v>18.079999999999998</v>
      </c>
      <c r="G35" s="511">
        <f t="shared" si="14"/>
        <v>8.6300000000000008</v>
      </c>
      <c r="H35" s="511"/>
      <c r="I35" s="300"/>
      <c r="J35" s="327">
        <f t="shared" si="15"/>
        <v>0.22000000000000064</v>
      </c>
      <c r="L35" s="66" t="s">
        <v>21</v>
      </c>
      <c r="S35" s="51">
        <f>$R$34</f>
        <v>172</v>
      </c>
      <c r="T35" s="51">
        <f t="shared" si="10"/>
        <v>6.3520341974657759</v>
      </c>
      <c r="U35" s="61">
        <f t="shared" si="11"/>
        <v>0.1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29.129274027042491</v>
      </c>
      <c r="AA35" s="57">
        <f>$Z$34</f>
        <v>15.502100750239899</v>
      </c>
      <c r="AB35" s="57">
        <f t="shared" si="6"/>
        <v>380</v>
      </c>
      <c r="AC35" s="57">
        <f t="shared" si="7"/>
        <v>13.627173276802592</v>
      </c>
      <c r="AD35" s="59">
        <f>INT((AC$33+AE35)*100)/100</f>
        <v>13.29</v>
      </c>
      <c r="AE35" s="57">
        <f>AG$38*AF35</f>
        <v>1.9460000000000006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2"/>
      <c r="B36" s="322"/>
      <c r="C36" s="324"/>
      <c r="D36" s="510">
        <v>240</v>
      </c>
      <c r="E36" s="510"/>
      <c r="F36" s="325">
        <f t="shared" si="13"/>
        <v>18.309999999999999</v>
      </c>
      <c r="G36" s="511">
        <f t="shared" si="14"/>
        <v>8.86</v>
      </c>
      <c r="H36" s="511"/>
      <c r="I36" s="300"/>
      <c r="J36" s="327">
        <f t="shared" si="15"/>
        <v>0.22999999999999865</v>
      </c>
      <c r="L36" s="66" t="s">
        <v>21</v>
      </c>
      <c r="S36" s="51">
        <f>$R$34</f>
        <v>172</v>
      </c>
      <c r="T36" s="51">
        <f t="shared" si="10"/>
        <v>6.3520341974657759</v>
      </c>
      <c r="U36" s="61">
        <f t="shared" si="11"/>
        <v>0.1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29.185183009907039</v>
      </c>
      <c r="AA36" s="57">
        <f>$Z$34</f>
        <v>15.502100750239899</v>
      </c>
      <c r="AB36" s="57">
        <f t="shared" si="6"/>
        <v>390</v>
      </c>
      <c r="AC36" s="57">
        <f t="shared" si="7"/>
        <v>13.68308225966714</v>
      </c>
      <c r="AD36" s="59">
        <f>INT((AC$33+AE36)*100)/100</f>
        <v>13.57</v>
      </c>
      <c r="AE36" s="57">
        <f>AG$38*AF36</f>
        <v>2.2240000000000011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2">
        <v>3</v>
      </c>
      <c r="B37" s="323">
        <f>Input!D22</f>
        <v>146.19999999999999</v>
      </c>
      <c r="C37" s="324">
        <f>$C$12+D37/1440</f>
        <v>45489.631944444445</v>
      </c>
      <c r="D37" s="510">
        <v>250</v>
      </c>
      <c r="E37" s="510"/>
      <c r="F37" s="325">
        <f t="shared" si="13"/>
        <v>19.799999999999997</v>
      </c>
      <c r="G37" s="511">
        <f t="shared" si="14"/>
        <v>10.35</v>
      </c>
      <c r="H37" s="511"/>
      <c r="I37" s="300"/>
      <c r="J37" s="327">
        <f t="shared" si="15"/>
        <v>1.4900000000000002</v>
      </c>
      <c r="L37" s="66" t="s">
        <v>21</v>
      </c>
      <c r="S37" s="51">
        <f>$R$34</f>
        <v>172</v>
      </c>
      <c r="T37" s="51">
        <f t="shared" si="10"/>
        <v>6.3520341974657759</v>
      </c>
      <c r="U37" s="61">
        <f t="shared" si="11"/>
        <v>0.1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29.344691143111763</v>
      </c>
      <c r="Z37" s="57">
        <f>Y38-Z38</f>
        <v>15.502100750239899</v>
      </c>
      <c r="AA37" s="57">
        <f>$Z$34</f>
        <v>15.502100750239899</v>
      </c>
      <c r="AB37" s="57">
        <f t="shared" si="6"/>
        <v>420</v>
      </c>
      <c r="AC37" s="57">
        <f t="shared" si="7"/>
        <v>13.842590392871864</v>
      </c>
      <c r="AD37" s="59">
        <f>INT((AC$33+AE37)*100)/100</f>
        <v>13.85</v>
      </c>
      <c r="AE37" s="57">
        <f>AG$38*AF37</f>
        <v>2.5020000000000011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2"/>
      <c r="B38" s="322"/>
      <c r="C38" s="324"/>
      <c r="D38" s="510">
        <v>260</v>
      </c>
      <c r="E38" s="510"/>
      <c r="F38" s="325">
        <f t="shared" si="13"/>
        <v>20.049999999999997</v>
      </c>
      <c r="G38" s="511">
        <f t="shared" si="14"/>
        <v>10.6</v>
      </c>
      <c r="H38" s="511"/>
      <c r="I38" s="300"/>
      <c r="J38" s="327">
        <f t="shared" si="15"/>
        <v>0.25</v>
      </c>
      <c r="L38" s="66" t="s">
        <v>21</v>
      </c>
      <c r="S38" s="51">
        <f>$R$34</f>
        <v>172</v>
      </c>
      <c r="T38" s="51">
        <f t="shared" si="10"/>
        <v>6.3520341974657759</v>
      </c>
      <c r="U38" s="61">
        <f t="shared" si="11"/>
        <v>0.1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29.6321007502399</v>
      </c>
      <c r="Z38" s="57">
        <f>Input!B23</f>
        <v>14.13</v>
      </c>
      <c r="AA38" s="57">
        <f>$Z$34</f>
        <v>15.502100750239899</v>
      </c>
      <c r="AB38" s="57">
        <f t="shared" si="6"/>
        <v>480</v>
      </c>
      <c r="AC38" s="57">
        <f t="shared" si="7"/>
        <v>14.13</v>
      </c>
      <c r="AD38" s="59">
        <f>INT((AC$33+AE38)*100)/100</f>
        <v>14.13</v>
      </c>
      <c r="AE38" s="57">
        <f>AG$38*AF38</f>
        <v>2.7800000000000011</v>
      </c>
      <c r="AF38" s="57">
        <v>1</v>
      </c>
      <c r="AG38" s="57">
        <f>AC38-AC33</f>
        <v>2.7800000000000011</v>
      </c>
      <c r="AH38" s="57"/>
      <c r="EF38" s="51">
        <v>20.059999999999999</v>
      </c>
    </row>
    <row r="39" spans="1:136" s="51" customFormat="1" ht="23.1" customHeight="1">
      <c r="A39" s="322"/>
      <c r="B39" s="322"/>
      <c r="C39" s="324"/>
      <c r="D39" s="510">
        <v>270</v>
      </c>
      <c r="E39" s="510"/>
      <c r="F39" s="325">
        <f t="shared" si="13"/>
        <v>20.299999999999997</v>
      </c>
      <c r="G39" s="511">
        <f t="shared" si="14"/>
        <v>10.85</v>
      </c>
      <c r="H39" s="511"/>
      <c r="I39" s="300"/>
      <c r="J39" s="327">
        <f t="shared" si="15"/>
        <v>0.25</v>
      </c>
      <c r="K39" s="60" t="s">
        <v>21</v>
      </c>
      <c r="L39" s="66" t="s">
        <v>21</v>
      </c>
      <c r="R39" s="55">
        <f>B47</f>
        <v>197.79999999999998</v>
      </c>
      <c r="S39" s="51">
        <f>$R$39</f>
        <v>197.79999999999998</v>
      </c>
      <c r="T39" s="51">
        <f t="shared" si="10"/>
        <v>6.3520341974657759</v>
      </c>
      <c r="U39" s="61">
        <f t="shared" si="11"/>
        <v>0.1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34.127953362538157</v>
      </c>
      <c r="Z39" s="57">
        <f>Z42</f>
        <v>16.269247707964091</v>
      </c>
      <c r="AA39" s="57">
        <f>$Z$39</f>
        <v>16.269247707964091</v>
      </c>
      <c r="AB39" s="57">
        <f t="shared" si="6"/>
        <v>490</v>
      </c>
      <c r="AC39" s="57">
        <f t="shared" si="7"/>
        <v>17.858705654574067</v>
      </c>
      <c r="AD39" s="59">
        <f>INT((AC$38+AE39)*100)/100</f>
        <v>15.82</v>
      </c>
      <c r="AE39" s="57">
        <f>AG$43*AF39</f>
        <v>1.6919999999999995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2"/>
      <c r="B40" s="322"/>
      <c r="C40" s="324"/>
      <c r="D40" s="510">
        <v>300</v>
      </c>
      <c r="E40" s="510"/>
      <c r="F40" s="325">
        <f t="shared" si="13"/>
        <v>20.549999999999997</v>
      </c>
      <c r="G40" s="511">
        <f t="shared" si="14"/>
        <v>11.1</v>
      </c>
      <c r="H40" s="511"/>
      <c r="I40" s="300"/>
      <c r="J40" s="327">
        <f t="shared" si="15"/>
        <v>0.25</v>
      </c>
      <c r="K40" s="60" t="s">
        <v>21</v>
      </c>
      <c r="L40" s="66" t="s">
        <v>21</v>
      </c>
      <c r="S40" s="51">
        <f>$R$39</f>
        <v>197.79999999999998</v>
      </c>
      <c r="T40" s="51">
        <f t="shared" si="10"/>
        <v>6.3520341974657759</v>
      </c>
      <c r="U40" s="61">
        <f t="shared" si="11"/>
        <v>0.1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34.17795973083679</v>
      </c>
      <c r="AA40" s="57">
        <f>$Z$39</f>
        <v>16.269247707964091</v>
      </c>
      <c r="AB40" s="57">
        <f t="shared" si="6"/>
        <v>500</v>
      </c>
      <c r="AC40" s="57">
        <f t="shared" si="7"/>
        <v>17.908712022872699</v>
      </c>
      <c r="AD40" s="59">
        <f>INT((AC$38+AE40)*100)/100</f>
        <v>16.45</v>
      </c>
      <c r="AE40" s="57">
        <f>AG$43*AF40</f>
        <v>2.3264999999999993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2"/>
      <c r="B41" s="322"/>
      <c r="C41" s="324"/>
      <c r="D41" s="510">
        <v>360</v>
      </c>
      <c r="E41" s="510"/>
      <c r="F41" s="325">
        <f t="shared" si="13"/>
        <v>20.799999999999997</v>
      </c>
      <c r="G41" s="511">
        <f t="shared" si="14"/>
        <v>11.35</v>
      </c>
      <c r="H41" s="511"/>
      <c r="I41" s="300"/>
      <c r="J41" s="327">
        <f t="shared" si="15"/>
        <v>0.25</v>
      </c>
      <c r="K41" s="60" t="s">
        <v>21</v>
      </c>
      <c r="L41" s="66" t="s">
        <v>21</v>
      </c>
      <c r="S41" s="51">
        <f>$R$39</f>
        <v>197.79999999999998</v>
      </c>
      <c r="T41" s="51">
        <f t="shared" si="10"/>
        <v>6.3520341974657759</v>
      </c>
      <c r="U41" s="61">
        <f t="shared" si="11"/>
        <v>0.1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34.226975808647047</v>
      </c>
      <c r="AA41" s="57">
        <f>$Z$39</f>
        <v>16.269247707964091</v>
      </c>
      <c r="AB41" s="57">
        <f t="shared" si="6"/>
        <v>510</v>
      </c>
      <c r="AC41" s="57">
        <f t="shared" si="7"/>
        <v>17.957728100682957</v>
      </c>
      <c r="AD41" s="59">
        <f>INT((AC$38+AE41)*100)/100</f>
        <v>17.09</v>
      </c>
      <c r="AE41" s="57">
        <f>AG$43*AF41</f>
        <v>2.960999999999999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2">
        <v>4</v>
      </c>
      <c r="B42" s="323">
        <f>Input!D23</f>
        <v>172</v>
      </c>
      <c r="C42" s="324">
        <f>$C$12+D42/1440</f>
        <v>45489.715277777781</v>
      </c>
      <c r="D42" s="510">
        <v>370</v>
      </c>
      <c r="E42" s="510"/>
      <c r="F42" s="325">
        <f t="shared" si="13"/>
        <v>22.46</v>
      </c>
      <c r="G42" s="511">
        <f t="shared" si="14"/>
        <v>13.01</v>
      </c>
      <c r="H42" s="511"/>
      <c r="I42" s="300"/>
      <c r="J42" s="327">
        <f t="shared" si="15"/>
        <v>1.6600000000000001</v>
      </c>
      <c r="K42" s="60" t="s">
        <v>21</v>
      </c>
      <c r="L42" s="66" t="s">
        <v>21</v>
      </c>
      <c r="S42" s="51">
        <f>$R$39</f>
        <v>197.79999999999998</v>
      </c>
      <c r="T42" s="51">
        <f t="shared" si="10"/>
        <v>6.3520341974657759</v>
      </c>
      <c r="U42" s="61">
        <f t="shared" si="11"/>
        <v>0.1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34.368456088934394</v>
      </c>
      <c r="Z42" s="57">
        <f>Y43-Z43</f>
        <v>16.269247707964091</v>
      </c>
      <c r="AA42" s="57">
        <f>$Z$39</f>
        <v>16.269247707964091</v>
      </c>
      <c r="AB42" s="57">
        <f t="shared" si="6"/>
        <v>540</v>
      </c>
      <c r="AC42" s="57">
        <f t="shared" si="7"/>
        <v>18.099208380970303</v>
      </c>
      <c r="AD42" s="59">
        <f>INT((AC$38+AE42)*100)/100</f>
        <v>17.72</v>
      </c>
      <c r="AE42" s="57">
        <f>AG$43*AF42</f>
        <v>3.5954999999999986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2"/>
      <c r="B43" s="322"/>
      <c r="C43" s="324"/>
      <c r="D43" s="510">
        <v>380</v>
      </c>
      <c r="E43" s="510"/>
      <c r="F43" s="325">
        <f t="shared" si="13"/>
        <v>22.74</v>
      </c>
      <c r="G43" s="511">
        <f t="shared" si="14"/>
        <v>13.29</v>
      </c>
      <c r="H43" s="511"/>
      <c r="I43" s="300"/>
      <c r="J43" s="327">
        <f t="shared" si="15"/>
        <v>0.27999999999999936</v>
      </c>
      <c r="K43" s="60" t="s">
        <v>21</v>
      </c>
      <c r="L43" s="66" t="s">
        <v>21</v>
      </c>
      <c r="S43" s="51">
        <f>$R$39</f>
        <v>197.79999999999998</v>
      </c>
      <c r="T43" s="51">
        <f t="shared" si="10"/>
        <v>6.3520341974657759</v>
      </c>
      <c r="U43" s="61">
        <f t="shared" si="11"/>
        <v>0.1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34.62924770796409</v>
      </c>
      <c r="Z43" s="57">
        <f>Input!B24</f>
        <v>18.36</v>
      </c>
      <c r="AA43" s="57">
        <f>$Z$39</f>
        <v>16.269247707964091</v>
      </c>
      <c r="AB43" s="57">
        <f t="shared" si="6"/>
        <v>600</v>
      </c>
      <c r="AC43" s="57">
        <f t="shared" si="7"/>
        <v>18.36</v>
      </c>
      <c r="AD43" s="59">
        <f>INT((AC$38+AE43)*100)/100</f>
        <v>18.36</v>
      </c>
      <c r="AE43" s="57">
        <f>AG$43*AF43</f>
        <v>4.2299999999999986</v>
      </c>
      <c r="AF43" s="57">
        <v>1</v>
      </c>
      <c r="AG43" s="57">
        <f>AC43-AC38</f>
        <v>4.2299999999999986</v>
      </c>
      <c r="AH43" s="57"/>
      <c r="EF43" s="51">
        <v>31.81</v>
      </c>
    </row>
    <row r="44" spans="1:136" s="51" customFormat="1" ht="23.1" customHeight="1">
      <c r="A44" s="322"/>
      <c r="B44" s="322"/>
      <c r="C44" s="324"/>
      <c r="D44" s="510">
        <v>390</v>
      </c>
      <c r="E44" s="510"/>
      <c r="F44" s="325">
        <f t="shared" si="13"/>
        <v>23.02</v>
      </c>
      <c r="G44" s="511">
        <f t="shared" si="14"/>
        <v>13.57</v>
      </c>
      <c r="H44" s="511"/>
      <c r="I44" s="300"/>
      <c r="J44" s="327">
        <f t="shared" si="15"/>
        <v>0.28000000000000114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2"/>
      <c r="B45" s="322"/>
      <c r="C45" s="324"/>
      <c r="D45" s="510">
        <v>420</v>
      </c>
      <c r="E45" s="510"/>
      <c r="F45" s="325">
        <f t="shared" si="13"/>
        <v>23.299999999999997</v>
      </c>
      <c r="G45" s="511">
        <f t="shared" si="14"/>
        <v>13.85</v>
      </c>
      <c r="H45" s="511"/>
      <c r="I45" s="300"/>
      <c r="J45" s="327">
        <f t="shared" si="15"/>
        <v>0.27999999999999936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2"/>
      <c r="B46" s="322"/>
      <c r="C46" s="324"/>
      <c r="D46" s="510">
        <v>480</v>
      </c>
      <c r="E46" s="510"/>
      <c r="F46" s="325">
        <f t="shared" si="13"/>
        <v>23.58</v>
      </c>
      <c r="G46" s="511">
        <f t="shared" si="14"/>
        <v>14.13</v>
      </c>
      <c r="H46" s="511"/>
      <c r="I46" s="300"/>
      <c r="J46" s="327">
        <f t="shared" si="15"/>
        <v>0.28000000000000114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2">
        <v>5</v>
      </c>
      <c r="B47" s="323">
        <f>Input!D24</f>
        <v>197.79999999999998</v>
      </c>
      <c r="C47" s="324">
        <f>$C$12+D47/1440</f>
        <v>45489.798611111117</v>
      </c>
      <c r="D47" s="510">
        <v>490</v>
      </c>
      <c r="E47" s="510"/>
      <c r="F47" s="325">
        <f t="shared" si="13"/>
        <v>25.27</v>
      </c>
      <c r="G47" s="511">
        <f t="shared" si="14"/>
        <v>15.82</v>
      </c>
      <c r="H47" s="511"/>
      <c r="I47" s="300"/>
      <c r="J47" s="327">
        <f t="shared" si="15"/>
        <v>1.6899999999999995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2"/>
      <c r="B48" s="322"/>
      <c r="C48" s="324"/>
      <c r="D48" s="510">
        <v>500</v>
      </c>
      <c r="E48" s="510"/>
      <c r="F48" s="325">
        <f t="shared" si="13"/>
        <v>25.9</v>
      </c>
      <c r="G48" s="511">
        <f t="shared" si="14"/>
        <v>16.45</v>
      </c>
      <c r="H48" s="511"/>
      <c r="I48" s="300"/>
      <c r="J48" s="327">
        <f t="shared" si="15"/>
        <v>0.62999999999999901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2"/>
      <c r="B49" s="322"/>
      <c r="C49" s="324"/>
      <c r="D49" s="510">
        <v>510</v>
      </c>
      <c r="E49" s="510"/>
      <c r="F49" s="325">
        <f t="shared" si="13"/>
        <v>26.54</v>
      </c>
      <c r="G49" s="511">
        <f t="shared" si="14"/>
        <v>17.09</v>
      </c>
      <c r="H49" s="511"/>
      <c r="I49" s="300"/>
      <c r="J49" s="327">
        <f t="shared" si="15"/>
        <v>0.64000000000000057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2"/>
      <c r="B50" s="322"/>
      <c r="C50" s="324"/>
      <c r="D50" s="510">
        <v>540</v>
      </c>
      <c r="E50" s="510"/>
      <c r="F50" s="325">
        <f t="shared" si="13"/>
        <v>27.169999999999998</v>
      </c>
      <c r="G50" s="511">
        <f t="shared" si="14"/>
        <v>17.72</v>
      </c>
      <c r="H50" s="511"/>
      <c r="I50" s="300"/>
      <c r="J50" s="327">
        <f t="shared" si="15"/>
        <v>0.62999999999999901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2"/>
      <c r="B51" s="322"/>
      <c r="C51" s="324">
        <f>$C$12+D51/1440</f>
        <v>45489.875</v>
      </c>
      <c r="D51" s="510">
        <v>600</v>
      </c>
      <c r="E51" s="510"/>
      <c r="F51" s="325">
        <f t="shared" si="13"/>
        <v>27.81</v>
      </c>
      <c r="G51" s="511">
        <f t="shared" si="14"/>
        <v>18.36</v>
      </c>
      <c r="H51" s="511"/>
      <c r="I51" s="300" t="s">
        <v>180</v>
      </c>
      <c r="J51" s="327">
        <f t="shared" si="15"/>
        <v>0.64000000000000057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466" t="s">
        <v>335</v>
      </c>
      <c r="B1" s="466" t="s">
        <v>336</v>
      </c>
      <c r="C1" s="466" t="s">
        <v>337</v>
      </c>
    </row>
    <row r="2" spans="1:3">
      <c r="A2" s="467">
        <v>60</v>
      </c>
      <c r="B2" s="467">
        <v>17</v>
      </c>
      <c r="C2" s="468">
        <v>4.1666666666666664E-2</v>
      </c>
    </row>
    <row r="3" spans="1:3">
      <c r="A3" s="469">
        <v>75</v>
      </c>
      <c r="B3" s="469">
        <v>18</v>
      </c>
      <c r="C3" s="470">
        <v>5.2083333333333336E-2</v>
      </c>
    </row>
    <row r="4" spans="1:3">
      <c r="A4" s="467">
        <v>90</v>
      </c>
      <c r="B4" s="467">
        <v>19</v>
      </c>
      <c r="C4" s="468">
        <v>6.25E-2</v>
      </c>
    </row>
    <row r="5" spans="1:3">
      <c r="A5" s="469">
        <v>105</v>
      </c>
      <c r="B5" s="469">
        <v>20</v>
      </c>
      <c r="C5" s="470">
        <v>7.2916666666666671E-2</v>
      </c>
    </row>
    <row r="6" spans="1:3">
      <c r="A6" s="467">
        <v>120</v>
      </c>
      <c r="B6" s="467">
        <v>21</v>
      </c>
      <c r="C6" s="468">
        <v>8.3333333333333329E-2</v>
      </c>
    </row>
    <row r="7" spans="1:3">
      <c r="A7" s="469">
        <v>140</v>
      </c>
      <c r="B7" s="469">
        <v>22</v>
      </c>
      <c r="C7" s="470">
        <v>9.7222222222222224E-2</v>
      </c>
    </row>
    <row r="8" spans="1:3">
      <c r="A8" s="467">
        <v>160</v>
      </c>
      <c r="B8" s="467">
        <v>23</v>
      </c>
      <c r="C8" s="468">
        <v>0.1111111111111111</v>
      </c>
    </row>
    <row r="9" spans="1:3">
      <c r="A9" s="469">
        <v>180</v>
      </c>
      <c r="B9" s="469">
        <v>24</v>
      </c>
      <c r="C9" s="470">
        <v>0.125</v>
      </c>
    </row>
    <row r="10" spans="1:3">
      <c r="A10" s="467">
        <v>240</v>
      </c>
      <c r="B10" s="467">
        <v>25</v>
      </c>
      <c r="C10" s="468">
        <v>0.16666666666666666</v>
      </c>
    </row>
    <row r="11" spans="1:3">
      <c r="A11" s="469">
        <v>300</v>
      </c>
      <c r="B11" s="469">
        <v>26</v>
      </c>
      <c r="C11" s="470">
        <v>0.20833333333333334</v>
      </c>
    </row>
    <row r="12" spans="1:3">
      <c r="A12" s="467">
        <v>360</v>
      </c>
      <c r="B12" s="467">
        <v>27</v>
      </c>
      <c r="C12" s="468">
        <v>0.25</v>
      </c>
    </row>
    <row r="13" spans="1:3">
      <c r="A13" s="469">
        <v>420</v>
      </c>
      <c r="B13" s="469">
        <v>28</v>
      </c>
      <c r="C13" s="470">
        <v>0.29166666666666669</v>
      </c>
    </row>
    <row r="14" spans="1:3">
      <c r="A14" s="467">
        <v>480</v>
      </c>
      <c r="B14" s="467">
        <v>29</v>
      </c>
      <c r="C14" s="468">
        <v>0.33333333333333331</v>
      </c>
    </row>
    <row r="15" spans="1:3">
      <c r="A15" s="469">
        <v>540</v>
      </c>
      <c r="B15" s="469">
        <v>30</v>
      </c>
      <c r="C15" s="470">
        <v>0.375</v>
      </c>
    </row>
    <row r="16" spans="1:3">
      <c r="A16" s="467">
        <v>600</v>
      </c>
      <c r="B16" s="467">
        <v>31</v>
      </c>
      <c r="C16" s="468">
        <v>0.41666666666666669</v>
      </c>
    </row>
    <row r="17" spans="1:3">
      <c r="A17" s="469">
        <v>660</v>
      </c>
      <c r="B17" s="469">
        <v>32</v>
      </c>
      <c r="C17" s="470">
        <v>0.45833333333333331</v>
      </c>
    </row>
    <row r="18" spans="1:3">
      <c r="A18" s="467">
        <v>720</v>
      </c>
      <c r="B18" s="467">
        <v>33</v>
      </c>
      <c r="C18" s="468">
        <v>0.5</v>
      </c>
    </row>
    <row r="19" spans="1:3">
      <c r="A19" s="469">
        <v>780</v>
      </c>
      <c r="B19" s="469">
        <v>34</v>
      </c>
      <c r="C19" s="470">
        <v>0.54166666666666663</v>
      </c>
    </row>
    <row r="20" spans="1:3">
      <c r="A20" s="467">
        <v>840</v>
      </c>
      <c r="B20" s="467">
        <v>35</v>
      </c>
      <c r="C20" s="468">
        <v>0.58333333333333337</v>
      </c>
    </row>
    <row r="21" spans="1:3">
      <c r="A21" s="469">
        <v>900</v>
      </c>
      <c r="B21" s="469">
        <v>36</v>
      </c>
      <c r="C21" s="470">
        <v>0.625</v>
      </c>
    </row>
    <row r="22" spans="1:3">
      <c r="A22" s="467">
        <v>960</v>
      </c>
      <c r="B22" s="467">
        <v>37</v>
      </c>
      <c r="C22" s="468">
        <v>0.66666666666666663</v>
      </c>
    </row>
    <row r="23" spans="1:3">
      <c r="A23" s="469">
        <v>1020</v>
      </c>
      <c r="B23" s="469">
        <v>38</v>
      </c>
      <c r="C23" s="470">
        <v>0.70833333333333337</v>
      </c>
    </row>
    <row r="24" spans="1:3">
      <c r="A24" s="467">
        <v>1080</v>
      </c>
      <c r="B24" s="467">
        <v>39</v>
      </c>
      <c r="C24" s="468">
        <v>0.75</v>
      </c>
    </row>
    <row r="25" spans="1:3">
      <c r="A25" s="469">
        <v>1140</v>
      </c>
      <c r="B25" s="469">
        <v>40</v>
      </c>
      <c r="C25" s="470">
        <v>0.79166666666666663</v>
      </c>
    </row>
    <row r="26" spans="1:3">
      <c r="A26" s="467">
        <v>1200</v>
      </c>
      <c r="B26" s="467">
        <v>41</v>
      </c>
      <c r="C26" s="468">
        <v>0.83333333333333337</v>
      </c>
    </row>
    <row r="27" spans="1:3">
      <c r="A27" s="469">
        <v>1260</v>
      </c>
      <c r="B27" s="469">
        <v>42</v>
      </c>
      <c r="C27" s="470">
        <v>0.875</v>
      </c>
    </row>
    <row r="28" spans="1:3">
      <c r="A28" s="467">
        <v>1320</v>
      </c>
      <c r="B28" s="467">
        <v>43</v>
      </c>
      <c r="C28" s="468">
        <v>0.91666666666666663</v>
      </c>
    </row>
    <row r="29" spans="1:3">
      <c r="A29" s="469">
        <v>1380</v>
      </c>
      <c r="B29" s="469">
        <v>44</v>
      </c>
      <c r="C29" s="470">
        <v>0.95833333333333337</v>
      </c>
    </row>
    <row r="30" spans="1:3">
      <c r="A30" s="467">
        <v>1440</v>
      </c>
      <c r="B30" s="467">
        <v>45</v>
      </c>
      <c r="C30" s="468">
        <v>1</v>
      </c>
    </row>
    <row r="31" spans="1:3">
      <c r="A31" s="469">
        <v>1500</v>
      </c>
      <c r="B31" s="469">
        <v>46</v>
      </c>
      <c r="C31" s="470">
        <v>1.0416666666666667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="115" zoomScaleNormal="115" zoomScaleSheetLayoutView="85" workbookViewId="0">
      <selection activeCell="C10" sqref="C10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-3.7202809927632163</v>
      </c>
      <c r="N1" s="524" t="s">
        <v>183</v>
      </c>
      <c r="O1" s="524"/>
      <c r="P1" s="69">
        <f>StepTest!G41</f>
        <v>11.35</v>
      </c>
      <c r="Q1" s="70" t="s">
        <v>184</v>
      </c>
      <c r="R1" s="71">
        <f>G35</f>
        <v>15.070280992763216</v>
      </c>
      <c r="S1" s="72">
        <f>D7/2000</f>
        <v>0.1</v>
      </c>
      <c r="T1" s="73">
        <v>4.1534103653503527</v>
      </c>
      <c r="V1" s="293" t="s">
        <v>13</v>
      </c>
      <c r="W1" s="293" t="s">
        <v>28</v>
      </c>
      <c r="X1" s="293" t="s">
        <v>158</v>
      </c>
      <c r="Y1" s="293" t="s">
        <v>32</v>
      </c>
      <c r="Z1" s="293" t="s">
        <v>159</v>
      </c>
      <c r="AA1" s="293" t="s">
        <v>39</v>
      </c>
      <c r="AB1" s="294" t="s">
        <v>12</v>
      </c>
      <c r="AC1" s="293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순성중명아파트 이용허가 유효기간의 연장을 위한 지하수영향조사보고서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25.330000000000002</v>
      </c>
      <c r="T2" s="51">
        <v>44</v>
      </c>
      <c r="U2" s="55">
        <f>B10</f>
        <v>150</v>
      </c>
      <c r="V2" s="55">
        <f>U2</f>
        <v>150</v>
      </c>
      <c r="W2" s="51">
        <f>T1</f>
        <v>4.1534103653503527</v>
      </c>
      <c r="X2" s="51">
        <f>StepTest!U4</f>
        <v>0.1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14.31565457217728</v>
      </c>
      <c r="AC2" s="57">
        <f>1.6*V2/(4*PI()*W2)*LOG10((2.25*W2*Z2)/(X2*X2*Y2))</f>
        <v>14.31565457217728</v>
      </c>
      <c r="AD2" s="74">
        <v>0</v>
      </c>
      <c r="AE2" s="56">
        <f>AA2</f>
        <v>1</v>
      </c>
      <c r="AF2" s="57">
        <f t="shared" ref="AF2:AF14" si="1">AC2-$P$3-O3</f>
        <v>3.3156559522114577</v>
      </c>
      <c r="AG2" s="57">
        <f>AC2</f>
        <v>14.31565457217728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순성중명아파트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89"/>
      <c r="P3" s="291">
        <v>10.999998619965822</v>
      </c>
      <c r="V3" s="55">
        <f>V2</f>
        <v>150</v>
      </c>
      <c r="W3" s="51">
        <f>W$2</f>
        <v>4.1534103653503527</v>
      </c>
      <c r="X3" s="51">
        <f>X2</f>
        <v>0.1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15.699878357870451</v>
      </c>
      <c r="AC3" s="57">
        <f t="shared" ref="AC3:AC30" si="5">1.6*V3/(4*PI()*W3)*LOG10((2.25*W3*Z3)/(X3*X3*Y3))</f>
        <v>15.699878357870451</v>
      </c>
      <c r="AD3" s="57">
        <f>AB69</f>
        <v>26.879998619965825</v>
      </c>
      <c r="AE3" s="56">
        <f t="shared" ref="AE3:AE66" si="6">AA3</f>
        <v>2</v>
      </c>
      <c r="AF3" s="57">
        <f t="shared" si="1"/>
        <v>4.6998797379046291</v>
      </c>
      <c r="AG3" s="57">
        <f t="shared" ref="AG3:AG16" si="7">AC3</f>
        <v>15.699878357870451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당진시 순성면 순성로 453-30번지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-1.93</v>
      </c>
      <c r="N4" s="78"/>
      <c r="O4" s="290"/>
      <c r="P4" s="290"/>
      <c r="V4" s="55">
        <f t="shared" ref="V4:V67" si="8">V3</f>
        <v>150</v>
      </c>
      <c r="W4" s="51">
        <f t="shared" ref="W4:W67" si="9">W$2</f>
        <v>4.1534103653503527</v>
      </c>
      <c r="X4" s="51">
        <f t="shared" ref="X4:X67" si="10">X3</f>
        <v>0.1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16.509597365107236</v>
      </c>
      <c r="AC4" s="57">
        <f>1.6*V4/(4*PI()*W4)*LOG10((2.25*W4*Z4)/(X4*X4*Y4))</f>
        <v>16.509597365107236</v>
      </c>
      <c r="AD4" s="57">
        <f>AC69</f>
        <v>26.879998619965825</v>
      </c>
      <c r="AE4" s="56">
        <f t="shared" si="6"/>
        <v>3</v>
      </c>
      <c r="AF4" s="57">
        <f t="shared" si="1"/>
        <v>5.5095987451414139</v>
      </c>
      <c r="AG4" s="57">
        <f t="shared" si="7"/>
        <v>16.509597365107236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주식회사 한일지하수</v>
      </c>
      <c r="D5" s="328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-4.4400000000000004</v>
      </c>
      <c r="N5" s="78"/>
      <c r="O5" s="290"/>
      <c r="P5" s="290"/>
      <c r="V5" s="55">
        <f t="shared" si="8"/>
        <v>150</v>
      </c>
      <c r="W5" s="51">
        <f t="shared" si="9"/>
        <v>4.1534103653503527</v>
      </c>
      <c r="X5" s="51">
        <f t="shared" si="10"/>
        <v>0.1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17.084102143563626</v>
      </c>
      <c r="AC5" s="57">
        <f t="shared" si="5"/>
        <v>17.084102143563626</v>
      </c>
      <c r="AD5" s="57">
        <f>AF69</f>
        <v>15.880000000000003</v>
      </c>
      <c r="AE5" s="56">
        <f t="shared" si="6"/>
        <v>4</v>
      </c>
      <c r="AF5" s="57">
        <f t="shared" si="1"/>
        <v>6.084103523597804</v>
      </c>
      <c r="AG5" s="57">
        <f t="shared" si="7"/>
        <v>17.084102143563626</v>
      </c>
    </row>
    <row r="6" spans="1:38" s="51" customFormat="1" ht="21.6" customHeight="1">
      <c r="A6" s="120" t="str">
        <f>StepTest!A8</f>
        <v>수중모타</v>
      </c>
      <c r="B6" s="120"/>
      <c r="C6" s="525">
        <f>StepTest!C8</f>
        <v>5</v>
      </c>
      <c r="D6" s="525"/>
      <c r="E6" s="526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2">
        <v>0.2</v>
      </c>
      <c r="M6" s="58">
        <f t="shared" si="2"/>
        <v>-7.17</v>
      </c>
      <c r="N6" s="78"/>
      <c r="O6" s="290"/>
      <c r="P6" s="290"/>
      <c r="V6" s="55">
        <f t="shared" si="8"/>
        <v>150</v>
      </c>
      <c r="W6" s="51">
        <f t="shared" si="9"/>
        <v>4.1534103653503527</v>
      </c>
      <c r="X6" s="51">
        <f t="shared" si="10"/>
        <v>0.1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17.529722669789603</v>
      </c>
      <c r="AC6" s="57">
        <f t="shared" si="5"/>
        <v>17.529722669789603</v>
      </c>
      <c r="AE6" s="56">
        <f t="shared" si="6"/>
        <v>5</v>
      </c>
      <c r="AF6" s="57">
        <f t="shared" si="1"/>
        <v>6.5297240498237805</v>
      </c>
      <c r="AG6" s="57">
        <f t="shared" si="7"/>
        <v>17.529722669789603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200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-10.050000000000001</v>
      </c>
      <c r="N7" s="78"/>
      <c r="O7" s="290"/>
      <c r="P7" s="290"/>
      <c r="V7" s="55">
        <f t="shared" si="8"/>
        <v>150</v>
      </c>
      <c r="W7" s="51">
        <f t="shared" si="9"/>
        <v>4.1534103653503527</v>
      </c>
      <c r="X7" s="51">
        <f t="shared" si="10"/>
        <v>0.1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18.913946455482773</v>
      </c>
      <c r="AC7" s="57">
        <f t="shared" si="5"/>
        <v>18.913946455482773</v>
      </c>
      <c r="AE7" s="56">
        <f t="shared" si="6"/>
        <v>10</v>
      </c>
      <c r="AF7" s="57">
        <f t="shared" si="1"/>
        <v>7.9139478355169501</v>
      </c>
      <c r="AG7" s="57">
        <f t="shared" si="7"/>
        <v>18.913946455482773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9.4499999999999993</v>
      </c>
      <c r="E8" s="133"/>
      <c r="F8" s="134" t="s">
        <v>189</v>
      </c>
      <c r="G8" s="138">
        <f>F77</f>
        <v>25.330000000000002</v>
      </c>
      <c r="H8" s="130">
        <f>Input!C40</f>
        <v>150</v>
      </c>
      <c r="I8" s="130"/>
      <c r="J8" s="120"/>
      <c r="K8" s="329">
        <f>Input!M50</f>
        <v>15.879999999999999</v>
      </c>
      <c r="L8" s="370">
        <f>G10-K11</f>
        <v>1.9314321665182863</v>
      </c>
      <c r="M8" s="58">
        <f t="shared" si="2"/>
        <v>-25.23</v>
      </c>
      <c r="N8" s="78"/>
      <c r="O8" s="290"/>
      <c r="P8" s="290"/>
      <c r="V8" s="55">
        <f t="shared" si="8"/>
        <v>150</v>
      </c>
      <c r="W8" s="51">
        <f t="shared" si="9"/>
        <v>4.1534103653503527</v>
      </c>
      <c r="X8" s="51">
        <f t="shared" si="10"/>
        <v>0.1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19.723665462719559</v>
      </c>
      <c r="AC8" s="57">
        <f t="shared" si="5"/>
        <v>19.723665462719559</v>
      </c>
      <c r="AE8" s="56">
        <f t="shared" si="6"/>
        <v>15</v>
      </c>
      <c r="AF8" s="57">
        <f t="shared" si="1"/>
        <v>8.7236668427537367</v>
      </c>
      <c r="AG8" s="57">
        <f t="shared" si="7"/>
        <v>19.723665462719559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27" t="s">
        <v>173</v>
      </c>
      <c r="E9" s="527"/>
      <c r="F9" s="139" t="s">
        <v>174</v>
      </c>
      <c r="G9" s="139" t="s">
        <v>175</v>
      </c>
      <c r="H9" s="140"/>
      <c r="I9" s="140"/>
      <c r="J9" s="140"/>
      <c r="K9" s="75">
        <f>G8-D8</f>
        <v>15.880000000000003</v>
      </c>
      <c r="M9" s="58">
        <f t="shared" si="2"/>
        <v>-40.99</v>
      </c>
      <c r="N9" s="78"/>
      <c r="O9" s="290"/>
      <c r="P9" s="290"/>
      <c r="V9" s="55">
        <f t="shared" si="8"/>
        <v>150</v>
      </c>
      <c r="W9" s="51">
        <f t="shared" si="9"/>
        <v>4.1534103653503527</v>
      </c>
      <c r="X9" s="51">
        <f t="shared" si="10"/>
        <v>0.1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20.298170241175949</v>
      </c>
      <c r="AC9" s="57">
        <f t="shared" si="5"/>
        <v>20.298170241175949</v>
      </c>
      <c r="AE9" s="56">
        <f t="shared" si="6"/>
        <v>20</v>
      </c>
      <c r="AF9" s="57">
        <f t="shared" si="1"/>
        <v>9.2981716212101269</v>
      </c>
      <c r="AG9" s="57">
        <f t="shared" si="7"/>
        <v>20.298170241175949</v>
      </c>
    </row>
    <row r="10" spans="1:38" s="51" customFormat="1" ht="21" customHeight="1">
      <c r="A10" s="140">
        <v>1</v>
      </c>
      <c r="B10" s="141">
        <f>Input!C26</f>
        <v>150</v>
      </c>
      <c r="C10" s="142">
        <v>45454.472222222219</v>
      </c>
      <c r="D10" s="143">
        <v>1</v>
      </c>
      <c r="E10" s="133">
        <f>D10/1440</f>
        <v>6.9444444444444447E-4</v>
      </c>
      <c r="F10" s="144">
        <f>G10+D$8</f>
        <v>12.765655952211457</v>
      </c>
      <c r="G10" s="145">
        <f>AF2</f>
        <v>3.3156559522114577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-56.99</v>
      </c>
      <c r="N10" s="78"/>
      <c r="O10" s="290"/>
      <c r="P10" s="290"/>
      <c r="V10" s="55">
        <f t="shared" si="8"/>
        <v>150</v>
      </c>
      <c r="W10" s="51">
        <f t="shared" si="9"/>
        <v>4.1534103653503527</v>
      </c>
      <c r="X10" s="51">
        <f t="shared" si="10"/>
        <v>0.1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20.743790767401922</v>
      </c>
      <c r="AC10" s="57">
        <f t="shared" si="5"/>
        <v>20.743790767401922</v>
      </c>
      <c r="AE10" s="56">
        <f t="shared" si="6"/>
        <v>25</v>
      </c>
      <c r="AF10" s="57">
        <f t="shared" si="1"/>
        <v>9.7437921474360998</v>
      </c>
      <c r="AG10" s="57">
        <f t="shared" si="7"/>
        <v>20.743790767401922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14.149879737904628</v>
      </c>
      <c r="G11" s="144">
        <f>AF3</f>
        <v>4.6998797379046291</v>
      </c>
      <c r="H11" s="146"/>
      <c r="I11" s="146"/>
      <c r="J11" s="146"/>
      <c r="K11" s="80">
        <f>G11-G10</f>
        <v>1.3842237856931714</v>
      </c>
      <c r="L11" s="75" t="s">
        <v>21</v>
      </c>
      <c r="N11" s="78"/>
      <c r="O11" s="290"/>
      <c r="V11" s="55">
        <f t="shared" si="8"/>
        <v>150</v>
      </c>
      <c r="W11" s="51">
        <f t="shared" si="9"/>
        <v>4.1534103653503527</v>
      </c>
      <c r="X11" s="51">
        <f t="shared" si="10"/>
        <v>0.1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21.107889248412732</v>
      </c>
      <c r="AC11" s="57">
        <f t="shared" si="5"/>
        <v>21.107889248412732</v>
      </c>
      <c r="AE11" s="56">
        <f t="shared" si="6"/>
        <v>30</v>
      </c>
      <c r="AF11" s="57">
        <f t="shared" si="1"/>
        <v>10.10789062844691</v>
      </c>
      <c r="AG11" s="57">
        <f t="shared" si="7"/>
        <v>21.107889248412732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14.959598745141413</v>
      </c>
      <c r="G12" s="144">
        <f t="shared" ref="G12:G74" si="14">AF4</f>
        <v>5.5095987451414139</v>
      </c>
      <c r="H12" s="146"/>
      <c r="I12" s="146"/>
      <c r="J12" s="146"/>
      <c r="K12" s="80">
        <f t="shared" ref="K12:K47" si="15">G12-G11</f>
        <v>0.8097190072367848</v>
      </c>
      <c r="L12" s="75" t="s">
        <v>21</v>
      </c>
      <c r="N12" s="78"/>
      <c r="O12" s="290"/>
      <c r="V12" s="55">
        <f t="shared" si="8"/>
        <v>150</v>
      </c>
      <c r="W12" s="51">
        <f t="shared" si="9"/>
        <v>4.1534103653503527</v>
      </c>
      <c r="X12" s="51">
        <f t="shared" si="10"/>
        <v>0.1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21.415730127784542</v>
      </c>
      <c r="AC12" s="57">
        <f t="shared" si="5"/>
        <v>21.415730127784542</v>
      </c>
      <c r="AE12" s="56">
        <f t="shared" si="6"/>
        <v>35</v>
      </c>
      <c r="AF12" s="57">
        <f t="shared" si="1"/>
        <v>10.41573150781872</v>
      </c>
      <c r="AG12" s="57">
        <f t="shared" si="7"/>
        <v>21.415730127784542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15.534103523597803</v>
      </c>
      <c r="G13" s="144">
        <f t="shared" si="14"/>
        <v>6.084103523597804</v>
      </c>
      <c r="H13" s="146"/>
      <c r="I13" s="146"/>
      <c r="J13" s="146"/>
      <c r="K13" s="80">
        <f t="shared" si="15"/>
        <v>0.57450477845639014</v>
      </c>
      <c r="L13" s="75" t="s">
        <v>21</v>
      </c>
      <c r="M13" s="292">
        <v>0</v>
      </c>
      <c r="N13" s="78"/>
      <c r="O13" s="290"/>
      <c r="V13" s="55">
        <f t="shared" si="8"/>
        <v>150</v>
      </c>
      <c r="W13" s="51">
        <f t="shared" si="9"/>
        <v>4.1534103653503527</v>
      </c>
      <c r="X13" s="51">
        <f t="shared" si="10"/>
        <v>0.1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21.682394026869122</v>
      </c>
      <c r="AC13" s="57">
        <f t="shared" si="5"/>
        <v>21.682394026869122</v>
      </c>
      <c r="AE13" s="56">
        <f t="shared" si="6"/>
        <v>40</v>
      </c>
      <c r="AF13" s="57">
        <f t="shared" si="1"/>
        <v>10.6823954069033</v>
      </c>
      <c r="AG13" s="57">
        <f t="shared" si="7"/>
        <v>21.682394026869122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15.97972404982378</v>
      </c>
      <c r="G14" s="144">
        <f t="shared" si="14"/>
        <v>6.5297240498237805</v>
      </c>
      <c r="H14" s="146"/>
      <c r="I14" s="146"/>
      <c r="J14" s="146"/>
      <c r="K14" s="80">
        <f t="shared" si="15"/>
        <v>0.44562052622597648</v>
      </c>
      <c r="L14" s="75" t="s">
        <v>21</v>
      </c>
      <c r="N14" s="78"/>
      <c r="O14" s="290"/>
      <c r="V14" s="55">
        <f t="shared" si="8"/>
        <v>150</v>
      </c>
      <c r="W14" s="51">
        <f t="shared" si="9"/>
        <v>4.1534103653503527</v>
      </c>
      <c r="X14" s="51">
        <f t="shared" si="10"/>
        <v>0.1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21.917608255649519</v>
      </c>
      <c r="AC14" s="57">
        <f t="shared" si="5"/>
        <v>21.917608255649519</v>
      </c>
      <c r="AE14" s="56">
        <f t="shared" si="6"/>
        <v>45</v>
      </c>
      <c r="AF14" s="57">
        <f t="shared" si="1"/>
        <v>10.917609635683696</v>
      </c>
      <c r="AG14" s="57">
        <f t="shared" si="7"/>
        <v>21.917608255649519</v>
      </c>
    </row>
    <row r="15" spans="1:38" s="51" customFormat="1" ht="21" customHeight="1">
      <c r="A15" s="140"/>
      <c r="B15" s="328"/>
      <c r="C15" s="142"/>
      <c r="D15" s="143">
        <v>10</v>
      </c>
      <c r="E15" s="133">
        <f t="shared" si="12"/>
        <v>6.9444444444444441E-3</v>
      </c>
      <c r="F15" s="144">
        <f t="shared" si="13"/>
        <v>17.363947835516949</v>
      </c>
      <c r="G15" s="144">
        <f t="shared" si="14"/>
        <v>7.9139478355169501</v>
      </c>
      <c r="H15" s="146"/>
      <c r="I15" s="146"/>
      <c r="J15" s="146"/>
      <c r="K15" s="80">
        <f t="shared" si="15"/>
        <v>1.3842237856931696</v>
      </c>
      <c r="L15" s="75" t="s">
        <v>21</v>
      </c>
      <c r="N15" s="81"/>
      <c r="O15" s="53"/>
      <c r="V15" s="55">
        <f t="shared" si="8"/>
        <v>150</v>
      </c>
      <c r="W15" s="51">
        <f t="shared" si="9"/>
        <v>4.1534103653503527</v>
      </c>
      <c r="X15" s="51">
        <f t="shared" si="10"/>
        <v>0.1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22.128014553095095</v>
      </c>
      <c r="AC15" s="57">
        <f t="shared" si="5"/>
        <v>22.128014553095095</v>
      </c>
      <c r="AE15" s="56">
        <f t="shared" si="6"/>
        <v>50</v>
      </c>
      <c r="AF15" s="57">
        <f>AC15-$P$3</f>
        <v>11.128015933129273</v>
      </c>
      <c r="AG15" s="57">
        <f t="shared" si="7"/>
        <v>22.128014553095095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18.173666842753736</v>
      </c>
      <c r="G16" s="144">
        <f t="shared" si="14"/>
        <v>8.7236668427537367</v>
      </c>
      <c r="H16" s="146"/>
      <c r="I16" s="146"/>
      <c r="J16" s="146"/>
      <c r="K16" s="80">
        <f t="shared" si="15"/>
        <v>0.80971900723678658</v>
      </c>
      <c r="L16" s="386" t="s">
        <v>247</v>
      </c>
      <c r="M16" s="387" t="s">
        <v>178</v>
      </c>
      <c r="N16" s="387" t="s">
        <v>179</v>
      </c>
      <c r="O16" s="387" t="s">
        <v>245</v>
      </c>
      <c r="P16" s="387" t="s">
        <v>246</v>
      </c>
      <c r="Q16" s="387" t="s">
        <v>248</v>
      </c>
      <c r="V16" s="55">
        <f t="shared" si="8"/>
        <v>150</v>
      </c>
      <c r="W16" s="51">
        <f t="shared" si="9"/>
        <v>4.1534103653503527</v>
      </c>
      <c r="X16" s="51">
        <f t="shared" si="10"/>
        <v>0.1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22.318350201286385</v>
      </c>
      <c r="AC16" s="57">
        <f t="shared" si="5"/>
        <v>22.318350201286385</v>
      </c>
      <c r="AE16" s="56">
        <f t="shared" si="6"/>
        <v>55</v>
      </c>
      <c r="AF16" s="57">
        <f>AC16-$P$3</f>
        <v>11.318351581320563</v>
      </c>
      <c r="AG16" s="57">
        <f t="shared" si="7"/>
        <v>22.318350201286385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18.748171621210126</v>
      </c>
      <c r="G17" s="144">
        <f t="shared" si="14"/>
        <v>9.2981716212101269</v>
      </c>
      <c r="H17" s="146"/>
      <c r="I17" s="146"/>
      <c r="J17" s="146"/>
      <c r="K17" s="80">
        <f t="shared" si="15"/>
        <v>0.57450477845639014</v>
      </c>
      <c r="L17" s="372">
        <f>D10</f>
        <v>1</v>
      </c>
      <c r="M17" s="373">
        <f>INT(B10/1440*10000)/10000</f>
        <v>0.1041</v>
      </c>
      <c r="N17" s="373">
        <f>L17*M17</f>
        <v>0.1041</v>
      </c>
      <c r="O17" s="373">
        <f>INT((D7/2/1000)^2*PI()*100000)/100000</f>
        <v>3.141E-2</v>
      </c>
      <c r="P17" s="373">
        <f>INT(N17/O17*100)/100</f>
        <v>3.31</v>
      </c>
      <c r="Q17" s="374">
        <f>INT((G10-P17)*100)/100</f>
        <v>0</v>
      </c>
      <c r="V17" s="55">
        <f t="shared" si="8"/>
        <v>150</v>
      </c>
      <c r="W17" s="51">
        <f t="shared" si="9"/>
        <v>4.1534103653503527</v>
      </c>
      <c r="X17" s="51">
        <f t="shared" si="10"/>
        <v>0.1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22.492113034105905</v>
      </c>
      <c r="AC17" s="57">
        <f t="shared" si="5"/>
        <v>22.492113034105905</v>
      </c>
      <c r="AE17" s="56">
        <f t="shared" si="6"/>
        <v>60</v>
      </c>
      <c r="AF17" s="57">
        <f>AC17-$P$3</f>
        <v>11.492114414140083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19.193792147436099</v>
      </c>
      <c r="G18" s="144">
        <f t="shared" si="14"/>
        <v>9.7437921474360998</v>
      </c>
      <c r="H18" s="146"/>
      <c r="I18" s="146"/>
      <c r="J18" s="146"/>
      <c r="K18" s="80">
        <f t="shared" si="15"/>
        <v>0.44562052622597292</v>
      </c>
      <c r="L18" s="372">
        <f t="shared" ref="L18:L31" si="16">D11</f>
        <v>2</v>
      </c>
      <c r="M18" s="373">
        <f>M17</f>
        <v>0.1041</v>
      </c>
      <c r="N18" s="373">
        <f>L18*M18</f>
        <v>0.2082</v>
      </c>
      <c r="O18" s="373">
        <f>O17</f>
        <v>3.141E-2</v>
      </c>
      <c r="P18" s="373">
        <f>INT(N18/O18*100)/100</f>
        <v>6.62</v>
      </c>
      <c r="Q18" s="374">
        <f t="shared" ref="Q18:Q27" si="17">INT((G11-P18)*100)/100</f>
        <v>-1.93</v>
      </c>
      <c r="V18" s="55">
        <f t="shared" si="8"/>
        <v>150</v>
      </c>
      <c r="W18" s="51">
        <f t="shared" si="9"/>
        <v>4.1534103653503527</v>
      </c>
      <c r="X18" s="51">
        <f t="shared" si="10"/>
        <v>0.1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22.937733560331882</v>
      </c>
      <c r="AC18" s="57">
        <f t="shared" si="5"/>
        <v>22.937733560331882</v>
      </c>
      <c r="AE18" s="56">
        <f t="shared" si="6"/>
        <v>75</v>
      </c>
      <c r="AF18" s="57">
        <f>AC18-$P$3</f>
        <v>11.93773494036606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19.557890628446909</v>
      </c>
      <c r="G19" s="144">
        <f t="shared" si="14"/>
        <v>10.10789062844691</v>
      </c>
      <c r="H19" s="146"/>
      <c r="I19" s="146"/>
      <c r="J19" s="146"/>
      <c r="K19" s="80">
        <f t="shared" si="15"/>
        <v>0.3640984810108101</v>
      </c>
      <c r="L19" s="372">
        <f t="shared" si="16"/>
        <v>3</v>
      </c>
      <c r="M19" s="373">
        <f>M18</f>
        <v>0.1041</v>
      </c>
      <c r="N19" s="373">
        <f t="shared" ref="N19:N27" si="18">L19*M19</f>
        <v>0.31230000000000002</v>
      </c>
      <c r="O19" s="373">
        <f t="shared" ref="O19:O31" si="19">O18</f>
        <v>3.141E-2</v>
      </c>
      <c r="P19" s="373">
        <f>INT(N19/O19*100)/100</f>
        <v>9.94</v>
      </c>
      <c r="Q19" s="374">
        <f t="shared" si="17"/>
        <v>-4.4400000000000004</v>
      </c>
      <c r="V19" s="55">
        <f t="shared" si="8"/>
        <v>150</v>
      </c>
      <c r="W19" s="51">
        <f t="shared" si="9"/>
        <v>4.1534103653503527</v>
      </c>
      <c r="X19" s="51">
        <f t="shared" si="10"/>
        <v>0.1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23.301832041342692</v>
      </c>
      <c r="AC19" s="57">
        <f t="shared" si="5"/>
        <v>23.301832041342692</v>
      </c>
      <c r="AE19" s="56">
        <f t="shared" si="6"/>
        <v>90</v>
      </c>
      <c r="AF19" s="57">
        <f>AC19-$P$3</f>
        <v>12.30183342137687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19.865731507818719</v>
      </c>
      <c r="G20" s="144">
        <f t="shared" si="14"/>
        <v>10.41573150781872</v>
      </c>
      <c r="H20" s="146"/>
      <c r="I20" s="146"/>
      <c r="J20" s="146"/>
      <c r="K20" s="80">
        <f t="shared" si="15"/>
        <v>0.30784087937180971</v>
      </c>
      <c r="L20" s="372">
        <f t="shared" si="16"/>
        <v>4</v>
      </c>
      <c r="M20" s="373">
        <f>M19</f>
        <v>0.1041</v>
      </c>
      <c r="N20" s="373">
        <f>L20*M20</f>
        <v>0.41639999999999999</v>
      </c>
      <c r="O20" s="373">
        <f>O19</f>
        <v>3.141E-2</v>
      </c>
      <c r="P20" s="373">
        <f>INT(N20/O20*100)/100</f>
        <v>13.25</v>
      </c>
      <c r="Q20" s="374">
        <f t="shared" si="17"/>
        <v>-7.17</v>
      </c>
      <c r="V20" s="55">
        <f t="shared" si="8"/>
        <v>150</v>
      </c>
      <c r="W20" s="51">
        <f t="shared" si="9"/>
        <v>4.1534103653503527</v>
      </c>
      <c r="X20" s="51">
        <f t="shared" si="10"/>
        <v>0.1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23.609672920714498</v>
      </c>
      <c r="AC20" s="57">
        <f t="shared" si="5"/>
        <v>23.609672920714498</v>
      </c>
      <c r="AE20" s="56">
        <f t="shared" si="6"/>
        <v>105</v>
      </c>
      <c r="AF20" s="57">
        <f t="shared" ref="AF20:AF69" si="20">AC20-$P$3</f>
        <v>12.609674300748676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20.132395406903299</v>
      </c>
      <c r="G21" s="144">
        <f t="shared" si="14"/>
        <v>10.6823954069033</v>
      </c>
      <c r="H21" s="146"/>
      <c r="I21" s="146"/>
      <c r="J21" s="146"/>
      <c r="K21" s="80">
        <f t="shared" si="15"/>
        <v>0.26666389908458044</v>
      </c>
      <c r="L21" s="372">
        <f t="shared" si="16"/>
        <v>5</v>
      </c>
      <c r="M21" s="373">
        <f>M20</f>
        <v>0.1041</v>
      </c>
      <c r="N21" s="373">
        <f t="shared" si="18"/>
        <v>0.52049999999999996</v>
      </c>
      <c r="O21" s="373">
        <f t="shared" si="19"/>
        <v>3.141E-2</v>
      </c>
      <c r="P21" s="373">
        <f>INT(N21/O21*100)/100</f>
        <v>16.57</v>
      </c>
      <c r="Q21" s="374">
        <f t="shared" si="17"/>
        <v>-10.050000000000001</v>
      </c>
      <c r="V21" s="55">
        <f t="shared" si="8"/>
        <v>150</v>
      </c>
      <c r="W21" s="51">
        <f t="shared" si="9"/>
        <v>4.1534103653503527</v>
      </c>
      <c r="X21" s="51">
        <f t="shared" si="10"/>
        <v>0.1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23.876336819799079</v>
      </c>
      <c r="AC21" s="57">
        <f t="shared" si="5"/>
        <v>23.876336819799079</v>
      </c>
      <c r="AE21" s="56">
        <f t="shared" si="6"/>
        <v>120</v>
      </c>
      <c r="AF21" s="57">
        <f t="shared" si="20"/>
        <v>12.876338199833256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20.367609635683696</v>
      </c>
      <c r="G22" s="144">
        <f t="shared" si="14"/>
        <v>10.917609635683696</v>
      </c>
      <c r="H22" s="146"/>
      <c r="I22" s="146"/>
      <c r="J22" s="146"/>
      <c r="K22" s="80">
        <f t="shared" si="15"/>
        <v>0.23521422878039644</v>
      </c>
      <c r="L22" s="372">
        <f t="shared" si="16"/>
        <v>10</v>
      </c>
      <c r="M22" s="373">
        <f t="shared" ref="M22:M31" si="21">M21</f>
        <v>0.1041</v>
      </c>
      <c r="N22" s="373">
        <f>L22*M22</f>
        <v>1.0409999999999999</v>
      </c>
      <c r="O22" s="373">
        <f>O21</f>
        <v>3.141E-2</v>
      </c>
      <c r="P22" s="373">
        <f t="shared" ref="P22:P27" si="22">INT(N22/O22*100)/100</f>
        <v>33.14</v>
      </c>
      <c r="Q22" s="374">
        <f t="shared" si="17"/>
        <v>-25.23</v>
      </c>
      <c r="V22" s="55">
        <f t="shared" si="8"/>
        <v>150</v>
      </c>
      <c r="W22" s="51">
        <f t="shared" si="9"/>
        <v>4.1534103653503527</v>
      </c>
      <c r="X22" s="51">
        <f t="shared" si="10"/>
        <v>0.1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24.184177699170888</v>
      </c>
      <c r="AC22" s="57">
        <f t="shared" si="5"/>
        <v>24.184177699170888</v>
      </c>
      <c r="AE22" s="56">
        <f t="shared" si="6"/>
        <v>140</v>
      </c>
      <c r="AF22" s="57">
        <f t="shared" si="20"/>
        <v>13.184179079205066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20.578015933129272</v>
      </c>
      <c r="G23" s="144">
        <f t="shared" si="14"/>
        <v>11.128015933129273</v>
      </c>
      <c r="H23" s="146"/>
      <c r="I23" s="146"/>
      <c r="J23" s="146"/>
      <c r="K23" s="80">
        <f t="shared" si="15"/>
        <v>0.21040629744557648</v>
      </c>
      <c r="L23" s="372">
        <f t="shared" si="16"/>
        <v>15</v>
      </c>
      <c r="M23" s="373">
        <f t="shared" si="21"/>
        <v>0.1041</v>
      </c>
      <c r="N23" s="373">
        <f t="shared" si="18"/>
        <v>1.5614999999999999</v>
      </c>
      <c r="O23" s="373">
        <f t="shared" si="19"/>
        <v>3.141E-2</v>
      </c>
      <c r="P23" s="373">
        <f t="shared" si="22"/>
        <v>49.71</v>
      </c>
      <c r="Q23" s="374">
        <f t="shared" si="17"/>
        <v>-40.99</v>
      </c>
      <c r="V23" s="55">
        <f t="shared" si="8"/>
        <v>150</v>
      </c>
      <c r="W23" s="51">
        <f t="shared" si="9"/>
        <v>4.1534103653503527</v>
      </c>
      <c r="X23" s="51">
        <f t="shared" si="10"/>
        <v>0.1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24.450841598255469</v>
      </c>
      <c r="AC23" s="57">
        <f t="shared" si="5"/>
        <v>24.450841598255469</v>
      </c>
      <c r="AE23" s="56">
        <f t="shared" si="6"/>
        <v>160</v>
      </c>
      <c r="AF23" s="57">
        <f t="shared" si="20"/>
        <v>13.450842978289646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20.768351581320562</v>
      </c>
      <c r="G24" s="144">
        <f t="shared" si="14"/>
        <v>11.318351581320563</v>
      </c>
      <c r="H24" s="146"/>
      <c r="I24" s="146"/>
      <c r="J24" s="146"/>
      <c r="K24" s="80">
        <f t="shared" si="15"/>
        <v>0.19033564819129012</v>
      </c>
      <c r="L24" s="372">
        <f t="shared" si="16"/>
        <v>20</v>
      </c>
      <c r="M24" s="373">
        <f t="shared" si="21"/>
        <v>0.1041</v>
      </c>
      <c r="N24" s="373">
        <f t="shared" si="18"/>
        <v>2.0819999999999999</v>
      </c>
      <c r="O24" s="373">
        <f t="shared" si="19"/>
        <v>3.141E-2</v>
      </c>
      <c r="P24" s="373">
        <f t="shared" si="22"/>
        <v>66.28</v>
      </c>
      <c r="Q24" s="374">
        <f t="shared" si="17"/>
        <v>-56.99</v>
      </c>
      <c r="V24" s="55">
        <f t="shared" si="8"/>
        <v>150</v>
      </c>
      <c r="W24" s="51">
        <f t="shared" si="9"/>
        <v>4.1534103653503527</v>
      </c>
      <c r="X24" s="51">
        <f t="shared" si="10"/>
        <v>0.1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24.686055827035865</v>
      </c>
      <c r="AC24" s="57">
        <f t="shared" si="5"/>
        <v>24.686055827035865</v>
      </c>
      <c r="AE24" s="56">
        <f t="shared" si="6"/>
        <v>180</v>
      </c>
      <c r="AF24" s="57">
        <f t="shared" si="20"/>
        <v>13.686057207070043</v>
      </c>
    </row>
    <row r="25" spans="1:32" s="51" customFormat="1" ht="21" customHeight="1">
      <c r="A25" s="140"/>
      <c r="B25" s="140"/>
      <c r="C25" s="142">
        <f>$C$10+D25/1440</f>
        <v>45454.513888888883</v>
      </c>
      <c r="D25" s="143">
        <v>60</v>
      </c>
      <c r="E25" s="133">
        <f t="shared" si="12"/>
        <v>4.1666666666666664E-2</v>
      </c>
      <c r="F25" s="144">
        <f t="shared" si="13"/>
        <v>20.942114414140082</v>
      </c>
      <c r="G25" s="144">
        <f t="shared" si="14"/>
        <v>11.492114414140083</v>
      </c>
      <c r="H25" s="146"/>
      <c r="I25" s="146"/>
      <c r="J25" s="146"/>
      <c r="K25" s="80">
        <f t="shared" si="15"/>
        <v>0.17376283281951999</v>
      </c>
      <c r="L25" s="372">
        <f t="shared" si="16"/>
        <v>25</v>
      </c>
      <c r="M25" s="373">
        <f t="shared" si="21"/>
        <v>0.1041</v>
      </c>
      <c r="N25" s="373">
        <f t="shared" si="18"/>
        <v>2.6025</v>
      </c>
      <c r="O25" s="373">
        <f t="shared" si="19"/>
        <v>3.141E-2</v>
      </c>
      <c r="P25" s="373">
        <f t="shared" si="22"/>
        <v>82.85</v>
      </c>
      <c r="Q25" s="374">
        <f t="shared" si="17"/>
        <v>-73.11</v>
      </c>
      <c r="V25" s="55">
        <f t="shared" si="8"/>
        <v>150</v>
      </c>
      <c r="W25" s="51">
        <f t="shared" si="9"/>
        <v>4.1534103653503527</v>
      </c>
      <c r="X25" s="51">
        <f t="shared" si="10"/>
        <v>0.1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25.260560605492255</v>
      </c>
      <c r="AC25" s="57">
        <f t="shared" si="5"/>
        <v>25.260560605492255</v>
      </c>
      <c r="AE25" s="56">
        <f t="shared" si="6"/>
        <v>240</v>
      </c>
      <c r="AF25" s="57">
        <f t="shared" si="20"/>
        <v>14.260561985526433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21.387734940366059</v>
      </c>
      <c r="G26" s="144">
        <f t="shared" si="14"/>
        <v>11.93773494036606</v>
      </c>
      <c r="H26" s="146"/>
      <c r="I26" s="146"/>
      <c r="J26" s="146"/>
      <c r="K26" s="80">
        <f t="shared" si="15"/>
        <v>0.44562052622597648</v>
      </c>
      <c r="L26" s="372">
        <f t="shared" si="16"/>
        <v>30</v>
      </c>
      <c r="M26" s="373">
        <f t="shared" si="21"/>
        <v>0.1041</v>
      </c>
      <c r="N26" s="373">
        <f t="shared" si="18"/>
        <v>3.1229999999999998</v>
      </c>
      <c r="O26" s="373">
        <f t="shared" si="19"/>
        <v>3.141E-2</v>
      </c>
      <c r="P26" s="373">
        <f t="shared" si="22"/>
        <v>99.42</v>
      </c>
      <c r="Q26" s="374">
        <f t="shared" si="17"/>
        <v>-89.32</v>
      </c>
      <c r="V26" s="55">
        <f t="shared" si="8"/>
        <v>150</v>
      </c>
      <c r="W26" s="51">
        <f t="shared" si="9"/>
        <v>4.1534103653503527</v>
      </c>
      <c r="X26" s="51">
        <f t="shared" si="10"/>
        <v>0.1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25.706181131718228</v>
      </c>
      <c r="AC26" s="57">
        <f t="shared" si="5"/>
        <v>25.706181131718228</v>
      </c>
      <c r="AE26" s="56">
        <f t="shared" si="6"/>
        <v>300</v>
      </c>
      <c r="AF26" s="57">
        <f t="shared" si="20"/>
        <v>14.706182511752406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21.751833421376869</v>
      </c>
      <c r="G27" s="144">
        <f t="shared" si="14"/>
        <v>12.30183342137687</v>
      </c>
      <c r="H27" s="146"/>
      <c r="I27" s="146"/>
      <c r="J27" s="146"/>
      <c r="K27" s="80">
        <f t="shared" si="15"/>
        <v>0.3640984810108101</v>
      </c>
      <c r="L27" s="372">
        <f t="shared" si="16"/>
        <v>35</v>
      </c>
      <c r="M27" s="373">
        <f t="shared" si="21"/>
        <v>0.1041</v>
      </c>
      <c r="N27" s="373">
        <f t="shared" si="18"/>
        <v>3.6435</v>
      </c>
      <c r="O27" s="373">
        <f t="shared" si="19"/>
        <v>3.141E-2</v>
      </c>
      <c r="P27" s="373">
        <f t="shared" si="22"/>
        <v>115.99</v>
      </c>
      <c r="Q27" s="374">
        <f t="shared" si="17"/>
        <v>-105.58</v>
      </c>
      <c r="V27" s="55">
        <f t="shared" si="8"/>
        <v>150</v>
      </c>
      <c r="W27" s="51">
        <f t="shared" si="9"/>
        <v>4.1534103653503527</v>
      </c>
      <c r="X27" s="51">
        <f t="shared" si="10"/>
        <v>0.1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26.070279612729038</v>
      </c>
      <c r="AC27" s="57">
        <f t="shared" si="5"/>
        <v>26.070279612729038</v>
      </c>
      <c r="AE27" s="56">
        <f t="shared" si="6"/>
        <v>360</v>
      </c>
      <c r="AF27" s="57">
        <f t="shared" si="20"/>
        <v>15.070280992763216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22.059674300748675</v>
      </c>
      <c r="G28" s="144">
        <f t="shared" si="14"/>
        <v>12.609674300748676</v>
      </c>
      <c r="H28" s="146"/>
      <c r="I28" s="146"/>
      <c r="J28" s="146"/>
      <c r="K28" s="80">
        <f t="shared" si="15"/>
        <v>0.30784087937180615</v>
      </c>
      <c r="L28" s="372">
        <f t="shared" si="16"/>
        <v>40</v>
      </c>
      <c r="M28" s="373">
        <f t="shared" si="21"/>
        <v>0.1041</v>
      </c>
      <c r="N28" s="373">
        <f>L28*M28</f>
        <v>4.1639999999999997</v>
      </c>
      <c r="O28" s="373">
        <f t="shared" si="19"/>
        <v>3.141E-2</v>
      </c>
      <c r="P28" s="373">
        <f>INT(N28/O28*100)/100</f>
        <v>132.56</v>
      </c>
      <c r="Q28" s="374">
        <f>INT((G21-P28)*100)/100</f>
        <v>-121.88</v>
      </c>
      <c r="S28"/>
      <c r="V28" s="55">
        <f t="shared" si="8"/>
        <v>150</v>
      </c>
      <c r="W28" s="51">
        <f t="shared" si="9"/>
        <v>4.1534103653503527</v>
      </c>
      <c r="X28" s="51">
        <f t="shared" si="10"/>
        <v>0.1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26.378120492100848</v>
      </c>
      <c r="AC28" s="57">
        <f t="shared" si="5"/>
        <v>26.378120492100848</v>
      </c>
      <c r="AE28" s="56">
        <f t="shared" si="6"/>
        <v>420</v>
      </c>
      <c r="AF28" s="57">
        <f t="shared" si="20"/>
        <v>15.378121872135026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22.326338199833256</v>
      </c>
      <c r="G29" s="144">
        <f t="shared" si="14"/>
        <v>12.876338199833256</v>
      </c>
      <c r="H29" s="146"/>
      <c r="I29" s="146"/>
      <c r="J29" s="146"/>
      <c r="K29" s="80">
        <f t="shared" si="15"/>
        <v>0.26666389908458044</v>
      </c>
      <c r="L29" s="372">
        <f t="shared" si="16"/>
        <v>45</v>
      </c>
      <c r="M29" s="373">
        <f t="shared" si="21"/>
        <v>0.1041</v>
      </c>
      <c r="N29" s="373">
        <f>L29*M29</f>
        <v>4.6844999999999999</v>
      </c>
      <c r="O29" s="373">
        <f t="shared" si="19"/>
        <v>3.141E-2</v>
      </c>
      <c r="P29" s="373">
        <f>INT(N29/O29*100)/100</f>
        <v>149.13999999999999</v>
      </c>
      <c r="Q29" s="374">
        <f>INT((G22-P29)*100)/100</f>
        <v>-138.22999999999999</v>
      </c>
      <c r="V29" s="55">
        <f t="shared" si="8"/>
        <v>150</v>
      </c>
      <c r="W29" s="51">
        <f t="shared" si="9"/>
        <v>4.1534103653503527</v>
      </c>
      <c r="X29" s="51">
        <f t="shared" si="10"/>
        <v>0.1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26.644784391185429</v>
      </c>
      <c r="AC29" s="57">
        <f t="shared" si="5"/>
        <v>26.644784391185429</v>
      </c>
      <c r="AE29" s="56">
        <f t="shared" si="6"/>
        <v>480</v>
      </c>
      <c r="AF29" s="57">
        <f t="shared" si="20"/>
        <v>15.644785771219606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22.634179079205065</v>
      </c>
      <c r="G30" s="144">
        <f t="shared" si="14"/>
        <v>13.184179079205066</v>
      </c>
      <c r="H30" s="146"/>
      <c r="I30" s="146"/>
      <c r="J30" s="146"/>
      <c r="K30" s="80">
        <f t="shared" si="15"/>
        <v>0.30784087937180971</v>
      </c>
      <c r="L30" s="372">
        <f t="shared" si="16"/>
        <v>50</v>
      </c>
      <c r="M30" s="373">
        <f t="shared" si="21"/>
        <v>0.1041</v>
      </c>
      <c r="N30" s="373">
        <f>L30*M30</f>
        <v>5.2050000000000001</v>
      </c>
      <c r="O30" s="373">
        <f t="shared" si="19"/>
        <v>3.141E-2</v>
      </c>
      <c r="P30" s="373">
        <f>INT(N30/O30*100)/100</f>
        <v>165.71</v>
      </c>
      <c r="Q30" s="374">
        <f>INT((G23-P30)*100)/100</f>
        <v>-154.59</v>
      </c>
      <c r="V30" s="55">
        <f t="shared" si="8"/>
        <v>150</v>
      </c>
      <c r="W30" s="51">
        <f t="shared" si="9"/>
        <v>4.1534103653503527</v>
      </c>
      <c r="X30" s="51">
        <f t="shared" si="10"/>
        <v>0.1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26.879998619965825</v>
      </c>
      <c r="AC30" s="57">
        <f t="shared" si="5"/>
        <v>26.879998619965825</v>
      </c>
      <c r="AE30" s="56">
        <f t="shared" si="6"/>
        <v>540</v>
      </c>
      <c r="AF30" s="57">
        <f t="shared" si="20"/>
        <v>15.880000000000003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22.900842978289646</v>
      </c>
      <c r="G31" s="144">
        <f t="shared" si="14"/>
        <v>13.450842978289646</v>
      </c>
      <c r="H31" s="146"/>
      <c r="I31" s="146"/>
      <c r="J31" s="146"/>
      <c r="K31" s="80">
        <f t="shared" si="15"/>
        <v>0.26666389908458044</v>
      </c>
      <c r="L31" s="372">
        <f t="shared" si="16"/>
        <v>55</v>
      </c>
      <c r="M31" s="373">
        <f t="shared" si="21"/>
        <v>0.1041</v>
      </c>
      <c r="N31" s="373">
        <f>L31*M31</f>
        <v>5.7255000000000003</v>
      </c>
      <c r="O31" s="373">
        <f t="shared" si="19"/>
        <v>3.141E-2</v>
      </c>
      <c r="P31" s="373">
        <f>INT(N31/O31*100)/100</f>
        <v>182.28</v>
      </c>
      <c r="Q31" s="374">
        <f>INT((G24-P31)*100)/100</f>
        <v>-170.97</v>
      </c>
      <c r="V31" s="55">
        <f t="shared" si="8"/>
        <v>150</v>
      </c>
      <c r="W31" s="51">
        <f t="shared" si="9"/>
        <v>4.1534103653503527</v>
      </c>
      <c r="X31" s="51">
        <f t="shared" si="10"/>
        <v>0.1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26.879998619965825</v>
      </c>
      <c r="AC31" s="57">
        <f t="shared" ref="AC31:AC34" si="23">AC30</f>
        <v>26.879998619965825</v>
      </c>
      <c r="AE31" s="56">
        <f t="shared" si="6"/>
        <v>600</v>
      </c>
      <c r="AF31" s="57">
        <f t="shared" si="20"/>
        <v>15.880000000000003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23.136057207070042</v>
      </c>
      <c r="G32" s="144">
        <f t="shared" si="14"/>
        <v>13.686057207070043</v>
      </c>
      <c r="H32" s="146"/>
      <c r="I32" s="146"/>
      <c r="J32" s="146"/>
      <c r="K32" s="80">
        <f t="shared" si="15"/>
        <v>0.23521422878039644</v>
      </c>
      <c r="L32" s="82" t="s">
        <v>21</v>
      </c>
      <c r="O32" s="84"/>
      <c r="V32" s="55">
        <f t="shared" si="8"/>
        <v>150</v>
      </c>
      <c r="W32" s="51">
        <f t="shared" si="9"/>
        <v>4.1534103653503527</v>
      </c>
      <c r="X32" s="51">
        <f t="shared" si="10"/>
        <v>0.1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26.879998619965825</v>
      </c>
      <c r="AC32" s="57">
        <f t="shared" si="23"/>
        <v>26.879998619965825</v>
      </c>
      <c r="AE32" s="56">
        <f t="shared" si="6"/>
        <v>660</v>
      </c>
      <c r="AF32" s="57">
        <f t="shared" si="20"/>
        <v>15.880000000000003</v>
      </c>
    </row>
    <row r="33" spans="1:32" s="51" customFormat="1" ht="21" customHeight="1">
      <c r="A33" s="140"/>
      <c r="B33" s="140"/>
      <c r="C33" s="142">
        <f>$C$10+D33/1440</f>
        <v>45454.638888888883</v>
      </c>
      <c r="D33" s="143">
        <f t="shared" ref="D33:D76" si="24">D32+60</f>
        <v>240</v>
      </c>
      <c r="E33" s="133">
        <f t="shared" si="12"/>
        <v>0.16666666666666666</v>
      </c>
      <c r="F33" s="144">
        <f t="shared" si="13"/>
        <v>23.710561985526432</v>
      </c>
      <c r="G33" s="144">
        <f t="shared" si="14"/>
        <v>14.260561985526433</v>
      </c>
      <c r="H33" s="146"/>
      <c r="I33" s="146"/>
      <c r="J33" s="146"/>
      <c r="K33" s="80">
        <f t="shared" si="15"/>
        <v>0.57450477845639014</v>
      </c>
      <c r="L33" s="75" t="s">
        <v>21</v>
      </c>
      <c r="O33" s="84"/>
      <c r="V33" s="55">
        <f t="shared" si="8"/>
        <v>150</v>
      </c>
      <c r="W33" s="51">
        <f t="shared" si="9"/>
        <v>4.1534103653503527</v>
      </c>
      <c r="X33" s="51">
        <f t="shared" si="10"/>
        <v>0.1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26.879998619965825</v>
      </c>
      <c r="AC33" s="57">
        <f t="shared" si="23"/>
        <v>26.879998619965825</v>
      </c>
      <c r="AE33" s="56">
        <f t="shared" si="6"/>
        <v>720</v>
      </c>
      <c r="AF33" s="57">
        <f t="shared" si="20"/>
        <v>15.880000000000003</v>
      </c>
    </row>
    <row r="34" spans="1:32" s="51" customFormat="1" ht="21" customHeight="1">
      <c r="A34" s="140"/>
      <c r="B34" s="140"/>
      <c r="C34" s="142"/>
      <c r="D34" s="143">
        <f t="shared" si="24"/>
        <v>300</v>
      </c>
      <c r="E34" s="133">
        <f t="shared" si="12"/>
        <v>0.20833333333333334</v>
      </c>
      <c r="F34" s="144">
        <f t="shared" si="13"/>
        <v>24.156182511752405</v>
      </c>
      <c r="G34" s="144">
        <f t="shared" si="14"/>
        <v>14.706182511752406</v>
      </c>
      <c r="H34" s="146"/>
      <c r="I34" s="146"/>
      <c r="J34" s="146"/>
      <c r="K34" s="80">
        <f t="shared" si="15"/>
        <v>0.44562052622597292</v>
      </c>
      <c r="L34" s="75" t="s">
        <v>21</v>
      </c>
      <c r="P34" s="84"/>
      <c r="V34" s="55">
        <f t="shared" si="8"/>
        <v>150</v>
      </c>
      <c r="W34" s="51">
        <f t="shared" si="9"/>
        <v>4.1534103653503527</v>
      </c>
      <c r="X34" s="51">
        <f t="shared" si="10"/>
        <v>0.1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26.879998619965825</v>
      </c>
      <c r="AC34" s="57">
        <f t="shared" si="23"/>
        <v>26.879998619965825</v>
      </c>
      <c r="AE34" s="56">
        <f t="shared" si="6"/>
        <v>780</v>
      </c>
      <c r="AF34" s="57">
        <f t="shared" si="20"/>
        <v>15.880000000000003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4"/>
        <v>360</v>
      </c>
      <c r="E35" s="133">
        <f t="shared" si="12"/>
        <v>0.25</v>
      </c>
      <c r="F35" s="144">
        <f t="shared" si="13"/>
        <v>24.520280992763215</v>
      </c>
      <c r="G35" s="144">
        <f t="shared" si="14"/>
        <v>15.070280992763216</v>
      </c>
      <c r="H35" s="146"/>
      <c r="I35" s="146"/>
      <c r="J35" s="146"/>
      <c r="K35" s="80">
        <f t="shared" si="15"/>
        <v>0.3640984810108101</v>
      </c>
      <c r="L35" s="75" t="s">
        <v>21</v>
      </c>
      <c r="O35" s="84"/>
      <c r="V35" s="55">
        <f t="shared" si="8"/>
        <v>150</v>
      </c>
      <c r="W35" s="51">
        <f t="shared" si="9"/>
        <v>4.1534103653503527</v>
      </c>
      <c r="X35" s="51">
        <f t="shared" si="10"/>
        <v>0.1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26.879998619965825</v>
      </c>
      <c r="AC35" s="57">
        <f t="shared" ref="AC35:AC38" si="25">AC34</f>
        <v>26.879998619965825</v>
      </c>
      <c r="AE35" s="56">
        <f t="shared" si="6"/>
        <v>840</v>
      </c>
      <c r="AF35" s="57">
        <f t="shared" si="20"/>
        <v>15.880000000000003</v>
      </c>
    </row>
    <row r="36" spans="1:32" s="51" customFormat="1" ht="21" customHeight="1">
      <c r="A36" s="140"/>
      <c r="B36" s="140"/>
      <c r="C36" s="142"/>
      <c r="D36" s="143">
        <f t="shared" si="24"/>
        <v>420</v>
      </c>
      <c r="E36" s="133">
        <f t="shared" si="12"/>
        <v>0.29166666666666669</v>
      </c>
      <c r="F36" s="144">
        <f t="shared" si="13"/>
        <v>24.828121872135025</v>
      </c>
      <c r="G36" s="144">
        <f t="shared" si="14"/>
        <v>15.378121872135026</v>
      </c>
      <c r="H36" s="146"/>
      <c r="I36" s="146"/>
      <c r="J36" s="146"/>
      <c r="K36" s="80">
        <f t="shared" si="15"/>
        <v>0.30784087937180971</v>
      </c>
      <c r="L36" s="75" t="s">
        <v>21</v>
      </c>
      <c r="V36" s="55">
        <f t="shared" si="8"/>
        <v>150</v>
      </c>
      <c r="W36" s="51">
        <f t="shared" si="9"/>
        <v>4.1534103653503527</v>
      </c>
      <c r="X36" s="51">
        <f t="shared" si="10"/>
        <v>0.1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26.879998619965825</v>
      </c>
      <c r="AC36" s="57">
        <f t="shared" si="25"/>
        <v>26.879998619965825</v>
      </c>
      <c r="AE36" s="56">
        <f t="shared" si="6"/>
        <v>900</v>
      </c>
      <c r="AF36" s="57">
        <f t="shared" si="20"/>
        <v>15.880000000000003</v>
      </c>
    </row>
    <row r="37" spans="1:32" s="51" customFormat="1" ht="21" customHeight="1">
      <c r="A37" s="140"/>
      <c r="B37" s="140"/>
      <c r="C37" s="142"/>
      <c r="D37" s="143">
        <f t="shared" si="24"/>
        <v>480</v>
      </c>
      <c r="E37" s="133">
        <f t="shared" si="12"/>
        <v>0.33333333333333331</v>
      </c>
      <c r="F37" s="144">
        <f t="shared" si="13"/>
        <v>25.094785771219605</v>
      </c>
      <c r="G37" s="144">
        <f t="shared" si="14"/>
        <v>15.644785771219606</v>
      </c>
      <c r="H37" s="146"/>
      <c r="I37" s="146"/>
      <c r="J37" s="146"/>
      <c r="K37" s="80">
        <f t="shared" si="15"/>
        <v>0.26666389908458044</v>
      </c>
      <c r="L37" s="75" t="s">
        <v>21</v>
      </c>
      <c r="V37" s="55">
        <f t="shared" si="8"/>
        <v>150</v>
      </c>
      <c r="W37" s="51">
        <f t="shared" si="9"/>
        <v>4.1534103653503527</v>
      </c>
      <c r="X37" s="51">
        <f t="shared" si="10"/>
        <v>0.1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26.879998619965825</v>
      </c>
      <c r="AC37" s="57">
        <f t="shared" si="25"/>
        <v>26.879998619965825</v>
      </c>
      <c r="AD37" s="51">
        <v>37</v>
      </c>
      <c r="AE37" s="56">
        <f t="shared" si="6"/>
        <v>960</v>
      </c>
      <c r="AF37" s="57">
        <f t="shared" si="20"/>
        <v>15.880000000000003</v>
      </c>
    </row>
    <row r="38" spans="1:32" s="51" customFormat="1" ht="21" customHeight="1">
      <c r="A38" s="140"/>
      <c r="B38" s="140"/>
      <c r="C38" s="142"/>
      <c r="D38" s="143">
        <f t="shared" si="24"/>
        <v>540</v>
      </c>
      <c r="E38" s="133">
        <f t="shared" si="12"/>
        <v>0.375</v>
      </c>
      <c r="F38" s="144">
        <f t="shared" si="13"/>
        <v>25.330000000000002</v>
      </c>
      <c r="G38" s="144">
        <f t="shared" si="14"/>
        <v>15.880000000000003</v>
      </c>
      <c r="H38" s="146"/>
      <c r="I38" s="146"/>
      <c r="J38" s="146"/>
      <c r="K38" s="80">
        <f t="shared" si="15"/>
        <v>0.23521422878039644</v>
      </c>
      <c r="L38" s="75" t="s">
        <v>21</v>
      </c>
      <c r="V38" s="55">
        <f t="shared" si="8"/>
        <v>150</v>
      </c>
      <c r="W38" s="51">
        <f t="shared" si="9"/>
        <v>4.1534103653503527</v>
      </c>
      <c r="X38" s="51">
        <f t="shared" si="10"/>
        <v>0.1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26.879998619965825</v>
      </c>
      <c r="AC38" s="57">
        <f t="shared" si="25"/>
        <v>26.879998619965825</v>
      </c>
      <c r="AD38" s="52" t="s">
        <v>40</v>
      </c>
      <c r="AE38" s="56">
        <f t="shared" si="6"/>
        <v>1020</v>
      </c>
      <c r="AF38" s="57">
        <f t="shared" si="20"/>
        <v>15.880000000000003</v>
      </c>
    </row>
    <row r="39" spans="1:32" s="51" customFormat="1" ht="21" customHeight="1">
      <c r="A39" s="140"/>
      <c r="B39" s="140"/>
      <c r="C39" s="142">
        <f>$C$10+D39/1440</f>
        <v>45454.888888888883</v>
      </c>
      <c r="D39" s="143">
        <f t="shared" si="24"/>
        <v>600</v>
      </c>
      <c r="E39" s="133">
        <f t="shared" si="12"/>
        <v>0.41666666666666669</v>
      </c>
      <c r="F39" s="144">
        <f t="shared" si="13"/>
        <v>25.330000000000002</v>
      </c>
      <c r="G39" s="144">
        <f t="shared" si="14"/>
        <v>15.880000000000003</v>
      </c>
      <c r="H39" s="146"/>
      <c r="I39" s="146"/>
      <c r="J39" s="146"/>
      <c r="K39" s="80">
        <f t="shared" si="15"/>
        <v>0</v>
      </c>
      <c r="L39" s="75" t="s">
        <v>21</v>
      </c>
      <c r="V39" s="55">
        <f t="shared" si="8"/>
        <v>150</v>
      </c>
      <c r="W39" s="51">
        <f t="shared" si="9"/>
        <v>4.1534103653503527</v>
      </c>
      <c r="X39" s="51">
        <f t="shared" si="10"/>
        <v>0.1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26.879998619965825</v>
      </c>
      <c r="AC39" s="57">
        <f t="shared" ref="AC39:AC40" si="26">AC38</f>
        <v>26.879998619965825</v>
      </c>
      <c r="AD39" s="85">
        <v>39</v>
      </c>
      <c r="AE39" s="56">
        <f t="shared" si="6"/>
        <v>1080</v>
      </c>
      <c r="AF39" s="57">
        <f t="shared" si="20"/>
        <v>15.880000000000003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4"/>
        <v>660</v>
      </c>
      <c r="E40" s="133">
        <f t="shared" si="12"/>
        <v>0.45833333333333331</v>
      </c>
      <c r="F40" s="144">
        <f t="shared" si="13"/>
        <v>25.330000000000002</v>
      </c>
      <c r="G40" s="144">
        <f t="shared" si="14"/>
        <v>15.880000000000003</v>
      </c>
      <c r="H40" s="146"/>
      <c r="I40" s="146"/>
      <c r="J40" s="146"/>
      <c r="K40" s="80">
        <f t="shared" si="15"/>
        <v>0</v>
      </c>
      <c r="L40" s="75" t="s">
        <v>21</v>
      </c>
      <c r="V40" s="55">
        <f t="shared" si="8"/>
        <v>150</v>
      </c>
      <c r="W40" s="51">
        <f t="shared" si="9"/>
        <v>4.1534103653503527</v>
      </c>
      <c r="X40" s="51">
        <f t="shared" si="10"/>
        <v>0.1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26.879998619965825</v>
      </c>
      <c r="AC40" s="57">
        <f t="shared" si="26"/>
        <v>26.879998619965825</v>
      </c>
      <c r="AD40" s="85">
        <v>40</v>
      </c>
      <c r="AE40" s="56">
        <f t="shared" si="6"/>
        <v>1140</v>
      </c>
      <c r="AF40" s="57">
        <f t="shared" si="20"/>
        <v>15.880000000000003</v>
      </c>
    </row>
    <row r="41" spans="1:32" s="51" customFormat="1" ht="21" customHeight="1">
      <c r="A41" s="140"/>
      <c r="B41" s="140"/>
      <c r="C41" s="142"/>
      <c r="D41" s="143">
        <f t="shared" si="24"/>
        <v>720</v>
      </c>
      <c r="E41" s="133">
        <f t="shared" si="12"/>
        <v>0.5</v>
      </c>
      <c r="F41" s="144">
        <f t="shared" si="13"/>
        <v>25.330000000000002</v>
      </c>
      <c r="G41" s="144">
        <f t="shared" si="14"/>
        <v>15.880000000000003</v>
      </c>
      <c r="H41" s="146"/>
      <c r="I41" s="146"/>
      <c r="J41" s="146"/>
      <c r="K41" s="80">
        <f t="shared" si="15"/>
        <v>0</v>
      </c>
      <c r="L41" s="75" t="s">
        <v>21</v>
      </c>
      <c r="V41" s="86">
        <f t="shared" si="8"/>
        <v>150</v>
      </c>
      <c r="W41" s="87">
        <f t="shared" si="9"/>
        <v>4.1534103653503527</v>
      </c>
      <c r="X41" s="87">
        <f t="shared" si="10"/>
        <v>0.1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26.879998619965825</v>
      </c>
      <c r="AC41" s="57">
        <f t="shared" ref="AC41:AC46" si="27">AC40</f>
        <v>26.879998619965825</v>
      </c>
      <c r="AD41" s="90">
        <v>41</v>
      </c>
      <c r="AE41" s="56">
        <f t="shared" si="6"/>
        <v>1200</v>
      </c>
      <c r="AF41" s="57">
        <f t="shared" si="20"/>
        <v>15.880000000000003</v>
      </c>
    </row>
    <row r="42" spans="1:32" s="51" customFormat="1" ht="21" customHeight="1">
      <c r="A42" s="140"/>
      <c r="B42" s="140"/>
      <c r="C42" s="142"/>
      <c r="D42" s="143">
        <f t="shared" si="24"/>
        <v>780</v>
      </c>
      <c r="E42" s="133">
        <f t="shared" si="12"/>
        <v>0.54166666666666663</v>
      </c>
      <c r="F42" s="144">
        <f t="shared" si="13"/>
        <v>25.330000000000002</v>
      </c>
      <c r="G42" s="144">
        <f t="shared" si="14"/>
        <v>15.880000000000003</v>
      </c>
      <c r="H42" s="146"/>
      <c r="I42" s="146"/>
      <c r="J42" s="146"/>
      <c r="K42" s="80">
        <f t="shared" si="15"/>
        <v>0</v>
      </c>
      <c r="L42" s="75" t="s">
        <v>21</v>
      </c>
      <c r="V42" s="55">
        <f t="shared" si="8"/>
        <v>150</v>
      </c>
      <c r="W42" s="51">
        <f t="shared" si="9"/>
        <v>4.1534103653503527</v>
      </c>
      <c r="X42" s="51">
        <f t="shared" si="10"/>
        <v>0.1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26.879998619965825</v>
      </c>
      <c r="AC42" s="57">
        <f t="shared" si="27"/>
        <v>26.879998619965825</v>
      </c>
      <c r="AD42" s="85">
        <v>42</v>
      </c>
      <c r="AE42" s="56">
        <f t="shared" si="6"/>
        <v>1260</v>
      </c>
      <c r="AF42" s="57">
        <f t="shared" si="20"/>
        <v>15.880000000000003</v>
      </c>
    </row>
    <row r="43" spans="1:32" s="51" customFormat="1" ht="21" customHeight="1">
      <c r="A43" s="140"/>
      <c r="B43" s="140"/>
      <c r="C43" s="142"/>
      <c r="D43" s="143">
        <f t="shared" si="24"/>
        <v>840</v>
      </c>
      <c r="E43" s="133">
        <f t="shared" si="12"/>
        <v>0.58333333333333337</v>
      </c>
      <c r="F43" s="144">
        <f t="shared" si="13"/>
        <v>25.330000000000002</v>
      </c>
      <c r="G43" s="144">
        <f t="shared" si="14"/>
        <v>15.880000000000003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150</v>
      </c>
      <c r="W43" s="87">
        <f t="shared" si="9"/>
        <v>4.1534103653503527</v>
      </c>
      <c r="X43" s="87">
        <f t="shared" si="10"/>
        <v>0.1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26.879998619965825</v>
      </c>
      <c r="AC43" s="57">
        <f t="shared" si="27"/>
        <v>26.879998619965825</v>
      </c>
      <c r="AD43" s="90">
        <v>43</v>
      </c>
      <c r="AE43" s="56">
        <f t="shared" si="6"/>
        <v>1320</v>
      </c>
      <c r="AF43" s="57">
        <f t="shared" si="20"/>
        <v>15.880000000000003</v>
      </c>
    </row>
    <row r="44" spans="1:32" s="51" customFormat="1" ht="21" customHeight="1">
      <c r="A44" s="140"/>
      <c r="B44" s="140"/>
      <c r="C44" s="142"/>
      <c r="D44" s="143">
        <f t="shared" si="24"/>
        <v>900</v>
      </c>
      <c r="E44" s="133">
        <f t="shared" si="12"/>
        <v>0.625</v>
      </c>
      <c r="F44" s="144">
        <f t="shared" si="13"/>
        <v>25.330000000000002</v>
      </c>
      <c r="G44" s="144">
        <f t="shared" si="14"/>
        <v>15.880000000000003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150</v>
      </c>
      <c r="W44" s="51">
        <f t="shared" si="9"/>
        <v>4.1534103653503527</v>
      </c>
      <c r="X44" s="51">
        <f t="shared" si="10"/>
        <v>0.1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26.879998619965825</v>
      </c>
      <c r="AC44" s="57">
        <f t="shared" si="27"/>
        <v>26.879998619965825</v>
      </c>
      <c r="AD44" s="85">
        <v>44</v>
      </c>
      <c r="AE44" s="56">
        <f t="shared" si="6"/>
        <v>1380</v>
      </c>
      <c r="AF44" s="57">
        <f t="shared" si="20"/>
        <v>15.880000000000003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45455.138888888883</v>
      </c>
      <c r="D45" s="143">
        <f t="shared" si="24"/>
        <v>960</v>
      </c>
      <c r="E45" s="133">
        <f t="shared" si="12"/>
        <v>0.66666666666666663</v>
      </c>
      <c r="F45" s="144">
        <f t="shared" si="13"/>
        <v>25.330000000000002</v>
      </c>
      <c r="G45" s="144">
        <f t="shared" si="14"/>
        <v>15.880000000000003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150</v>
      </c>
      <c r="W45" s="87">
        <f t="shared" si="9"/>
        <v>4.1534103653503527</v>
      </c>
      <c r="X45" s="87">
        <f t="shared" si="10"/>
        <v>0.1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26.879998619965825</v>
      </c>
      <c r="AC45" s="57">
        <f t="shared" si="27"/>
        <v>26.879998619965825</v>
      </c>
      <c r="AD45" s="90">
        <v>45</v>
      </c>
      <c r="AE45" s="56">
        <f t="shared" si="6"/>
        <v>1440</v>
      </c>
      <c r="AF45" s="57">
        <f t="shared" si="20"/>
        <v>15.880000000000003</v>
      </c>
    </row>
    <row r="46" spans="1:32" s="51" customFormat="1" ht="21" customHeight="1">
      <c r="A46" s="140"/>
      <c r="B46" s="140"/>
      <c r="C46" s="140"/>
      <c r="D46" s="147">
        <f t="shared" si="24"/>
        <v>1020</v>
      </c>
      <c r="E46" s="133">
        <f t="shared" si="12"/>
        <v>0.70833333333333337</v>
      </c>
      <c r="F46" s="144">
        <f t="shared" si="13"/>
        <v>25.330000000000002</v>
      </c>
      <c r="G46" s="144">
        <f t="shared" si="14"/>
        <v>15.880000000000003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150</v>
      </c>
      <c r="W46" s="51">
        <f t="shared" si="9"/>
        <v>4.1534103653503527</v>
      </c>
      <c r="X46" s="51">
        <f t="shared" si="10"/>
        <v>0.1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26.879998619965825</v>
      </c>
      <c r="AC46" s="57">
        <f t="shared" si="27"/>
        <v>26.879998619965825</v>
      </c>
      <c r="AD46" s="85">
        <v>46</v>
      </c>
      <c r="AE46" s="91">
        <f t="shared" si="6"/>
        <v>1500</v>
      </c>
      <c r="AF46" s="93">
        <f t="shared" si="20"/>
        <v>15.880000000000003</v>
      </c>
    </row>
    <row r="47" spans="1:32" s="51" customFormat="1" ht="21" customHeight="1">
      <c r="A47" s="140"/>
      <c r="B47" s="140"/>
      <c r="C47" s="142"/>
      <c r="D47" s="143">
        <f t="shared" si="24"/>
        <v>1080</v>
      </c>
      <c r="E47" s="133">
        <f t="shared" si="12"/>
        <v>0.75</v>
      </c>
      <c r="F47" s="144">
        <f t="shared" si="13"/>
        <v>25.330000000000002</v>
      </c>
      <c r="G47" s="144">
        <f t="shared" si="14"/>
        <v>15.880000000000003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150</v>
      </c>
      <c r="W47" s="51">
        <f t="shared" si="9"/>
        <v>4.1534103653503527</v>
      </c>
      <c r="X47" s="51">
        <f t="shared" si="10"/>
        <v>0.1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26.879998619965825</v>
      </c>
      <c r="AC47" s="57">
        <f t="shared" ref="AC47:AC69" si="28">AC46</f>
        <v>26.879998619965825</v>
      </c>
      <c r="AE47" s="56">
        <f t="shared" si="6"/>
        <v>1560</v>
      </c>
      <c r="AF47" s="57">
        <f t="shared" si="20"/>
        <v>15.880000000000003</v>
      </c>
    </row>
    <row r="48" spans="1:32" s="51" customFormat="1" ht="21" customHeight="1">
      <c r="A48" s="140"/>
      <c r="B48" s="140"/>
      <c r="C48" s="142"/>
      <c r="D48" s="143">
        <f t="shared" si="24"/>
        <v>1140</v>
      </c>
      <c r="E48" s="133">
        <f t="shared" si="12"/>
        <v>0.79166666666666663</v>
      </c>
      <c r="F48" s="144">
        <f t="shared" si="13"/>
        <v>25.330000000000002</v>
      </c>
      <c r="G48" s="144">
        <f t="shared" si="14"/>
        <v>15.880000000000003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150</v>
      </c>
      <c r="W48" s="51">
        <f t="shared" si="9"/>
        <v>4.1534103653503527</v>
      </c>
      <c r="X48" s="51">
        <f t="shared" si="10"/>
        <v>0.1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26.879998619965825</v>
      </c>
      <c r="AC48" s="57">
        <f t="shared" si="28"/>
        <v>26.879998619965825</v>
      </c>
      <c r="AE48" s="56">
        <f t="shared" si="6"/>
        <v>1620</v>
      </c>
      <c r="AF48" s="57">
        <f t="shared" si="20"/>
        <v>15.880000000000003</v>
      </c>
    </row>
    <row r="49" spans="1:32" s="51" customFormat="1" ht="21" customHeight="1">
      <c r="A49" s="140"/>
      <c r="B49" s="140"/>
      <c r="C49" s="142"/>
      <c r="D49" s="143">
        <f t="shared" si="24"/>
        <v>1200</v>
      </c>
      <c r="E49" s="133">
        <f t="shared" si="12"/>
        <v>0.83333333333333337</v>
      </c>
      <c r="F49" s="144">
        <f t="shared" si="13"/>
        <v>25.330000000000002</v>
      </c>
      <c r="G49" s="144">
        <f t="shared" si="14"/>
        <v>15.880000000000003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150</v>
      </c>
      <c r="W49" s="51">
        <f t="shared" si="9"/>
        <v>4.1534103653503527</v>
      </c>
      <c r="X49" s="51">
        <f t="shared" si="10"/>
        <v>0.1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26.879998619965825</v>
      </c>
      <c r="AC49" s="57">
        <f t="shared" si="28"/>
        <v>26.879998619965825</v>
      </c>
      <c r="AE49" s="56">
        <f t="shared" si="6"/>
        <v>1680</v>
      </c>
      <c r="AF49" s="57">
        <f t="shared" si="20"/>
        <v>15.880000000000003</v>
      </c>
    </row>
    <row r="50" spans="1:32" s="51" customFormat="1" ht="21" customHeight="1">
      <c r="A50" s="140"/>
      <c r="B50" s="140"/>
      <c r="C50" s="142"/>
      <c r="D50" s="143">
        <f t="shared" si="24"/>
        <v>1260</v>
      </c>
      <c r="E50" s="133">
        <f t="shared" si="12"/>
        <v>0.875</v>
      </c>
      <c r="F50" s="144">
        <f t="shared" si="13"/>
        <v>25.330000000000002</v>
      </c>
      <c r="G50" s="144">
        <f t="shared" si="14"/>
        <v>15.880000000000003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150</v>
      </c>
      <c r="W50" s="51">
        <f t="shared" si="9"/>
        <v>4.1534103653503527</v>
      </c>
      <c r="X50" s="51">
        <f t="shared" si="10"/>
        <v>0.1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26.879998619965825</v>
      </c>
      <c r="AC50" s="57">
        <f t="shared" si="28"/>
        <v>26.879998619965825</v>
      </c>
      <c r="AE50" s="56">
        <f t="shared" si="6"/>
        <v>1740</v>
      </c>
      <c r="AF50" s="57">
        <f t="shared" si="20"/>
        <v>15.880000000000003</v>
      </c>
    </row>
    <row r="51" spans="1:32" s="51" customFormat="1" ht="21" customHeight="1">
      <c r="A51" s="140"/>
      <c r="B51" s="140"/>
      <c r="C51" s="142">
        <f>$C$10+D51/1440</f>
        <v>45455.388888888883</v>
      </c>
      <c r="D51" s="143">
        <f t="shared" si="24"/>
        <v>1320</v>
      </c>
      <c r="E51" s="133">
        <f t="shared" si="12"/>
        <v>0.91666666666666663</v>
      </c>
      <c r="F51" s="144">
        <f t="shared" si="13"/>
        <v>25.330000000000002</v>
      </c>
      <c r="G51" s="144">
        <f t="shared" si="14"/>
        <v>15.880000000000003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150</v>
      </c>
      <c r="W51" s="51">
        <f t="shared" si="9"/>
        <v>4.1534103653503527</v>
      </c>
      <c r="X51" s="51">
        <f t="shared" si="10"/>
        <v>0.1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26.879998619965825</v>
      </c>
      <c r="AC51" s="57">
        <f t="shared" si="28"/>
        <v>26.879998619965825</v>
      </c>
      <c r="AE51" s="56">
        <f t="shared" si="6"/>
        <v>1800</v>
      </c>
      <c r="AF51" s="57">
        <f t="shared" si="20"/>
        <v>15.880000000000003</v>
      </c>
    </row>
    <row r="52" spans="1:32" s="51" customFormat="1" ht="21" customHeight="1">
      <c r="A52" s="140"/>
      <c r="B52" s="140"/>
      <c r="C52" s="142"/>
      <c r="D52" s="143">
        <f t="shared" si="24"/>
        <v>1380</v>
      </c>
      <c r="E52" s="133">
        <f t="shared" si="12"/>
        <v>0.95833333333333337</v>
      </c>
      <c r="F52" s="144">
        <f t="shared" si="13"/>
        <v>25.330000000000002</v>
      </c>
      <c r="G52" s="144">
        <f t="shared" si="14"/>
        <v>15.880000000000003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150</v>
      </c>
      <c r="W52" s="51">
        <f t="shared" si="9"/>
        <v>4.1534103653503527</v>
      </c>
      <c r="X52" s="51">
        <f t="shared" si="10"/>
        <v>0.1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26.879998619965825</v>
      </c>
      <c r="AC52" s="57">
        <f t="shared" si="28"/>
        <v>26.879998619965825</v>
      </c>
      <c r="AE52" s="56">
        <f t="shared" si="6"/>
        <v>1860</v>
      </c>
      <c r="AF52" s="57">
        <f t="shared" si="20"/>
        <v>15.880000000000003</v>
      </c>
    </row>
    <row r="53" spans="1:32" s="51" customFormat="1" ht="21" customHeight="1">
      <c r="A53" s="140"/>
      <c r="B53" s="140"/>
      <c r="C53" s="142"/>
      <c r="D53" s="143">
        <f t="shared" si="24"/>
        <v>1440</v>
      </c>
      <c r="E53" s="133">
        <f t="shared" si="12"/>
        <v>1</v>
      </c>
      <c r="F53" s="144">
        <f t="shared" si="13"/>
        <v>25.330000000000002</v>
      </c>
      <c r="G53" s="144">
        <f t="shared" si="14"/>
        <v>15.880000000000003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150</v>
      </c>
      <c r="W53" s="51">
        <f t="shared" si="9"/>
        <v>4.1534103653503527</v>
      </c>
      <c r="X53" s="51">
        <f t="shared" si="10"/>
        <v>0.1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26.879998619965825</v>
      </c>
      <c r="AC53" s="57">
        <f t="shared" si="28"/>
        <v>26.879998619965825</v>
      </c>
      <c r="AE53" s="56">
        <f t="shared" si="6"/>
        <v>1920</v>
      </c>
      <c r="AF53" s="57">
        <f t="shared" si="20"/>
        <v>15.880000000000003</v>
      </c>
    </row>
    <row r="54" spans="1:32" s="51" customFormat="1" ht="21" customHeight="1">
      <c r="A54" s="140"/>
      <c r="B54" s="140"/>
      <c r="C54" s="142"/>
      <c r="D54" s="143">
        <f t="shared" si="24"/>
        <v>1500</v>
      </c>
      <c r="E54" s="133">
        <f t="shared" si="12"/>
        <v>1.0416666666666667</v>
      </c>
      <c r="F54" s="144">
        <f t="shared" si="13"/>
        <v>25.330000000000002</v>
      </c>
      <c r="G54" s="144">
        <f t="shared" si="14"/>
        <v>15.880000000000003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150</v>
      </c>
      <c r="W54" s="51">
        <f t="shared" si="9"/>
        <v>4.1534103653503527</v>
      </c>
      <c r="X54" s="51">
        <f t="shared" si="10"/>
        <v>0.1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26.879998619965825</v>
      </c>
      <c r="AC54" s="57">
        <f t="shared" si="28"/>
        <v>26.879998619965825</v>
      </c>
      <c r="AE54" s="56">
        <f t="shared" si="6"/>
        <v>1980</v>
      </c>
      <c r="AF54" s="57">
        <f t="shared" si="20"/>
        <v>15.880000000000003</v>
      </c>
    </row>
    <row r="55" spans="1:32" s="51" customFormat="1" ht="21" customHeight="1">
      <c r="A55" s="140"/>
      <c r="B55" s="140"/>
      <c r="C55" s="142" t="s">
        <v>4</v>
      </c>
      <c r="D55" s="143">
        <f t="shared" si="24"/>
        <v>1560</v>
      </c>
      <c r="E55" s="133">
        <f t="shared" si="12"/>
        <v>1.0833333333333333</v>
      </c>
      <c r="F55" s="144">
        <f t="shared" si="13"/>
        <v>25.330000000000002</v>
      </c>
      <c r="G55" s="144">
        <f t="shared" si="14"/>
        <v>15.880000000000003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150</v>
      </c>
      <c r="W55" s="51">
        <f t="shared" si="9"/>
        <v>4.1534103653503527</v>
      </c>
      <c r="X55" s="51">
        <f t="shared" si="10"/>
        <v>0.1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26.879998619965825</v>
      </c>
      <c r="AC55" s="57">
        <f t="shared" si="28"/>
        <v>26.879998619965825</v>
      </c>
      <c r="AE55" s="56">
        <f t="shared" si="6"/>
        <v>2040</v>
      </c>
      <c r="AF55" s="57">
        <f t="shared" si="20"/>
        <v>15.880000000000003</v>
      </c>
    </row>
    <row r="56" spans="1:32" s="51" customFormat="1" ht="21.6" customHeight="1">
      <c r="A56" s="140"/>
      <c r="B56" s="140"/>
      <c r="C56" s="142">
        <f>$C$10+D56/1440</f>
        <v>45455.597222222219</v>
      </c>
      <c r="D56" s="143">
        <f t="shared" si="24"/>
        <v>1620</v>
      </c>
      <c r="E56" s="133">
        <f t="shared" si="12"/>
        <v>1.125</v>
      </c>
      <c r="F56" s="144">
        <f t="shared" si="13"/>
        <v>25.330000000000002</v>
      </c>
      <c r="G56" s="144">
        <f t="shared" si="14"/>
        <v>15.880000000000003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150</v>
      </c>
      <c r="W56" s="51">
        <f t="shared" si="9"/>
        <v>4.1534103653503527</v>
      </c>
      <c r="X56" s="51">
        <f t="shared" si="10"/>
        <v>0.1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26.879998619965825</v>
      </c>
      <c r="AC56" s="57">
        <f t="shared" si="28"/>
        <v>26.879998619965825</v>
      </c>
      <c r="AE56" s="56">
        <f t="shared" si="6"/>
        <v>2100</v>
      </c>
      <c r="AF56" s="57">
        <f t="shared" si="20"/>
        <v>15.880000000000003</v>
      </c>
    </row>
    <row r="57" spans="1:32" s="51" customFormat="1" ht="21.6" customHeight="1">
      <c r="A57" s="140"/>
      <c r="B57" s="140"/>
      <c r="C57" s="142"/>
      <c r="D57" s="143">
        <f t="shared" si="24"/>
        <v>1680</v>
      </c>
      <c r="E57" s="133">
        <f t="shared" si="12"/>
        <v>1.1666666666666667</v>
      </c>
      <c r="F57" s="144">
        <f t="shared" si="13"/>
        <v>25.330000000000002</v>
      </c>
      <c r="G57" s="144">
        <f t="shared" si="14"/>
        <v>15.880000000000003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150</v>
      </c>
      <c r="W57" s="51">
        <f t="shared" si="9"/>
        <v>4.1534103653503527</v>
      </c>
      <c r="X57" s="51">
        <f t="shared" si="10"/>
        <v>0.1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26.879998619965825</v>
      </c>
      <c r="AC57" s="57">
        <f t="shared" si="28"/>
        <v>26.879998619965825</v>
      </c>
      <c r="AE57" s="56">
        <f t="shared" si="6"/>
        <v>2160</v>
      </c>
      <c r="AF57" s="57">
        <f t="shared" si="20"/>
        <v>15.880000000000003</v>
      </c>
    </row>
    <row r="58" spans="1:32" s="51" customFormat="1" ht="21.6" customHeight="1">
      <c r="A58" s="140"/>
      <c r="B58" s="140"/>
      <c r="C58" s="142"/>
      <c r="D58" s="143">
        <f t="shared" si="24"/>
        <v>1740</v>
      </c>
      <c r="E58" s="133">
        <f t="shared" si="12"/>
        <v>1.2083333333333333</v>
      </c>
      <c r="F58" s="144">
        <f t="shared" si="13"/>
        <v>25.330000000000002</v>
      </c>
      <c r="G58" s="144">
        <f t="shared" si="14"/>
        <v>15.880000000000003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150</v>
      </c>
      <c r="W58" s="51">
        <f t="shared" si="9"/>
        <v>4.1534103653503527</v>
      </c>
      <c r="X58" s="51">
        <f t="shared" si="10"/>
        <v>0.1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26.879998619965825</v>
      </c>
      <c r="AC58" s="57">
        <f t="shared" si="28"/>
        <v>26.879998619965825</v>
      </c>
      <c r="AE58" s="56">
        <f t="shared" si="6"/>
        <v>2220</v>
      </c>
      <c r="AF58" s="57">
        <f t="shared" si="20"/>
        <v>15.880000000000003</v>
      </c>
    </row>
    <row r="59" spans="1:32" s="51" customFormat="1" ht="21.6" customHeight="1">
      <c r="A59" s="140"/>
      <c r="B59" s="140"/>
      <c r="C59" s="142"/>
      <c r="D59" s="143">
        <f t="shared" si="24"/>
        <v>1800</v>
      </c>
      <c r="E59" s="133">
        <f t="shared" si="12"/>
        <v>1.25</v>
      </c>
      <c r="F59" s="144">
        <f t="shared" si="13"/>
        <v>25.330000000000002</v>
      </c>
      <c r="G59" s="144">
        <f t="shared" si="14"/>
        <v>15.880000000000003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150</v>
      </c>
      <c r="W59" s="51">
        <f t="shared" si="9"/>
        <v>4.1534103653503527</v>
      </c>
      <c r="X59" s="51">
        <f t="shared" si="10"/>
        <v>0.1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26.879998619965825</v>
      </c>
      <c r="AC59" s="57">
        <f t="shared" si="28"/>
        <v>26.879998619965825</v>
      </c>
      <c r="AE59" s="56">
        <f t="shared" si="6"/>
        <v>2280</v>
      </c>
      <c r="AF59" s="57">
        <f t="shared" si="20"/>
        <v>15.880000000000003</v>
      </c>
    </row>
    <row r="60" spans="1:32" s="51" customFormat="1" ht="21.6" customHeight="1">
      <c r="A60" s="140"/>
      <c r="B60" s="140"/>
      <c r="C60" s="142"/>
      <c r="D60" s="143">
        <f t="shared" si="24"/>
        <v>1860</v>
      </c>
      <c r="E60" s="133">
        <f t="shared" si="12"/>
        <v>1.2916666666666667</v>
      </c>
      <c r="F60" s="144">
        <f t="shared" si="13"/>
        <v>25.330000000000002</v>
      </c>
      <c r="G60" s="144">
        <f t="shared" si="14"/>
        <v>15.880000000000003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150</v>
      </c>
      <c r="W60" s="51">
        <f t="shared" si="9"/>
        <v>4.1534103653503527</v>
      </c>
      <c r="X60" s="51">
        <f t="shared" si="10"/>
        <v>0.1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26.879998619965825</v>
      </c>
      <c r="AC60" s="57">
        <f t="shared" si="28"/>
        <v>26.879998619965825</v>
      </c>
      <c r="AE60" s="56">
        <f t="shared" si="6"/>
        <v>2340</v>
      </c>
      <c r="AF60" s="57">
        <f t="shared" si="20"/>
        <v>15.880000000000003</v>
      </c>
    </row>
    <row r="61" spans="1:32" s="51" customFormat="1" ht="21.6" customHeight="1">
      <c r="A61" s="140"/>
      <c r="B61" s="140"/>
      <c r="C61" s="142">
        <f>$C$10+D61/1440</f>
        <v>45455.805555555555</v>
      </c>
      <c r="D61" s="143">
        <f t="shared" si="24"/>
        <v>1920</v>
      </c>
      <c r="E61" s="133">
        <f t="shared" si="12"/>
        <v>1.3333333333333333</v>
      </c>
      <c r="F61" s="144">
        <f t="shared" si="13"/>
        <v>25.330000000000002</v>
      </c>
      <c r="G61" s="144">
        <f t="shared" si="14"/>
        <v>15.880000000000003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150</v>
      </c>
      <c r="W61" s="51">
        <f t="shared" si="9"/>
        <v>4.1534103653503527</v>
      </c>
      <c r="X61" s="51">
        <f t="shared" si="10"/>
        <v>0.1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26.879998619965825</v>
      </c>
      <c r="AC61" s="57">
        <f t="shared" si="28"/>
        <v>26.879998619965825</v>
      </c>
      <c r="AE61" s="56">
        <f t="shared" si="6"/>
        <v>2400</v>
      </c>
      <c r="AF61" s="57">
        <f t="shared" si="20"/>
        <v>15.880000000000003</v>
      </c>
    </row>
    <row r="62" spans="1:32" s="51" customFormat="1" ht="21.6" customHeight="1">
      <c r="A62" s="140"/>
      <c r="B62" s="140"/>
      <c r="C62" s="142"/>
      <c r="D62" s="143">
        <f t="shared" si="24"/>
        <v>1980</v>
      </c>
      <c r="E62" s="133">
        <f t="shared" si="12"/>
        <v>1.375</v>
      </c>
      <c r="F62" s="144">
        <f t="shared" si="13"/>
        <v>25.330000000000002</v>
      </c>
      <c r="G62" s="144">
        <f t="shared" si="14"/>
        <v>15.880000000000003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150</v>
      </c>
      <c r="W62" s="51">
        <f t="shared" si="9"/>
        <v>4.1534103653503527</v>
      </c>
      <c r="X62" s="51">
        <f t="shared" si="10"/>
        <v>0.1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26.879998619965825</v>
      </c>
      <c r="AC62" s="57">
        <f t="shared" si="28"/>
        <v>26.879998619965825</v>
      </c>
      <c r="AE62" s="56">
        <f t="shared" si="6"/>
        <v>2460</v>
      </c>
      <c r="AF62" s="57">
        <f t="shared" si="20"/>
        <v>15.880000000000003</v>
      </c>
    </row>
    <row r="63" spans="1:32" s="51" customFormat="1" ht="21.6" customHeight="1">
      <c r="A63" s="140"/>
      <c r="B63" s="140"/>
      <c r="C63" s="142"/>
      <c r="D63" s="143">
        <f t="shared" si="24"/>
        <v>2040</v>
      </c>
      <c r="E63" s="133">
        <f t="shared" si="12"/>
        <v>1.4166666666666667</v>
      </c>
      <c r="F63" s="144">
        <f>F62</f>
        <v>25.330000000000002</v>
      </c>
      <c r="G63" s="144">
        <f t="shared" si="14"/>
        <v>15.880000000000003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150</v>
      </c>
      <c r="W63" s="51">
        <f t="shared" si="9"/>
        <v>4.1534103653503527</v>
      </c>
      <c r="X63" s="51">
        <f t="shared" si="10"/>
        <v>0.1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26.879998619965825</v>
      </c>
      <c r="AC63" s="57">
        <f t="shared" si="28"/>
        <v>26.879998619965825</v>
      </c>
      <c r="AE63" s="56">
        <f t="shared" si="6"/>
        <v>2520</v>
      </c>
      <c r="AF63" s="57">
        <f t="shared" si="20"/>
        <v>15.880000000000003</v>
      </c>
    </row>
    <row r="64" spans="1:32" s="51" customFormat="1" ht="21.6" customHeight="1">
      <c r="A64" s="140"/>
      <c r="B64" s="140"/>
      <c r="C64" s="142"/>
      <c r="D64" s="143">
        <f t="shared" si="24"/>
        <v>2100</v>
      </c>
      <c r="E64" s="133">
        <f t="shared" si="12"/>
        <v>1.4583333333333333</v>
      </c>
      <c r="F64" s="144">
        <f t="shared" ref="F64:F77" si="29">F63</f>
        <v>25.330000000000002</v>
      </c>
      <c r="G64" s="144">
        <f t="shared" si="14"/>
        <v>15.880000000000003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150</v>
      </c>
      <c r="W64" s="51">
        <f t="shared" si="9"/>
        <v>4.1534103653503527</v>
      </c>
      <c r="X64" s="51">
        <f t="shared" si="10"/>
        <v>0.1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26.879998619965825</v>
      </c>
      <c r="AC64" s="57">
        <f t="shared" si="28"/>
        <v>26.879998619965825</v>
      </c>
      <c r="AE64" s="56">
        <f t="shared" si="6"/>
        <v>2580</v>
      </c>
      <c r="AF64" s="57">
        <f t="shared" si="20"/>
        <v>15.880000000000003</v>
      </c>
    </row>
    <row r="65" spans="1:32" s="51" customFormat="1" ht="21.6" customHeight="1">
      <c r="A65" s="140"/>
      <c r="B65" s="140"/>
      <c r="C65" s="142"/>
      <c r="D65" s="143">
        <f t="shared" si="24"/>
        <v>2160</v>
      </c>
      <c r="E65" s="133">
        <f t="shared" si="12"/>
        <v>1.5</v>
      </c>
      <c r="F65" s="144">
        <f t="shared" si="29"/>
        <v>25.330000000000002</v>
      </c>
      <c r="G65" s="144">
        <f t="shared" si="14"/>
        <v>15.880000000000003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150</v>
      </c>
      <c r="W65" s="51">
        <f t="shared" si="9"/>
        <v>4.1534103653503527</v>
      </c>
      <c r="X65" s="51">
        <f t="shared" si="10"/>
        <v>0.1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26.879998619965825</v>
      </c>
      <c r="AC65" s="57">
        <f t="shared" si="28"/>
        <v>26.879998619965825</v>
      </c>
      <c r="AE65" s="56">
        <f t="shared" si="6"/>
        <v>2640</v>
      </c>
      <c r="AF65" s="57">
        <f t="shared" si="20"/>
        <v>15.880000000000003</v>
      </c>
    </row>
    <row r="66" spans="1:32" s="51" customFormat="1" ht="21.6" customHeight="1">
      <c r="A66" s="140"/>
      <c r="B66" s="140"/>
      <c r="C66" s="142">
        <f>$C$10+D66/1440</f>
        <v>45456.013888888883</v>
      </c>
      <c r="D66" s="143">
        <f t="shared" si="24"/>
        <v>2220</v>
      </c>
      <c r="E66" s="133">
        <f t="shared" si="12"/>
        <v>1.5416666666666667</v>
      </c>
      <c r="F66" s="144">
        <f t="shared" si="29"/>
        <v>25.330000000000002</v>
      </c>
      <c r="G66" s="144">
        <f t="shared" si="14"/>
        <v>15.880000000000003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150</v>
      </c>
      <c r="W66" s="51">
        <f t="shared" si="9"/>
        <v>4.1534103653503527</v>
      </c>
      <c r="X66" s="51">
        <f t="shared" si="10"/>
        <v>0.1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26.879998619965825</v>
      </c>
      <c r="AC66" s="57">
        <f t="shared" si="28"/>
        <v>26.879998619965825</v>
      </c>
      <c r="AE66" s="56">
        <f t="shared" si="6"/>
        <v>2700</v>
      </c>
      <c r="AF66" s="57">
        <f t="shared" si="20"/>
        <v>15.880000000000003</v>
      </c>
    </row>
    <row r="67" spans="1:32" s="51" customFormat="1" ht="21.6" customHeight="1">
      <c r="A67" s="140"/>
      <c r="B67" s="140"/>
      <c r="C67" s="142"/>
      <c r="D67" s="143">
        <f t="shared" si="24"/>
        <v>2280</v>
      </c>
      <c r="E67" s="133">
        <f t="shared" si="12"/>
        <v>1.5833333333333333</v>
      </c>
      <c r="F67" s="144">
        <f t="shared" si="29"/>
        <v>25.330000000000002</v>
      </c>
      <c r="G67" s="144">
        <f t="shared" si="14"/>
        <v>15.880000000000003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150</v>
      </c>
      <c r="W67" s="51">
        <f t="shared" si="9"/>
        <v>4.1534103653503527</v>
      </c>
      <c r="X67" s="51">
        <f t="shared" si="10"/>
        <v>0.1</v>
      </c>
      <c r="Y67" s="51">
        <f t="shared" si="11"/>
        <v>5.0000000000000001E-4</v>
      </c>
      <c r="Z67" s="51">
        <f t="shared" ref="Z67:Z79" si="30">E75</f>
        <v>1.9166666666666667</v>
      </c>
      <c r="AA67" s="56">
        <f t="shared" ref="AA67:AA79" si="31">D75</f>
        <v>2760</v>
      </c>
      <c r="AB67" s="76">
        <f>AC67+AD$2</f>
        <v>26.879998619965825</v>
      </c>
      <c r="AC67" s="57">
        <f t="shared" si="28"/>
        <v>26.879998619965825</v>
      </c>
      <c r="AE67" s="56">
        <f>AA67</f>
        <v>2760</v>
      </c>
      <c r="AF67" s="57">
        <f t="shared" si="20"/>
        <v>15.880000000000003</v>
      </c>
    </row>
    <row r="68" spans="1:32" s="51" customFormat="1" ht="21.6" customHeight="1">
      <c r="A68" s="140"/>
      <c r="B68" s="140"/>
      <c r="C68" s="142" t="s">
        <v>4</v>
      </c>
      <c r="D68" s="143">
        <f t="shared" si="24"/>
        <v>2340</v>
      </c>
      <c r="E68" s="133">
        <f t="shared" si="12"/>
        <v>1.625</v>
      </c>
      <c r="F68" s="144">
        <f t="shared" si="29"/>
        <v>25.330000000000002</v>
      </c>
      <c r="G68" s="144">
        <f t="shared" si="14"/>
        <v>15.880000000000003</v>
      </c>
      <c r="H68" s="146"/>
      <c r="I68" s="146"/>
      <c r="J68" s="146"/>
      <c r="K68" s="51" t="s">
        <v>21</v>
      </c>
      <c r="L68" s="75" t="s">
        <v>21</v>
      </c>
      <c r="V68" s="55">
        <f>V67</f>
        <v>150</v>
      </c>
      <c r="W68" s="51">
        <f t="shared" ref="W68:W83" si="32">W$2</f>
        <v>4.1534103653503527</v>
      </c>
      <c r="X68" s="51">
        <f t="shared" ref="X68:X83" si="33">X67</f>
        <v>0.1</v>
      </c>
      <c r="Y68" s="51">
        <f t="shared" ref="Y68:Y83" si="34">Y$2</f>
        <v>5.0000000000000001E-4</v>
      </c>
      <c r="Z68" s="51">
        <f t="shared" si="30"/>
        <v>1.9583333333333333</v>
      </c>
      <c r="AA68" s="56">
        <f t="shared" si="31"/>
        <v>2820</v>
      </c>
      <c r="AB68" s="76">
        <f>AC68+AD$2</f>
        <v>26.879998619965825</v>
      </c>
      <c r="AC68" s="57">
        <f t="shared" si="28"/>
        <v>26.879998619965825</v>
      </c>
      <c r="AE68" s="56">
        <f>AA68</f>
        <v>2820</v>
      </c>
      <c r="AF68" s="57">
        <f t="shared" si="20"/>
        <v>15.880000000000003</v>
      </c>
    </row>
    <row r="69" spans="1:32" s="51" customFormat="1" ht="21.6" customHeight="1">
      <c r="A69" s="140"/>
      <c r="B69" s="140"/>
      <c r="C69" s="142"/>
      <c r="D69" s="143">
        <f t="shared" si="24"/>
        <v>2400</v>
      </c>
      <c r="E69" s="133">
        <f t="shared" si="12"/>
        <v>1.6666666666666667</v>
      </c>
      <c r="F69" s="144">
        <f t="shared" si="29"/>
        <v>25.330000000000002</v>
      </c>
      <c r="G69" s="144">
        <f t="shared" si="14"/>
        <v>15.880000000000003</v>
      </c>
      <c r="H69" s="146"/>
      <c r="I69" s="146"/>
      <c r="J69" s="146"/>
      <c r="K69" s="51" t="s">
        <v>21</v>
      </c>
      <c r="L69" s="75" t="s">
        <v>21</v>
      </c>
      <c r="V69" s="55">
        <f>V68</f>
        <v>150</v>
      </c>
      <c r="W69" s="51">
        <f t="shared" si="32"/>
        <v>4.1534103653503527</v>
      </c>
      <c r="X69" s="51">
        <f t="shared" si="33"/>
        <v>0.1</v>
      </c>
      <c r="Y69" s="51">
        <f t="shared" si="34"/>
        <v>5.0000000000000001E-4</v>
      </c>
      <c r="Z69" s="51">
        <f t="shared" si="30"/>
        <v>2</v>
      </c>
      <c r="AA69" s="56">
        <f t="shared" si="31"/>
        <v>2880</v>
      </c>
      <c r="AB69" s="76">
        <f>AC69+AD$2</f>
        <v>26.879998619965825</v>
      </c>
      <c r="AC69" s="57">
        <f t="shared" si="28"/>
        <v>26.879998619965825</v>
      </c>
      <c r="AE69" s="56">
        <f>AA69</f>
        <v>2880</v>
      </c>
      <c r="AF69" s="57">
        <f t="shared" si="20"/>
        <v>15.880000000000003</v>
      </c>
    </row>
    <row r="70" spans="1:32" s="51" customFormat="1" ht="21.6" customHeight="1">
      <c r="A70" s="140"/>
      <c r="B70" s="140"/>
      <c r="C70" s="142"/>
      <c r="D70" s="143">
        <f t="shared" si="24"/>
        <v>2460</v>
      </c>
      <c r="E70" s="133">
        <f t="shared" si="12"/>
        <v>1.7083333333333333</v>
      </c>
      <c r="F70" s="144">
        <f t="shared" si="29"/>
        <v>25.330000000000002</v>
      </c>
      <c r="G70" s="144">
        <f t="shared" si="14"/>
        <v>15.880000000000003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2"/>
        <v>4.1534103653503527</v>
      </c>
      <c r="X70" s="51">
        <f t="shared" si="33"/>
        <v>0.1</v>
      </c>
      <c r="Y70" s="51">
        <f t="shared" si="34"/>
        <v>5.0000000000000001E-4</v>
      </c>
      <c r="Z70" s="51">
        <f t="shared" si="30"/>
        <v>6.9444444444444447E-4</v>
      </c>
      <c r="AA70" s="56">
        <f t="shared" si="31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45456.222222222219</v>
      </c>
      <c r="D71" s="143">
        <f t="shared" si="24"/>
        <v>2520</v>
      </c>
      <c r="E71" s="133">
        <f t="shared" si="12"/>
        <v>1.75</v>
      </c>
      <c r="F71" s="144">
        <f t="shared" si="29"/>
        <v>25.330000000000002</v>
      </c>
      <c r="G71" s="144">
        <f t="shared" si="14"/>
        <v>15.880000000000003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2"/>
        <v>4.1534103653503527</v>
      </c>
      <c r="X71" s="51">
        <f t="shared" si="33"/>
        <v>0.1</v>
      </c>
      <c r="Y71" s="51">
        <f t="shared" si="34"/>
        <v>5.0000000000000001E-4</v>
      </c>
      <c r="Z71" s="51">
        <f t="shared" si="30"/>
        <v>1.3888888888888889E-3</v>
      </c>
      <c r="AA71" s="56">
        <f t="shared" si="31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4"/>
        <v>2580</v>
      </c>
      <c r="E72" s="133">
        <f t="shared" si="12"/>
        <v>1.7916666666666667</v>
      </c>
      <c r="F72" s="144">
        <f t="shared" si="29"/>
        <v>25.330000000000002</v>
      </c>
      <c r="G72" s="144">
        <f t="shared" si="14"/>
        <v>15.880000000000003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2"/>
        <v>4.1534103653503527</v>
      </c>
      <c r="X72" s="51">
        <f t="shared" si="33"/>
        <v>0.1</v>
      </c>
      <c r="Y72" s="51">
        <f t="shared" si="34"/>
        <v>5.0000000000000001E-4</v>
      </c>
      <c r="Z72" s="51">
        <f t="shared" si="30"/>
        <v>2.0833333333333333E-3</v>
      </c>
      <c r="AA72" s="56">
        <f t="shared" si="31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4"/>
        <v>2640</v>
      </c>
      <c r="E73" s="133">
        <f t="shared" si="12"/>
        <v>1.8333333333333333</v>
      </c>
      <c r="F73" s="144">
        <f t="shared" si="29"/>
        <v>25.330000000000002</v>
      </c>
      <c r="G73" s="144">
        <f t="shared" si="14"/>
        <v>15.880000000000003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2"/>
        <v>4.1534103653503527</v>
      </c>
      <c r="X73" s="51">
        <f t="shared" si="33"/>
        <v>0.1</v>
      </c>
      <c r="Y73" s="51">
        <f t="shared" si="34"/>
        <v>5.0000000000000001E-4</v>
      </c>
      <c r="Z73" s="51">
        <f t="shared" si="30"/>
        <v>2.7777777777777779E-3</v>
      </c>
      <c r="AA73" s="56">
        <f t="shared" si="31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4"/>
        <v>2700</v>
      </c>
      <c r="E74" s="133">
        <f t="shared" si="12"/>
        <v>1.875</v>
      </c>
      <c r="F74" s="144">
        <f t="shared" si="29"/>
        <v>25.330000000000002</v>
      </c>
      <c r="G74" s="144">
        <f t="shared" si="14"/>
        <v>15.880000000000003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2"/>
        <v>4.1534103653503527</v>
      </c>
      <c r="X74" s="51">
        <f t="shared" si="33"/>
        <v>0.1</v>
      </c>
      <c r="Y74" s="51">
        <f t="shared" si="34"/>
        <v>5.0000000000000001E-4</v>
      </c>
      <c r="Z74" s="51">
        <f t="shared" si="30"/>
        <v>3.472222222222222E-3</v>
      </c>
      <c r="AA74" s="56">
        <f t="shared" si="31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4"/>
        <v>2760</v>
      </c>
      <c r="E75" s="133">
        <f>D75/1440</f>
        <v>1.9166666666666667</v>
      </c>
      <c r="F75" s="144">
        <f t="shared" si="29"/>
        <v>25.330000000000002</v>
      </c>
      <c r="G75" s="144">
        <f>AF67</f>
        <v>15.880000000000003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2"/>
        <v>4.1534103653503527</v>
      </c>
      <c r="X75" s="51">
        <f t="shared" si="33"/>
        <v>0.1</v>
      </c>
      <c r="Y75" s="51">
        <f t="shared" si="34"/>
        <v>5.0000000000000001E-4</v>
      </c>
      <c r="Z75" s="51">
        <f t="shared" si="30"/>
        <v>6.9444444444444441E-3</v>
      </c>
      <c r="AA75" s="56">
        <f t="shared" si="31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4"/>
        <v>2820</v>
      </c>
      <c r="E76" s="133">
        <f>D76/1440</f>
        <v>1.9583333333333333</v>
      </c>
      <c r="F76" s="144">
        <f t="shared" si="29"/>
        <v>25.330000000000002</v>
      </c>
      <c r="G76" s="144">
        <f>AF68</f>
        <v>15.880000000000003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2"/>
        <v>4.1534103653503527</v>
      </c>
      <c r="X76" s="51">
        <f t="shared" si="33"/>
        <v>0.1</v>
      </c>
      <c r="Y76" s="51">
        <f t="shared" si="34"/>
        <v>5.0000000000000001E-4</v>
      </c>
      <c r="Z76" s="51">
        <f t="shared" si="30"/>
        <v>1.0416666666666666E-2</v>
      </c>
      <c r="AA76" s="56">
        <f t="shared" si="31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45456.472222222219</v>
      </c>
      <c r="D77" s="143">
        <f>D76+60</f>
        <v>2880</v>
      </c>
      <c r="E77" s="133">
        <f>D77/1440</f>
        <v>2</v>
      </c>
      <c r="F77" s="145">
        <f t="shared" si="29"/>
        <v>25.330000000000002</v>
      </c>
      <c r="G77" s="144">
        <f>AF69</f>
        <v>15.880000000000003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2"/>
        <v>4.1534103653503527</v>
      </c>
      <c r="X77" s="51">
        <f t="shared" si="33"/>
        <v>0.1</v>
      </c>
      <c r="Y77" s="51">
        <f t="shared" si="34"/>
        <v>5.0000000000000001E-4</v>
      </c>
      <c r="Z77" s="51">
        <f t="shared" si="30"/>
        <v>1.3888888888888888E-2</v>
      </c>
      <c r="AA77" s="56">
        <f t="shared" si="31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45456.472916666666</v>
      </c>
      <c r="D78" s="143">
        <v>1</v>
      </c>
      <c r="E78" s="133">
        <f t="shared" ref="E78:E101" si="35">D78/1440</f>
        <v>6.9444444444444447E-4</v>
      </c>
      <c r="F78" s="144">
        <f>G78+D$8</f>
        <v>20.232796980712919</v>
      </c>
      <c r="G78" s="144">
        <f>H114</f>
        <v>10.782796980712918</v>
      </c>
      <c r="H78" s="523" t="s">
        <v>191</v>
      </c>
      <c r="I78" s="523"/>
      <c r="J78" s="523"/>
      <c r="K78" s="51" t="s">
        <v>21</v>
      </c>
      <c r="L78" s="75"/>
      <c r="V78" s="55"/>
      <c r="W78" s="51">
        <f t="shared" si="32"/>
        <v>4.1534103653503527</v>
      </c>
      <c r="X78" s="51">
        <f t="shared" si="33"/>
        <v>0.1</v>
      </c>
      <c r="Y78" s="51">
        <f t="shared" si="34"/>
        <v>5.0000000000000001E-4</v>
      </c>
      <c r="Z78" s="51">
        <f t="shared" si="30"/>
        <v>1.7361111111111112E-2</v>
      </c>
      <c r="AA78" s="56">
        <f t="shared" si="31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5"/>
        <v>1.3888888888888889E-3</v>
      </c>
      <c r="F79" s="144">
        <f t="shared" ref="F79:F101" si="36">G79+D$8</f>
        <v>19.374437782107812</v>
      </c>
      <c r="G79" s="144">
        <f>H115</f>
        <v>9.9244377821078142</v>
      </c>
      <c r="H79" s="523"/>
      <c r="I79" s="523"/>
      <c r="J79" s="523"/>
      <c r="K79" s="51" t="s">
        <v>21</v>
      </c>
      <c r="L79" s="75" t="s">
        <v>21</v>
      </c>
      <c r="V79" s="55"/>
      <c r="W79" s="51">
        <f t="shared" si="32"/>
        <v>4.1534103653503527</v>
      </c>
      <c r="X79" s="51">
        <f t="shared" si="33"/>
        <v>0.1</v>
      </c>
      <c r="Y79" s="51">
        <f t="shared" si="34"/>
        <v>5.0000000000000001E-4</v>
      </c>
      <c r="Z79" s="51">
        <f t="shared" si="30"/>
        <v>2.0833333333333332E-2</v>
      </c>
      <c r="AA79" s="56">
        <f t="shared" si="31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5"/>
        <v>2.0833333333333333E-3</v>
      </c>
      <c r="F80" s="144">
        <f t="shared" si="36"/>
        <v>18.58440784122201</v>
      </c>
      <c r="G80" s="144">
        <f>H116</f>
        <v>9.1344078412220089</v>
      </c>
      <c r="H80" s="523"/>
      <c r="I80" s="523"/>
      <c r="J80" s="523"/>
      <c r="K80" s="51" t="s">
        <v>21</v>
      </c>
      <c r="L80" s="75" t="s">
        <v>21</v>
      </c>
      <c r="V80" s="55"/>
      <c r="W80" s="51">
        <f t="shared" si="32"/>
        <v>4.1534103653503527</v>
      </c>
      <c r="X80" s="51">
        <f t="shared" si="33"/>
        <v>0.1</v>
      </c>
      <c r="Y80" s="51">
        <f t="shared" si="34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5"/>
        <v>2.7777777777777779E-3</v>
      </c>
      <c r="F81" s="144">
        <f t="shared" si="36"/>
        <v>17.857267841429007</v>
      </c>
      <c r="G81" s="144">
        <f>H117</f>
        <v>8.4072678414290092</v>
      </c>
      <c r="H81" s="523"/>
      <c r="I81" s="523"/>
      <c r="J81" s="523"/>
      <c r="K81" s="51" t="s">
        <v>21</v>
      </c>
      <c r="L81" s="75" t="s">
        <v>21</v>
      </c>
      <c r="V81" s="55"/>
      <c r="W81" s="51">
        <f t="shared" si="32"/>
        <v>4.1534103653503527</v>
      </c>
      <c r="X81" s="51">
        <f t="shared" si="33"/>
        <v>0.1</v>
      </c>
      <c r="Y81" s="51">
        <f t="shared" si="34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5"/>
        <v>3.472222222222222E-3</v>
      </c>
      <c r="F82" s="144">
        <f t="shared" si="36"/>
        <v>17.188011460201068</v>
      </c>
      <c r="G82" s="144">
        <f>H118</f>
        <v>7.7380114602010686</v>
      </c>
      <c r="H82" s="523"/>
      <c r="I82" s="523"/>
      <c r="J82" s="523"/>
      <c r="K82" s="51" t="s">
        <v>21</v>
      </c>
      <c r="L82" s="75" t="s">
        <v>21</v>
      </c>
      <c r="V82" s="55"/>
      <c r="W82" s="51">
        <f t="shared" si="32"/>
        <v>4.1534103653503527</v>
      </c>
      <c r="X82" s="51">
        <f t="shared" si="33"/>
        <v>0.1</v>
      </c>
      <c r="Y82" s="51">
        <f t="shared" si="34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5"/>
        <v>6.9444444444444441E-3</v>
      </c>
      <c r="F83" s="144">
        <f t="shared" si="36"/>
        <v>15.483270868618019</v>
      </c>
      <c r="G83" s="144">
        <f>H121</f>
        <v>6.0332708686180201</v>
      </c>
      <c r="H83" s="523"/>
      <c r="I83" s="523"/>
      <c r="J83" s="523"/>
      <c r="K83" s="51" t="s">
        <v>21</v>
      </c>
      <c r="L83" s="75" t="s">
        <v>21</v>
      </c>
      <c r="V83" s="55"/>
      <c r="W83" s="51">
        <f t="shared" si="32"/>
        <v>4.1534103653503527</v>
      </c>
      <c r="X83" s="51">
        <f t="shared" si="33"/>
        <v>0.1</v>
      </c>
      <c r="Y83" s="51">
        <f t="shared" si="34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5"/>
        <v>1.0416666666666666E-2</v>
      </c>
      <c r="F84" s="144">
        <f t="shared" si="36"/>
        <v>15.158681504824028</v>
      </c>
      <c r="G84" s="144">
        <f>H124</f>
        <v>5.7086815048240274</v>
      </c>
      <c r="H84" s="523"/>
      <c r="I84" s="523"/>
      <c r="J84" s="523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5"/>
        <v>1.3888888888888888E-2</v>
      </c>
      <c r="F85" s="144">
        <f t="shared" si="36"/>
        <v>14.285983204912011</v>
      </c>
      <c r="G85" s="144">
        <f>H126</f>
        <v>4.8359832049120115</v>
      </c>
      <c r="H85" s="523"/>
      <c r="I85" s="523"/>
      <c r="J85" s="523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5"/>
        <v>1.7361111111111112E-2</v>
      </c>
      <c r="F86" s="144">
        <f t="shared" si="36"/>
        <v>13.901017163572192</v>
      </c>
      <c r="G86" s="144">
        <f t="shared" ref="G86:G92" si="37">H127</f>
        <v>4.4510171635721916</v>
      </c>
      <c r="H86" s="523"/>
      <c r="I86" s="523"/>
      <c r="J86" s="523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5"/>
        <v>2.0833333333333332E-2</v>
      </c>
      <c r="F87" s="144">
        <f t="shared" si="36"/>
        <v>13.54669615276811</v>
      </c>
      <c r="G87" s="144">
        <f t="shared" si="37"/>
        <v>4.0966961527681098</v>
      </c>
      <c r="H87" s="523"/>
      <c r="I87" s="523"/>
      <c r="J87" s="523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5"/>
        <v>2.4305555555555556E-2</v>
      </c>
      <c r="F88" s="144">
        <f t="shared" si="36"/>
        <v>13.434971769034254</v>
      </c>
      <c r="G88" s="144">
        <f t="shared" si="37"/>
        <v>3.9849717690342552</v>
      </c>
      <c r="H88" s="523"/>
      <c r="I88" s="523"/>
      <c r="J88" s="523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5"/>
        <v>2.7777777777777776E-2</v>
      </c>
      <c r="F89" s="144">
        <f t="shared" si="36"/>
        <v>13.326294313228475</v>
      </c>
      <c r="G89" s="144">
        <f t="shared" si="37"/>
        <v>3.8762943132284762</v>
      </c>
      <c r="H89" s="523"/>
      <c r="I89" s="523"/>
      <c r="J89" s="523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5"/>
        <v>3.125E-2</v>
      </c>
      <c r="F90" s="144">
        <f t="shared" si="36"/>
        <v>13.220580690063166</v>
      </c>
      <c r="G90" s="144">
        <f t="shared" si="37"/>
        <v>3.7705806900631673</v>
      </c>
      <c r="H90" s="523"/>
      <c r="I90" s="523"/>
      <c r="J90" s="523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5"/>
        <v>3.4722222222222224E-2</v>
      </c>
      <c r="F91" s="144">
        <f t="shared" si="36"/>
        <v>13.11775007041093</v>
      </c>
      <c r="G91" s="144">
        <f t="shared" si="37"/>
        <v>3.6677500704109298</v>
      </c>
      <c r="H91" s="523"/>
      <c r="I91" s="523"/>
      <c r="J91" s="523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5"/>
        <v>3.8194444444444448E-2</v>
      </c>
      <c r="F92" s="144">
        <f t="shared" si="36"/>
        <v>13.017723829502245</v>
      </c>
      <c r="G92" s="144">
        <f t="shared" si="37"/>
        <v>3.5677238295022455</v>
      </c>
      <c r="H92" s="523"/>
      <c r="I92" s="523"/>
      <c r="J92" s="523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45456.513888888883</v>
      </c>
      <c r="D93" s="143">
        <v>60</v>
      </c>
      <c r="E93" s="133">
        <f t="shared" si="35"/>
        <v>4.1666666666666664E-2</v>
      </c>
      <c r="F93" s="144">
        <f t="shared" si="36"/>
        <v>12.920425486808609</v>
      </c>
      <c r="G93" s="144">
        <f>H134</f>
        <v>3.4704254868086104</v>
      </c>
      <c r="H93" s="523"/>
      <c r="I93" s="523"/>
      <c r="J93" s="523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5"/>
        <v>5.2083333333333336E-2</v>
      </c>
      <c r="F94" s="144">
        <f t="shared" si="36"/>
        <v>12.825780647565169</v>
      </c>
      <c r="G94" s="144">
        <f>H135</f>
        <v>3.3757806475651706</v>
      </c>
      <c r="H94" s="523"/>
      <c r="I94" s="523"/>
      <c r="J94" s="523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5"/>
        <v>6.25E-2</v>
      </c>
      <c r="F95" s="144">
        <f t="shared" si="36"/>
        <v>12.733716945888137</v>
      </c>
      <c r="G95" s="144">
        <f>H136</f>
        <v>3.2837169458881377</v>
      </c>
      <c r="H95" s="523"/>
      <c r="I95" s="523"/>
      <c r="J95" s="523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5"/>
        <v>7.2916666666666671E-2</v>
      </c>
      <c r="F96" s="144">
        <f t="shared" si="36"/>
        <v>12.644163989443497</v>
      </c>
      <c r="G96" s="144">
        <f>H137</f>
        <v>3.194163989443497</v>
      </c>
      <c r="H96" s="523"/>
      <c r="I96" s="523"/>
      <c r="J96" s="523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45456.555555555555</v>
      </c>
      <c r="D97" s="143">
        <v>120</v>
      </c>
      <c r="E97" s="133">
        <f t="shared" si="35"/>
        <v>8.3333333333333329E-2</v>
      </c>
      <c r="F97" s="144">
        <f t="shared" si="36"/>
        <v>12.389894151376794</v>
      </c>
      <c r="G97" s="144">
        <f>H138</f>
        <v>2.9398941513767949</v>
      </c>
      <c r="H97" s="523"/>
      <c r="I97" s="523"/>
      <c r="J97" s="523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5"/>
        <v>0.125</v>
      </c>
      <c r="F98" s="144">
        <f t="shared" si="36"/>
        <v>12.309717870281746</v>
      </c>
      <c r="G98" s="144">
        <f>H140</f>
        <v>2.859717870281747</v>
      </c>
      <c r="H98" s="523"/>
      <c r="I98" s="523"/>
      <c r="J98" s="523"/>
      <c r="K98" s="80"/>
      <c r="L98" s="75" t="s">
        <v>21</v>
      </c>
      <c r="V98" s="55" t="str">
        <f t="shared" ref="V98:V103" si="38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45456.638888888883</v>
      </c>
      <c r="D99" s="143">
        <v>240</v>
      </c>
      <c r="E99" s="133">
        <f t="shared" si="35"/>
        <v>0.16666666666666666</v>
      </c>
      <c r="F99" s="144">
        <f t="shared" si="36"/>
        <v>11.872546708864883</v>
      </c>
      <c r="G99" s="144">
        <f>H142</f>
        <v>2.4225467088648833</v>
      </c>
      <c r="H99" s="523"/>
      <c r="I99" s="523"/>
      <c r="J99" s="523"/>
      <c r="V99" s="55" t="str">
        <f t="shared" si="38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5"/>
        <v>0.20833333333333334</v>
      </c>
      <c r="F100" s="144">
        <f t="shared" si="36"/>
        <v>11.502206833974805</v>
      </c>
      <c r="G100" s="144">
        <f>H144</f>
        <v>2.0522068339748056</v>
      </c>
      <c r="H100" s="523"/>
      <c r="I100" s="523"/>
      <c r="J100" s="523"/>
      <c r="V100" s="55" t="str">
        <f t="shared" si="38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45456.722222222219</v>
      </c>
      <c r="D101" s="143">
        <v>360</v>
      </c>
      <c r="E101" s="133">
        <f t="shared" si="35"/>
        <v>0.25</v>
      </c>
      <c r="F101" s="145">
        <f t="shared" si="36"/>
        <v>11.18848160450383</v>
      </c>
      <c r="G101" s="148">
        <f>H146</f>
        <v>1.7384816045038303</v>
      </c>
      <c r="H101" s="523"/>
      <c r="I101" s="523"/>
      <c r="J101" s="523"/>
      <c r="V101" s="55" t="str">
        <f t="shared" si="38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8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8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0"/>
      <c r="B109" s="330"/>
      <c r="C109" s="330"/>
      <c r="D109" s="330"/>
      <c r="E109" s="330"/>
      <c r="F109" s="330"/>
      <c r="G109" s="330"/>
      <c r="H109" s="330"/>
      <c r="I109" s="330"/>
      <c r="J109" s="330"/>
      <c r="AA109" s="56"/>
      <c r="AB109" s="94"/>
    </row>
    <row r="110" spans="1:28" s="51" customFormat="1" ht="17.25" customHeight="1">
      <c r="A110" s="330"/>
      <c r="B110" s="330"/>
      <c r="C110" s="331">
        <v>3</v>
      </c>
      <c r="D110" s="332">
        <f>G77</f>
        <v>15.880000000000003</v>
      </c>
      <c r="E110" s="330"/>
      <c r="F110" s="333" t="s">
        <v>192</v>
      </c>
      <c r="G110" s="330"/>
      <c r="H110" s="334" t="s">
        <v>193</v>
      </c>
      <c r="I110" s="335"/>
      <c r="J110" s="330"/>
      <c r="AA110" s="56"/>
      <c r="AB110" s="94"/>
    </row>
    <row r="111" spans="1:28" s="51" customFormat="1" ht="17.25" hidden="1" customHeight="1">
      <c r="A111" s="330"/>
      <c r="B111" s="330">
        <v>1</v>
      </c>
      <c r="C111" s="330">
        <v>95</v>
      </c>
      <c r="D111" s="336">
        <f>D110</f>
        <v>15.880000000000003</v>
      </c>
      <c r="E111" s="337">
        <f>C111/100</f>
        <v>0.95</v>
      </c>
      <c r="F111" s="338" t="s">
        <v>21</v>
      </c>
      <c r="G111" s="330">
        <v>1</v>
      </c>
      <c r="H111" s="339">
        <f t="shared" ref="H111:H146" si="39">D111^E111</f>
        <v>13.829547591469272</v>
      </c>
      <c r="I111" s="340"/>
      <c r="J111" s="330"/>
      <c r="AA111" s="56"/>
      <c r="AB111" s="94"/>
    </row>
    <row r="112" spans="1:28" s="51" customFormat="1" ht="17.25" hidden="1" customHeight="1">
      <c r="A112" s="330"/>
      <c r="B112" s="330">
        <v>2</v>
      </c>
      <c r="C112" s="330">
        <f t="shared" ref="C112:C119" si="40">C111-C$110</f>
        <v>92</v>
      </c>
      <c r="D112" s="335">
        <f>D111</f>
        <v>15.880000000000003</v>
      </c>
      <c r="E112" s="337">
        <f t="shared" ref="E112:E141" si="41">C112/100</f>
        <v>0.92</v>
      </c>
      <c r="F112" s="341"/>
      <c r="G112" s="330">
        <v>2</v>
      </c>
      <c r="H112" s="339">
        <f t="shared" si="39"/>
        <v>12.728653323598166</v>
      </c>
      <c r="I112" s="340"/>
      <c r="J112" s="342">
        <f>H111-H112</f>
        <v>1.1008942678711051</v>
      </c>
      <c r="AA112" s="56"/>
      <c r="AB112" s="94"/>
    </row>
    <row r="113" spans="1:28" s="51" customFormat="1" ht="17.25" hidden="1" customHeight="1">
      <c r="A113" s="330"/>
      <c r="B113" s="330">
        <v>3</v>
      </c>
      <c r="C113" s="330">
        <f t="shared" si="40"/>
        <v>89</v>
      </c>
      <c r="D113" s="335">
        <f t="shared" ref="D113:D146" si="42">D112</f>
        <v>15.880000000000003</v>
      </c>
      <c r="E113" s="337">
        <f t="shared" si="41"/>
        <v>0.89</v>
      </c>
      <c r="F113" s="338" t="s">
        <v>21</v>
      </c>
      <c r="G113" s="330">
        <v>3</v>
      </c>
      <c r="H113" s="339">
        <f t="shared" si="39"/>
        <v>11.715395197185446</v>
      </c>
      <c r="I113" s="340"/>
      <c r="J113" s="342">
        <f t="shared" ref="J113:J146" si="43">H112-H113</f>
        <v>1.0132581264127207</v>
      </c>
      <c r="AA113" s="56"/>
      <c r="AB113" s="94"/>
    </row>
    <row r="114" spans="1:28" s="51" customFormat="1" ht="17.25" customHeight="1">
      <c r="A114" s="330"/>
      <c r="B114" s="330">
        <v>4</v>
      </c>
      <c r="C114" s="330">
        <f t="shared" si="40"/>
        <v>86</v>
      </c>
      <c r="D114" s="335">
        <f t="shared" si="42"/>
        <v>15.880000000000003</v>
      </c>
      <c r="E114" s="337">
        <f t="shared" si="41"/>
        <v>0.86</v>
      </c>
      <c r="F114" s="341">
        <v>1</v>
      </c>
      <c r="G114" s="343">
        <v>4</v>
      </c>
      <c r="H114" s="344">
        <f t="shared" si="39"/>
        <v>10.782796980712918</v>
      </c>
      <c r="I114" s="345"/>
      <c r="J114" s="342">
        <f t="shared" si="43"/>
        <v>0.9325982164725275</v>
      </c>
      <c r="AA114" s="56"/>
      <c r="AB114" s="94"/>
    </row>
    <row r="115" spans="1:28" s="51" customFormat="1" ht="17.25" customHeight="1">
      <c r="A115" s="330"/>
      <c r="B115" s="330">
        <v>5</v>
      </c>
      <c r="C115" s="330">
        <f t="shared" si="40"/>
        <v>83</v>
      </c>
      <c r="D115" s="335">
        <f t="shared" si="42"/>
        <v>15.880000000000003</v>
      </c>
      <c r="E115" s="337">
        <f t="shared" si="41"/>
        <v>0.83</v>
      </c>
      <c r="F115" s="341">
        <v>2</v>
      </c>
      <c r="G115" s="343">
        <v>5</v>
      </c>
      <c r="H115" s="344">
        <f t="shared" si="39"/>
        <v>9.9244377821078142</v>
      </c>
      <c r="I115" s="345"/>
      <c r="J115" s="342">
        <f t="shared" si="43"/>
        <v>0.85835919860510401</v>
      </c>
      <c r="AA115" s="56"/>
      <c r="AB115" s="94"/>
    </row>
    <row r="116" spans="1:28" s="51" customFormat="1" ht="17.25" customHeight="1">
      <c r="A116" s="330"/>
      <c r="B116" s="330">
        <v>6</v>
      </c>
      <c r="C116" s="330">
        <f t="shared" si="40"/>
        <v>80</v>
      </c>
      <c r="D116" s="335">
        <f t="shared" si="42"/>
        <v>15.880000000000003</v>
      </c>
      <c r="E116" s="337">
        <f t="shared" si="41"/>
        <v>0.8</v>
      </c>
      <c r="F116" s="341">
        <v>3</v>
      </c>
      <c r="G116" s="343">
        <v>6</v>
      </c>
      <c r="H116" s="344">
        <f t="shared" si="39"/>
        <v>9.1344078412220089</v>
      </c>
      <c r="I116" s="345"/>
      <c r="J116" s="342">
        <f t="shared" si="43"/>
        <v>0.79002994088580536</v>
      </c>
      <c r="AA116" s="56"/>
      <c r="AB116" s="94"/>
    </row>
    <row r="117" spans="1:28" s="51" customFormat="1" ht="17.25" customHeight="1">
      <c r="A117" s="330"/>
      <c r="B117" s="330">
        <v>7</v>
      </c>
      <c r="C117" s="330">
        <f t="shared" si="40"/>
        <v>77</v>
      </c>
      <c r="D117" s="335">
        <f t="shared" si="42"/>
        <v>15.880000000000003</v>
      </c>
      <c r="E117" s="337">
        <f t="shared" si="41"/>
        <v>0.77</v>
      </c>
      <c r="F117" s="341">
        <v>4</v>
      </c>
      <c r="G117" s="343">
        <v>7</v>
      </c>
      <c r="H117" s="344">
        <f t="shared" si="39"/>
        <v>8.4072678414290092</v>
      </c>
      <c r="I117" s="345"/>
      <c r="J117" s="342">
        <f t="shared" si="43"/>
        <v>0.7271399997929997</v>
      </c>
      <c r="AA117" s="56"/>
      <c r="AB117" s="94"/>
    </row>
    <row r="118" spans="1:28" s="51" customFormat="1" ht="17.25" customHeight="1">
      <c r="A118" s="330"/>
      <c r="B118" s="330">
        <v>8</v>
      </c>
      <c r="C118" s="330">
        <f t="shared" si="40"/>
        <v>74</v>
      </c>
      <c r="D118" s="335">
        <f t="shared" si="42"/>
        <v>15.880000000000003</v>
      </c>
      <c r="E118" s="337">
        <f t="shared" si="41"/>
        <v>0.74</v>
      </c>
      <c r="F118" s="341">
        <v>5</v>
      </c>
      <c r="G118" s="343">
        <v>8</v>
      </c>
      <c r="H118" s="344">
        <f t="shared" si="39"/>
        <v>7.7380114602010686</v>
      </c>
      <c r="I118" s="345"/>
      <c r="J118" s="342">
        <f t="shared" si="43"/>
        <v>0.66925638122794062</v>
      </c>
      <c r="AA118" s="56"/>
      <c r="AB118" s="94"/>
    </row>
    <row r="119" spans="1:28" s="51" customFormat="1" ht="17.25" hidden="1" customHeight="1">
      <c r="A119" s="330"/>
      <c r="B119" s="330">
        <v>9</v>
      </c>
      <c r="C119" s="330">
        <f t="shared" si="40"/>
        <v>71</v>
      </c>
      <c r="D119" s="335">
        <f t="shared" si="42"/>
        <v>15.880000000000003</v>
      </c>
      <c r="E119" s="337">
        <f t="shared" si="41"/>
        <v>0.71</v>
      </c>
      <c r="F119" s="338"/>
      <c r="G119" s="330">
        <v>9</v>
      </c>
      <c r="H119" s="346">
        <f t="shared" si="39"/>
        <v>7.1220309008289719</v>
      </c>
      <c r="I119" s="347"/>
      <c r="J119" s="342">
        <f t="shared" si="43"/>
        <v>0.61598055937209661</v>
      </c>
      <c r="AA119" s="56"/>
      <c r="AB119" s="94"/>
    </row>
    <row r="120" spans="1:28" s="51" customFormat="1" ht="17.25" hidden="1" customHeight="1">
      <c r="A120" s="330">
        <f>C110</f>
        <v>3</v>
      </c>
      <c r="B120" s="330">
        <v>10</v>
      </c>
      <c r="C120" s="330">
        <f>C119-A$120</f>
        <v>68</v>
      </c>
      <c r="D120" s="335">
        <f t="shared" si="42"/>
        <v>15.880000000000003</v>
      </c>
      <c r="E120" s="337">
        <f t="shared" si="41"/>
        <v>0.68</v>
      </c>
      <c r="F120" s="338" t="s">
        <v>21</v>
      </c>
      <c r="G120" s="330">
        <v>10</v>
      </c>
      <c r="H120" s="339">
        <f t="shared" si="39"/>
        <v>6.5550851679721758</v>
      </c>
      <c r="I120" s="340"/>
      <c r="J120" s="342">
        <f t="shared" si="43"/>
        <v>0.56694573285679617</v>
      </c>
      <c r="AA120" s="56"/>
      <c r="AB120" s="94"/>
    </row>
    <row r="121" spans="1:28" s="51" customFormat="1" ht="17.25" customHeight="1">
      <c r="A121" s="330"/>
      <c r="B121" s="330">
        <v>11</v>
      </c>
      <c r="C121" s="330">
        <f t="shared" ref="C121:C128" si="44">C120-A$120</f>
        <v>65</v>
      </c>
      <c r="D121" s="335">
        <f t="shared" si="42"/>
        <v>15.880000000000003</v>
      </c>
      <c r="E121" s="337">
        <f t="shared" si="41"/>
        <v>0.65</v>
      </c>
      <c r="F121" s="341">
        <v>10</v>
      </c>
      <c r="G121" s="343">
        <v>12</v>
      </c>
      <c r="H121" s="344">
        <f t="shared" si="39"/>
        <v>6.0332708686180201</v>
      </c>
      <c r="I121" s="345"/>
      <c r="J121" s="342">
        <f t="shared" si="43"/>
        <v>0.52181429935415569</v>
      </c>
      <c r="AA121" s="56"/>
      <c r="AB121" s="94"/>
    </row>
    <row r="122" spans="1:28" s="51" customFormat="1" ht="17.25" hidden="1" customHeight="1">
      <c r="A122" s="330"/>
      <c r="B122" s="330">
        <v>12</v>
      </c>
      <c r="C122" s="330">
        <f t="shared" si="44"/>
        <v>62</v>
      </c>
      <c r="D122" s="335">
        <f t="shared" si="42"/>
        <v>15.880000000000003</v>
      </c>
      <c r="E122" s="337">
        <f t="shared" si="41"/>
        <v>0.62</v>
      </c>
      <c r="F122" s="338"/>
      <c r="G122" s="330">
        <v>14</v>
      </c>
      <c r="H122" s="339">
        <f t="shared" si="39"/>
        <v>5.5529953374160863</v>
      </c>
      <c r="I122" s="340"/>
      <c r="J122" s="342">
        <f t="shared" si="43"/>
        <v>0.48027553120193378</v>
      </c>
      <c r="AA122" s="56"/>
      <c r="AB122" s="94"/>
    </row>
    <row r="123" spans="1:28" s="51" customFormat="1" ht="17.25" hidden="1" customHeight="1">
      <c r="A123" s="330"/>
      <c r="B123" s="330"/>
      <c r="C123" s="330">
        <v>37</v>
      </c>
      <c r="D123" s="335">
        <f t="shared" si="42"/>
        <v>15.880000000000003</v>
      </c>
      <c r="E123" s="337">
        <f t="shared" si="41"/>
        <v>0.37</v>
      </c>
      <c r="F123" s="338"/>
      <c r="G123" s="330">
        <v>15</v>
      </c>
      <c r="H123" s="339">
        <f t="shared" si="39"/>
        <v>2.7817281427560583</v>
      </c>
      <c r="I123" s="340"/>
      <c r="J123" s="342">
        <f t="shared" si="43"/>
        <v>2.771267194660028</v>
      </c>
      <c r="AA123" s="56"/>
      <c r="AB123" s="94"/>
    </row>
    <row r="124" spans="1:28" s="51" customFormat="1" ht="17.25" customHeight="1">
      <c r="A124" s="330"/>
      <c r="B124" s="330">
        <v>13</v>
      </c>
      <c r="C124" s="330">
        <v>63</v>
      </c>
      <c r="D124" s="335">
        <f t="shared" si="42"/>
        <v>15.880000000000003</v>
      </c>
      <c r="E124" s="337">
        <f t="shared" si="41"/>
        <v>0.63</v>
      </c>
      <c r="F124" s="341">
        <v>15</v>
      </c>
      <c r="G124" s="343">
        <v>16</v>
      </c>
      <c r="H124" s="344">
        <f t="shared" si="39"/>
        <v>5.7086815048240274</v>
      </c>
      <c r="I124" s="345"/>
      <c r="J124" s="342">
        <f t="shared" si="43"/>
        <v>-2.9269533620679691</v>
      </c>
      <c r="AA124" s="56"/>
      <c r="AB124" s="94"/>
    </row>
    <row r="125" spans="1:28" s="51" customFormat="1" ht="17.25" hidden="1" customHeight="1">
      <c r="A125" s="330"/>
      <c r="B125" s="330">
        <v>14</v>
      </c>
      <c r="C125" s="330">
        <f t="shared" si="44"/>
        <v>60</v>
      </c>
      <c r="D125" s="335">
        <f t="shared" si="42"/>
        <v>15.880000000000003</v>
      </c>
      <c r="E125" s="337">
        <f t="shared" si="41"/>
        <v>0.6</v>
      </c>
      <c r="F125" s="338"/>
      <c r="G125" s="330">
        <v>18</v>
      </c>
      <c r="H125" s="339">
        <f t="shared" si="39"/>
        <v>5.2542447487265775</v>
      </c>
      <c r="I125" s="340"/>
      <c r="J125" s="342">
        <f t="shared" si="43"/>
        <v>0.45443675609744982</v>
      </c>
      <c r="AA125" s="56"/>
      <c r="AB125" s="94"/>
    </row>
    <row r="126" spans="1:28" s="51" customFormat="1" ht="17.25" customHeight="1">
      <c r="A126" s="330"/>
      <c r="B126" s="330">
        <v>15</v>
      </c>
      <c r="C126" s="330">
        <f t="shared" si="44"/>
        <v>57</v>
      </c>
      <c r="D126" s="335">
        <f t="shared" si="42"/>
        <v>15.880000000000003</v>
      </c>
      <c r="E126" s="337">
        <f t="shared" si="41"/>
        <v>0.56999999999999995</v>
      </c>
      <c r="F126" s="341">
        <v>20</v>
      </c>
      <c r="G126" s="343">
        <v>20</v>
      </c>
      <c r="H126" s="344">
        <f t="shared" si="39"/>
        <v>4.8359832049120115</v>
      </c>
      <c r="I126" s="345"/>
      <c r="J126" s="342">
        <f t="shared" si="43"/>
        <v>0.41826154381456604</v>
      </c>
      <c r="AA126" s="56"/>
      <c r="AB126" s="94"/>
    </row>
    <row r="127" spans="1:28" s="51" customFormat="1" ht="17.25" customHeight="1">
      <c r="A127" s="330"/>
      <c r="B127" s="330">
        <v>16</v>
      </c>
      <c r="C127" s="330">
        <f t="shared" si="44"/>
        <v>54</v>
      </c>
      <c r="D127" s="335">
        <f t="shared" si="42"/>
        <v>15.880000000000003</v>
      </c>
      <c r="E127" s="337">
        <f t="shared" si="41"/>
        <v>0.54</v>
      </c>
      <c r="F127" s="341">
        <v>25</v>
      </c>
      <c r="G127" s="343">
        <v>25</v>
      </c>
      <c r="H127" s="344">
        <f t="shared" si="39"/>
        <v>4.4510171635721916</v>
      </c>
      <c r="I127" s="345"/>
      <c r="J127" s="342">
        <f t="shared" si="43"/>
        <v>0.38496604133981993</v>
      </c>
      <c r="AA127" s="56"/>
      <c r="AB127" s="94"/>
    </row>
    <row r="128" spans="1:28" s="51" customFormat="1" ht="17.25" customHeight="1">
      <c r="A128" s="330"/>
      <c r="B128" s="330">
        <v>17</v>
      </c>
      <c r="C128" s="330">
        <f t="shared" si="44"/>
        <v>51</v>
      </c>
      <c r="D128" s="335">
        <f t="shared" si="42"/>
        <v>15.880000000000003</v>
      </c>
      <c r="E128" s="337">
        <f t="shared" si="41"/>
        <v>0.51</v>
      </c>
      <c r="F128" s="341">
        <v>30</v>
      </c>
      <c r="G128" s="343">
        <v>30</v>
      </c>
      <c r="H128" s="344">
        <f>D128^E128</f>
        <v>4.0966961527681098</v>
      </c>
      <c r="I128" s="345"/>
      <c r="J128" s="342">
        <f t="shared" si="43"/>
        <v>0.35432101080408174</v>
      </c>
      <c r="AA128" s="56"/>
      <c r="AB128" s="94"/>
    </row>
    <row r="129" spans="1:28" s="51" customFormat="1" ht="17.25" customHeight="1">
      <c r="A129" s="330"/>
      <c r="B129" s="330"/>
      <c r="C129" s="330">
        <v>50</v>
      </c>
      <c r="D129" s="335">
        <f t="shared" si="42"/>
        <v>15.880000000000003</v>
      </c>
      <c r="E129" s="337">
        <f t="shared" si="41"/>
        <v>0.5</v>
      </c>
      <c r="F129" s="341">
        <v>35</v>
      </c>
      <c r="G129" s="343">
        <v>35</v>
      </c>
      <c r="H129" s="344">
        <f t="shared" si="39"/>
        <v>3.9849717690342552</v>
      </c>
      <c r="I129" s="345"/>
      <c r="J129" s="342">
        <f t="shared" si="43"/>
        <v>0.11172438373385463</v>
      </c>
      <c r="AA129" s="56"/>
      <c r="AB129" s="94"/>
    </row>
    <row r="130" spans="1:28" s="51" customFormat="1" ht="17.25" customHeight="1">
      <c r="A130" s="330"/>
      <c r="B130" s="330"/>
      <c r="C130" s="330">
        <v>49</v>
      </c>
      <c r="D130" s="335">
        <f t="shared" si="42"/>
        <v>15.880000000000003</v>
      </c>
      <c r="E130" s="337">
        <f t="shared" si="41"/>
        <v>0.49</v>
      </c>
      <c r="F130" s="341">
        <v>40</v>
      </c>
      <c r="G130" s="343">
        <v>40</v>
      </c>
      <c r="H130" s="344">
        <f t="shared" si="39"/>
        <v>3.8762943132284762</v>
      </c>
      <c r="I130" s="345"/>
      <c r="J130" s="342">
        <f t="shared" si="43"/>
        <v>0.10867745580577903</v>
      </c>
      <c r="AA130" s="56"/>
      <c r="AB130" s="94"/>
    </row>
    <row r="131" spans="1:28" s="51" customFormat="1" ht="17.25" customHeight="1">
      <c r="A131" s="330">
        <f>A120</f>
        <v>3</v>
      </c>
      <c r="B131" s="330">
        <v>18</v>
      </c>
      <c r="C131" s="330">
        <f>C128-A$131</f>
        <v>48</v>
      </c>
      <c r="D131" s="335">
        <f t="shared" si="42"/>
        <v>15.880000000000003</v>
      </c>
      <c r="E131" s="337">
        <f t="shared" si="41"/>
        <v>0.48</v>
      </c>
      <c r="F131" s="341">
        <v>45</v>
      </c>
      <c r="G131" s="343">
        <v>45</v>
      </c>
      <c r="H131" s="344">
        <f t="shared" si="39"/>
        <v>3.7705806900631673</v>
      </c>
      <c r="I131" s="345"/>
      <c r="J131" s="342">
        <f t="shared" si="43"/>
        <v>0.10571362316530886</v>
      </c>
      <c r="AA131" s="56"/>
      <c r="AB131" s="94"/>
    </row>
    <row r="132" spans="1:28" s="51" customFormat="1" ht="17.25" customHeight="1">
      <c r="A132" s="330"/>
      <c r="B132" s="330"/>
      <c r="C132" s="330">
        <v>47</v>
      </c>
      <c r="D132" s="335">
        <f t="shared" si="42"/>
        <v>15.880000000000003</v>
      </c>
      <c r="E132" s="337">
        <f t="shared" si="41"/>
        <v>0.47</v>
      </c>
      <c r="F132" s="341">
        <v>50</v>
      </c>
      <c r="G132" s="343">
        <v>50</v>
      </c>
      <c r="H132" s="344">
        <f t="shared" si="39"/>
        <v>3.6677500704109298</v>
      </c>
      <c r="I132" s="345"/>
      <c r="J132" s="342">
        <f t="shared" si="43"/>
        <v>0.1028306196522375</v>
      </c>
      <c r="AA132" s="56"/>
      <c r="AB132" s="94"/>
    </row>
    <row r="133" spans="1:28" s="51" customFormat="1" ht="17.25" customHeight="1">
      <c r="A133" s="330"/>
      <c r="B133" s="330"/>
      <c r="C133" s="330">
        <v>46</v>
      </c>
      <c r="D133" s="335">
        <f t="shared" si="42"/>
        <v>15.880000000000003</v>
      </c>
      <c r="E133" s="337">
        <f t="shared" si="41"/>
        <v>0.46</v>
      </c>
      <c r="F133" s="341">
        <v>55</v>
      </c>
      <c r="G133" s="343">
        <v>55</v>
      </c>
      <c r="H133" s="344">
        <f t="shared" si="39"/>
        <v>3.5677238295022455</v>
      </c>
      <c r="I133" s="345"/>
      <c r="J133" s="342">
        <f t="shared" si="43"/>
        <v>0.10002624090868428</v>
      </c>
      <c r="AA133" s="56"/>
      <c r="AB133" s="94"/>
    </row>
    <row r="134" spans="1:28" s="51" customFormat="1" ht="17.25" customHeight="1">
      <c r="A134" s="330"/>
      <c r="B134" s="330">
        <v>19</v>
      </c>
      <c r="C134" s="330">
        <f>C131-A$131</f>
        <v>45</v>
      </c>
      <c r="D134" s="335">
        <f t="shared" si="42"/>
        <v>15.880000000000003</v>
      </c>
      <c r="E134" s="337">
        <f t="shared" si="41"/>
        <v>0.45</v>
      </c>
      <c r="F134" s="341">
        <v>60</v>
      </c>
      <c r="G134" s="343">
        <v>60</v>
      </c>
      <c r="H134" s="344">
        <f t="shared" si="39"/>
        <v>3.4704254868086104</v>
      </c>
      <c r="I134" s="345"/>
      <c r="J134" s="342">
        <f t="shared" si="43"/>
        <v>9.7298342693635131E-2</v>
      </c>
      <c r="AA134" s="56"/>
      <c r="AB134" s="94"/>
    </row>
    <row r="135" spans="1:28" s="51" customFormat="1" ht="17.25" customHeight="1">
      <c r="A135" s="330"/>
      <c r="B135" s="330"/>
      <c r="C135" s="330">
        <v>44</v>
      </c>
      <c r="D135" s="335">
        <f t="shared" si="42"/>
        <v>15.880000000000003</v>
      </c>
      <c r="E135" s="337">
        <f t="shared" si="41"/>
        <v>0.44</v>
      </c>
      <c r="F135" s="341">
        <v>75</v>
      </c>
      <c r="G135" s="343">
        <v>75</v>
      </c>
      <c r="H135" s="344">
        <f t="shared" si="39"/>
        <v>3.3757806475651706</v>
      </c>
      <c r="I135" s="345"/>
      <c r="J135" s="342">
        <f t="shared" si="43"/>
        <v>9.4644839243439804E-2</v>
      </c>
      <c r="AA135" s="56"/>
      <c r="AB135" s="94"/>
    </row>
    <row r="136" spans="1:28" s="51" customFormat="1" ht="17.25" customHeight="1">
      <c r="A136" s="330"/>
      <c r="B136" s="330"/>
      <c r="C136" s="330">
        <v>43</v>
      </c>
      <c r="D136" s="335">
        <f t="shared" si="42"/>
        <v>15.880000000000003</v>
      </c>
      <c r="E136" s="337">
        <f t="shared" si="41"/>
        <v>0.43</v>
      </c>
      <c r="F136" s="341">
        <v>90</v>
      </c>
      <c r="G136" s="343">
        <v>90</v>
      </c>
      <c r="H136" s="344">
        <f t="shared" si="39"/>
        <v>3.2837169458881377</v>
      </c>
      <c r="I136" s="345"/>
      <c r="J136" s="342">
        <f t="shared" si="43"/>
        <v>9.2063701677032928E-2</v>
      </c>
      <c r="AA136" s="56"/>
      <c r="AB136" s="94"/>
    </row>
    <row r="137" spans="1:28" s="51" customFormat="1" ht="17.25" customHeight="1">
      <c r="A137" s="330"/>
      <c r="B137" s="330">
        <v>20</v>
      </c>
      <c r="C137" s="330">
        <f>C134-A$131</f>
        <v>42</v>
      </c>
      <c r="D137" s="335">
        <f t="shared" si="42"/>
        <v>15.880000000000003</v>
      </c>
      <c r="E137" s="337">
        <f t="shared" si="41"/>
        <v>0.42</v>
      </c>
      <c r="F137" s="341">
        <v>105</v>
      </c>
      <c r="G137" s="343">
        <v>105</v>
      </c>
      <c r="H137" s="344">
        <f t="shared" si="39"/>
        <v>3.194163989443497</v>
      </c>
      <c r="I137" s="345"/>
      <c r="J137" s="342">
        <f t="shared" si="43"/>
        <v>8.9552956444640675E-2</v>
      </c>
      <c r="AA137" s="56"/>
      <c r="AB137" s="94"/>
    </row>
    <row r="138" spans="1:28" s="51" customFormat="1" ht="17.25" customHeight="1">
      <c r="A138" s="330">
        <f>A131</f>
        <v>3</v>
      </c>
      <c r="B138" s="330"/>
      <c r="C138" s="330">
        <f>C137-A$138</f>
        <v>39</v>
      </c>
      <c r="D138" s="335">
        <f t="shared" si="42"/>
        <v>15.880000000000003</v>
      </c>
      <c r="E138" s="337">
        <f t="shared" si="41"/>
        <v>0.39</v>
      </c>
      <c r="F138" s="341">
        <v>120</v>
      </c>
      <c r="G138" s="343">
        <v>120</v>
      </c>
      <c r="H138" s="344">
        <f t="shared" si="39"/>
        <v>2.9398941513767949</v>
      </c>
      <c r="I138" s="345"/>
      <c r="J138" s="342">
        <f t="shared" si="43"/>
        <v>0.25426983806670211</v>
      </c>
      <c r="AA138" s="56"/>
      <c r="AB138" s="94"/>
    </row>
    <row r="139" spans="1:28" s="51" customFormat="1" ht="17.25" hidden="1" customHeight="1">
      <c r="A139" s="330"/>
      <c r="B139" s="330"/>
      <c r="C139" s="330">
        <f t="shared" ref="C139:C146" si="45">C138-A$138</f>
        <v>36</v>
      </c>
      <c r="D139" s="335">
        <f t="shared" si="42"/>
        <v>15.880000000000003</v>
      </c>
      <c r="E139" s="337">
        <f t="shared" si="41"/>
        <v>0.36</v>
      </c>
      <c r="F139" s="338"/>
      <c r="G139" s="330">
        <v>150</v>
      </c>
      <c r="H139" s="339">
        <f t="shared" si="39"/>
        <v>2.705865337491737</v>
      </c>
      <c r="I139" s="340"/>
      <c r="J139" s="342">
        <f t="shared" si="43"/>
        <v>0.23402881388505792</v>
      </c>
      <c r="AA139" s="56"/>
      <c r="AB139" s="94"/>
    </row>
    <row r="140" spans="1:28" s="51" customFormat="1" ht="17.25" customHeight="1">
      <c r="A140" s="330"/>
      <c r="B140" s="330"/>
      <c r="C140" s="330">
        <v>38</v>
      </c>
      <c r="D140" s="335">
        <f t="shared" si="42"/>
        <v>15.880000000000003</v>
      </c>
      <c r="E140" s="337">
        <f t="shared" si="41"/>
        <v>0.38</v>
      </c>
      <c r="F140" s="341">
        <v>180</v>
      </c>
      <c r="G140" s="343">
        <v>180</v>
      </c>
      <c r="H140" s="344">
        <f t="shared" si="39"/>
        <v>2.859717870281747</v>
      </c>
      <c r="I140" s="345"/>
      <c r="J140" s="342">
        <f t="shared" si="43"/>
        <v>-0.15385253279000999</v>
      </c>
      <c r="AA140" s="56"/>
      <c r="AB140" s="94"/>
    </row>
    <row r="141" spans="1:28" s="51" customFormat="1" ht="17.25" hidden="1" customHeight="1">
      <c r="A141" s="330"/>
      <c r="B141" s="330"/>
      <c r="C141" s="330">
        <f t="shared" si="45"/>
        <v>35</v>
      </c>
      <c r="D141" s="335">
        <f t="shared" si="42"/>
        <v>15.880000000000003</v>
      </c>
      <c r="E141" s="337">
        <f t="shared" si="41"/>
        <v>0.35</v>
      </c>
      <c r="F141" s="338"/>
      <c r="G141" s="330">
        <v>210</v>
      </c>
      <c r="H141" s="339">
        <f t="shared" si="39"/>
        <v>2.6320714494354323</v>
      </c>
      <c r="I141" s="340"/>
      <c r="J141" s="342">
        <f t="shared" si="43"/>
        <v>0.2276464208463147</v>
      </c>
      <c r="AA141" s="56"/>
      <c r="AB141" s="94"/>
    </row>
    <row r="142" spans="1:28" s="51" customFormat="1" ht="17.25" customHeight="1">
      <c r="A142" s="330"/>
      <c r="B142" s="330"/>
      <c r="C142" s="330">
        <f t="shared" si="45"/>
        <v>32</v>
      </c>
      <c r="D142" s="335">
        <f t="shared" si="42"/>
        <v>15.880000000000003</v>
      </c>
      <c r="E142" s="337">
        <f>C142/100</f>
        <v>0.32</v>
      </c>
      <c r="F142" s="341">
        <v>240</v>
      </c>
      <c r="G142" s="343">
        <v>240</v>
      </c>
      <c r="H142" s="344">
        <f t="shared" si="39"/>
        <v>2.4225467088648833</v>
      </c>
      <c r="I142" s="345"/>
      <c r="J142" s="342">
        <f t="shared" si="43"/>
        <v>0.20952474057054893</v>
      </c>
      <c r="AA142" s="56"/>
      <c r="AB142" s="94"/>
    </row>
    <row r="143" spans="1:28" s="51" customFormat="1" ht="17.25" hidden="1" customHeight="1">
      <c r="A143" s="330"/>
      <c r="B143" s="330"/>
      <c r="C143" s="330">
        <f t="shared" si="45"/>
        <v>29</v>
      </c>
      <c r="D143" s="335">
        <f t="shared" si="42"/>
        <v>15.880000000000003</v>
      </c>
      <c r="E143" s="337">
        <f>C143/100</f>
        <v>0.28999999999999998</v>
      </c>
      <c r="F143" s="338"/>
      <c r="G143" s="330">
        <v>270</v>
      </c>
      <c r="H143" s="339">
        <f t="shared" si="39"/>
        <v>2.2297010812114899</v>
      </c>
      <c r="I143" s="340"/>
      <c r="J143" s="342">
        <f t="shared" si="43"/>
        <v>0.19284562765339341</v>
      </c>
      <c r="AA143" s="56"/>
      <c r="AB143" s="94"/>
    </row>
    <row r="144" spans="1:28" s="51" customFormat="1" ht="17.25" customHeight="1">
      <c r="A144" s="330"/>
      <c r="B144" s="330"/>
      <c r="C144" s="330">
        <f t="shared" si="45"/>
        <v>26</v>
      </c>
      <c r="D144" s="335">
        <f t="shared" si="42"/>
        <v>15.880000000000003</v>
      </c>
      <c r="E144" s="337">
        <f>C144/100</f>
        <v>0.26</v>
      </c>
      <c r="F144" s="341">
        <v>300</v>
      </c>
      <c r="G144" s="343">
        <v>300</v>
      </c>
      <c r="H144" s="344">
        <f t="shared" si="39"/>
        <v>2.0522068339748056</v>
      </c>
      <c r="I144" s="345"/>
      <c r="J144" s="342">
        <f t="shared" si="43"/>
        <v>0.17749424723668428</v>
      </c>
      <c r="AA144" s="56"/>
      <c r="AB144" s="94"/>
    </row>
    <row r="145" spans="1:28" s="51" customFormat="1" ht="17.25" hidden="1" customHeight="1">
      <c r="A145" s="330"/>
      <c r="B145" s="330"/>
      <c r="C145" s="330">
        <f t="shared" si="45"/>
        <v>23</v>
      </c>
      <c r="D145" s="335">
        <f t="shared" si="42"/>
        <v>15.880000000000003</v>
      </c>
      <c r="E145" s="337">
        <f>C145/100</f>
        <v>0.23</v>
      </c>
      <c r="F145" s="338"/>
      <c r="G145" s="330">
        <v>330</v>
      </c>
      <c r="H145" s="339">
        <f t="shared" si="39"/>
        <v>1.8888419281406916</v>
      </c>
      <c r="I145" s="340"/>
      <c r="J145" s="342">
        <f t="shared" si="43"/>
        <v>0.163364905834114</v>
      </c>
      <c r="AA145" s="56"/>
      <c r="AB145" s="94"/>
    </row>
    <row r="146" spans="1:28" s="51" customFormat="1" ht="17.25" customHeight="1">
      <c r="A146" s="330"/>
      <c r="B146" s="330"/>
      <c r="C146" s="330">
        <f t="shared" si="45"/>
        <v>20</v>
      </c>
      <c r="D146" s="335">
        <f t="shared" si="42"/>
        <v>15.880000000000003</v>
      </c>
      <c r="E146" s="337">
        <f>C146/100</f>
        <v>0.2</v>
      </c>
      <c r="F146" s="341">
        <v>360</v>
      </c>
      <c r="G146" s="343">
        <v>360</v>
      </c>
      <c r="H146" s="344">
        <f t="shared" si="39"/>
        <v>1.7384816045038303</v>
      </c>
      <c r="I146" s="345"/>
      <c r="J146" s="342">
        <f t="shared" si="43"/>
        <v>0.15036032363686136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</v>
      </c>
      <c r="B18" s="113"/>
      <c r="C18" s="114"/>
    </row>
    <row r="19" spans="1:3">
      <c r="A19" s="113">
        <f>Input!M44/2/1000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94</v>
      </c>
      <c r="C24" s="114"/>
    </row>
    <row r="25" spans="1:3">
      <c r="A25" s="115">
        <f>StepTest!D31</f>
        <v>120</v>
      </c>
      <c r="B25" s="115">
        <f>Input!D4</f>
        <v>120</v>
      </c>
      <c r="C25" s="114"/>
    </row>
    <row r="26" spans="1:3">
      <c r="A26" s="115">
        <f>StepTest!D36</f>
        <v>240</v>
      </c>
      <c r="B26" s="115">
        <f>Input!D5</f>
        <v>146.19999999999999</v>
      </c>
      <c r="C26" s="114"/>
    </row>
    <row r="27" spans="1:3">
      <c r="A27" s="115">
        <f>StepTest!D41</f>
        <v>360</v>
      </c>
      <c r="B27" s="115">
        <f>Input!D6</f>
        <v>172</v>
      </c>
      <c r="C27" s="114"/>
    </row>
    <row r="28" spans="1:3">
      <c r="A28" s="115">
        <f>StepTest!D46</f>
        <v>480</v>
      </c>
      <c r="B28" s="115">
        <f>Input!D7</f>
        <v>197.79999999999998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1.82</v>
      </c>
      <c r="C36" s="115">
        <v>1</v>
      </c>
    </row>
    <row r="37" spans="1:3">
      <c r="A37" s="113">
        <f>Sheet1!A3</f>
        <v>3</v>
      </c>
      <c r="B37" s="114">
        <f>Sheet1!B3</f>
        <v>2.2999999999999998</v>
      </c>
      <c r="C37" s="115">
        <v>1</v>
      </c>
    </row>
    <row r="38" spans="1:3">
      <c r="A38" s="113">
        <f>Sheet1!A4</f>
        <v>4</v>
      </c>
      <c r="B38" s="114">
        <f>Sheet1!B4</f>
        <v>2.63</v>
      </c>
      <c r="C38" s="115">
        <v>1</v>
      </c>
    </row>
    <row r="39" spans="1:3">
      <c r="A39" s="113">
        <f>Sheet1!A5</f>
        <v>5</v>
      </c>
      <c r="B39" s="114">
        <f>Sheet1!B5</f>
        <v>2.9</v>
      </c>
      <c r="C39" s="115">
        <v>1</v>
      </c>
    </row>
    <row r="40" spans="1:3">
      <c r="A40" s="113">
        <f>Sheet1!A6</f>
        <v>10</v>
      </c>
      <c r="B40" s="114">
        <f>Sheet1!B6</f>
        <v>3.71</v>
      </c>
      <c r="C40" s="115">
        <v>1</v>
      </c>
    </row>
    <row r="41" spans="1:3">
      <c r="A41" s="113">
        <f>Sheet1!A7</f>
        <v>15</v>
      </c>
      <c r="B41" s="114">
        <f>Sheet1!B7</f>
        <v>4.1900000000000004</v>
      </c>
      <c r="C41" s="115">
        <v>1</v>
      </c>
    </row>
    <row r="42" spans="1:3">
      <c r="A42" s="113">
        <f>Sheet1!A8</f>
        <v>20</v>
      </c>
      <c r="B42" s="114">
        <f>Sheet1!B8</f>
        <v>4.53</v>
      </c>
      <c r="C42" s="115">
        <v>1</v>
      </c>
    </row>
    <row r="43" spans="1:3">
      <c r="A43" s="113">
        <f>Sheet1!A9</f>
        <v>25</v>
      </c>
      <c r="B43" s="114">
        <f>Sheet1!B9</f>
        <v>4.79</v>
      </c>
      <c r="C43" s="115">
        <v>1</v>
      </c>
    </row>
    <row r="44" spans="1:3">
      <c r="A44" s="113">
        <f>Sheet1!A10</f>
        <v>30</v>
      </c>
      <c r="B44" s="114">
        <f>Sheet1!B10</f>
        <v>5</v>
      </c>
      <c r="C44" s="115">
        <v>1</v>
      </c>
    </row>
    <row r="45" spans="1:3">
      <c r="A45" s="113">
        <f>Sheet1!A11</f>
        <v>35</v>
      </c>
      <c r="B45" s="114">
        <f>Sheet1!B11</f>
        <v>5.19</v>
      </c>
      <c r="C45" s="115">
        <v>1</v>
      </c>
    </row>
    <row r="46" spans="1:3">
      <c r="A46" s="113">
        <f>Sheet1!A12</f>
        <v>40</v>
      </c>
      <c r="B46" s="114">
        <f>Sheet1!B12</f>
        <v>5.34</v>
      </c>
      <c r="C46" s="115">
        <v>1</v>
      </c>
    </row>
    <row r="47" spans="1:3">
      <c r="A47" s="113">
        <f>Sheet1!A13</f>
        <v>45</v>
      </c>
      <c r="B47" s="114">
        <f>Sheet1!B13</f>
        <v>5.48</v>
      </c>
      <c r="C47" s="115">
        <v>1</v>
      </c>
    </row>
    <row r="48" spans="1:3">
      <c r="A48" s="113">
        <f>Sheet1!A14</f>
        <v>50</v>
      </c>
      <c r="B48" s="114">
        <f>Sheet1!B14</f>
        <v>5.61</v>
      </c>
      <c r="C48" s="115">
        <v>1</v>
      </c>
    </row>
    <row r="49" spans="1:3">
      <c r="A49" s="113">
        <f>Sheet1!A15</f>
        <v>55</v>
      </c>
      <c r="B49" s="114">
        <f>Sheet1!B15</f>
        <v>5.72</v>
      </c>
      <c r="C49" s="115">
        <v>1</v>
      </c>
    </row>
    <row r="50" spans="1:3">
      <c r="A50" s="113">
        <f>Sheet1!A16</f>
        <v>60</v>
      </c>
      <c r="B50" s="114">
        <f>Sheet1!B16</f>
        <v>5.82</v>
      </c>
      <c r="C50" s="115">
        <v>1</v>
      </c>
    </row>
    <row r="51" spans="1:3">
      <c r="A51" s="113">
        <f>Sheet1!A17</f>
        <v>75</v>
      </c>
      <c r="B51" s="114">
        <f>Sheet1!B17</f>
        <v>6.08</v>
      </c>
      <c r="C51" s="115">
        <v>1</v>
      </c>
    </row>
    <row r="52" spans="1:3">
      <c r="A52" s="113">
        <f>Sheet1!A18</f>
        <v>90</v>
      </c>
      <c r="B52" s="114">
        <f>Sheet1!B18</f>
        <v>6.3</v>
      </c>
      <c r="C52" s="115">
        <v>1</v>
      </c>
    </row>
    <row r="53" spans="1:3">
      <c r="A53" s="113">
        <f>Sheet1!A19</f>
        <v>105</v>
      </c>
      <c r="B53" s="114">
        <f>Sheet1!B19</f>
        <v>6.48</v>
      </c>
      <c r="C53" s="115">
        <v>1</v>
      </c>
    </row>
    <row r="54" spans="1:3">
      <c r="A54" s="113">
        <f>Sheet1!A20</f>
        <v>120</v>
      </c>
      <c r="B54" s="114">
        <f>Sheet1!B20</f>
        <v>6.64</v>
      </c>
      <c r="C54" s="115">
        <v>1</v>
      </c>
    </row>
    <row r="55" spans="1:3">
      <c r="A55" s="113">
        <f>Sheet1!A21</f>
        <v>121</v>
      </c>
      <c r="B55" s="114">
        <f>Sheet1!B21</f>
        <v>6.8</v>
      </c>
      <c r="C55" s="115">
        <v>1</v>
      </c>
    </row>
    <row r="56" spans="1:3">
      <c r="A56" s="113">
        <f>Sheet1!A22</f>
        <v>122</v>
      </c>
      <c r="B56" s="114">
        <f>Sheet1!B22</f>
        <v>6.95</v>
      </c>
      <c r="C56" s="115">
        <v>1</v>
      </c>
    </row>
    <row r="57" spans="1:3">
      <c r="A57" s="113">
        <f>Sheet1!A23</f>
        <v>123</v>
      </c>
      <c r="B57" s="114">
        <f>Sheet1!B23</f>
        <v>7.09</v>
      </c>
      <c r="C57" s="115">
        <v>1</v>
      </c>
    </row>
    <row r="58" spans="1:3">
      <c r="A58" s="113">
        <f>Sheet1!A24</f>
        <v>124</v>
      </c>
      <c r="B58" s="114">
        <f>Sheet1!B24</f>
        <v>7.22</v>
      </c>
      <c r="C58" s="115">
        <v>1</v>
      </c>
    </row>
    <row r="59" spans="1:3">
      <c r="A59" s="113">
        <f>Sheet1!A25</f>
        <v>125</v>
      </c>
      <c r="B59" s="114">
        <f>Sheet1!B25</f>
        <v>7.35</v>
      </c>
      <c r="C59" s="115">
        <v>1</v>
      </c>
    </row>
    <row r="60" spans="1:3">
      <c r="A60" s="113">
        <f>Sheet1!A26</f>
        <v>130</v>
      </c>
      <c r="B60" s="114">
        <f>Sheet1!B26</f>
        <v>7.97</v>
      </c>
      <c r="C60" s="115">
        <v>1</v>
      </c>
    </row>
    <row r="61" spans="1:3">
      <c r="A61" s="113">
        <f>Sheet1!A27</f>
        <v>135</v>
      </c>
      <c r="B61" s="114">
        <f>Sheet1!B27</f>
        <v>8.08</v>
      </c>
      <c r="C61" s="115">
        <v>1</v>
      </c>
    </row>
    <row r="62" spans="1:3">
      <c r="A62" s="113">
        <f>Sheet1!A28</f>
        <v>140</v>
      </c>
      <c r="B62" s="114">
        <f>Sheet1!B28</f>
        <v>8.19</v>
      </c>
      <c r="C62" s="115">
        <v>1</v>
      </c>
    </row>
    <row r="63" spans="1:3">
      <c r="A63" s="113">
        <f>Sheet1!A29</f>
        <v>145</v>
      </c>
      <c r="B63" s="114">
        <f>Sheet1!B29</f>
        <v>8.2899999999999991</v>
      </c>
      <c r="C63" s="115">
        <v>1</v>
      </c>
    </row>
    <row r="64" spans="1:3">
      <c r="A64" s="113">
        <f>Sheet1!A30</f>
        <v>150</v>
      </c>
      <c r="B64" s="114">
        <f>Sheet1!B30</f>
        <v>8.41</v>
      </c>
      <c r="C64" s="115">
        <v>1</v>
      </c>
    </row>
    <row r="65" spans="1:3">
      <c r="A65" s="113">
        <f>Sheet1!A31</f>
        <v>155</v>
      </c>
      <c r="B65" s="114">
        <f>Sheet1!B31</f>
        <v>8.4700000000000006</v>
      </c>
      <c r="C65" s="115">
        <v>1</v>
      </c>
    </row>
    <row r="66" spans="1:3">
      <c r="A66" s="113">
        <f>Sheet1!A32</f>
        <v>160</v>
      </c>
      <c r="B66" s="114">
        <f>Sheet1!B32</f>
        <v>8.5200000000000014</v>
      </c>
      <c r="C66" s="115">
        <v>1</v>
      </c>
    </row>
    <row r="67" spans="1:3">
      <c r="A67" s="113">
        <f>Sheet1!A33</f>
        <v>165</v>
      </c>
      <c r="B67" s="114">
        <f>Sheet1!B33</f>
        <v>8.56</v>
      </c>
      <c r="C67" s="115">
        <v>1</v>
      </c>
    </row>
    <row r="68" spans="1:3">
      <c r="A68" s="113">
        <f>Sheet1!A34</f>
        <v>170</v>
      </c>
      <c r="B68" s="114">
        <f>Sheet1!B34</f>
        <v>8.59</v>
      </c>
      <c r="C68" s="115">
        <v>1</v>
      </c>
    </row>
    <row r="69" spans="1:3">
      <c r="A69" s="113">
        <f>Sheet1!A35</f>
        <v>175</v>
      </c>
      <c r="B69" s="114">
        <f>Sheet1!B35</f>
        <v>8.61</v>
      </c>
      <c r="C69" s="115">
        <v>1</v>
      </c>
    </row>
    <row r="70" spans="1:3">
      <c r="A70" s="113">
        <f>Sheet1!A36</f>
        <v>180</v>
      </c>
      <c r="B70" s="114">
        <f>Sheet1!B36</f>
        <v>8.6300000000000008</v>
      </c>
      <c r="C70" s="115">
        <v>1</v>
      </c>
    </row>
    <row r="71" spans="1:3">
      <c r="A71" s="113">
        <f>Sheet1!A37</f>
        <v>195</v>
      </c>
      <c r="B71" s="114">
        <f>Sheet1!B37</f>
        <v>8.7000000000000011</v>
      </c>
      <c r="C71" s="115">
        <v>1</v>
      </c>
    </row>
    <row r="72" spans="1:3">
      <c r="A72" s="113">
        <f>Sheet1!A38</f>
        <v>210</v>
      </c>
      <c r="B72" s="114">
        <f>Sheet1!B38</f>
        <v>8.7600000000000016</v>
      </c>
      <c r="C72" s="115">
        <v>1</v>
      </c>
    </row>
    <row r="73" spans="1:3">
      <c r="A73" s="113">
        <f>Sheet1!A39</f>
        <v>225</v>
      </c>
      <c r="B73" s="114">
        <f>Sheet1!B39</f>
        <v>8.8100000000000023</v>
      </c>
      <c r="C73" s="115">
        <v>1</v>
      </c>
    </row>
    <row r="74" spans="1:3">
      <c r="A74" s="113">
        <f>Sheet1!A40</f>
        <v>240</v>
      </c>
      <c r="B74" s="114">
        <f>Sheet1!B40</f>
        <v>8.86</v>
      </c>
      <c r="C74" s="115">
        <v>1</v>
      </c>
    </row>
    <row r="75" spans="1:3">
      <c r="A75" s="113">
        <f>Sheet1!A41</f>
        <v>241</v>
      </c>
      <c r="B75" s="114">
        <f>Sheet1!B41</f>
        <v>9.0399999999999991</v>
      </c>
      <c r="C75" s="115">
        <v>1</v>
      </c>
    </row>
    <row r="76" spans="1:3">
      <c r="A76" s="113">
        <f>Sheet1!A42</f>
        <v>242</v>
      </c>
      <c r="B76" s="114">
        <f>Sheet1!B42</f>
        <v>9.1999999999999993</v>
      </c>
      <c r="C76" s="115">
        <v>1</v>
      </c>
    </row>
    <row r="77" spans="1:3">
      <c r="A77" s="113">
        <f>Sheet1!A43</f>
        <v>243</v>
      </c>
      <c r="B77" s="114">
        <f>Sheet1!B43</f>
        <v>9.35</v>
      </c>
      <c r="C77" s="115">
        <v>1</v>
      </c>
    </row>
    <row r="78" spans="1:3">
      <c r="A78" s="113">
        <f>Sheet1!A44</f>
        <v>244</v>
      </c>
      <c r="B78" s="114">
        <f>Sheet1!B44</f>
        <v>9.49</v>
      </c>
      <c r="C78" s="115">
        <v>1</v>
      </c>
    </row>
    <row r="79" spans="1:3">
      <c r="A79" s="113">
        <f>Sheet1!A45</f>
        <v>245</v>
      </c>
      <c r="B79" s="114">
        <f>Sheet1!B45</f>
        <v>9.620000000000001</v>
      </c>
      <c r="C79" s="115">
        <v>1</v>
      </c>
    </row>
    <row r="80" spans="1:3">
      <c r="A80" s="113">
        <f>Sheet1!A46</f>
        <v>250</v>
      </c>
      <c r="B80" s="114">
        <f>Sheet1!B46</f>
        <v>10.35</v>
      </c>
      <c r="C80" s="115">
        <v>1</v>
      </c>
    </row>
    <row r="81" spans="1:3">
      <c r="A81" s="113">
        <f>Sheet1!A47</f>
        <v>255</v>
      </c>
      <c r="B81" s="114">
        <f>Sheet1!B47</f>
        <v>10.459999999999999</v>
      </c>
      <c r="C81" s="115">
        <v>1</v>
      </c>
    </row>
    <row r="82" spans="1:3">
      <c r="A82" s="113">
        <f>Sheet1!A48</f>
        <v>260</v>
      </c>
      <c r="B82" s="114">
        <f>Sheet1!B48</f>
        <v>10.6</v>
      </c>
      <c r="C82" s="115">
        <v>1</v>
      </c>
    </row>
    <row r="83" spans="1:3">
      <c r="A83" s="113">
        <f>Sheet1!A49</f>
        <v>265</v>
      </c>
      <c r="B83" s="114">
        <f>Sheet1!B49</f>
        <v>10.709999999999999</v>
      </c>
      <c r="C83" s="115">
        <v>1</v>
      </c>
    </row>
    <row r="84" spans="1:3">
      <c r="A84" s="113">
        <f>Sheet1!A50</f>
        <v>270</v>
      </c>
      <c r="B84" s="114">
        <f>Sheet1!B50</f>
        <v>10.85</v>
      </c>
      <c r="C84" s="115">
        <v>1</v>
      </c>
    </row>
    <row r="85" spans="1:3">
      <c r="A85" s="113">
        <f>Sheet1!A51</f>
        <v>275</v>
      </c>
      <c r="B85" s="114">
        <f>Sheet1!B51</f>
        <v>10.92</v>
      </c>
      <c r="C85" s="115">
        <v>1</v>
      </c>
    </row>
    <row r="86" spans="1:3">
      <c r="A86" s="113">
        <f>Sheet1!A52</f>
        <v>280</v>
      </c>
      <c r="B86" s="114">
        <f>Sheet1!B52</f>
        <v>10.97</v>
      </c>
      <c r="C86" s="115">
        <v>1</v>
      </c>
    </row>
    <row r="87" spans="1:3">
      <c r="A87" s="113">
        <f>Sheet1!A53</f>
        <v>285</v>
      </c>
      <c r="B87" s="114">
        <f>Sheet1!B53</f>
        <v>11.01</v>
      </c>
      <c r="C87" s="115">
        <v>1</v>
      </c>
    </row>
    <row r="88" spans="1:3">
      <c r="A88" s="113">
        <f>Sheet1!A54</f>
        <v>290</v>
      </c>
      <c r="B88" s="114">
        <f>Sheet1!B54</f>
        <v>11.04</v>
      </c>
      <c r="C88" s="115">
        <v>1</v>
      </c>
    </row>
    <row r="89" spans="1:3">
      <c r="A89" s="113">
        <f>Sheet1!A55</f>
        <v>295</v>
      </c>
      <c r="B89" s="114">
        <f>Sheet1!B55</f>
        <v>11.059999999999999</v>
      </c>
      <c r="C89" s="115">
        <v>1</v>
      </c>
    </row>
    <row r="90" spans="1:3">
      <c r="A90" s="113">
        <f>Sheet1!A56</f>
        <v>300</v>
      </c>
      <c r="B90" s="114">
        <f>Sheet1!B56</f>
        <v>11.1</v>
      </c>
      <c r="C90" s="115">
        <v>1</v>
      </c>
    </row>
    <row r="91" spans="1:3">
      <c r="A91" s="113">
        <f>Sheet1!A57</f>
        <v>315</v>
      </c>
      <c r="B91" s="114">
        <f>Sheet1!B57</f>
        <v>11.18</v>
      </c>
      <c r="C91" s="115">
        <v>1</v>
      </c>
    </row>
    <row r="92" spans="1:3">
      <c r="A92" s="113">
        <f>Sheet1!A58</f>
        <v>330</v>
      </c>
      <c r="B92" s="114">
        <f>Sheet1!B58</f>
        <v>11.24</v>
      </c>
      <c r="C92" s="115">
        <v>1</v>
      </c>
    </row>
    <row r="93" spans="1:3">
      <c r="A93" s="113">
        <f>Sheet1!A59</f>
        <v>345</v>
      </c>
      <c r="B93" s="114">
        <f>Sheet1!B59</f>
        <v>11.290000000000001</v>
      </c>
      <c r="C93" s="115">
        <v>1</v>
      </c>
    </row>
    <row r="94" spans="1:3">
      <c r="A94" s="113">
        <f>Sheet1!A60</f>
        <v>360</v>
      </c>
      <c r="B94" s="114">
        <f>Sheet1!B60</f>
        <v>11.35</v>
      </c>
      <c r="C94" s="115">
        <v>1</v>
      </c>
    </row>
    <row r="95" spans="1:3">
      <c r="A95" s="113">
        <f>Sheet1!A61</f>
        <v>361</v>
      </c>
      <c r="B95" s="114">
        <f>Sheet1!B61</f>
        <v>11.54</v>
      </c>
      <c r="C95" s="115">
        <v>1</v>
      </c>
    </row>
    <row r="96" spans="1:3">
      <c r="A96" s="113">
        <f>Sheet1!A62</f>
        <v>362</v>
      </c>
      <c r="B96" s="114">
        <f>Sheet1!B62</f>
        <v>11.709999999999999</v>
      </c>
      <c r="C96" s="115">
        <v>1</v>
      </c>
    </row>
    <row r="97" spans="1:3">
      <c r="A97" s="113">
        <f>Sheet1!A63</f>
        <v>363</v>
      </c>
      <c r="B97" s="114">
        <f>Sheet1!B63</f>
        <v>11.87</v>
      </c>
      <c r="C97" s="115">
        <v>1</v>
      </c>
    </row>
    <row r="98" spans="1:3">
      <c r="A98" s="113">
        <f>Sheet1!A64</f>
        <v>364</v>
      </c>
      <c r="B98" s="114">
        <f>Sheet1!B64</f>
        <v>12.02</v>
      </c>
      <c r="C98" s="115">
        <v>1</v>
      </c>
    </row>
    <row r="99" spans="1:3">
      <c r="A99" s="113">
        <f>Sheet1!A65</f>
        <v>365</v>
      </c>
      <c r="B99" s="114">
        <f>Sheet1!B65</f>
        <v>12.16</v>
      </c>
      <c r="C99" s="115">
        <v>1</v>
      </c>
    </row>
    <row r="100" spans="1:3">
      <c r="A100" s="113">
        <f>Sheet1!A66</f>
        <v>370</v>
      </c>
      <c r="B100" s="114">
        <f>Sheet1!B66</f>
        <v>13.01</v>
      </c>
      <c r="C100" s="115">
        <v>1</v>
      </c>
    </row>
    <row r="101" spans="1:3">
      <c r="A101" s="113">
        <f>Sheet1!A67</f>
        <v>375</v>
      </c>
      <c r="B101" s="114">
        <f>Sheet1!B67</f>
        <v>13.129999999999999</v>
      </c>
      <c r="C101" s="115">
        <v>1</v>
      </c>
    </row>
    <row r="102" spans="1:3">
      <c r="A102" s="113">
        <f>Sheet1!A68</f>
        <v>380</v>
      </c>
      <c r="B102" s="114">
        <f>Sheet1!B68</f>
        <v>13.29</v>
      </c>
      <c r="C102" s="115">
        <v>1</v>
      </c>
    </row>
    <row r="103" spans="1:3">
      <c r="A103" s="113">
        <f>Sheet1!A69</f>
        <v>385</v>
      </c>
      <c r="B103" s="114">
        <f>Sheet1!B69</f>
        <v>13.409999999999998</v>
      </c>
      <c r="C103" s="115">
        <v>1</v>
      </c>
    </row>
    <row r="104" spans="1:3">
      <c r="A104" s="113">
        <f>Sheet1!A70</f>
        <v>390</v>
      </c>
      <c r="B104" s="114">
        <f>Sheet1!B70</f>
        <v>13.57</v>
      </c>
      <c r="C104" s="115">
        <v>1</v>
      </c>
    </row>
    <row r="105" spans="1:3">
      <c r="A105" s="113">
        <f>Sheet1!A71</f>
        <v>395</v>
      </c>
      <c r="B105" s="114">
        <f>Sheet1!B71</f>
        <v>13.64</v>
      </c>
      <c r="C105" s="115">
        <v>1</v>
      </c>
    </row>
    <row r="106" spans="1:3">
      <c r="A106" s="113">
        <f>Sheet1!A72</f>
        <v>400</v>
      </c>
      <c r="B106" s="114">
        <f>Sheet1!B72</f>
        <v>13.690000000000001</v>
      </c>
      <c r="C106" s="115">
        <v>1</v>
      </c>
    </row>
    <row r="107" spans="1:3">
      <c r="A107" s="113">
        <f>Sheet1!A73</f>
        <v>405</v>
      </c>
      <c r="B107" s="114">
        <f>Sheet1!B73</f>
        <v>13.73</v>
      </c>
      <c r="C107" s="115">
        <v>1</v>
      </c>
    </row>
    <row r="108" spans="1:3">
      <c r="A108" s="113">
        <f>Sheet1!A74</f>
        <v>410</v>
      </c>
      <c r="B108" s="114">
        <f>Sheet1!B74</f>
        <v>13.76</v>
      </c>
      <c r="C108" s="115">
        <v>1</v>
      </c>
    </row>
    <row r="109" spans="1:3">
      <c r="A109" s="113">
        <f>Sheet1!A75</f>
        <v>415</v>
      </c>
      <c r="B109" s="114">
        <f>Sheet1!B75</f>
        <v>13.79</v>
      </c>
      <c r="C109" s="115">
        <v>1</v>
      </c>
    </row>
    <row r="110" spans="1:3">
      <c r="A110" s="113">
        <f>Sheet1!A76</f>
        <v>420</v>
      </c>
      <c r="B110" s="114">
        <f>Sheet1!B76</f>
        <v>13.85</v>
      </c>
      <c r="C110" s="115">
        <v>1</v>
      </c>
    </row>
    <row r="111" spans="1:3">
      <c r="A111" s="113">
        <f>Sheet1!A77</f>
        <v>435</v>
      </c>
      <c r="B111" s="114">
        <f>Sheet1!B77</f>
        <v>13.94</v>
      </c>
      <c r="C111" s="115">
        <v>1</v>
      </c>
    </row>
    <row r="112" spans="1:3">
      <c r="A112" s="113">
        <f>Sheet1!A78</f>
        <v>450</v>
      </c>
      <c r="B112" s="114">
        <f>Sheet1!B78</f>
        <v>14.01</v>
      </c>
      <c r="C112" s="115">
        <v>1</v>
      </c>
    </row>
    <row r="113" spans="1:3">
      <c r="A113" s="113">
        <f>Sheet1!A79</f>
        <v>465</v>
      </c>
      <c r="B113" s="114">
        <f>Sheet1!B79</f>
        <v>14.06</v>
      </c>
      <c r="C113" s="115">
        <v>1</v>
      </c>
    </row>
    <row r="114" spans="1:3">
      <c r="A114" s="113">
        <f>Sheet1!A80</f>
        <v>480</v>
      </c>
      <c r="B114" s="114">
        <f>Sheet1!B80</f>
        <v>14.13</v>
      </c>
      <c r="C114" s="115">
        <v>1</v>
      </c>
    </row>
    <row r="115" spans="1:3">
      <c r="A115" s="113">
        <f>Sheet1!A81</f>
        <v>481</v>
      </c>
      <c r="B115" s="114">
        <f>Sheet1!B81</f>
        <v>14.340000000000002</v>
      </c>
      <c r="C115" s="115">
        <v>1</v>
      </c>
    </row>
    <row r="116" spans="1:3">
      <c r="A116" s="113">
        <f>Sheet1!A82</f>
        <v>482</v>
      </c>
      <c r="B116" s="114">
        <f>Sheet1!B82</f>
        <v>14.530000000000001</v>
      </c>
      <c r="C116" s="115">
        <v>1</v>
      </c>
    </row>
    <row r="117" spans="1:3">
      <c r="A117" s="113">
        <f>Sheet1!A83</f>
        <v>483</v>
      </c>
      <c r="B117" s="114">
        <f>Sheet1!B83</f>
        <v>14.700000000000001</v>
      </c>
      <c r="C117" s="115">
        <v>1</v>
      </c>
    </row>
    <row r="118" spans="1:3">
      <c r="A118" s="113">
        <f>Sheet1!A84</f>
        <v>484</v>
      </c>
      <c r="B118" s="114">
        <f>Sheet1!B84</f>
        <v>14.860000000000001</v>
      </c>
      <c r="C118" s="115">
        <v>1</v>
      </c>
    </row>
    <row r="119" spans="1:3">
      <c r="A119" s="113">
        <f>Sheet1!A85</f>
        <v>485</v>
      </c>
      <c r="B119" s="114">
        <f>Sheet1!B85</f>
        <v>15.000000000000002</v>
      </c>
      <c r="C119" s="115">
        <v>1</v>
      </c>
    </row>
    <row r="120" spans="1:3">
      <c r="A120" s="113">
        <f>Sheet1!A86</f>
        <v>490</v>
      </c>
      <c r="B120" s="114">
        <f>Sheet1!B86</f>
        <v>15.82</v>
      </c>
      <c r="C120" s="115">
        <v>1</v>
      </c>
    </row>
    <row r="121" spans="1:3">
      <c r="A121" s="113">
        <f>Sheet1!A87</f>
        <v>495</v>
      </c>
      <c r="B121" s="114">
        <f>Sheet1!B87</f>
        <v>16.13</v>
      </c>
      <c r="C121" s="115">
        <v>1</v>
      </c>
    </row>
    <row r="122" spans="1:3">
      <c r="A122" s="113">
        <f>Sheet1!A88</f>
        <v>500</v>
      </c>
      <c r="B122" s="114">
        <f>Sheet1!B88</f>
        <v>16.45</v>
      </c>
      <c r="C122" s="115">
        <v>1</v>
      </c>
    </row>
    <row r="123" spans="1:3">
      <c r="A123" s="113">
        <f>Sheet1!A89</f>
        <v>505</v>
      </c>
      <c r="B123" s="114">
        <f>Sheet1!B89</f>
        <v>16.75</v>
      </c>
      <c r="C123" s="115">
        <v>1</v>
      </c>
    </row>
    <row r="124" spans="1:3">
      <c r="A124" s="113">
        <f>Sheet1!A90</f>
        <v>510</v>
      </c>
      <c r="B124" s="114">
        <f>Sheet1!B90</f>
        <v>17.09</v>
      </c>
      <c r="C124" s="115">
        <v>1</v>
      </c>
    </row>
    <row r="125" spans="1:3">
      <c r="A125" s="113">
        <f>Sheet1!A91</f>
        <v>515</v>
      </c>
      <c r="B125" s="114">
        <f>Sheet1!B91</f>
        <v>17.239999999999998</v>
      </c>
      <c r="C125" s="115">
        <v>1</v>
      </c>
    </row>
    <row r="126" spans="1:3">
      <c r="A126" s="113">
        <f>Sheet1!A92</f>
        <v>520</v>
      </c>
      <c r="B126" s="114">
        <f>Sheet1!B92</f>
        <v>17.369999999999997</v>
      </c>
      <c r="C126" s="115">
        <v>1</v>
      </c>
    </row>
    <row r="127" spans="1:3">
      <c r="A127" s="113">
        <f>Sheet1!A93</f>
        <v>525</v>
      </c>
      <c r="B127" s="114">
        <f>Sheet1!B93</f>
        <v>17.479999999999997</v>
      </c>
      <c r="C127" s="115">
        <v>1</v>
      </c>
    </row>
    <row r="128" spans="1:3">
      <c r="A128" s="113">
        <f>Sheet1!A94</f>
        <v>530</v>
      </c>
      <c r="B128" s="114">
        <f>Sheet1!B94</f>
        <v>17.559999999999995</v>
      </c>
      <c r="C128" s="115">
        <v>1</v>
      </c>
    </row>
    <row r="129" spans="1:3">
      <c r="A129" s="113">
        <f>Sheet1!A95</f>
        <v>535</v>
      </c>
      <c r="B129" s="114">
        <f>Sheet1!B95</f>
        <v>17.629999999999995</v>
      </c>
      <c r="C129" s="115">
        <v>1</v>
      </c>
    </row>
    <row r="130" spans="1:3">
      <c r="A130" s="113">
        <f>Sheet1!A96</f>
        <v>540</v>
      </c>
      <c r="B130" s="114">
        <f>Sheet1!B96</f>
        <v>17.72</v>
      </c>
      <c r="C130" s="115">
        <v>1</v>
      </c>
    </row>
    <row r="131" spans="1:3">
      <c r="A131" s="113">
        <f>Sheet1!A97</f>
        <v>555</v>
      </c>
      <c r="B131" s="114">
        <f>Sheet1!B97</f>
        <v>17.91</v>
      </c>
      <c r="C131" s="115">
        <v>1</v>
      </c>
    </row>
    <row r="132" spans="1:3">
      <c r="A132" s="113">
        <f>Sheet1!A98</f>
        <v>570</v>
      </c>
      <c r="B132" s="114">
        <f>Sheet1!B98</f>
        <v>18.07</v>
      </c>
      <c r="C132" s="115">
        <v>1</v>
      </c>
    </row>
    <row r="133" spans="1:3">
      <c r="A133" s="113">
        <f>Sheet1!A99</f>
        <v>585</v>
      </c>
      <c r="B133" s="114">
        <f>Sheet1!B99</f>
        <v>18.21</v>
      </c>
      <c r="C133" s="115">
        <v>1</v>
      </c>
    </row>
    <row r="134" spans="1:3">
      <c r="A134" s="113">
        <f>Sheet1!A100</f>
        <v>600</v>
      </c>
      <c r="B134" s="114">
        <f>Sheet1!B100</f>
        <v>18.36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4" sqref="I2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2.0150000000000001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3.3156559522114577</v>
      </c>
      <c r="C31" s="115">
        <v>1</v>
      </c>
    </row>
    <row r="32" spans="1:3">
      <c r="A32" s="113">
        <f>LongTest!D11</f>
        <v>2</v>
      </c>
      <c r="B32" s="117">
        <f>LongTest!G11</f>
        <v>4.6998797379046291</v>
      </c>
      <c r="C32" s="115">
        <v>1</v>
      </c>
    </row>
    <row r="33" spans="1:3">
      <c r="A33" s="113">
        <f>LongTest!D12</f>
        <v>3</v>
      </c>
      <c r="B33" s="117">
        <f>LongTest!G12</f>
        <v>5.5095987451414139</v>
      </c>
      <c r="C33" s="115">
        <v>1</v>
      </c>
    </row>
    <row r="34" spans="1:3">
      <c r="A34" s="113">
        <f>LongTest!D13</f>
        <v>4</v>
      </c>
      <c r="B34" s="117">
        <f>LongTest!G13</f>
        <v>6.084103523597804</v>
      </c>
      <c r="C34" s="115">
        <v>1</v>
      </c>
    </row>
    <row r="35" spans="1:3">
      <c r="A35" s="113">
        <f>LongTest!D14</f>
        <v>5</v>
      </c>
      <c r="B35" s="117">
        <f>LongTest!G14</f>
        <v>6.5297240498237805</v>
      </c>
      <c r="C35" s="115">
        <v>1</v>
      </c>
    </row>
    <row r="36" spans="1:3">
      <c r="A36" s="113">
        <f>LongTest!D15</f>
        <v>10</v>
      </c>
      <c r="B36" s="117">
        <f>LongTest!G15</f>
        <v>7.9139478355169501</v>
      </c>
      <c r="C36" s="115">
        <v>1</v>
      </c>
    </row>
    <row r="37" spans="1:3">
      <c r="A37" s="113">
        <f>LongTest!D16</f>
        <v>15</v>
      </c>
      <c r="B37" s="117">
        <f>LongTest!G16</f>
        <v>8.7236668427537367</v>
      </c>
      <c r="C37" s="115">
        <v>1</v>
      </c>
    </row>
    <row r="38" spans="1:3">
      <c r="A38" s="113">
        <f>LongTest!D17</f>
        <v>20</v>
      </c>
      <c r="B38" s="117">
        <f>LongTest!G17</f>
        <v>9.2981716212101269</v>
      </c>
      <c r="C38" s="115">
        <v>1</v>
      </c>
    </row>
    <row r="39" spans="1:3">
      <c r="A39" s="113">
        <f>LongTest!D18</f>
        <v>25</v>
      </c>
      <c r="B39" s="117">
        <f>LongTest!G18</f>
        <v>9.7437921474360998</v>
      </c>
      <c r="C39" s="115">
        <v>1</v>
      </c>
    </row>
    <row r="40" spans="1:3">
      <c r="A40" s="113">
        <f>LongTest!D19</f>
        <v>30</v>
      </c>
      <c r="B40" s="117">
        <f>LongTest!G19</f>
        <v>10.10789062844691</v>
      </c>
      <c r="C40" s="115">
        <v>1</v>
      </c>
    </row>
    <row r="41" spans="1:3">
      <c r="A41" s="113">
        <f>LongTest!D20</f>
        <v>35</v>
      </c>
      <c r="B41" s="117">
        <f>LongTest!G20</f>
        <v>10.41573150781872</v>
      </c>
      <c r="C41" s="115">
        <v>1</v>
      </c>
    </row>
    <row r="42" spans="1:3">
      <c r="A42" s="113">
        <f>LongTest!D21</f>
        <v>40</v>
      </c>
      <c r="B42" s="117">
        <f>LongTest!G21</f>
        <v>10.6823954069033</v>
      </c>
      <c r="C42" s="115">
        <v>1</v>
      </c>
    </row>
    <row r="43" spans="1:3">
      <c r="A43" s="113">
        <f>LongTest!D22</f>
        <v>45</v>
      </c>
      <c r="B43" s="117">
        <f>LongTest!G22</f>
        <v>10.917609635683696</v>
      </c>
      <c r="C43" s="115">
        <v>1</v>
      </c>
    </row>
    <row r="44" spans="1:3">
      <c r="A44" s="113">
        <f>LongTest!D23</f>
        <v>50</v>
      </c>
      <c r="B44" s="117">
        <f>LongTest!G23</f>
        <v>11.128015933129273</v>
      </c>
      <c r="C44" s="115">
        <v>1</v>
      </c>
    </row>
    <row r="45" spans="1:3">
      <c r="A45" s="113">
        <f>LongTest!D24</f>
        <v>55</v>
      </c>
      <c r="B45" s="117">
        <f>LongTest!G24</f>
        <v>11.318351581320563</v>
      </c>
      <c r="C45" s="115">
        <v>1</v>
      </c>
    </row>
    <row r="46" spans="1:3">
      <c r="A46" s="113">
        <f>LongTest!D25</f>
        <v>60</v>
      </c>
      <c r="B46" s="117">
        <f>LongTest!G25</f>
        <v>11.492114414140083</v>
      </c>
      <c r="C46" s="115">
        <v>1</v>
      </c>
    </row>
    <row r="47" spans="1:3">
      <c r="A47" s="113">
        <f>LongTest!D26</f>
        <v>75</v>
      </c>
      <c r="B47" s="117">
        <f>LongTest!G26</f>
        <v>11.93773494036606</v>
      </c>
      <c r="C47" s="115">
        <v>1</v>
      </c>
    </row>
    <row r="48" spans="1:3">
      <c r="A48" s="113">
        <f>LongTest!D27</f>
        <v>90</v>
      </c>
      <c r="B48" s="117">
        <f>LongTest!G27</f>
        <v>12.30183342137687</v>
      </c>
      <c r="C48" s="115">
        <v>1</v>
      </c>
    </row>
    <row r="49" spans="1:3">
      <c r="A49" s="113">
        <f>LongTest!D28</f>
        <v>105</v>
      </c>
      <c r="B49" s="117">
        <f>LongTest!G28</f>
        <v>12.609674300748676</v>
      </c>
      <c r="C49" s="115">
        <v>1</v>
      </c>
    </row>
    <row r="50" spans="1:3">
      <c r="A50" s="113">
        <f>LongTest!D29</f>
        <v>120</v>
      </c>
      <c r="B50" s="117">
        <f>LongTest!G29</f>
        <v>12.876338199833256</v>
      </c>
      <c r="C50" s="115">
        <v>1</v>
      </c>
    </row>
    <row r="51" spans="1:3">
      <c r="A51" s="113">
        <f>LongTest!D30</f>
        <v>140</v>
      </c>
      <c r="B51" s="117">
        <f>LongTest!G30</f>
        <v>13.184179079205066</v>
      </c>
      <c r="C51" s="115">
        <v>1</v>
      </c>
    </row>
    <row r="52" spans="1:3">
      <c r="A52" s="113">
        <f>LongTest!D31</f>
        <v>160</v>
      </c>
      <c r="B52" s="117">
        <f>LongTest!G31</f>
        <v>13.450842978289646</v>
      </c>
      <c r="C52" s="115">
        <v>1</v>
      </c>
    </row>
    <row r="53" spans="1:3">
      <c r="A53" s="113">
        <f>LongTest!D32</f>
        <v>180</v>
      </c>
      <c r="B53" s="117">
        <f>LongTest!G32</f>
        <v>13.686057207070043</v>
      </c>
      <c r="C53" s="115">
        <v>1</v>
      </c>
    </row>
    <row r="54" spans="1:3">
      <c r="A54" s="113">
        <f>LongTest!D33</f>
        <v>240</v>
      </c>
      <c r="B54" s="117">
        <f>LongTest!G33</f>
        <v>14.260561985526433</v>
      </c>
      <c r="C54" s="115">
        <v>1</v>
      </c>
    </row>
    <row r="55" spans="1:3">
      <c r="A55" s="113">
        <f>LongTest!D34</f>
        <v>300</v>
      </c>
      <c r="B55" s="117">
        <f>LongTest!G34</f>
        <v>14.706182511752406</v>
      </c>
      <c r="C55" s="115">
        <v>1</v>
      </c>
    </row>
    <row r="56" spans="1:3">
      <c r="A56" s="113">
        <f>LongTest!D35</f>
        <v>360</v>
      </c>
      <c r="B56" s="117">
        <f>LongTest!G35</f>
        <v>15.070280992763216</v>
      </c>
      <c r="C56" s="115">
        <v>1</v>
      </c>
    </row>
    <row r="57" spans="1:3">
      <c r="A57" s="113">
        <f>LongTest!D36</f>
        <v>420</v>
      </c>
      <c r="B57" s="117">
        <f>LongTest!G36</f>
        <v>15.378121872135026</v>
      </c>
      <c r="C57" s="115">
        <v>1</v>
      </c>
    </row>
    <row r="58" spans="1:3">
      <c r="A58" s="113">
        <f>LongTest!D37</f>
        <v>480</v>
      </c>
      <c r="B58" s="117">
        <f>LongTest!G37</f>
        <v>15.644785771219606</v>
      </c>
      <c r="C58" s="115">
        <v>1</v>
      </c>
    </row>
    <row r="59" spans="1:3">
      <c r="A59" s="113">
        <f>LongTest!D38</f>
        <v>540</v>
      </c>
      <c r="B59" s="117">
        <f>LongTest!G38</f>
        <v>15.880000000000003</v>
      </c>
      <c r="C59" s="115">
        <v>1</v>
      </c>
    </row>
    <row r="60" spans="1:3">
      <c r="A60" s="113">
        <f>LongTest!D39</f>
        <v>600</v>
      </c>
      <c r="B60" s="117">
        <f>LongTest!G39</f>
        <v>15.880000000000003</v>
      </c>
      <c r="C60" s="115">
        <v>1</v>
      </c>
    </row>
    <row r="61" spans="1:3">
      <c r="A61" s="113">
        <f>LongTest!D40</f>
        <v>660</v>
      </c>
      <c r="B61" s="117">
        <f>LongTest!G40</f>
        <v>15.880000000000003</v>
      </c>
      <c r="C61" s="115">
        <v>1</v>
      </c>
    </row>
    <row r="62" spans="1:3">
      <c r="A62" s="113">
        <f>LongTest!D41</f>
        <v>720</v>
      </c>
      <c r="B62" s="117">
        <f>LongTest!G41</f>
        <v>15.880000000000003</v>
      </c>
      <c r="C62" s="115">
        <v>1</v>
      </c>
    </row>
    <row r="63" spans="1:3">
      <c r="A63" s="113">
        <f>LongTest!D42</f>
        <v>780</v>
      </c>
      <c r="B63" s="117">
        <f>LongTest!G42</f>
        <v>15.880000000000003</v>
      </c>
      <c r="C63" s="115">
        <v>1</v>
      </c>
    </row>
    <row r="64" spans="1:3">
      <c r="A64" s="113">
        <f>LongTest!D43</f>
        <v>840</v>
      </c>
      <c r="B64" s="117">
        <f>LongTest!G43</f>
        <v>15.880000000000003</v>
      </c>
      <c r="C64" s="115">
        <v>1</v>
      </c>
    </row>
    <row r="65" spans="1:3">
      <c r="A65" s="113">
        <f>LongTest!D44</f>
        <v>900</v>
      </c>
      <c r="B65" s="117">
        <f>LongTest!G44</f>
        <v>15.880000000000003</v>
      </c>
      <c r="C65" s="115">
        <v>1</v>
      </c>
    </row>
    <row r="66" spans="1:3">
      <c r="A66" s="113">
        <f>LongTest!D45</f>
        <v>960</v>
      </c>
      <c r="B66" s="117">
        <f>LongTest!G45</f>
        <v>15.880000000000003</v>
      </c>
      <c r="C66" s="115">
        <v>1</v>
      </c>
    </row>
    <row r="67" spans="1:3">
      <c r="A67" s="113">
        <f>LongTest!D46</f>
        <v>1020</v>
      </c>
      <c r="B67" s="117">
        <f>LongTest!G46</f>
        <v>15.880000000000003</v>
      </c>
      <c r="C67" s="115">
        <v>1</v>
      </c>
    </row>
    <row r="68" spans="1:3">
      <c r="A68" s="113">
        <f>LongTest!D47</f>
        <v>1080</v>
      </c>
      <c r="B68" s="117">
        <f>LongTest!G47</f>
        <v>15.880000000000003</v>
      </c>
      <c r="C68" s="115">
        <v>1</v>
      </c>
    </row>
    <row r="69" spans="1:3">
      <c r="A69" s="113">
        <f>LongTest!D48</f>
        <v>1140</v>
      </c>
      <c r="B69" s="117">
        <f>LongTest!G48</f>
        <v>15.880000000000003</v>
      </c>
      <c r="C69" s="115">
        <v>1</v>
      </c>
    </row>
    <row r="70" spans="1:3">
      <c r="A70" s="113">
        <f>LongTest!D49</f>
        <v>1200</v>
      </c>
      <c r="B70" s="117">
        <f>LongTest!G49</f>
        <v>15.880000000000003</v>
      </c>
      <c r="C70" s="115">
        <v>1</v>
      </c>
    </row>
    <row r="71" spans="1:3">
      <c r="A71" s="113">
        <f>LongTest!D50</f>
        <v>1260</v>
      </c>
      <c r="B71" s="117">
        <f>LongTest!G50</f>
        <v>15.880000000000003</v>
      </c>
      <c r="C71" s="115">
        <v>1</v>
      </c>
    </row>
    <row r="72" spans="1:3">
      <c r="A72" s="113">
        <f>LongTest!D51</f>
        <v>1320</v>
      </c>
      <c r="B72" s="117">
        <f>LongTest!G51</f>
        <v>15.880000000000003</v>
      </c>
      <c r="C72" s="115">
        <v>1</v>
      </c>
    </row>
    <row r="73" spans="1:3">
      <c r="A73" s="113">
        <f>LongTest!D52</f>
        <v>1380</v>
      </c>
      <c r="B73" s="117">
        <f>LongTest!G52</f>
        <v>15.880000000000003</v>
      </c>
      <c r="C73" s="115">
        <v>1</v>
      </c>
    </row>
    <row r="74" spans="1:3">
      <c r="A74" s="113">
        <f>LongTest!D53</f>
        <v>1440</v>
      </c>
      <c r="B74" s="117">
        <f>LongTest!G53</f>
        <v>15.880000000000003</v>
      </c>
      <c r="C74" s="115">
        <v>1</v>
      </c>
    </row>
    <row r="75" spans="1:3">
      <c r="A75" s="113">
        <f>LongTest!D54</f>
        <v>1500</v>
      </c>
      <c r="B75" s="117">
        <f>LongTest!G54</f>
        <v>15.880000000000003</v>
      </c>
      <c r="C75" s="115">
        <v>1</v>
      </c>
    </row>
    <row r="76" spans="1:3">
      <c r="A76" s="113">
        <f>LongTest!D55</f>
        <v>1560</v>
      </c>
      <c r="B76" s="117">
        <f>LongTest!G55</f>
        <v>15.880000000000003</v>
      </c>
      <c r="C76" s="115">
        <v>1</v>
      </c>
    </row>
    <row r="77" spans="1:3">
      <c r="A77" s="113">
        <f>LongTest!D56</f>
        <v>1620</v>
      </c>
      <c r="B77" s="117">
        <f>LongTest!G56</f>
        <v>15.880000000000003</v>
      </c>
      <c r="C77" s="115">
        <v>1</v>
      </c>
    </row>
    <row r="78" spans="1:3">
      <c r="A78" s="113">
        <f>LongTest!D57</f>
        <v>1680</v>
      </c>
      <c r="B78" s="117">
        <f>LongTest!G57</f>
        <v>15.880000000000003</v>
      </c>
      <c r="C78" s="115">
        <v>1</v>
      </c>
    </row>
    <row r="79" spans="1:3">
      <c r="A79" s="113">
        <f>LongTest!D58</f>
        <v>1740</v>
      </c>
      <c r="B79" s="117">
        <f>LongTest!G58</f>
        <v>15.880000000000003</v>
      </c>
      <c r="C79" s="115">
        <v>1</v>
      </c>
    </row>
    <row r="80" spans="1:3">
      <c r="A80" s="113">
        <f>LongTest!D59</f>
        <v>1800</v>
      </c>
      <c r="B80" s="117">
        <f>LongTest!G59</f>
        <v>15.880000000000003</v>
      </c>
      <c r="C80" s="115">
        <v>1</v>
      </c>
    </row>
    <row r="81" spans="1:3">
      <c r="A81" s="113">
        <f>LongTest!D60</f>
        <v>1860</v>
      </c>
      <c r="B81" s="117">
        <f>LongTest!G60</f>
        <v>15.880000000000003</v>
      </c>
      <c r="C81" s="115">
        <v>1</v>
      </c>
    </row>
    <row r="82" spans="1:3">
      <c r="A82" s="113">
        <f>LongTest!D61</f>
        <v>1920</v>
      </c>
      <c r="B82" s="117">
        <f>LongTest!G61</f>
        <v>15.880000000000003</v>
      </c>
      <c r="C82" s="115">
        <v>1</v>
      </c>
    </row>
    <row r="83" spans="1:3">
      <c r="A83" s="113">
        <f>LongTest!D62</f>
        <v>1980</v>
      </c>
      <c r="B83" s="117">
        <f>LongTest!G62</f>
        <v>15.880000000000003</v>
      </c>
      <c r="C83" s="115">
        <v>1</v>
      </c>
    </row>
    <row r="84" spans="1:3">
      <c r="A84" s="113">
        <f>LongTest!D63</f>
        <v>2040</v>
      </c>
      <c r="B84" s="117">
        <f>LongTest!G63</f>
        <v>15.880000000000003</v>
      </c>
      <c r="C84" s="115">
        <v>1</v>
      </c>
    </row>
    <row r="85" spans="1:3">
      <c r="A85" s="113">
        <f>LongTest!D64</f>
        <v>2100</v>
      </c>
      <c r="B85" s="117">
        <f>LongTest!G64</f>
        <v>15.880000000000003</v>
      </c>
      <c r="C85" s="115">
        <v>1</v>
      </c>
    </row>
    <row r="86" spans="1:3">
      <c r="A86" s="113">
        <f>LongTest!D65</f>
        <v>2160</v>
      </c>
      <c r="B86" s="117">
        <f>LongTest!G65</f>
        <v>15.880000000000003</v>
      </c>
      <c r="C86" s="115">
        <v>1</v>
      </c>
    </row>
    <row r="87" spans="1:3">
      <c r="A87" s="113">
        <f>LongTest!D66</f>
        <v>2220</v>
      </c>
      <c r="B87" s="117">
        <f>LongTest!G66</f>
        <v>15.880000000000003</v>
      </c>
      <c r="C87" s="115">
        <v>1</v>
      </c>
    </row>
    <row r="88" spans="1:3">
      <c r="A88" s="113">
        <f>LongTest!D67</f>
        <v>2280</v>
      </c>
      <c r="B88" s="117">
        <f>LongTest!G67</f>
        <v>15.880000000000003</v>
      </c>
      <c r="C88" s="115">
        <v>1</v>
      </c>
    </row>
    <row r="89" spans="1:3">
      <c r="A89" s="113">
        <f>LongTest!D68</f>
        <v>2340</v>
      </c>
      <c r="B89" s="117">
        <f>LongTest!G68</f>
        <v>15.880000000000003</v>
      </c>
      <c r="C89" s="115">
        <v>1</v>
      </c>
    </row>
    <row r="90" spans="1:3">
      <c r="A90" s="113">
        <f>LongTest!D69</f>
        <v>2400</v>
      </c>
      <c r="B90" s="117">
        <f>LongTest!G69</f>
        <v>15.880000000000003</v>
      </c>
      <c r="C90" s="115">
        <v>1</v>
      </c>
    </row>
    <row r="91" spans="1:3">
      <c r="A91" s="113">
        <f>LongTest!D70</f>
        <v>2460</v>
      </c>
      <c r="B91" s="117">
        <f>LongTest!G70</f>
        <v>15.880000000000003</v>
      </c>
      <c r="C91" s="115">
        <v>1</v>
      </c>
    </row>
    <row r="92" spans="1:3">
      <c r="A92" s="113">
        <f>LongTest!D71</f>
        <v>2520</v>
      </c>
      <c r="B92" s="117">
        <f>LongTest!G71</f>
        <v>15.880000000000003</v>
      </c>
      <c r="C92" s="115">
        <v>1</v>
      </c>
    </row>
    <row r="93" spans="1:3">
      <c r="A93" s="113">
        <f>LongTest!D72</f>
        <v>2580</v>
      </c>
      <c r="B93" s="117">
        <f>LongTest!G72</f>
        <v>15.880000000000003</v>
      </c>
      <c r="C93" s="115">
        <v>1</v>
      </c>
    </row>
    <row r="94" spans="1:3">
      <c r="A94" s="113">
        <f>LongTest!D73</f>
        <v>2640</v>
      </c>
      <c r="B94" s="117">
        <f>LongTest!G73</f>
        <v>15.880000000000003</v>
      </c>
      <c r="C94" s="115">
        <v>1</v>
      </c>
    </row>
    <row r="95" spans="1:3">
      <c r="A95" s="113">
        <f>LongTest!D74</f>
        <v>2700</v>
      </c>
      <c r="B95" s="117">
        <f>LongTest!G74</f>
        <v>15.880000000000003</v>
      </c>
      <c r="C95" s="115">
        <v>1</v>
      </c>
    </row>
    <row r="96" spans="1:3">
      <c r="A96" s="113">
        <f>LongTest!D75</f>
        <v>2760</v>
      </c>
      <c r="B96" s="117">
        <f>LongTest!G75</f>
        <v>15.880000000000003</v>
      </c>
      <c r="C96" s="115">
        <v>1</v>
      </c>
    </row>
    <row r="97" spans="1:3">
      <c r="A97" s="113">
        <f>LongTest!D76</f>
        <v>2820</v>
      </c>
      <c r="B97" s="117">
        <f>LongTest!G76</f>
        <v>15.880000000000003</v>
      </c>
      <c r="C97" s="115">
        <v>1</v>
      </c>
    </row>
    <row r="98" spans="1:3">
      <c r="A98" s="113">
        <f>LongTest!D77</f>
        <v>2880</v>
      </c>
      <c r="B98" s="117">
        <f>LongTest!G77</f>
        <v>15.880000000000003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opLeftCell="A4" workbookViewId="0">
      <selection activeCell="J19" sqref="J19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28"/>
      <c r="M6" s="528"/>
      <c r="N6" s="528"/>
    </row>
    <row r="7" spans="1:14">
      <c r="A7" s="113">
        <f>Step.Select!A7</f>
        <v>83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2.0150000000000001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15.880000000000003</v>
      </c>
      <c r="C32" s="115">
        <v>1</v>
      </c>
    </row>
    <row r="33" spans="1:3">
      <c r="A33" s="113">
        <f>$A$32+LongTest!D78</f>
        <v>2881</v>
      </c>
      <c r="B33" s="114">
        <f>LongTest!G78</f>
        <v>10.782796980712918</v>
      </c>
      <c r="C33" s="115">
        <v>1</v>
      </c>
    </row>
    <row r="34" spans="1:3">
      <c r="A34" s="113">
        <f>$A$32+LongTest!D79</f>
        <v>2882</v>
      </c>
      <c r="B34" s="114">
        <f>LongTest!G79</f>
        <v>9.9244377821078142</v>
      </c>
      <c r="C34" s="115">
        <v>1</v>
      </c>
    </row>
    <row r="35" spans="1:3">
      <c r="A35" s="113">
        <f>$A$32+LongTest!D80</f>
        <v>2883</v>
      </c>
      <c r="B35" s="114">
        <f>LongTest!G80</f>
        <v>9.1344078412220089</v>
      </c>
      <c r="C35" s="115">
        <v>1</v>
      </c>
    </row>
    <row r="36" spans="1:3">
      <c r="A36" s="113">
        <f>$A$32+LongTest!D81</f>
        <v>2884</v>
      </c>
      <c r="B36" s="114">
        <f>LongTest!G81</f>
        <v>8.4072678414290092</v>
      </c>
      <c r="C36" s="115">
        <v>1</v>
      </c>
    </row>
    <row r="37" spans="1:3">
      <c r="A37" s="113">
        <f>$A$32+LongTest!D82</f>
        <v>2885</v>
      </c>
      <c r="B37" s="114">
        <f>LongTest!G82</f>
        <v>7.7380114602010686</v>
      </c>
      <c r="C37" s="115">
        <v>1</v>
      </c>
    </row>
    <row r="38" spans="1:3">
      <c r="A38" s="113">
        <f>$A$32+LongTest!D83</f>
        <v>2890</v>
      </c>
      <c r="B38" s="114">
        <f>LongTest!G83</f>
        <v>6.0332708686180201</v>
      </c>
      <c r="C38" s="115">
        <v>1</v>
      </c>
    </row>
    <row r="39" spans="1:3">
      <c r="A39" s="113">
        <f>$A$32+LongTest!D84</f>
        <v>2895</v>
      </c>
      <c r="B39" s="114">
        <f>LongTest!G84</f>
        <v>5.7086815048240274</v>
      </c>
      <c r="C39" s="115">
        <v>1</v>
      </c>
    </row>
    <row r="40" spans="1:3">
      <c r="A40" s="113">
        <f>$A$32+LongTest!D85</f>
        <v>2900</v>
      </c>
      <c r="B40" s="114">
        <f>LongTest!G85</f>
        <v>4.8359832049120115</v>
      </c>
      <c r="C40" s="115">
        <v>1</v>
      </c>
    </row>
    <row r="41" spans="1:3">
      <c r="A41" s="113">
        <f>$A$32+LongTest!D86</f>
        <v>2905</v>
      </c>
      <c r="B41" s="114">
        <f>LongTest!G86</f>
        <v>4.4510171635721916</v>
      </c>
      <c r="C41" s="115">
        <v>1</v>
      </c>
    </row>
    <row r="42" spans="1:3">
      <c r="A42" s="113">
        <f>$A$32+LongTest!D87</f>
        <v>2910</v>
      </c>
      <c r="B42" s="114">
        <f>LongTest!G87</f>
        <v>4.0966961527681098</v>
      </c>
      <c r="C42" s="115">
        <v>1</v>
      </c>
    </row>
    <row r="43" spans="1:3">
      <c r="A43" s="113">
        <f>$A$32+LongTest!D88</f>
        <v>2915</v>
      </c>
      <c r="B43" s="114">
        <f>LongTest!G88</f>
        <v>3.9849717690342552</v>
      </c>
      <c r="C43" s="115">
        <v>1</v>
      </c>
    </row>
    <row r="44" spans="1:3">
      <c r="A44" s="113">
        <f>$A$32+LongTest!D89</f>
        <v>2920</v>
      </c>
      <c r="B44" s="114">
        <f>LongTest!G89</f>
        <v>3.8762943132284762</v>
      </c>
      <c r="C44" s="115">
        <v>1</v>
      </c>
    </row>
    <row r="45" spans="1:3">
      <c r="A45" s="113">
        <f>$A$32+LongTest!D90</f>
        <v>2925</v>
      </c>
      <c r="B45" s="114">
        <f>LongTest!G90</f>
        <v>3.7705806900631673</v>
      </c>
      <c r="C45" s="115">
        <v>1</v>
      </c>
    </row>
    <row r="46" spans="1:3">
      <c r="A46" s="113">
        <f>$A$32+LongTest!D91</f>
        <v>2930</v>
      </c>
      <c r="B46" s="114">
        <f>LongTest!G91</f>
        <v>3.6677500704109298</v>
      </c>
      <c r="C46" s="115">
        <v>1</v>
      </c>
    </row>
    <row r="47" spans="1:3">
      <c r="A47" s="113">
        <f>$A$32+LongTest!D92</f>
        <v>2935</v>
      </c>
      <c r="B47" s="114">
        <f>LongTest!G92</f>
        <v>3.5677238295022455</v>
      </c>
      <c r="C47" s="115">
        <v>1</v>
      </c>
    </row>
    <row r="48" spans="1:3">
      <c r="A48" s="113">
        <f>$A$32+LongTest!D93</f>
        <v>2940</v>
      </c>
      <c r="B48" s="114">
        <f>LongTest!G93</f>
        <v>3.4704254868086104</v>
      </c>
      <c r="C48" s="115">
        <v>1</v>
      </c>
    </row>
    <row r="49" spans="1:3">
      <c r="A49" s="113">
        <f>$A$32+LongTest!D94</f>
        <v>2955</v>
      </c>
      <c r="B49" s="114">
        <f>LongTest!G94</f>
        <v>3.3757806475651706</v>
      </c>
      <c r="C49" s="115">
        <v>1</v>
      </c>
    </row>
    <row r="50" spans="1:3">
      <c r="A50" s="113">
        <f>$A$32+LongTest!D95</f>
        <v>2970</v>
      </c>
      <c r="B50" s="114">
        <f>LongTest!G95</f>
        <v>3.2837169458881377</v>
      </c>
      <c r="C50" s="115">
        <v>1</v>
      </c>
    </row>
    <row r="51" spans="1:3">
      <c r="A51" s="113">
        <f>$A$32+LongTest!D96</f>
        <v>2985</v>
      </c>
      <c r="B51" s="114">
        <f>LongTest!G96</f>
        <v>3.194163989443497</v>
      </c>
      <c r="C51" s="115">
        <v>1</v>
      </c>
    </row>
    <row r="52" spans="1:3">
      <c r="A52" s="113">
        <f>$A$32+LongTest!D97</f>
        <v>3000</v>
      </c>
      <c r="B52" s="114">
        <f>LongTest!G97</f>
        <v>2.9398941513767949</v>
      </c>
      <c r="C52" s="115">
        <v>1</v>
      </c>
    </row>
    <row r="53" spans="1:3">
      <c r="A53" s="113">
        <f>$A$32+LongTest!D98</f>
        <v>3060</v>
      </c>
      <c r="B53" s="114">
        <f>LongTest!G98</f>
        <v>2.859717870281747</v>
      </c>
      <c r="C53" s="115">
        <v>1</v>
      </c>
    </row>
    <row r="54" spans="1:3">
      <c r="A54" s="113">
        <f>$A$32+LongTest!D99</f>
        <v>3120</v>
      </c>
      <c r="B54" s="114">
        <f>LongTest!G99</f>
        <v>2.4225467088648833</v>
      </c>
      <c r="C54" s="115">
        <v>1</v>
      </c>
    </row>
    <row r="55" spans="1:3">
      <c r="A55" s="113">
        <f>$A$32+LongTest!D100</f>
        <v>3180</v>
      </c>
      <c r="B55" s="114">
        <f>LongTest!G100</f>
        <v>2.0522068339748056</v>
      </c>
      <c r="C55" s="115">
        <v>1</v>
      </c>
    </row>
    <row r="56" spans="1:3">
      <c r="A56" s="113">
        <f>$A$32+LongTest!D101</f>
        <v>3240</v>
      </c>
      <c r="B56" s="114">
        <f>LongTest!G101</f>
        <v>1.7384816045038303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12" zoomScaleNormal="100" zoomScaleSheetLayoutView="100" workbookViewId="0">
      <selection activeCell="M34" sqref="M34"/>
    </sheetView>
  </sheetViews>
  <sheetFormatPr defaultRowHeight="16.5"/>
  <cols>
    <col min="1" max="2" width="9" style="447"/>
    <col min="3" max="3" width="11.375" style="447" customWidth="1"/>
    <col min="4" max="4" width="6.75" style="447" customWidth="1"/>
    <col min="5" max="5" width="7.25" style="447" customWidth="1"/>
    <col min="6" max="6" width="13.875" style="447" bestFit="1" customWidth="1"/>
    <col min="7" max="7" width="12.125" style="447" customWidth="1"/>
    <col min="8" max="16384" width="9" style="447"/>
  </cols>
  <sheetData>
    <row r="1" spans="1:10" ht="45" customHeight="1" thickBot="1">
      <c r="A1" s="535" t="s">
        <v>316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295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296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3" t="str">
        <f>Input!I54</f>
        <v>W-1</v>
      </c>
      <c r="J3" s="424" t="s">
        <v>322</v>
      </c>
    </row>
    <row r="4" spans="1:10" ht="24.95" customHeight="1">
      <c r="A4" s="541" t="s">
        <v>297</v>
      </c>
      <c r="B4" s="542"/>
      <c r="C4" s="543">
        <f>LongTest!C10</f>
        <v>45454.472222222219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298</v>
      </c>
      <c r="B5" s="542"/>
      <c r="C5" s="543">
        <f>C103</f>
        <v>45456.722222222219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294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299</v>
      </c>
      <c r="B7" s="542"/>
      <c r="C7" s="549" t="s">
        <v>326</v>
      </c>
      <c r="D7" s="542"/>
      <c r="E7" s="425">
        <f>LongTest!C6</f>
        <v>5</v>
      </c>
      <c r="F7" s="425" t="s">
        <v>300</v>
      </c>
      <c r="G7" s="425" t="s">
        <v>328</v>
      </c>
      <c r="H7" s="549">
        <f>Input!I50</f>
        <v>50</v>
      </c>
      <c r="I7" s="542"/>
      <c r="J7" s="426" t="s">
        <v>301</v>
      </c>
    </row>
    <row r="8" spans="1:10" ht="24.95" customHeight="1">
      <c r="A8" s="541" t="s">
        <v>302</v>
      </c>
      <c r="B8" s="542"/>
      <c r="C8" s="549" t="s">
        <v>327</v>
      </c>
      <c r="D8" s="542"/>
      <c r="E8" s="425">
        <f>LongTest!D7</f>
        <v>200</v>
      </c>
      <c r="F8" s="425" t="s">
        <v>303</v>
      </c>
      <c r="G8" s="425" t="s">
        <v>304</v>
      </c>
      <c r="H8" s="549">
        <f>LongTest!G7</f>
        <v>100</v>
      </c>
      <c r="I8" s="542"/>
      <c r="J8" s="426" t="s">
        <v>301</v>
      </c>
    </row>
    <row r="9" spans="1:10" ht="24.95" customHeight="1">
      <c r="A9" s="541" t="s">
        <v>305</v>
      </c>
      <c r="B9" s="542"/>
      <c r="C9" s="549" t="s">
        <v>325</v>
      </c>
      <c r="D9" s="542"/>
      <c r="E9" s="425">
        <f>LongTest!D8</f>
        <v>9.4499999999999993</v>
      </c>
      <c r="F9" s="425" t="s">
        <v>301</v>
      </c>
      <c r="G9" s="425" t="s">
        <v>306</v>
      </c>
      <c r="H9" s="549">
        <f>LongTest!G8</f>
        <v>25.330000000000002</v>
      </c>
      <c r="I9" s="542"/>
      <c r="J9" s="426" t="s">
        <v>301</v>
      </c>
    </row>
    <row r="10" spans="1:10" ht="24.95" customHeight="1">
      <c r="A10" s="554" t="s">
        <v>307</v>
      </c>
      <c r="B10" s="439" t="s">
        <v>308</v>
      </c>
      <c r="C10" s="555" t="s">
        <v>190</v>
      </c>
      <c r="D10" s="555" t="s">
        <v>310</v>
      </c>
      <c r="E10" s="555"/>
      <c r="F10" s="439" t="s">
        <v>311</v>
      </c>
      <c r="G10" s="439" t="s">
        <v>313</v>
      </c>
      <c r="H10" s="439" t="s">
        <v>314</v>
      </c>
      <c r="I10" s="439" t="s">
        <v>315</v>
      </c>
      <c r="J10" s="440" t="s">
        <v>318</v>
      </c>
    </row>
    <row r="11" spans="1:10" ht="24.95" customHeight="1">
      <c r="A11" s="554"/>
      <c r="B11" s="439" t="s">
        <v>331</v>
      </c>
      <c r="C11" s="555"/>
      <c r="D11" s="555" t="s">
        <v>332</v>
      </c>
      <c r="E11" s="555"/>
      <c r="F11" s="439" t="s">
        <v>312</v>
      </c>
      <c r="G11" s="439" t="s">
        <v>312</v>
      </c>
      <c r="H11" s="439" t="s">
        <v>333</v>
      </c>
      <c r="I11" s="465" t="s">
        <v>334</v>
      </c>
      <c r="J11" s="441"/>
    </row>
    <row r="12" spans="1:10" ht="24.95" customHeight="1">
      <c r="A12" s="427">
        <v>1</v>
      </c>
      <c r="B12" s="428">
        <f>LongTest!B10</f>
        <v>150</v>
      </c>
      <c r="C12" s="429">
        <f t="shared" ref="C12:C43" si="0">$C$4+D12/1440</f>
        <v>45454.472916666666</v>
      </c>
      <c r="D12" s="553">
        <v>1</v>
      </c>
      <c r="E12" s="553"/>
      <c r="F12" s="430">
        <f>LongTest!F10</f>
        <v>12.765655952211457</v>
      </c>
      <c r="G12" s="430">
        <f>LongTest!G10</f>
        <v>3.3156559522114577</v>
      </c>
      <c r="H12" s="333"/>
      <c r="I12" s="333"/>
      <c r="J12" s="448"/>
    </row>
    <row r="13" spans="1:10" ht="24.95" customHeight="1">
      <c r="A13" s="427"/>
      <c r="B13" s="425"/>
      <c r="C13" s="429">
        <f t="shared" si="0"/>
        <v>45454.473611111105</v>
      </c>
      <c r="D13" s="553">
        <v>2</v>
      </c>
      <c r="E13" s="553"/>
      <c r="F13" s="430">
        <f>LongTest!F11</f>
        <v>14.149879737904628</v>
      </c>
      <c r="G13" s="430">
        <f>LongTest!G11</f>
        <v>4.6998797379046291</v>
      </c>
      <c r="H13" s="333"/>
      <c r="I13" s="333"/>
      <c r="J13" s="448"/>
    </row>
    <row r="14" spans="1:10" ht="24.95" customHeight="1">
      <c r="A14" s="427"/>
      <c r="B14" s="425"/>
      <c r="C14" s="429">
        <f t="shared" si="0"/>
        <v>45454.474305555552</v>
      </c>
      <c r="D14" s="553">
        <v>3</v>
      </c>
      <c r="E14" s="553"/>
      <c r="F14" s="430">
        <f>LongTest!F12</f>
        <v>14.959598745141413</v>
      </c>
      <c r="G14" s="430">
        <f>LongTest!G12</f>
        <v>5.5095987451414139</v>
      </c>
      <c r="H14" s="333"/>
      <c r="I14" s="333"/>
      <c r="J14" s="448"/>
    </row>
    <row r="15" spans="1:10" ht="24.95" customHeight="1">
      <c r="A15" s="427"/>
      <c r="B15" s="425"/>
      <c r="C15" s="429">
        <f t="shared" si="0"/>
        <v>45454.474999999999</v>
      </c>
      <c r="D15" s="553">
        <v>4</v>
      </c>
      <c r="E15" s="553"/>
      <c r="F15" s="430">
        <f>LongTest!F13</f>
        <v>15.534103523597803</v>
      </c>
      <c r="G15" s="430">
        <f>LongTest!G13</f>
        <v>6.084103523597804</v>
      </c>
      <c r="H15" s="333"/>
      <c r="I15" s="333"/>
      <c r="J15" s="448"/>
    </row>
    <row r="16" spans="1:10" ht="24.95" customHeight="1">
      <c r="A16" s="427"/>
      <c r="B16" s="425"/>
      <c r="C16" s="429">
        <f t="shared" si="0"/>
        <v>45454.475694444438</v>
      </c>
      <c r="D16" s="553">
        <v>5</v>
      </c>
      <c r="E16" s="553"/>
      <c r="F16" s="430">
        <f>LongTest!F14</f>
        <v>15.97972404982378</v>
      </c>
      <c r="G16" s="430">
        <f>LongTest!G14</f>
        <v>6.5297240498237805</v>
      </c>
      <c r="H16" s="425">
        <f>'w1'!D14</f>
        <v>15.5</v>
      </c>
      <c r="I16" s="425">
        <f>'w1'!E14</f>
        <v>202</v>
      </c>
      <c r="J16" s="426">
        <f>'w1'!F14</f>
        <v>6.38</v>
      </c>
    </row>
    <row r="17" spans="1:10" ht="24.95" customHeight="1">
      <c r="A17" s="427"/>
      <c r="B17" s="425"/>
      <c r="C17" s="429">
        <f t="shared" si="0"/>
        <v>45454.479166666664</v>
      </c>
      <c r="D17" s="553">
        <v>10</v>
      </c>
      <c r="E17" s="553"/>
      <c r="F17" s="430">
        <f>LongTest!F15</f>
        <v>17.363947835516949</v>
      </c>
      <c r="G17" s="430">
        <f>LongTest!G15</f>
        <v>7.9139478355169501</v>
      </c>
      <c r="H17" s="425"/>
      <c r="I17" s="425"/>
      <c r="J17" s="426"/>
    </row>
    <row r="18" spans="1:10" ht="24.95" customHeight="1">
      <c r="A18" s="427"/>
      <c r="B18" s="425"/>
      <c r="C18" s="429">
        <f t="shared" si="0"/>
        <v>45454.482638888883</v>
      </c>
      <c r="D18" s="553">
        <v>15</v>
      </c>
      <c r="E18" s="553"/>
      <c r="F18" s="430">
        <f>LongTest!F16</f>
        <v>18.173666842753736</v>
      </c>
      <c r="G18" s="430">
        <f>LongTest!G16</f>
        <v>8.7236668427537367</v>
      </c>
      <c r="H18" s="425"/>
      <c r="I18" s="425"/>
      <c r="J18" s="426"/>
    </row>
    <row r="19" spans="1:10" ht="24.95" customHeight="1">
      <c r="A19" s="427"/>
      <c r="B19" s="425"/>
      <c r="C19" s="429">
        <f t="shared" si="0"/>
        <v>45454.486111111109</v>
      </c>
      <c r="D19" s="553">
        <v>20</v>
      </c>
      <c r="E19" s="553"/>
      <c r="F19" s="430">
        <f>LongTest!F17</f>
        <v>18.748171621210126</v>
      </c>
      <c r="G19" s="430">
        <f>LongTest!G17</f>
        <v>9.2981716212101269</v>
      </c>
      <c r="H19" s="425"/>
      <c r="I19" s="425"/>
      <c r="J19" s="426"/>
    </row>
    <row r="20" spans="1:10" ht="24.95" customHeight="1">
      <c r="A20" s="427"/>
      <c r="B20" s="425"/>
      <c r="C20" s="429">
        <f t="shared" si="0"/>
        <v>45454.489583333328</v>
      </c>
      <c r="D20" s="553">
        <v>25</v>
      </c>
      <c r="E20" s="553"/>
      <c r="F20" s="430">
        <f>LongTest!F18</f>
        <v>19.193792147436099</v>
      </c>
      <c r="G20" s="430">
        <f>LongTest!G18</f>
        <v>9.7437921474360998</v>
      </c>
      <c r="H20" s="425"/>
      <c r="I20" s="425"/>
      <c r="J20" s="426"/>
    </row>
    <row r="21" spans="1:10" ht="24.95" customHeight="1">
      <c r="A21" s="427"/>
      <c r="B21" s="425"/>
      <c r="C21" s="429">
        <f t="shared" si="0"/>
        <v>45454.493055555555</v>
      </c>
      <c r="D21" s="553">
        <v>30</v>
      </c>
      <c r="E21" s="553"/>
      <c r="F21" s="430">
        <f>LongTest!F19</f>
        <v>19.557890628446909</v>
      </c>
      <c r="G21" s="430">
        <f>LongTest!G19</f>
        <v>10.10789062844691</v>
      </c>
      <c r="H21" s="425">
        <f>'w1'!D15</f>
        <v>15.200000000000001</v>
      </c>
      <c r="I21" s="425">
        <f>'w1'!E15</f>
        <v>207</v>
      </c>
      <c r="J21" s="426">
        <f>'w1'!F15</f>
        <v>6.62</v>
      </c>
    </row>
    <row r="22" spans="1:10" ht="24.95" customHeight="1">
      <c r="A22" s="427"/>
      <c r="B22" s="425"/>
      <c r="C22" s="429">
        <f t="shared" si="0"/>
        <v>45454.496527777774</v>
      </c>
      <c r="D22" s="553">
        <v>35</v>
      </c>
      <c r="E22" s="553"/>
      <c r="F22" s="430">
        <f>LongTest!F20</f>
        <v>19.865731507818719</v>
      </c>
      <c r="G22" s="430">
        <f>LongTest!G20</f>
        <v>10.41573150781872</v>
      </c>
      <c r="H22" s="425"/>
      <c r="I22" s="425"/>
      <c r="J22" s="426"/>
    </row>
    <row r="23" spans="1:10" ht="24.95" customHeight="1">
      <c r="A23" s="427"/>
      <c r="B23" s="425"/>
      <c r="C23" s="429">
        <f t="shared" si="0"/>
        <v>45454.5</v>
      </c>
      <c r="D23" s="553">
        <v>40</v>
      </c>
      <c r="E23" s="553"/>
      <c r="F23" s="430">
        <f>LongTest!F21</f>
        <v>20.132395406903299</v>
      </c>
      <c r="G23" s="430">
        <f>LongTest!G21</f>
        <v>10.6823954069033</v>
      </c>
      <c r="H23" s="425"/>
      <c r="I23" s="425"/>
      <c r="J23" s="426"/>
    </row>
    <row r="24" spans="1:10" ht="24.95" customHeight="1">
      <c r="A24" s="427"/>
      <c r="B24" s="425"/>
      <c r="C24" s="429">
        <f t="shared" si="0"/>
        <v>45454.503472222219</v>
      </c>
      <c r="D24" s="553">
        <v>45</v>
      </c>
      <c r="E24" s="553"/>
      <c r="F24" s="430">
        <f>LongTest!F22</f>
        <v>20.367609635683696</v>
      </c>
      <c r="G24" s="430">
        <f>LongTest!G22</f>
        <v>10.917609635683696</v>
      </c>
      <c r="H24" s="425"/>
      <c r="I24" s="425"/>
      <c r="J24" s="426"/>
    </row>
    <row r="25" spans="1:10" ht="24.95" customHeight="1">
      <c r="A25" s="427"/>
      <c r="B25" s="425"/>
      <c r="C25" s="429">
        <f t="shared" si="0"/>
        <v>45454.506944444438</v>
      </c>
      <c r="D25" s="553">
        <v>50</v>
      </c>
      <c r="E25" s="553"/>
      <c r="F25" s="430">
        <f>LongTest!F23</f>
        <v>20.578015933129272</v>
      </c>
      <c r="G25" s="430">
        <f>LongTest!G23</f>
        <v>11.128015933129273</v>
      </c>
      <c r="H25" s="425"/>
      <c r="I25" s="425"/>
      <c r="J25" s="426"/>
    </row>
    <row r="26" spans="1:10" ht="24.95" customHeight="1">
      <c r="A26" s="427"/>
      <c r="B26" s="425"/>
      <c r="C26" s="429">
        <f t="shared" si="0"/>
        <v>45454.510416666664</v>
      </c>
      <c r="D26" s="553">
        <v>55</v>
      </c>
      <c r="E26" s="553"/>
      <c r="F26" s="430">
        <f>LongTest!F24</f>
        <v>20.768351581320562</v>
      </c>
      <c r="G26" s="430">
        <f>LongTest!G24</f>
        <v>11.318351581320563</v>
      </c>
      <c r="H26" s="425"/>
      <c r="I26" s="425"/>
      <c r="J26" s="426"/>
    </row>
    <row r="27" spans="1:10" ht="24.95" customHeight="1">
      <c r="A27" s="427"/>
      <c r="B27" s="425"/>
      <c r="C27" s="429">
        <f t="shared" si="0"/>
        <v>45454.513888888883</v>
      </c>
      <c r="D27" s="553">
        <v>60</v>
      </c>
      <c r="E27" s="553"/>
      <c r="F27" s="430">
        <f>LongTest!F25</f>
        <v>20.942114414140082</v>
      </c>
      <c r="G27" s="430">
        <f>LongTest!G25</f>
        <v>11.492114414140083</v>
      </c>
      <c r="H27" s="425">
        <f>'w1'!D16</f>
        <v>15.4</v>
      </c>
      <c r="I27" s="425">
        <f>'w1'!E16</f>
        <v>202</v>
      </c>
      <c r="J27" s="426">
        <f>'w1'!F16</f>
        <v>6.41</v>
      </c>
    </row>
    <row r="28" spans="1:10" ht="24.95" customHeight="1">
      <c r="A28" s="427"/>
      <c r="B28" s="425"/>
      <c r="C28" s="429">
        <f t="shared" si="0"/>
        <v>45454.524305555555</v>
      </c>
      <c r="D28" s="553">
        <v>75</v>
      </c>
      <c r="E28" s="553"/>
      <c r="F28" s="430">
        <f>LongTest!F26</f>
        <v>21.387734940366059</v>
      </c>
      <c r="G28" s="430">
        <f>LongTest!G26</f>
        <v>11.93773494036606</v>
      </c>
      <c r="H28" s="425"/>
      <c r="I28" s="425"/>
      <c r="J28" s="426"/>
    </row>
    <row r="29" spans="1:10" ht="24.95" customHeight="1">
      <c r="A29" s="427"/>
      <c r="B29" s="425"/>
      <c r="C29" s="429">
        <f t="shared" si="0"/>
        <v>45454.534722222219</v>
      </c>
      <c r="D29" s="553">
        <v>90</v>
      </c>
      <c r="E29" s="553"/>
      <c r="F29" s="430">
        <f>LongTest!F27</f>
        <v>21.751833421376869</v>
      </c>
      <c r="G29" s="430">
        <f>LongTest!G27</f>
        <v>12.30183342137687</v>
      </c>
      <c r="H29" s="425"/>
      <c r="I29" s="425"/>
      <c r="J29" s="426"/>
    </row>
    <row r="30" spans="1:10" ht="24.95" customHeight="1">
      <c r="A30" s="427"/>
      <c r="B30" s="425"/>
      <c r="C30" s="429">
        <f t="shared" si="0"/>
        <v>45454.545138888883</v>
      </c>
      <c r="D30" s="553">
        <v>105</v>
      </c>
      <c r="E30" s="553"/>
      <c r="F30" s="430">
        <f>LongTest!F28</f>
        <v>22.059674300748675</v>
      </c>
      <c r="G30" s="430">
        <f>LongTest!G28</f>
        <v>12.609674300748676</v>
      </c>
      <c r="H30" s="425"/>
      <c r="I30" s="425"/>
      <c r="J30" s="426"/>
    </row>
    <row r="31" spans="1:10" ht="24.95" customHeight="1">
      <c r="A31" s="427"/>
      <c r="B31" s="425"/>
      <c r="C31" s="429">
        <f t="shared" si="0"/>
        <v>45454.555555555555</v>
      </c>
      <c r="D31" s="553">
        <v>120</v>
      </c>
      <c r="E31" s="553"/>
      <c r="F31" s="430">
        <f>LongTest!F29</f>
        <v>22.326338199833256</v>
      </c>
      <c r="G31" s="430">
        <f>LongTest!G29</f>
        <v>12.876338199833256</v>
      </c>
      <c r="H31" s="425">
        <f>'w1'!D17</f>
        <v>15</v>
      </c>
      <c r="I31" s="425">
        <f>'w1'!E17</f>
        <v>201</v>
      </c>
      <c r="J31" s="426">
        <f>'w1'!F17</f>
        <v>6.37</v>
      </c>
    </row>
    <row r="32" spans="1:10" ht="24.95" customHeight="1">
      <c r="A32" s="427"/>
      <c r="B32" s="449"/>
      <c r="C32" s="429">
        <f t="shared" si="0"/>
        <v>45454.569444444438</v>
      </c>
      <c r="D32" s="553">
        <v>140</v>
      </c>
      <c r="E32" s="553"/>
      <c r="F32" s="430">
        <f>LongTest!F30</f>
        <v>22.634179079205065</v>
      </c>
      <c r="G32" s="430">
        <f>LongTest!G30</f>
        <v>13.184179079205066</v>
      </c>
      <c r="H32" s="425"/>
      <c r="I32" s="425"/>
      <c r="J32" s="426"/>
    </row>
    <row r="33" spans="1:10" ht="24.95" customHeight="1">
      <c r="A33" s="427"/>
      <c r="B33" s="425"/>
      <c r="C33" s="429">
        <f t="shared" si="0"/>
        <v>45454.583333333328</v>
      </c>
      <c r="D33" s="553">
        <v>160</v>
      </c>
      <c r="E33" s="553"/>
      <c r="F33" s="430">
        <f>LongTest!F31</f>
        <v>22.900842978289646</v>
      </c>
      <c r="G33" s="430">
        <f>LongTest!G31</f>
        <v>13.450842978289646</v>
      </c>
      <c r="H33" s="425"/>
      <c r="I33" s="425"/>
      <c r="J33" s="426"/>
    </row>
    <row r="34" spans="1:10" ht="24.95" customHeight="1">
      <c r="A34" s="427"/>
      <c r="B34" s="425"/>
      <c r="C34" s="429">
        <f t="shared" si="0"/>
        <v>45454.597222222219</v>
      </c>
      <c r="D34" s="553">
        <v>180</v>
      </c>
      <c r="E34" s="553"/>
      <c r="F34" s="430">
        <f>LongTest!F32</f>
        <v>23.136057207070042</v>
      </c>
      <c r="G34" s="430">
        <f>LongTest!G32</f>
        <v>13.686057207070043</v>
      </c>
      <c r="H34" s="425"/>
      <c r="I34" s="425"/>
      <c r="J34" s="426"/>
    </row>
    <row r="35" spans="1:10" ht="24.95" customHeight="1">
      <c r="A35" s="427"/>
      <c r="B35" s="425"/>
      <c r="C35" s="429">
        <f t="shared" si="0"/>
        <v>45454.638888888883</v>
      </c>
      <c r="D35" s="553">
        <v>240</v>
      </c>
      <c r="E35" s="553"/>
      <c r="F35" s="430">
        <f>LongTest!F33</f>
        <v>23.710561985526432</v>
      </c>
      <c r="G35" s="430">
        <f>LongTest!G33</f>
        <v>14.260561985526433</v>
      </c>
      <c r="H35" s="425">
        <f>'w1'!D18</f>
        <v>15</v>
      </c>
      <c r="I35" s="425">
        <f>'w1'!E18</f>
        <v>206</v>
      </c>
      <c r="J35" s="426">
        <f>'w1'!F18</f>
        <v>6.59</v>
      </c>
    </row>
    <row r="36" spans="1:10" ht="24.95" customHeight="1">
      <c r="A36" s="427"/>
      <c r="B36" s="425"/>
      <c r="C36" s="429">
        <f t="shared" si="0"/>
        <v>45454.680555555555</v>
      </c>
      <c r="D36" s="553">
        <v>300</v>
      </c>
      <c r="E36" s="553"/>
      <c r="F36" s="430">
        <f>LongTest!F34</f>
        <v>24.156182511752405</v>
      </c>
      <c r="G36" s="430">
        <f>LongTest!G34</f>
        <v>14.706182511752406</v>
      </c>
      <c r="H36" s="425"/>
      <c r="I36" s="425"/>
      <c r="J36" s="426"/>
    </row>
    <row r="37" spans="1:10" ht="24.95" customHeight="1">
      <c r="A37" s="450"/>
      <c r="B37" s="451"/>
      <c r="C37" s="429">
        <f t="shared" si="0"/>
        <v>45454.722222222219</v>
      </c>
      <c r="D37" s="553">
        <v>360</v>
      </c>
      <c r="E37" s="553"/>
      <c r="F37" s="430">
        <f>LongTest!F35</f>
        <v>24.520280992763215</v>
      </c>
      <c r="G37" s="430">
        <f>LongTest!G35</f>
        <v>15.070280992763216</v>
      </c>
      <c r="H37" s="425"/>
      <c r="I37" s="425"/>
      <c r="J37" s="426"/>
    </row>
    <row r="38" spans="1:10" ht="24.95" customHeight="1">
      <c r="A38" s="427"/>
      <c r="B38" s="425"/>
      <c r="C38" s="429">
        <f t="shared" si="0"/>
        <v>45454.763888888883</v>
      </c>
      <c r="D38" s="553">
        <v>420</v>
      </c>
      <c r="E38" s="553"/>
      <c r="F38" s="430">
        <f>LongTest!F36</f>
        <v>24.828121872135025</v>
      </c>
      <c r="G38" s="430">
        <f>LongTest!G36</f>
        <v>15.378121872135026</v>
      </c>
      <c r="H38" s="425"/>
      <c r="I38" s="425"/>
      <c r="J38" s="426"/>
    </row>
    <row r="39" spans="1:10" ht="24.95" customHeight="1">
      <c r="A39" s="427"/>
      <c r="B39" s="425"/>
      <c r="C39" s="429">
        <f t="shared" si="0"/>
        <v>45454.805555555555</v>
      </c>
      <c r="D39" s="553">
        <v>480</v>
      </c>
      <c r="E39" s="553"/>
      <c r="F39" s="430">
        <f>LongTest!F37</f>
        <v>25.094785771219605</v>
      </c>
      <c r="G39" s="430">
        <f>LongTest!G37</f>
        <v>15.644785771219606</v>
      </c>
      <c r="H39" s="425">
        <f>'w1'!D19</f>
        <v>15.600000000000001</v>
      </c>
      <c r="I39" s="425">
        <f>'w1'!E19</f>
        <v>203</v>
      </c>
      <c r="J39" s="426">
        <f>'w1'!F19</f>
        <v>6.39</v>
      </c>
    </row>
    <row r="40" spans="1:10" ht="24.95" customHeight="1">
      <c r="A40" s="427"/>
      <c r="B40" s="425"/>
      <c r="C40" s="429">
        <f t="shared" si="0"/>
        <v>45454.847222222219</v>
      </c>
      <c r="D40" s="553">
        <v>540</v>
      </c>
      <c r="E40" s="553"/>
      <c r="F40" s="430">
        <f>LongTest!F38</f>
        <v>25.330000000000002</v>
      </c>
      <c r="G40" s="430">
        <f>LongTest!G38</f>
        <v>15.880000000000003</v>
      </c>
      <c r="H40" s="425"/>
      <c r="I40" s="425"/>
      <c r="J40" s="426"/>
    </row>
    <row r="41" spans="1:10" ht="24.95" customHeight="1">
      <c r="A41" s="427"/>
      <c r="B41" s="425"/>
      <c r="C41" s="429">
        <f t="shared" si="0"/>
        <v>45454.888888888883</v>
      </c>
      <c r="D41" s="553">
        <v>600</v>
      </c>
      <c r="E41" s="553"/>
      <c r="F41" s="430">
        <f>LongTest!F39</f>
        <v>25.330000000000002</v>
      </c>
      <c r="G41" s="430">
        <f>LongTest!G39</f>
        <v>15.880000000000003</v>
      </c>
      <c r="H41" s="425"/>
      <c r="I41" s="425"/>
      <c r="J41" s="426"/>
    </row>
    <row r="42" spans="1:10" ht="24.95" customHeight="1">
      <c r="A42" s="450"/>
      <c r="B42" s="451"/>
      <c r="C42" s="429">
        <f t="shared" si="0"/>
        <v>45454.930555555555</v>
      </c>
      <c r="D42" s="553">
        <v>660</v>
      </c>
      <c r="E42" s="553"/>
      <c r="F42" s="430">
        <f>LongTest!F40</f>
        <v>25.330000000000002</v>
      </c>
      <c r="G42" s="430">
        <f>LongTest!G40</f>
        <v>15.880000000000003</v>
      </c>
      <c r="H42" s="425"/>
      <c r="I42" s="425"/>
      <c r="J42" s="426"/>
    </row>
    <row r="43" spans="1:10" ht="24.95" customHeight="1">
      <c r="A43" s="427"/>
      <c r="B43" s="425"/>
      <c r="C43" s="429">
        <f t="shared" si="0"/>
        <v>45454.972222222219</v>
      </c>
      <c r="D43" s="553">
        <v>720</v>
      </c>
      <c r="E43" s="553"/>
      <c r="F43" s="430">
        <f>LongTest!F41</f>
        <v>25.330000000000002</v>
      </c>
      <c r="G43" s="430">
        <f>LongTest!G41</f>
        <v>15.880000000000003</v>
      </c>
      <c r="H43" s="425"/>
      <c r="I43" s="425"/>
      <c r="J43" s="426"/>
    </row>
    <row r="44" spans="1:10" ht="24.95" customHeight="1">
      <c r="A44" s="427"/>
      <c r="B44" s="425"/>
      <c r="C44" s="429">
        <f t="shared" ref="C44:C75" si="1">$C$4+D44/1440</f>
        <v>45455.013888888883</v>
      </c>
      <c r="D44" s="553">
        <v>780</v>
      </c>
      <c r="E44" s="553"/>
      <c r="F44" s="425">
        <f>LongTest!F42</f>
        <v>25.330000000000002</v>
      </c>
      <c r="G44" s="425">
        <f>LongTest!G42</f>
        <v>15.880000000000003</v>
      </c>
      <c r="H44" s="425"/>
      <c r="I44" s="425"/>
      <c r="J44" s="426"/>
    </row>
    <row r="45" spans="1:10" ht="24.95" customHeight="1">
      <c r="A45" s="427"/>
      <c r="B45" s="425"/>
      <c r="C45" s="429">
        <f t="shared" si="1"/>
        <v>45455.055555555555</v>
      </c>
      <c r="D45" s="553">
        <v>840</v>
      </c>
      <c r="E45" s="553"/>
      <c r="F45" s="425">
        <f>LongTest!F43</f>
        <v>25.330000000000002</v>
      </c>
      <c r="G45" s="425">
        <f>LongTest!G43</f>
        <v>15.880000000000003</v>
      </c>
      <c r="H45" s="425"/>
      <c r="I45" s="425"/>
      <c r="J45" s="426"/>
    </row>
    <row r="46" spans="1:10" ht="24.95" customHeight="1">
      <c r="A46" s="427"/>
      <c r="B46" s="425"/>
      <c r="C46" s="429">
        <f t="shared" si="1"/>
        <v>45455.097222222219</v>
      </c>
      <c r="D46" s="553">
        <v>900</v>
      </c>
      <c r="E46" s="553"/>
      <c r="F46" s="425">
        <f>LongTest!F44</f>
        <v>25.330000000000002</v>
      </c>
      <c r="G46" s="425">
        <f>LongTest!G44</f>
        <v>15.880000000000003</v>
      </c>
      <c r="H46" s="425"/>
      <c r="I46" s="425"/>
      <c r="J46" s="426"/>
    </row>
    <row r="47" spans="1:10" ht="24.95" customHeight="1">
      <c r="A47" s="450"/>
      <c r="B47" s="451"/>
      <c r="C47" s="429">
        <f t="shared" si="1"/>
        <v>45455.138888888883</v>
      </c>
      <c r="D47" s="553">
        <v>960</v>
      </c>
      <c r="E47" s="553"/>
      <c r="F47" s="425">
        <f>LongTest!F45</f>
        <v>25.330000000000002</v>
      </c>
      <c r="G47" s="425">
        <f>LongTest!G45</f>
        <v>15.880000000000003</v>
      </c>
      <c r="H47" s="425"/>
      <c r="I47" s="425"/>
      <c r="J47" s="426"/>
    </row>
    <row r="48" spans="1:10" ht="24.95" customHeight="1">
      <c r="A48" s="427"/>
      <c r="B48" s="425"/>
      <c r="C48" s="429">
        <f t="shared" si="1"/>
        <v>45455.180555555555</v>
      </c>
      <c r="D48" s="553">
        <v>1020</v>
      </c>
      <c r="E48" s="553"/>
      <c r="F48" s="425">
        <f>LongTest!F46</f>
        <v>25.330000000000002</v>
      </c>
      <c r="G48" s="425">
        <f>LongTest!G46</f>
        <v>15.880000000000003</v>
      </c>
      <c r="H48" s="425"/>
      <c r="I48" s="425"/>
      <c r="J48" s="426"/>
    </row>
    <row r="49" spans="1:10" ht="24.95" customHeight="1">
      <c r="A49" s="427"/>
      <c r="B49" s="425"/>
      <c r="C49" s="429">
        <f t="shared" si="1"/>
        <v>45455.222222222219</v>
      </c>
      <c r="D49" s="553">
        <v>1080</v>
      </c>
      <c r="E49" s="553"/>
      <c r="F49" s="425">
        <f>LongTest!F47</f>
        <v>25.330000000000002</v>
      </c>
      <c r="G49" s="425">
        <f>LongTest!G47</f>
        <v>15.880000000000003</v>
      </c>
      <c r="H49" s="425"/>
      <c r="I49" s="425"/>
      <c r="J49" s="426"/>
    </row>
    <row r="50" spans="1:10" ht="24.95" customHeight="1">
      <c r="A50" s="427"/>
      <c r="B50" s="425"/>
      <c r="C50" s="429">
        <f t="shared" si="1"/>
        <v>45455.263888888883</v>
      </c>
      <c r="D50" s="553">
        <v>1140</v>
      </c>
      <c r="E50" s="553"/>
      <c r="F50" s="425">
        <f>LongTest!F48</f>
        <v>25.330000000000002</v>
      </c>
      <c r="G50" s="425">
        <f>LongTest!G48</f>
        <v>15.880000000000003</v>
      </c>
      <c r="H50" s="425"/>
      <c r="I50" s="425"/>
      <c r="J50" s="426"/>
    </row>
    <row r="51" spans="1:10" ht="24.95" customHeight="1">
      <c r="A51" s="427"/>
      <c r="B51" s="425"/>
      <c r="C51" s="429">
        <f t="shared" si="1"/>
        <v>45455.305555555555</v>
      </c>
      <c r="D51" s="553">
        <v>1200</v>
      </c>
      <c r="E51" s="553"/>
      <c r="F51" s="425">
        <f>LongTest!F49</f>
        <v>25.330000000000002</v>
      </c>
      <c r="G51" s="425">
        <f>LongTest!G49</f>
        <v>15.880000000000003</v>
      </c>
      <c r="H51" s="425"/>
      <c r="I51" s="425"/>
      <c r="J51" s="426"/>
    </row>
    <row r="52" spans="1:10" ht="24.95" customHeight="1">
      <c r="A52" s="427"/>
      <c r="B52" s="425"/>
      <c r="C52" s="429">
        <f t="shared" si="1"/>
        <v>45455.347222222219</v>
      </c>
      <c r="D52" s="553">
        <v>1260</v>
      </c>
      <c r="E52" s="553"/>
      <c r="F52" s="425">
        <f>LongTest!F50</f>
        <v>25.330000000000002</v>
      </c>
      <c r="G52" s="425">
        <f>LongTest!G50</f>
        <v>15.880000000000003</v>
      </c>
      <c r="H52" s="425"/>
      <c r="I52" s="425"/>
      <c r="J52" s="426"/>
    </row>
    <row r="53" spans="1:10" ht="24.95" customHeight="1">
      <c r="A53" s="427"/>
      <c r="B53" s="425"/>
      <c r="C53" s="429">
        <f t="shared" si="1"/>
        <v>45455.388888888883</v>
      </c>
      <c r="D53" s="553">
        <v>1320</v>
      </c>
      <c r="E53" s="553"/>
      <c r="F53" s="425">
        <f>LongTest!F51</f>
        <v>25.330000000000002</v>
      </c>
      <c r="G53" s="425">
        <f>LongTest!G51</f>
        <v>15.880000000000003</v>
      </c>
      <c r="H53" s="425"/>
      <c r="I53" s="425"/>
      <c r="J53" s="426"/>
    </row>
    <row r="54" spans="1:10" ht="24.95" customHeight="1">
      <c r="A54" s="427"/>
      <c r="B54" s="425"/>
      <c r="C54" s="429">
        <f t="shared" si="1"/>
        <v>45455.430555555555</v>
      </c>
      <c r="D54" s="553">
        <v>1380</v>
      </c>
      <c r="E54" s="553"/>
      <c r="F54" s="425">
        <f>LongTest!F52</f>
        <v>25.330000000000002</v>
      </c>
      <c r="G54" s="425">
        <f>LongTest!G52</f>
        <v>15.880000000000003</v>
      </c>
      <c r="H54" s="425"/>
      <c r="I54" s="425"/>
      <c r="J54" s="426"/>
    </row>
    <row r="55" spans="1:10" ht="24.95" customHeight="1">
      <c r="A55" s="427"/>
      <c r="B55" s="425"/>
      <c r="C55" s="429">
        <f t="shared" si="1"/>
        <v>45455.472222222219</v>
      </c>
      <c r="D55" s="553">
        <v>1440</v>
      </c>
      <c r="E55" s="553"/>
      <c r="F55" s="425">
        <f>LongTest!F53</f>
        <v>25.330000000000002</v>
      </c>
      <c r="G55" s="425">
        <f>LongTest!G53</f>
        <v>15.880000000000003</v>
      </c>
      <c r="H55" s="425">
        <f>'w1'!D20</f>
        <v>15.200000000000001</v>
      </c>
      <c r="I55" s="425">
        <f>'w1'!E20</f>
        <v>205</v>
      </c>
      <c r="J55" s="426">
        <f>'w1'!F20</f>
        <v>6.37</v>
      </c>
    </row>
    <row r="56" spans="1:10" ht="24.95" customHeight="1">
      <c r="A56" s="452"/>
      <c r="B56" s="429"/>
      <c r="C56" s="429">
        <f t="shared" si="1"/>
        <v>45455.513888888883</v>
      </c>
      <c r="D56" s="529">
        <v>1500</v>
      </c>
      <c r="E56" s="556"/>
      <c r="F56" s="425">
        <f>LongTest!F54</f>
        <v>25.330000000000002</v>
      </c>
      <c r="G56" s="425">
        <f>LongTest!G54</f>
        <v>15.880000000000003</v>
      </c>
      <c r="H56" s="425"/>
      <c r="I56" s="425"/>
      <c r="J56" s="426"/>
    </row>
    <row r="57" spans="1:10" ht="24.95" customHeight="1">
      <c r="A57" s="452"/>
      <c r="B57" s="429"/>
      <c r="C57" s="429">
        <f t="shared" si="1"/>
        <v>45455.555555555555</v>
      </c>
      <c r="D57" s="529">
        <v>1560</v>
      </c>
      <c r="E57" s="556"/>
      <c r="F57" s="425">
        <f>LongTest!F55</f>
        <v>25.330000000000002</v>
      </c>
      <c r="G57" s="425">
        <f>LongTest!G55</f>
        <v>15.880000000000003</v>
      </c>
      <c r="H57" s="425"/>
      <c r="I57" s="425"/>
      <c r="J57" s="426"/>
    </row>
    <row r="58" spans="1:10" ht="24.95" customHeight="1">
      <c r="A58" s="452"/>
      <c r="B58" s="429"/>
      <c r="C58" s="429">
        <f t="shared" si="1"/>
        <v>45455.597222222219</v>
      </c>
      <c r="D58" s="529">
        <v>1620</v>
      </c>
      <c r="E58" s="556"/>
      <c r="F58" s="425">
        <f>LongTest!F56</f>
        <v>25.330000000000002</v>
      </c>
      <c r="G58" s="425">
        <f>LongTest!G56</f>
        <v>15.880000000000003</v>
      </c>
      <c r="H58" s="425"/>
      <c r="I58" s="425"/>
      <c r="J58" s="426"/>
    </row>
    <row r="59" spans="1:10" ht="24.95" customHeight="1">
      <c r="A59" s="452"/>
      <c r="B59" s="429"/>
      <c r="C59" s="429">
        <f t="shared" si="1"/>
        <v>45455.638888888883</v>
      </c>
      <c r="D59" s="529">
        <v>1680</v>
      </c>
      <c r="E59" s="556"/>
      <c r="F59" s="425">
        <f>LongTest!F57</f>
        <v>25.330000000000002</v>
      </c>
      <c r="G59" s="425">
        <f>LongTest!G57</f>
        <v>15.880000000000003</v>
      </c>
      <c r="H59" s="425">
        <f>H55</f>
        <v>15.200000000000001</v>
      </c>
      <c r="I59" s="425">
        <f t="shared" ref="I59:J59" si="2">I55</f>
        <v>205</v>
      </c>
      <c r="J59" s="426">
        <f t="shared" si="2"/>
        <v>6.37</v>
      </c>
    </row>
    <row r="60" spans="1:10" ht="24.95" customHeight="1">
      <c r="A60" s="452"/>
      <c r="B60" s="429"/>
      <c r="C60" s="429">
        <f t="shared" si="1"/>
        <v>45455.680555555555</v>
      </c>
      <c r="D60" s="529">
        <v>1740</v>
      </c>
      <c r="E60" s="556"/>
      <c r="F60" s="425">
        <f>LongTest!F58</f>
        <v>25.330000000000002</v>
      </c>
      <c r="G60" s="425">
        <f>LongTest!G58</f>
        <v>15.880000000000003</v>
      </c>
      <c r="H60" s="425"/>
      <c r="I60" s="425"/>
      <c r="J60" s="426"/>
    </row>
    <row r="61" spans="1:10" ht="24.95" customHeight="1">
      <c r="A61" s="452"/>
      <c r="B61" s="429"/>
      <c r="C61" s="429">
        <f t="shared" si="1"/>
        <v>45455.722222222219</v>
      </c>
      <c r="D61" s="529">
        <v>1800</v>
      </c>
      <c r="E61" s="556"/>
      <c r="F61" s="425">
        <f>LongTest!F59</f>
        <v>25.330000000000002</v>
      </c>
      <c r="G61" s="425">
        <f>LongTest!G59</f>
        <v>15.880000000000003</v>
      </c>
      <c r="H61" s="425"/>
      <c r="I61" s="425"/>
      <c r="J61" s="426"/>
    </row>
    <row r="62" spans="1:10" ht="24.95" customHeight="1">
      <c r="A62" s="452"/>
      <c r="B62" s="429"/>
      <c r="C62" s="429">
        <f t="shared" si="1"/>
        <v>45455.763888888883</v>
      </c>
      <c r="D62" s="529">
        <v>1860</v>
      </c>
      <c r="E62" s="556"/>
      <c r="F62" s="425">
        <f>LongTest!F60</f>
        <v>25.330000000000002</v>
      </c>
      <c r="G62" s="425">
        <f>LongTest!G60</f>
        <v>15.880000000000003</v>
      </c>
      <c r="H62" s="425"/>
      <c r="I62" s="425"/>
      <c r="J62" s="426"/>
    </row>
    <row r="63" spans="1:10" ht="24.95" customHeight="1">
      <c r="A63" s="452"/>
      <c r="B63" s="429"/>
      <c r="C63" s="429">
        <f t="shared" si="1"/>
        <v>45455.805555555555</v>
      </c>
      <c r="D63" s="529">
        <v>1920</v>
      </c>
      <c r="E63" s="556"/>
      <c r="F63" s="425">
        <f>LongTest!F61</f>
        <v>25.330000000000002</v>
      </c>
      <c r="G63" s="425">
        <f>LongTest!G61</f>
        <v>15.880000000000003</v>
      </c>
      <c r="H63" s="425">
        <f>H59</f>
        <v>15.200000000000001</v>
      </c>
      <c r="I63" s="425">
        <f t="shared" ref="I63:J63" si="3">I59</f>
        <v>205</v>
      </c>
      <c r="J63" s="426">
        <f t="shared" si="3"/>
        <v>6.37</v>
      </c>
    </row>
    <row r="64" spans="1:10" ht="24.95" customHeight="1">
      <c r="A64" s="452"/>
      <c r="B64" s="429"/>
      <c r="C64" s="429">
        <f t="shared" si="1"/>
        <v>45455.847222222219</v>
      </c>
      <c r="D64" s="529">
        <v>1980</v>
      </c>
      <c r="E64" s="556"/>
      <c r="F64" s="425">
        <f>LongTest!F62</f>
        <v>25.330000000000002</v>
      </c>
      <c r="G64" s="425">
        <f>LongTest!G62</f>
        <v>15.880000000000003</v>
      </c>
      <c r="H64" s="425"/>
      <c r="I64" s="425"/>
      <c r="J64" s="426"/>
    </row>
    <row r="65" spans="1:10" ht="24.95" customHeight="1">
      <c r="A65" s="452"/>
      <c r="B65" s="429"/>
      <c r="C65" s="429">
        <f t="shared" si="1"/>
        <v>45455.888888888883</v>
      </c>
      <c r="D65" s="529">
        <v>2040</v>
      </c>
      <c r="E65" s="556"/>
      <c r="F65" s="425">
        <f>LongTest!F63</f>
        <v>25.330000000000002</v>
      </c>
      <c r="G65" s="425">
        <f>LongTest!G63</f>
        <v>15.880000000000003</v>
      </c>
      <c r="H65" s="425"/>
      <c r="I65" s="425"/>
      <c r="J65" s="426"/>
    </row>
    <row r="66" spans="1:10" ht="24.95" customHeight="1">
      <c r="A66" s="452"/>
      <c r="B66" s="429"/>
      <c r="C66" s="429">
        <f t="shared" si="1"/>
        <v>45455.930555555555</v>
      </c>
      <c r="D66" s="529">
        <v>2100</v>
      </c>
      <c r="E66" s="556"/>
      <c r="F66" s="425">
        <f>LongTest!F64</f>
        <v>25.330000000000002</v>
      </c>
      <c r="G66" s="425">
        <f>LongTest!G64</f>
        <v>15.880000000000003</v>
      </c>
      <c r="H66" s="425"/>
      <c r="I66" s="425"/>
      <c r="J66" s="426"/>
    </row>
    <row r="67" spans="1:10" ht="24.95" customHeight="1">
      <c r="A67" s="452"/>
      <c r="B67" s="429"/>
      <c r="C67" s="429">
        <f t="shared" si="1"/>
        <v>45455.972222222219</v>
      </c>
      <c r="D67" s="529">
        <v>2160</v>
      </c>
      <c r="E67" s="556"/>
      <c r="F67" s="425">
        <f>LongTest!F65</f>
        <v>25.330000000000002</v>
      </c>
      <c r="G67" s="425">
        <f>LongTest!G65</f>
        <v>15.880000000000003</v>
      </c>
      <c r="H67" s="425"/>
      <c r="I67" s="425"/>
      <c r="J67" s="426"/>
    </row>
    <row r="68" spans="1:10" ht="24.95" customHeight="1">
      <c r="A68" s="452"/>
      <c r="B68" s="429"/>
      <c r="C68" s="429">
        <f t="shared" si="1"/>
        <v>45456.013888888883</v>
      </c>
      <c r="D68" s="529">
        <v>2220</v>
      </c>
      <c r="E68" s="556"/>
      <c r="F68" s="425">
        <f>LongTest!F66</f>
        <v>25.330000000000002</v>
      </c>
      <c r="G68" s="425">
        <f>LongTest!G66</f>
        <v>15.880000000000003</v>
      </c>
      <c r="H68" s="425"/>
      <c r="I68" s="425"/>
      <c r="J68" s="426"/>
    </row>
    <row r="69" spans="1:10" ht="24.95" customHeight="1">
      <c r="A69" s="452"/>
      <c r="B69" s="429"/>
      <c r="C69" s="429">
        <f t="shared" si="1"/>
        <v>45456.055555555555</v>
      </c>
      <c r="D69" s="529">
        <v>2280</v>
      </c>
      <c r="E69" s="556"/>
      <c r="F69" s="425">
        <f>LongTest!F67</f>
        <v>25.330000000000002</v>
      </c>
      <c r="G69" s="425">
        <f>LongTest!G67</f>
        <v>15.880000000000003</v>
      </c>
      <c r="H69" s="425"/>
      <c r="I69" s="425"/>
      <c r="J69" s="426"/>
    </row>
    <row r="70" spans="1:10" ht="24.95" customHeight="1">
      <c r="A70" s="452"/>
      <c r="B70" s="429"/>
      <c r="C70" s="429">
        <f t="shared" si="1"/>
        <v>45456.097222222219</v>
      </c>
      <c r="D70" s="529">
        <v>2340</v>
      </c>
      <c r="E70" s="556"/>
      <c r="F70" s="425">
        <f>LongTest!F68</f>
        <v>25.330000000000002</v>
      </c>
      <c r="G70" s="425">
        <f>LongTest!G68</f>
        <v>15.880000000000003</v>
      </c>
      <c r="H70" s="425"/>
      <c r="I70" s="425"/>
      <c r="J70" s="426"/>
    </row>
    <row r="71" spans="1:10" ht="24.95" customHeight="1">
      <c r="A71" s="452"/>
      <c r="B71" s="429"/>
      <c r="C71" s="429">
        <f t="shared" si="1"/>
        <v>45456.138888888883</v>
      </c>
      <c r="D71" s="529">
        <v>2400</v>
      </c>
      <c r="E71" s="556"/>
      <c r="F71" s="425">
        <f>LongTest!F69</f>
        <v>25.330000000000002</v>
      </c>
      <c r="G71" s="425">
        <f>LongTest!G69</f>
        <v>15.880000000000003</v>
      </c>
      <c r="H71" s="425"/>
      <c r="I71" s="425"/>
      <c r="J71" s="426"/>
    </row>
    <row r="72" spans="1:10" ht="24.95" customHeight="1">
      <c r="A72" s="452"/>
      <c r="B72" s="429"/>
      <c r="C72" s="429">
        <f t="shared" si="1"/>
        <v>45456.180555555555</v>
      </c>
      <c r="D72" s="529">
        <v>2460</v>
      </c>
      <c r="E72" s="556"/>
      <c r="F72" s="425">
        <f>LongTest!F70</f>
        <v>25.330000000000002</v>
      </c>
      <c r="G72" s="425">
        <f>LongTest!G70</f>
        <v>15.880000000000003</v>
      </c>
      <c r="H72" s="425"/>
      <c r="I72" s="425"/>
      <c r="J72" s="426"/>
    </row>
    <row r="73" spans="1:10" ht="24.95" customHeight="1">
      <c r="A73" s="452"/>
      <c r="B73" s="429"/>
      <c r="C73" s="429">
        <f t="shared" si="1"/>
        <v>45456.222222222219</v>
      </c>
      <c r="D73" s="529">
        <v>2520</v>
      </c>
      <c r="E73" s="556"/>
      <c r="F73" s="425">
        <f>LongTest!F71</f>
        <v>25.330000000000002</v>
      </c>
      <c r="G73" s="425">
        <f>LongTest!G71</f>
        <v>15.880000000000003</v>
      </c>
      <c r="H73" s="425"/>
      <c r="I73" s="425"/>
      <c r="J73" s="426"/>
    </row>
    <row r="74" spans="1:10" ht="24.95" customHeight="1">
      <c r="A74" s="452"/>
      <c r="B74" s="429"/>
      <c r="C74" s="429">
        <f t="shared" si="1"/>
        <v>45456.263888888883</v>
      </c>
      <c r="D74" s="529">
        <v>2580</v>
      </c>
      <c r="E74" s="556"/>
      <c r="F74" s="425">
        <f>LongTest!F72</f>
        <v>25.330000000000002</v>
      </c>
      <c r="G74" s="425">
        <f>LongTest!G72</f>
        <v>15.880000000000003</v>
      </c>
      <c r="H74" s="425"/>
      <c r="I74" s="425"/>
      <c r="J74" s="426"/>
    </row>
    <row r="75" spans="1:10" ht="24.95" customHeight="1">
      <c r="A75" s="452"/>
      <c r="B75" s="429"/>
      <c r="C75" s="429">
        <f t="shared" si="1"/>
        <v>45456.305555555555</v>
      </c>
      <c r="D75" s="529">
        <v>2640</v>
      </c>
      <c r="E75" s="556"/>
      <c r="F75" s="425">
        <f>LongTest!F73</f>
        <v>25.330000000000002</v>
      </c>
      <c r="G75" s="425">
        <f>LongTest!G73</f>
        <v>15.880000000000003</v>
      </c>
      <c r="H75" s="425"/>
      <c r="I75" s="425"/>
      <c r="J75" s="426"/>
    </row>
    <row r="76" spans="1:10" ht="24.95" customHeight="1">
      <c r="A76" s="452"/>
      <c r="B76" s="429"/>
      <c r="C76" s="429">
        <f t="shared" ref="C76:C79" si="4">$C$4+D76/1440</f>
        <v>45456.347222222219</v>
      </c>
      <c r="D76" s="529">
        <v>2700</v>
      </c>
      <c r="E76" s="556"/>
      <c r="F76" s="425">
        <f>LongTest!F74</f>
        <v>25.330000000000002</v>
      </c>
      <c r="G76" s="425">
        <f>LongTest!G74</f>
        <v>15.880000000000003</v>
      </c>
      <c r="H76" s="425"/>
      <c r="I76" s="425"/>
      <c r="J76" s="426"/>
    </row>
    <row r="77" spans="1:10" ht="24.95" customHeight="1">
      <c r="A77" s="452"/>
      <c r="B77" s="429"/>
      <c r="C77" s="429">
        <f t="shared" si="4"/>
        <v>45456.388888888883</v>
      </c>
      <c r="D77" s="529">
        <v>2760</v>
      </c>
      <c r="E77" s="556"/>
      <c r="F77" s="425">
        <f>LongTest!F75</f>
        <v>25.330000000000002</v>
      </c>
      <c r="G77" s="425">
        <f>LongTest!G75</f>
        <v>15.880000000000003</v>
      </c>
      <c r="H77" s="425"/>
      <c r="I77" s="425"/>
      <c r="J77" s="426"/>
    </row>
    <row r="78" spans="1:10" ht="24.95" customHeight="1">
      <c r="A78" s="452"/>
      <c r="B78" s="429"/>
      <c r="C78" s="429">
        <f t="shared" si="4"/>
        <v>45456.430555555555</v>
      </c>
      <c r="D78" s="529">
        <v>2820</v>
      </c>
      <c r="E78" s="556"/>
      <c r="F78" s="425">
        <f>LongTest!F76</f>
        <v>25.330000000000002</v>
      </c>
      <c r="G78" s="425">
        <f>LongTest!G76</f>
        <v>15.880000000000003</v>
      </c>
      <c r="H78" s="425"/>
      <c r="I78" s="425"/>
      <c r="J78" s="426"/>
    </row>
    <row r="79" spans="1:10" ht="24.95" customHeight="1">
      <c r="A79" s="452"/>
      <c r="B79" s="429"/>
      <c r="C79" s="429">
        <f t="shared" si="4"/>
        <v>45456.472222222219</v>
      </c>
      <c r="D79" s="529">
        <v>2880</v>
      </c>
      <c r="E79" s="556"/>
      <c r="F79" s="425">
        <f>LongTest!F77</f>
        <v>25.330000000000002</v>
      </c>
      <c r="G79" s="425">
        <f>LongTest!G77</f>
        <v>15.880000000000003</v>
      </c>
      <c r="H79" s="425">
        <f>H63</f>
        <v>15.200000000000001</v>
      </c>
      <c r="I79" s="425">
        <f t="shared" ref="I79:J79" si="5">I63</f>
        <v>205</v>
      </c>
      <c r="J79" s="426">
        <f t="shared" si="5"/>
        <v>6.37</v>
      </c>
    </row>
    <row r="80" spans="1:10" ht="24.95" customHeight="1">
      <c r="A80" s="452"/>
      <c r="B80" s="425">
        <v>0</v>
      </c>
      <c r="C80" s="429">
        <f>$C$4+(D80+2880)/1440</f>
        <v>45456.472916666666</v>
      </c>
      <c r="D80" s="529">
        <v>1</v>
      </c>
      <c r="E80" s="556"/>
      <c r="F80" s="430">
        <f>LongTest!F78</f>
        <v>20.232796980712919</v>
      </c>
      <c r="G80" s="430">
        <f>LongTest!G78</f>
        <v>10.782796980712918</v>
      </c>
      <c r="H80" s="549" t="s">
        <v>191</v>
      </c>
      <c r="I80" s="558"/>
      <c r="J80" s="559"/>
    </row>
    <row r="81" spans="1:10" ht="24.95" customHeight="1">
      <c r="A81" s="452"/>
      <c r="B81" s="429"/>
      <c r="C81" s="429">
        <f t="shared" ref="C81:C103" si="6">$C$4+(D81+2880)/1440</f>
        <v>45456.473611111105</v>
      </c>
      <c r="D81" s="529">
        <v>2</v>
      </c>
      <c r="E81" s="556"/>
      <c r="F81" s="430">
        <f>LongTest!F79</f>
        <v>19.374437782107812</v>
      </c>
      <c r="G81" s="430">
        <f>LongTest!G79</f>
        <v>9.9244377821078142</v>
      </c>
      <c r="H81" s="529"/>
      <c r="I81" s="530"/>
      <c r="J81" s="531"/>
    </row>
    <row r="82" spans="1:10" ht="24.95" customHeight="1">
      <c r="A82" s="452"/>
      <c r="B82" s="429"/>
      <c r="C82" s="429">
        <f t="shared" si="6"/>
        <v>45456.474305555552</v>
      </c>
      <c r="D82" s="529">
        <v>3</v>
      </c>
      <c r="E82" s="556"/>
      <c r="F82" s="430">
        <f>LongTest!F80</f>
        <v>18.58440784122201</v>
      </c>
      <c r="G82" s="430">
        <f>LongTest!G80</f>
        <v>9.1344078412220089</v>
      </c>
      <c r="H82" s="529"/>
      <c r="I82" s="530"/>
      <c r="J82" s="531"/>
    </row>
    <row r="83" spans="1:10" ht="24.95" customHeight="1">
      <c r="A83" s="452"/>
      <c r="B83" s="429"/>
      <c r="C83" s="429">
        <f t="shared" si="6"/>
        <v>45456.474999999999</v>
      </c>
      <c r="D83" s="529">
        <v>4</v>
      </c>
      <c r="E83" s="556"/>
      <c r="F83" s="430">
        <f>LongTest!F81</f>
        <v>17.857267841429007</v>
      </c>
      <c r="G83" s="430">
        <f>LongTest!G81</f>
        <v>8.4072678414290092</v>
      </c>
      <c r="H83" s="529"/>
      <c r="I83" s="530"/>
      <c r="J83" s="531"/>
    </row>
    <row r="84" spans="1:10" ht="24.95" customHeight="1">
      <c r="A84" s="452"/>
      <c r="B84" s="429"/>
      <c r="C84" s="429">
        <f t="shared" si="6"/>
        <v>45456.475694444438</v>
      </c>
      <c r="D84" s="529">
        <v>5</v>
      </c>
      <c r="E84" s="556"/>
      <c r="F84" s="430">
        <f>LongTest!F82</f>
        <v>17.188011460201068</v>
      </c>
      <c r="G84" s="430">
        <f>LongTest!G82</f>
        <v>7.7380114602010686</v>
      </c>
      <c r="H84" s="529"/>
      <c r="I84" s="530"/>
      <c r="J84" s="531"/>
    </row>
    <row r="85" spans="1:10" ht="24.95" customHeight="1">
      <c r="A85" s="452"/>
      <c r="B85" s="429"/>
      <c r="C85" s="429">
        <f t="shared" si="6"/>
        <v>45456.479166666664</v>
      </c>
      <c r="D85" s="529">
        <v>10</v>
      </c>
      <c r="E85" s="556"/>
      <c r="F85" s="430">
        <f>LongTest!F83</f>
        <v>15.483270868618019</v>
      </c>
      <c r="G85" s="430">
        <f>LongTest!G83</f>
        <v>6.0332708686180201</v>
      </c>
      <c r="H85" s="529"/>
      <c r="I85" s="530"/>
      <c r="J85" s="531"/>
    </row>
    <row r="86" spans="1:10" ht="24.95" customHeight="1">
      <c r="A86" s="452"/>
      <c r="B86" s="429"/>
      <c r="C86" s="429">
        <f t="shared" si="6"/>
        <v>45456.482638888883</v>
      </c>
      <c r="D86" s="529">
        <v>15</v>
      </c>
      <c r="E86" s="556"/>
      <c r="F86" s="430">
        <f>LongTest!F84</f>
        <v>15.158681504824028</v>
      </c>
      <c r="G86" s="430">
        <f>LongTest!G84</f>
        <v>5.7086815048240274</v>
      </c>
      <c r="H86" s="529"/>
      <c r="I86" s="530"/>
      <c r="J86" s="531"/>
    </row>
    <row r="87" spans="1:10" ht="24.95" customHeight="1">
      <c r="A87" s="452"/>
      <c r="B87" s="429"/>
      <c r="C87" s="429">
        <f t="shared" si="6"/>
        <v>45456.486111111109</v>
      </c>
      <c r="D87" s="529">
        <v>20</v>
      </c>
      <c r="E87" s="556"/>
      <c r="F87" s="430">
        <f>LongTest!F85</f>
        <v>14.285983204912011</v>
      </c>
      <c r="G87" s="430">
        <f>LongTest!G85</f>
        <v>4.8359832049120115</v>
      </c>
      <c r="H87" s="529"/>
      <c r="I87" s="530"/>
      <c r="J87" s="531"/>
    </row>
    <row r="88" spans="1:10" ht="24.95" customHeight="1">
      <c r="A88" s="452"/>
      <c r="B88" s="429"/>
      <c r="C88" s="429">
        <f t="shared" si="6"/>
        <v>45456.489583333328</v>
      </c>
      <c r="D88" s="529">
        <v>25</v>
      </c>
      <c r="E88" s="556"/>
      <c r="F88" s="430">
        <f>LongTest!F86</f>
        <v>13.901017163572192</v>
      </c>
      <c r="G88" s="430">
        <f>LongTest!G86</f>
        <v>4.4510171635721916</v>
      </c>
      <c r="H88" s="529"/>
      <c r="I88" s="530"/>
      <c r="J88" s="531"/>
    </row>
    <row r="89" spans="1:10" ht="24.95" customHeight="1">
      <c r="A89" s="452"/>
      <c r="B89" s="429"/>
      <c r="C89" s="429">
        <f t="shared" si="6"/>
        <v>45456.493055555555</v>
      </c>
      <c r="D89" s="529">
        <v>30</v>
      </c>
      <c r="E89" s="556"/>
      <c r="F89" s="430">
        <f>LongTest!F87</f>
        <v>13.54669615276811</v>
      </c>
      <c r="G89" s="430">
        <f>LongTest!G87</f>
        <v>4.0966961527681098</v>
      </c>
      <c r="H89" s="529"/>
      <c r="I89" s="530"/>
      <c r="J89" s="531"/>
    </row>
    <row r="90" spans="1:10" ht="24.95" customHeight="1">
      <c r="A90" s="452"/>
      <c r="B90" s="429"/>
      <c r="C90" s="429">
        <f t="shared" si="6"/>
        <v>45456.496527777774</v>
      </c>
      <c r="D90" s="529">
        <v>35</v>
      </c>
      <c r="E90" s="556"/>
      <c r="F90" s="430">
        <f>LongTest!F88</f>
        <v>13.434971769034254</v>
      </c>
      <c r="G90" s="430">
        <f>LongTest!G88</f>
        <v>3.9849717690342552</v>
      </c>
      <c r="H90" s="529"/>
      <c r="I90" s="530"/>
      <c r="J90" s="531"/>
    </row>
    <row r="91" spans="1:10" ht="24.95" customHeight="1">
      <c r="A91" s="452"/>
      <c r="B91" s="429"/>
      <c r="C91" s="429">
        <f t="shared" si="6"/>
        <v>45456.5</v>
      </c>
      <c r="D91" s="529">
        <v>40</v>
      </c>
      <c r="E91" s="556"/>
      <c r="F91" s="430">
        <f>LongTest!F89</f>
        <v>13.326294313228475</v>
      </c>
      <c r="G91" s="430">
        <f>LongTest!G89</f>
        <v>3.8762943132284762</v>
      </c>
      <c r="H91" s="529"/>
      <c r="I91" s="530"/>
      <c r="J91" s="531"/>
    </row>
    <row r="92" spans="1:10" ht="24.95" customHeight="1">
      <c r="A92" s="452"/>
      <c r="B92" s="429"/>
      <c r="C92" s="429">
        <f t="shared" si="6"/>
        <v>45456.503472222219</v>
      </c>
      <c r="D92" s="529">
        <v>45</v>
      </c>
      <c r="E92" s="556"/>
      <c r="F92" s="430">
        <f>LongTest!F90</f>
        <v>13.220580690063166</v>
      </c>
      <c r="G92" s="430">
        <f>LongTest!G90</f>
        <v>3.7705806900631673</v>
      </c>
      <c r="H92" s="529"/>
      <c r="I92" s="530"/>
      <c r="J92" s="531"/>
    </row>
    <row r="93" spans="1:10" ht="24.95" customHeight="1">
      <c r="A93" s="452"/>
      <c r="B93" s="429"/>
      <c r="C93" s="429">
        <f t="shared" si="6"/>
        <v>45456.506944444438</v>
      </c>
      <c r="D93" s="529">
        <v>50</v>
      </c>
      <c r="E93" s="556"/>
      <c r="F93" s="430">
        <f>LongTest!F91</f>
        <v>13.11775007041093</v>
      </c>
      <c r="G93" s="430">
        <f>LongTest!G91</f>
        <v>3.6677500704109298</v>
      </c>
      <c r="H93" s="529"/>
      <c r="I93" s="530"/>
      <c r="J93" s="531"/>
    </row>
    <row r="94" spans="1:10" ht="24.95" customHeight="1">
      <c r="A94" s="452"/>
      <c r="B94" s="429"/>
      <c r="C94" s="429">
        <f t="shared" si="6"/>
        <v>45456.510416666664</v>
      </c>
      <c r="D94" s="529">
        <v>55</v>
      </c>
      <c r="E94" s="556"/>
      <c r="F94" s="430">
        <f>LongTest!F92</f>
        <v>13.017723829502245</v>
      </c>
      <c r="G94" s="430">
        <f>LongTest!G92</f>
        <v>3.5677238295022455</v>
      </c>
      <c r="H94" s="529"/>
      <c r="I94" s="530"/>
      <c r="J94" s="531"/>
    </row>
    <row r="95" spans="1:10" ht="24.95" customHeight="1">
      <c r="A95" s="452"/>
      <c r="B95" s="429"/>
      <c r="C95" s="429">
        <f t="shared" si="6"/>
        <v>45456.513888888883</v>
      </c>
      <c r="D95" s="529">
        <v>60</v>
      </c>
      <c r="E95" s="556"/>
      <c r="F95" s="430">
        <f>LongTest!F93</f>
        <v>12.920425486808609</v>
      </c>
      <c r="G95" s="430">
        <f>LongTest!G93</f>
        <v>3.4704254868086104</v>
      </c>
      <c r="H95" s="529"/>
      <c r="I95" s="530"/>
      <c r="J95" s="531"/>
    </row>
    <row r="96" spans="1:10" ht="24.95" customHeight="1">
      <c r="A96" s="452"/>
      <c r="B96" s="429"/>
      <c r="C96" s="429">
        <f t="shared" si="6"/>
        <v>45456.524305555555</v>
      </c>
      <c r="D96" s="529">
        <v>75</v>
      </c>
      <c r="E96" s="556"/>
      <c r="F96" s="430">
        <f>LongTest!F94</f>
        <v>12.825780647565169</v>
      </c>
      <c r="G96" s="430">
        <f>LongTest!G94</f>
        <v>3.3757806475651706</v>
      </c>
      <c r="H96" s="529"/>
      <c r="I96" s="530"/>
      <c r="J96" s="531"/>
    </row>
    <row r="97" spans="1:10" ht="24.95" customHeight="1">
      <c r="A97" s="452"/>
      <c r="B97" s="429"/>
      <c r="C97" s="429">
        <f t="shared" si="6"/>
        <v>45456.534722222219</v>
      </c>
      <c r="D97" s="529">
        <v>90</v>
      </c>
      <c r="E97" s="556"/>
      <c r="F97" s="430">
        <f>LongTest!F95</f>
        <v>12.733716945888137</v>
      </c>
      <c r="G97" s="430">
        <f>LongTest!G95</f>
        <v>3.2837169458881377</v>
      </c>
      <c r="H97" s="529"/>
      <c r="I97" s="530"/>
      <c r="J97" s="531"/>
    </row>
    <row r="98" spans="1:10" ht="24.95" customHeight="1">
      <c r="A98" s="452"/>
      <c r="B98" s="429"/>
      <c r="C98" s="429">
        <f t="shared" si="6"/>
        <v>45456.545138888883</v>
      </c>
      <c r="D98" s="529">
        <v>105</v>
      </c>
      <c r="E98" s="556"/>
      <c r="F98" s="430">
        <f>LongTest!F96</f>
        <v>12.644163989443497</v>
      </c>
      <c r="G98" s="430">
        <f>LongTest!G96</f>
        <v>3.194163989443497</v>
      </c>
      <c r="H98" s="529"/>
      <c r="I98" s="530"/>
      <c r="J98" s="531"/>
    </row>
    <row r="99" spans="1:10" ht="24.95" customHeight="1">
      <c r="A99" s="452"/>
      <c r="B99" s="429"/>
      <c r="C99" s="429">
        <f t="shared" si="6"/>
        <v>45456.555555555555</v>
      </c>
      <c r="D99" s="529">
        <v>120</v>
      </c>
      <c r="E99" s="556"/>
      <c r="F99" s="430">
        <f>LongTest!F97</f>
        <v>12.389894151376794</v>
      </c>
      <c r="G99" s="430">
        <f>LongTest!G97</f>
        <v>2.9398941513767949</v>
      </c>
      <c r="H99" s="529"/>
      <c r="I99" s="530"/>
      <c r="J99" s="531"/>
    </row>
    <row r="100" spans="1:10" ht="24.95" customHeight="1">
      <c r="A100" s="452"/>
      <c r="B100" s="429"/>
      <c r="C100" s="429">
        <f t="shared" si="6"/>
        <v>45456.597222222219</v>
      </c>
      <c r="D100" s="529">
        <v>180</v>
      </c>
      <c r="E100" s="556"/>
      <c r="F100" s="430">
        <f>LongTest!F98</f>
        <v>12.309717870281746</v>
      </c>
      <c r="G100" s="430">
        <f>LongTest!G98</f>
        <v>2.859717870281747</v>
      </c>
      <c r="H100" s="529"/>
      <c r="I100" s="530"/>
      <c r="J100" s="531"/>
    </row>
    <row r="101" spans="1:10" ht="24.95" customHeight="1">
      <c r="A101" s="452"/>
      <c r="B101" s="429"/>
      <c r="C101" s="429">
        <f t="shared" si="6"/>
        <v>45456.638888888883</v>
      </c>
      <c r="D101" s="529">
        <v>240</v>
      </c>
      <c r="E101" s="556"/>
      <c r="F101" s="430">
        <f>LongTest!F99</f>
        <v>11.872546708864883</v>
      </c>
      <c r="G101" s="430">
        <f>LongTest!G99</f>
        <v>2.4225467088648833</v>
      </c>
      <c r="H101" s="529"/>
      <c r="I101" s="530"/>
      <c r="J101" s="531"/>
    </row>
    <row r="102" spans="1:10" ht="24.95" customHeight="1">
      <c r="A102" s="452"/>
      <c r="B102" s="429"/>
      <c r="C102" s="429">
        <f t="shared" si="6"/>
        <v>45456.680555555555</v>
      </c>
      <c r="D102" s="529">
        <v>300</v>
      </c>
      <c r="E102" s="556"/>
      <c r="F102" s="430">
        <f>LongTest!F100</f>
        <v>11.502206833974805</v>
      </c>
      <c r="G102" s="430">
        <f>LongTest!G100</f>
        <v>2.0522068339748056</v>
      </c>
      <c r="H102" s="529"/>
      <c r="I102" s="530"/>
      <c r="J102" s="531"/>
    </row>
    <row r="103" spans="1:10" ht="24.95" customHeight="1" thickBot="1">
      <c r="A103" s="456"/>
      <c r="B103" s="457"/>
      <c r="C103" s="457">
        <f t="shared" si="6"/>
        <v>45456.722222222219</v>
      </c>
      <c r="D103" s="532">
        <v>360</v>
      </c>
      <c r="E103" s="557"/>
      <c r="F103" s="458">
        <f>LongTest!F101</f>
        <v>11.18848160450383</v>
      </c>
      <c r="G103" s="458">
        <f>LongTest!G101</f>
        <v>1.7384816045038303</v>
      </c>
      <c r="H103" s="532" t="s">
        <v>323</v>
      </c>
      <c r="I103" s="533"/>
      <c r="J103" s="534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4" zoomScaleNormal="130" zoomScaleSheetLayoutView="100" workbookViewId="0">
      <selection activeCell="K12" sqref="K12"/>
    </sheetView>
  </sheetViews>
  <sheetFormatPr defaultRowHeight="16.5"/>
  <cols>
    <col min="1" max="2" width="9" style="447"/>
    <col min="3" max="3" width="11.375" style="447" customWidth="1"/>
    <col min="4" max="4" width="6.75" style="447" customWidth="1"/>
    <col min="5" max="5" width="7.25" style="447" customWidth="1"/>
    <col min="6" max="6" width="13.875" style="447" bestFit="1" customWidth="1"/>
    <col min="7" max="7" width="12.125" style="447" customWidth="1"/>
    <col min="8" max="16384" width="9" style="447"/>
  </cols>
  <sheetData>
    <row r="1" spans="1:10" ht="45" customHeight="1" thickBot="1">
      <c r="A1" s="560" t="s">
        <v>316</v>
      </c>
      <c r="B1" s="561"/>
      <c r="C1" s="561"/>
      <c r="D1" s="561"/>
      <c r="E1" s="561"/>
      <c r="F1" s="561"/>
      <c r="G1" s="561"/>
      <c r="H1" s="561"/>
      <c r="I1" s="561"/>
      <c r="J1" s="562"/>
    </row>
    <row r="2" spans="1:10" ht="24.95" customHeight="1">
      <c r="A2" s="536" t="s">
        <v>295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296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3" t="str">
        <f>Input!I54</f>
        <v>W-1</v>
      </c>
      <c r="J3" s="424" t="s">
        <v>322</v>
      </c>
    </row>
    <row r="4" spans="1:10" ht="24.95" customHeight="1">
      <c r="A4" s="541" t="s">
        <v>297</v>
      </c>
      <c r="B4" s="542"/>
      <c r="C4" s="543">
        <f>LongTest!C10</f>
        <v>45454.472222222219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298</v>
      </c>
      <c r="B5" s="542"/>
      <c r="C5" s="543">
        <f>C77</f>
        <v>45455.555555555555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294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299</v>
      </c>
      <c r="B7" s="542"/>
      <c r="C7" s="549" t="s">
        <v>326</v>
      </c>
      <c r="D7" s="542"/>
      <c r="E7" s="425">
        <f>LongTest!C6</f>
        <v>5</v>
      </c>
      <c r="F7" s="425" t="s">
        <v>300</v>
      </c>
      <c r="G7" s="425" t="s">
        <v>328</v>
      </c>
      <c r="H7" s="549">
        <f>Input!I50</f>
        <v>50</v>
      </c>
      <c r="I7" s="542"/>
      <c r="J7" s="426" t="s">
        <v>301</v>
      </c>
    </row>
    <row r="8" spans="1:10" ht="24.95" customHeight="1">
      <c r="A8" s="541" t="s">
        <v>302</v>
      </c>
      <c r="B8" s="542"/>
      <c r="C8" s="549" t="s">
        <v>327</v>
      </c>
      <c r="D8" s="542"/>
      <c r="E8" s="425">
        <f>LongTest!D7</f>
        <v>200</v>
      </c>
      <c r="F8" s="425" t="s">
        <v>303</v>
      </c>
      <c r="G8" s="425" t="s">
        <v>304</v>
      </c>
      <c r="H8" s="549">
        <f>LongTest!G7</f>
        <v>100</v>
      </c>
      <c r="I8" s="542"/>
      <c r="J8" s="426" t="s">
        <v>301</v>
      </c>
    </row>
    <row r="9" spans="1:10" ht="24.95" customHeight="1">
      <c r="A9" s="541" t="s">
        <v>305</v>
      </c>
      <c r="B9" s="542"/>
      <c r="C9" s="549" t="s">
        <v>325</v>
      </c>
      <c r="D9" s="542"/>
      <c r="E9" s="425">
        <f>LongTest!D8</f>
        <v>9.4499999999999993</v>
      </c>
      <c r="F9" s="425" t="s">
        <v>301</v>
      </c>
      <c r="G9" s="425" t="s">
        <v>306</v>
      </c>
      <c r="H9" s="549">
        <f>LongTest!G8</f>
        <v>25.330000000000002</v>
      </c>
      <c r="I9" s="542"/>
      <c r="J9" s="426" t="s">
        <v>301</v>
      </c>
    </row>
    <row r="10" spans="1:10" ht="24.95" customHeight="1">
      <c r="A10" s="554" t="s">
        <v>307</v>
      </c>
      <c r="B10" s="439" t="s">
        <v>308</v>
      </c>
      <c r="C10" s="555" t="s">
        <v>190</v>
      </c>
      <c r="D10" s="555" t="s">
        <v>310</v>
      </c>
      <c r="E10" s="555"/>
      <c r="F10" s="439" t="s">
        <v>311</v>
      </c>
      <c r="G10" s="439" t="s">
        <v>313</v>
      </c>
      <c r="H10" s="439" t="s">
        <v>314</v>
      </c>
      <c r="I10" s="439" t="s">
        <v>315</v>
      </c>
      <c r="J10" s="440" t="s">
        <v>318</v>
      </c>
    </row>
    <row r="11" spans="1:10" ht="24.95" customHeight="1">
      <c r="A11" s="554"/>
      <c r="B11" s="439" t="s">
        <v>331</v>
      </c>
      <c r="C11" s="555"/>
      <c r="D11" s="555" t="s">
        <v>332</v>
      </c>
      <c r="E11" s="555"/>
      <c r="F11" s="439" t="s">
        <v>312</v>
      </c>
      <c r="G11" s="439" t="s">
        <v>312</v>
      </c>
      <c r="H11" s="439" t="s">
        <v>333</v>
      </c>
      <c r="I11" s="465" t="s">
        <v>334</v>
      </c>
      <c r="J11" s="441"/>
    </row>
    <row r="12" spans="1:10" ht="24.95" customHeight="1">
      <c r="A12" s="427">
        <v>1</v>
      </c>
      <c r="B12" s="428">
        <f>LongTest!B10</f>
        <v>150</v>
      </c>
      <c r="C12" s="429">
        <f t="shared" ref="C12:C55" si="0">$C$4+D12/1440</f>
        <v>45454.472916666666</v>
      </c>
      <c r="D12" s="553">
        <v>1</v>
      </c>
      <c r="E12" s="553"/>
      <c r="F12" s="430">
        <f>LongTest!F10</f>
        <v>12.765655952211457</v>
      </c>
      <c r="G12" s="430">
        <f>LongTest!G10</f>
        <v>3.3156559522114577</v>
      </c>
      <c r="H12" s="333"/>
      <c r="I12" s="333"/>
      <c r="J12" s="448"/>
    </row>
    <row r="13" spans="1:10" ht="24.95" customHeight="1">
      <c r="A13" s="427"/>
      <c r="B13" s="425"/>
      <c r="C13" s="429">
        <f t="shared" si="0"/>
        <v>45454.473611111105</v>
      </c>
      <c r="D13" s="553">
        <v>2</v>
      </c>
      <c r="E13" s="553"/>
      <c r="F13" s="430">
        <f>LongTest!F11</f>
        <v>14.149879737904628</v>
      </c>
      <c r="G13" s="430">
        <f>LongTest!G11</f>
        <v>4.6998797379046291</v>
      </c>
      <c r="H13" s="333"/>
      <c r="I13" s="333"/>
      <c r="J13" s="448"/>
    </row>
    <row r="14" spans="1:10" ht="24.95" customHeight="1">
      <c r="A14" s="427"/>
      <c r="B14" s="425"/>
      <c r="C14" s="429">
        <f t="shared" si="0"/>
        <v>45454.474305555552</v>
      </c>
      <c r="D14" s="553">
        <v>3</v>
      </c>
      <c r="E14" s="553"/>
      <c r="F14" s="430">
        <f>LongTest!F12</f>
        <v>14.959598745141413</v>
      </c>
      <c r="G14" s="430">
        <f>LongTest!G12</f>
        <v>5.5095987451414139</v>
      </c>
      <c r="H14" s="333"/>
      <c r="I14" s="333"/>
      <c r="J14" s="448"/>
    </row>
    <row r="15" spans="1:10" ht="24.95" customHeight="1">
      <c r="A15" s="427"/>
      <c r="B15" s="425"/>
      <c r="C15" s="429">
        <f t="shared" si="0"/>
        <v>45454.474999999999</v>
      </c>
      <c r="D15" s="553">
        <v>4</v>
      </c>
      <c r="E15" s="553"/>
      <c r="F15" s="430">
        <f>LongTest!F13</f>
        <v>15.534103523597803</v>
      </c>
      <c r="G15" s="430">
        <f>LongTest!G13</f>
        <v>6.084103523597804</v>
      </c>
      <c r="H15" s="333"/>
      <c r="I15" s="333"/>
      <c r="J15" s="448"/>
    </row>
    <row r="16" spans="1:10" ht="24.95" customHeight="1">
      <c r="A16" s="427"/>
      <c r="B16" s="425"/>
      <c r="C16" s="429">
        <f t="shared" si="0"/>
        <v>45454.475694444438</v>
      </c>
      <c r="D16" s="553">
        <v>5</v>
      </c>
      <c r="E16" s="553"/>
      <c r="F16" s="430">
        <f>LongTest!F14</f>
        <v>15.97972404982378</v>
      </c>
      <c r="G16" s="430">
        <f>LongTest!G14</f>
        <v>6.5297240498237805</v>
      </c>
      <c r="H16" s="425">
        <f>'w1'!D14</f>
        <v>15.5</v>
      </c>
      <c r="I16" s="425">
        <f>'w1'!E14</f>
        <v>202</v>
      </c>
      <c r="J16" s="426">
        <f>'w1'!F14</f>
        <v>6.38</v>
      </c>
    </row>
    <row r="17" spans="1:10" ht="24.95" customHeight="1">
      <c r="A17" s="427"/>
      <c r="B17" s="425"/>
      <c r="C17" s="429">
        <f t="shared" si="0"/>
        <v>45454.479166666664</v>
      </c>
      <c r="D17" s="553">
        <v>10</v>
      </c>
      <c r="E17" s="553"/>
      <c r="F17" s="430">
        <f>LongTest!F15</f>
        <v>17.363947835516949</v>
      </c>
      <c r="G17" s="430">
        <f>LongTest!G15</f>
        <v>7.9139478355169501</v>
      </c>
      <c r="H17" s="425"/>
      <c r="I17" s="425"/>
      <c r="J17" s="426"/>
    </row>
    <row r="18" spans="1:10" ht="24.95" customHeight="1">
      <c r="A18" s="427"/>
      <c r="B18" s="425"/>
      <c r="C18" s="429">
        <f t="shared" si="0"/>
        <v>45454.482638888883</v>
      </c>
      <c r="D18" s="553">
        <v>15</v>
      </c>
      <c r="E18" s="553"/>
      <c r="F18" s="430">
        <f>LongTest!F16</f>
        <v>18.173666842753736</v>
      </c>
      <c r="G18" s="430">
        <f>LongTest!G16</f>
        <v>8.7236668427537367</v>
      </c>
      <c r="H18" s="425"/>
      <c r="I18" s="425"/>
      <c r="J18" s="426"/>
    </row>
    <row r="19" spans="1:10" ht="24.95" customHeight="1">
      <c r="A19" s="427"/>
      <c r="B19" s="425"/>
      <c r="C19" s="429">
        <f t="shared" si="0"/>
        <v>45454.486111111109</v>
      </c>
      <c r="D19" s="553">
        <v>20</v>
      </c>
      <c r="E19" s="553"/>
      <c r="F19" s="430">
        <f>LongTest!F17</f>
        <v>18.748171621210126</v>
      </c>
      <c r="G19" s="430">
        <f>LongTest!G17</f>
        <v>9.2981716212101269</v>
      </c>
      <c r="H19" s="425"/>
      <c r="I19" s="425"/>
      <c r="J19" s="426"/>
    </row>
    <row r="20" spans="1:10" ht="24.95" customHeight="1">
      <c r="A20" s="427"/>
      <c r="B20" s="425"/>
      <c r="C20" s="429">
        <f t="shared" si="0"/>
        <v>45454.489583333328</v>
      </c>
      <c r="D20" s="553">
        <v>25</v>
      </c>
      <c r="E20" s="553"/>
      <c r="F20" s="430">
        <f>LongTest!F18</f>
        <v>19.193792147436099</v>
      </c>
      <c r="G20" s="430">
        <f>LongTest!G18</f>
        <v>9.7437921474360998</v>
      </c>
      <c r="H20" s="425"/>
      <c r="I20" s="425"/>
      <c r="J20" s="426"/>
    </row>
    <row r="21" spans="1:10" ht="24.95" customHeight="1">
      <c r="A21" s="427"/>
      <c r="B21" s="425"/>
      <c r="C21" s="429">
        <f t="shared" si="0"/>
        <v>45454.493055555555</v>
      </c>
      <c r="D21" s="553">
        <v>30</v>
      </c>
      <c r="E21" s="553"/>
      <c r="F21" s="430">
        <f>LongTest!F19</f>
        <v>19.557890628446909</v>
      </c>
      <c r="G21" s="430">
        <f>LongTest!G19</f>
        <v>10.10789062844691</v>
      </c>
      <c r="H21" s="425">
        <f>'w1'!D15</f>
        <v>15.200000000000001</v>
      </c>
      <c r="I21" s="425">
        <f>'w1'!E15</f>
        <v>207</v>
      </c>
      <c r="J21" s="426">
        <f>'w1'!F15</f>
        <v>6.62</v>
      </c>
    </row>
    <row r="22" spans="1:10" ht="24.95" customHeight="1">
      <c r="A22" s="427"/>
      <c r="B22" s="425"/>
      <c r="C22" s="429">
        <f t="shared" si="0"/>
        <v>45454.496527777774</v>
      </c>
      <c r="D22" s="553">
        <v>35</v>
      </c>
      <c r="E22" s="553"/>
      <c r="F22" s="430">
        <f>LongTest!F20</f>
        <v>19.865731507818719</v>
      </c>
      <c r="G22" s="430">
        <f>LongTest!G20</f>
        <v>10.41573150781872</v>
      </c>
      <c r="H22" s="425"/>
      <c r="I22" s="425"/>
      <c r="J22" s="426"/>
    </row>
    <row r="23" spans="1:10" ht="24.95" customHeight="1">
      <c r="A23" s="427"/>
      <c r="B23" s="425"/>
      <c r="C23" s="429">
        <f t="shared" si="0"/>
        <v>45454.5</v>
      </c>
      <c r="D23" s="553">
        <v>40</v>
      </c>
      <c r="E23" s="553"/>
      <c r="F23" s="430">
        <f>LongTest!F21</f>
        <v>20.132395406903299</v>
      </c>
      <c r="G23" s="430">
        <f>LongTest!G21</f>
        <v>10.6823954069033</v>
      </c>
      <c r="H23" s="425"/>
      <c r="I23" s="425"/>
      <c r="J23" s="426"/>
    </row>
    <row r="24" spans="1:10" ht="24.95" customHeight="1">
      <c r="A24" s="427"/>
      <c r="B24" s="425"/>
      <c r="C24" s="429">
        <f t="shared" si="0"/>
        <v>45454.503472222219</v>
      </c>
      <c r="D24" s="553">
        <v>45</v>
      </c>
      <c r="E24" s="553"/>
      <c r="F24" s="430">
        <f>LongTest!F22</f>
        <v>20.367609635683696</v>
      </c>
      <c r="G24" s="430">
        <f>LongTest!G22</f>
        <v>10.917609635683696</v>
      </c>
      <c r="H24" s="425"/>
      <c r="I24" s="425"/>
      <c r="J24" s="426"/>
    </row>
    <row r="25" spans="1:10" ht="24.95" customHeight="1">
      <c r="A25" s="427"/>
      <c r="B25" s="425"/>
      <c r="C25" s="429">
        <f t="shared" si="0"/>
        <v>45454.506944444438</v>
      </c>
      <c r="D25" s="553">
        <v>50</v>
      </c>
      <c r="E25" s="553"/>
      <c r="F25" s="430">
        <f>LongTest!F23</f>
        <v>20.578015933129272</v>
      </c>
      <c r="G25" s="430">
        <f>LongTest!G23</f>
        <v>11.128015933129273</v>
      </c>
      <c r="H25" s="425"/>
      <c r="I25" s="425"/>
      <c r="J25" s="426"/>
    </row>
    <row r="26" spans="1:10" ht="24.95" customHeight="1">
      <c r="A26" s="427"/>
      <c r="B26" s="425"/>
      <c r="C26" s="429">
        <f t="shared" si="0"/>
        <v>45454.510416666664</v>
      </c>
      <c r="D26" s="553">
        <v>55</v>
      </c>
      <c r="E26" s="553"/>
      <c r="F26" s="430">
        <f>LongTest!F24</f>
        <v>20.768351581320562</v>
      </c>
      <c r="G26" s="430">
        <f>LongTest!G24</f>
        <v>11.318351581320563</v>
      </c>
      <c r="H26" s="425"/>
      <c r="I26" s="425"/>
      <c r="J26" s="426"/>
    </row>
    <row r="27" spans="1:10" ht="24.95" customHeight="1">
      <c r="A27" s="427"/>
      <c r="B27" s="425"/>
      <c r="C27" s="429">
        <f t="shared" si="0"/>
        <v>45454.513888888883</v>
      </c>
      <c r="D27" s="553">
        <v>60</v>
      </c>
      <c r="E27" s="553"/>
      <c r="F27" s="430">
        <f>LongTest!F25</f>
        <v>20.942114414140082</v>
      </c>
      <c r="G27" s="430">
        <f>LongTest!G25</f>
        <v>11.492114414140083</v>
      </c>
      <c r="H27" s="425">
        <f>'w1'!D16</f>
        <v>15.4</v>
      </c>
      <c r="I27" s="425">
        <f>'w1'!E16</f>
        <v>202</v>
      </c>
      <c r="J27" s="426">
        <f>'w1'!F16</f>
        <v>6.41</v>
      </c>
    </row>
    <row r="28" spans="1:10" ht="24.95" customHeight="1">
      <c r="A28" s="427"/>
      <c r="B28" s="425"/>
      <c r="C28" s="429">
        <f t="shared" si="0"/>
        <v>45454.524305555555</v>
      </c>
      <c r="D28" s="553">
        <v>75</v>
      </c>
      <c r="E28" s="553"/>
      <c r="F28" s="430">
        <f>LongTest!F26</f>
        <v>21.387734940366059</v>
      </c>
      <c r="G28" s="430">
        <f>LongTest!G26</f>
        <v>11.93773494036606</v>
      </c>
      <c r="H28" s="425"/>
      <c r="I28" s="425"/>
      <c r="J28" s="426"/>
    </row>
    <row r="29" spans="1:10" ht="24.95" customHeight="1">
      <c r="A29" s="427"/>
      <c r="B29" s="425"/>
      <c r="C29" s="429">
        <f t="shared" si="0"/>
        <v>45454.534722222219</v>
      </c>
      <c r="D29" s="553">
        <v>90</v>
      </c>
      <c r="E29" s="553"/>
      <c r="F29" s="430">
        <f>LongTest!F27</f>
        <v>21.751833421376869</v>
      </c>
      <c r="G29" s="430">
        <f>LongTest!G27</f>
        <v>12.30183342137687</v>
      </c>
      <c r="H29" s="425"/>
      <c r="I29" s="425"/>
      <c r="J29" s="426"/>
    </row>
    <row r="30" spans="1:10" ht="24.95" customHeight="1">
      <c r="A30" s="427"/>
      <c r="B30" s="425"/>
      <c r="C30" s="429">
        <f t="shared" si="0"/>
        <v>45454.545138888883</v>
      </c>
      <c r="D30" s="553">
        <v>105</v>
      </c>
      <c r="E30" s="553"/>
      <c r="F30" s="430">
        <f>LongTest!F28</f>
        <v>22.059674300748675</v>
      </c>
      <c r="G30" s="430">
        <f>LongTest!G28</f>
        <v>12.609674300748676</v>
      </c>
      <c r="H30" s="425"/>
      <c r="I30" s="425"/>
      <c r="J30" s="426"/>
    </row>
    <row r="31" spans="1:10" ht="24.95" customHeight="1">
      <c r="A31" s="427"/>
      <c r="B31" s="425"/>
      <c r="C31" s="429">
        <f t="shared" si="0"/>
        <v>45454.555555555555</v>
      </c>
      <c r="D31" s="553">
        <v>120</v>
      </c>
      <c r="E31" s="553"/>
      <c r="F31" s="430">
        <f>LongTest!F29</f>
        <v>22.326338199833256</v>
      </c>
      <c r="G31" s="430">
        <f>LongTest!G29</f>
        <v>12.876338199833256</v>
      </c>
      <c r="H31" s="425">
        <f>'w1'!D17</f>
        <v>15</v>
      </c>
      <c r="I31" s="425">
        <f>'w1'!E17</f>
        <v>201</v>
      </c>
      <c r="J31" s="426">
        <f>'w1'!F17</f>
        <v>6.37</v>
      </c>
    </row>
    <row r="32" spans="1:10" ht="24.95" customHeight="1">
      <c r="A32" s="427"/>
      <c r="B32" s="449"/>
      <c r="C32" s="429">
        <f t="shared" si="0"/>
        <v>45454.569444444438</v>
      </c>
      <c r="D32" s="553">
        <v>140</v>
      </c>
      <c r="E32" s="553"/>
      <c r="F32" s="430">
        <f>LongTest!F30</f>
        <v>22.634179079205065</v>
      </c>
      <c r="G32" s="430">
        <f>LongTest!G30</f>
        <v>13.184179079205066</v>
      </c>
      <c r="H32" s="425"/>
      <c r="I32" s="425"/>
      <c r="J32" s="426"/>
    </row>
    <row r="33" spans="1:10" ht="24.95" customHeight="1">
      <c r="A33" s="427"/>
      <c r="B33" s="425"/>
      <c r="C33" s="429">
        <f t="shared" si="0"/>
        <v>45454.583333333328</v>
      </c>
      <c r="D33" s="553">
        <v>160</v>
      </c>
      <c r="E33" s="553"/>
      <c r="F33" s="430">
        <f>LongTest!F31</f>
        <v>22.900842978289646</v>
      </c>
      <c r="G33" s="430">
        <f>LongTest!G31</f>
        <v>13.450842978289646</v>
      </c>
      <c r="H33" s="425"/>
      <c r="I33" s="425"/>
      <c r="J33" s="426"/>
    </row>
    <row r="34" spans="1:10" ht="24.95" customHeight="1">
      <c r="A34" s="427"/>
      <c r="B34" s="425"/>
      <c r="C34" s="429">
        <f t="shared" si="0"/>
        <v>45454.597222222219</v>
      </c>
      <c r="D34" s="553">
        <v>180</v>
      </c>
      <c r="E34" s="553"/>
      <c r="F34" s="430">
        <f>LongTest!F32</f>
        <v>23.136057207070042</v>
      </c>
      <c r="G34" s="430">
        <f>LongTest!G32</f>
        <v>13.686057207070043</v>
      </c>
      <c r="H34" s="425"/>
      <c r="I34" s="425"/>
      <c r="J34" s="426"/>
    </row>
    <row r="35" spans="1:10" ht="24.95" customHeight="1">
      <c r="A35" s="427"/>
      <c r="B35" s="425"/>
      <c r="C35" s="429">
        <f t="shared" si="0"/>
        <v>45454.638888888883</v>
      </c>
      <c r="D35" s="553">
        <v>240</v>
      </c>
      <c r="E35" s="553"/>
      <c r="F35" s="430">
        <f>LongTest!F33</f>
        <v>23.710561985526432</v>
      </c>
      <c r="G35" s="430">
        <f>LongTest!G33</f>
        <v>14.260561985526433</v>
      </c>
      <c r="H35" s="425">
        <f>'w1'!D18</f>
        <v>15</v>
      </c>
      <c r="I35" s="425">
        <f>'w1'!E18</f>
        <v>206</v>
      </c>
      <c r="J35" s="426">
        <f>'w1'!F18</f>
        <v>6.59</v>
      </c>
    </row>
    <row r="36" spans="1:10" ht="24.95" customHeight="1">
      <c r="A36" s="427"/>
      <c r="B36" s="425"/>
      <c r="C36" s="429">
        <f t="shared" si="0"/>
        <v>45454.680555555555</v>
      </c>
      <c r="D36" s="553">
        <v>300</v>
      </c>
      <c r="E36" s="553"/>
      <c r="F36" s="430">
        <f>LongTest!F34</f>
        <v>24.156182511752405</v>
      </c>
      <c r="G36" s="430">
        <f>LongTest!G34</f>
        <v>14.706182511752406</v>
      </c>
      <c r="H36" s="425"/>
      <c r="I36" s="425"/>
      <c r="J36" s="426"/>
    </row>
    <row r="37" spans="1:10" ht="24.95" customHeight="1">
      <c r="A37" s="450"/>
      <c r="B37" s="451"/>
      <c r="C37" s="429">
        <f t="shared" si="0"/>
        <v>45454.722222222219</v>
      </c>
      <c r="D37" s="553">
        <v>360</v>
      </c>
      <c r="E37" s="553"/>
      <c r="F37" s="430">
        <f>LongTest!F35</f>
        <v>24.520280992763215</v>
      </c>
      <c r="G37" s="430">
        <f>LongTest!G35</f>
        <v>15.070280992763216</v>
      </c>
      <c r="H37" s="425"/>
      <c r="I37" s="425"/>
      <c r="J37" s="426"/>
    </row>
    <row r="38" spans="1:10" ht="24.95" customHeight="1">
      <c r="A38" s="427"/>
      <c r="B38" s="425"/>
      <c r="C38" s="429">
        <f t="shared" si="0"/>
        <v>45454.763888888883</v>
      </c>
      <c r="D38" s="553">
        <v>420</v>
      </c>
      <c r="E38" s="553"/>
      <c r="F38" s="430">
        <f>LongTest!F36</f>
        <v>24.828121872135025</v>
      </c>
      <c r="G38" s="430">
        <f>LongTest!G36</f>
        <v>15.378121872135026</v>
      </c>
      <c r="H38" s="425"/>
      <c r="I38" s="425"/>
      <c r="J38" s="426"/>
    </row>
    <row r="39" spans="1:10" ht="24.95" customHeight="1">
      <c r="A39" s="427"/>
      <c r="B39" s="425"/>
      <c r="C39" s="429">
        <f t="shared" si="0"/>
        <v>45454.805555555555</v>
      </c>
      <c r="D39" s="553">
        <v>480</v>
      </c>
      <c r="E39" s="553"/>
      <c r="F39" s="430">
        <f>LongTest!F37</f>
        <v>25.094785771219605</v>
      </c>
      <c r="G39" s="430">
        <f>LongTest!G37</f>
        <v>15.644785771219606</v>
      </c>
      <c r="H39" s="425">
        <f>'w1'!D19</f>
        <v>15.600000000000001</v>
      </c>
      <c r="I39" s="425">
        <f>'w1'!E19</f>
        <v>203</v>
      </c>
      <c r="J39" s="426">
        <f>'w1'!F19</f>
        <v>6.39</v>
      </c>
    </row>
    <row r="40" spans="1:10" ht="24.95" customHeight="1">
      <c r="A40" s="427"/>
      <c r="B40" s="425"/>
      <c r="C40" s="429">
        <f t="shared" si="0"/>
        <v>45454.847222222219</v>
      </c>
      <c r="D40" s="553">
        <v>540</v>
      </c>
      <c r="E40" s="553"/>
      <c r="F40" s="430">
        <f>LongTest!F38</f>
        <v>25.330000000000002</v>
      </c>
      <c r="G40" s="430">
        <f>LongTest!G38</f>
        <v>15.880000000000003</v>
      </c>
      <c r="H40" s="425"/>
      <c r="I40" s="425"/>
      <c r="J40" s="426"/>
    </row>
    <row r="41" spans="1:10" ht="24.95" customHeight="1">
      <c r="A41" s="427"/>
      <c r="B41" s="425"/>
      <c r="C41" s="429">
        <f t="shared" si="0"/>
        <v>45454.888888888883</v>
      </c>
      <c r="D41" s="553">
        <v>600</v>
      </c>
      <c r="E41" s="553"/>
      <c r="F41" s="430">
        <f>LongTest!F39</f>
        <v>25.330000000000002</v>
      </c>
      <c r="G41" s="430">
        <f>LongTest!G39</f>
        <v>15.880000000000003</v>
      </c>
      <c r="H41" s="425"/>
      <c r="I41" s="425"/>
      <c r="J41" s="426"/>
    </row>
    <row r="42" spans="1:10" ht="24.95" customHeight="1">
      <c r="A42" s="450"/>
      <c r="B42" s="451"/>
      <c r="C42" s="429">
        <f t="shared" si="0"/>
        <v>45454.930555555555</v>
      </c>
      <c r="D42" s="553">
        <v>660</v>
      </c>
      <c r="E42" s="553"/>
      <c r="F42" s="430">
        <f>LongTest!F40</f>
        <v>25.330000000000002</v>
      </c>
      <c r="G42" s="430">
        <f>LongTest!G40</f>
        <v>15.880000000000003</v>
      </c>
      <c r="H42" s="425"/>
      <c r="I42" s="425"/>
      <c r="J42" s="426"/>
    </row>
    <row r="43" spans="1:10" ht="24.95" customHeight="1">
      <c r="A43" s="427"/>
      <c r="B43" s="425"/>
      <c r="C43" s="429">
        <f t="shared" si="0"/>
        <v>45454.972222222219</v>
      </c>
      <c r="D43" s="553">
        <v>720</v>
      </c>
      <c r="E43" s="553"/>
      <c r="F43" s="430">
        <f>LongTest!F41</f>
        <v>25.330000000000002</v>
      </c>
      <c r="G43" s="430">
        <f>LongTest!G41</f>
        <v>15.880000000000003</v>
      </c>
      <c r="H43" s="425"/>
      <c r="I43" s="425"/>
      <c r="J43" s="426"/>
    </row>
    <row r="44" spans="1:10" ht="24.95" customHeight="1">
      <c r="A44" s="427"/>
      <c r="B44" s="425"/>
      <c r="C44" s="429">
        <f t="shared" si="0"/>
        <v>45455.013888888883</v>
      </c>
      <c r="D44" s="553">
        <v>780</v>
      </c>
      <c r="E44" s="553"/>
      <c r="F44" s="425">
        <f>LongTest!F42</f>
        <v>25.330000000000002</v>
      </c>
      <c r="G44" s="425">
        <f>LongTest!G42</f>
        <v>15.880000000000003</v>
      </c>
      <c r="H44" s="425"/>
      <c r="I44" s="425"/>
      <c r="J44" s="426"/>
    </row>
    <row r="45" spans="1:10" ht="24.95" customHeight="1">
      <c r="A45" s="427"/>
      <c r="B45" s="425"/>
      <c r="C45" s="429">
        <f t="shared" si="0"/>
        <v>45455.055555555555</v>
      </c>
      <c r="D45" s="553">
        <v>840</v>
      </c>
      <c r="E45" s="553"/>
      <c r="F45" s="425">
        <f>LongTest!F43</f>
        <v>25.330000000000002</v>
      </c>
      <c r="G45" s="425">
        <f>LongTest!G43</f>
        <v>15.880000000000003</v>
      </c>
      <c r="H45" s="425"/>
      <c r="I45" s="425"/>
      <c r="J45" s="426"/>
    </row>
    <row r="46" spans="1:10" ht="24.95" customHeight="1">
      <c r="A46" s="427"/>
      <c r="B46" s="425"/>
      <c r="C46" s="429">
        <f t="shared" si="0"/>
        <v>45455.097222222219</v>
      </c>
      <c r="D46" s="553">
        <v>900</v>
      </c>
      <c r="E46" s="553"/>
      <c r="F46" s="425">
        <f>LongTest!F44</f>
        <v>25.330000000000002</v>
      </c>
      <c r="G46" s="425">
        <f>LongTest!G44</f>
        <v>15.880000000000003</v>
      </c>
      <c r="H46" s="425"/>
      <c r="I46" s="425"/>
      <c r="J46" s="426"/>
    </row>
    <row r="47" spans="1:10" ht="24.95" customHeight="1">
      <c r="A47" s="450"/>
      <c r="B47" s="451"/>
      <c r="C47" s="429">
        <f t="shared" si="0"/>
        <v>45455.138888888883</v>
      </c>
      <c r="D47" s="553">
        <v>960</v>
      </c>
      <c r="E47" s="553"/>
      <c r="F47" s="425">
        <f>LongTest!F45</f>
        <v>25.330000000000002</v>
      </c>
      <c r="G47" s="425">
        <f>LongTest!G45</f>
        <v>15.880000000000003</v>
      </c>
      <c r="H47" s="425"/>
      <c r="I47" s="425"/>
      <c r="J47" s="426"/>
    </row>
    <row r="48" spans="1:10" ht="24.95" customHeight="1">
      <c r="A48" s="427"/>
      <c r="B48" s="425"/>
      <c r="C48" s="429">
        <f t="shared" si="0"/>
        <v>45455.180555555555</v>
      </c>
      <c r="D48" s="553">
        <v>1020</v>
      </c>
      <c r="E48" s="553"/>
      <c r="F48" s="425">
        <f>LongTest!F46</f>
        <v>25.330000000000002</v>
      </c>
      <c r="G48" s="425">
        <f>LongTest!G46</f>
        <v>15.880000000000003</v>
      </c>
      <c r="H48" s="425"/>
      <c r="I48" s="425"/>
      <c r="J48" s="426"/>
    </row>
    <row r="49" spans="1:10" ht="24.95" customHeight="1">
      <c r="A49" s="427"/>
      <c r="B49" s="425"/>
      <c r="C49" s="429">
        <f t="shared" si="0"/>
        <v>45455.222222222219</v>
      </c>
      <c r="D49" s="553">
        <v>1080</v>
      </c>
      <c r="E49" s="553"/>
      <c r="F49" s="425">
        <f>LongTest!F47</f>
        <v>25.330000000000002</v>
      </c>
      <c r="G49" s="425">
        <f>LongTest!G47</f>
        <v>15.880000000000003</v>
      </c>
      <c r="H49" s="425"/>
      <c r="I49" s="425"/>
      <c r="J49" s="426"/>
    </row>
    <row r="50" spans="1:10" ht="24.95" customHeight="1">
      <c r="A50" s="427"/>
      <c r="B50" s="425"/>
      <c r="C50" s="429">
        <f t="shared" si="0"/>
        <v>45455.263888888883</v>
      </c>
      <c r="D50" s="553">
        <v>1140</v>
      </c>
      <c r="E50" s="553"/>
      <c r="F50" s="425">
        <f>LongTest!F48</f>
        <v>25.330000000000002</v>
      </c>
      <c r="G50" s="425">
        <f>LongTest!G48</f>
        <v>15.880000000000003</v>
      </c>
      <c r="H50" s="425"/>
      <c r="I50" s="425"/>
      <c r="J50" s="426"/>
    </row>
    <row r="51" spans="1:10" ht="24.95" customHeight="1">
      <c r="A51" s="427"/>
      <c r="B51" s="425"/>
      <c r="C51" s="429">
        <f t="shared" si="0"/>
        <v>45455.305555555555</v>
      </c>
      <c r="D51" s="553">
        <v>1200</v>
      </c>
      <c r="E51" s="553"/>
      <c r="F51" s="425">
        <f>LongTest!F49</f>
        <v>25.330000000000002</v>
      </c>
      <c r="G51" s="425">
        <f>LongTest!G49</f>
        <v>15.880000000000003</v>
      </c>
      <c r="H51" s="425"/>
      <c r="I51" s="425"/>
      <c r="J51" s="426"/>
    </row>
    <row r="52" spans="1:10" ht="24.95" customHeight="1">
      <c r="A52" s="427"/>
      <c r="B52" s="425"/>
      <c r="C52" s="429">
        <f t="shared" si="0"/>
        <v>45455.347222222219</v>
      </c>
      <c r="D52" s="553">
        <v>1260</v>
      </c>
      <c r="E52" s="553"/>
      <c r="F52" s="425">
        <f>LongTest!F50</f>
        <v>25.330000000000002</v>
      </c>
      <c r="G52" s="425">
        <f>LongTest!G50</f>
        <v>15.880000000000003</v>
      </c>
      <c r="H52" s="425"/>
      <c r="I52" s="425"/>
      <c r="J52" s="426"/>
    </row>
    <row r="53" spans="1:10" ht="24.95" customHeight="1">
      <c r="A53" s="427"/>
      <c r="B53" s="425"/>
      <c r="C53" s="429">
        <f t="shared" si="0"/>
        <v>45455.388888888883</v>
      </c>
      <c r="D53" s="553">
        <v>1320</v>
      </c>
      <c r="E53" s="553"/>
      <c r="F53" s="425">
        <f>LongTest!F51</f>
        <v>25.330000000000002</v>
      </c>
      <c r="G53" s="425">
        <f>LongTest!G51</f>
        <v>15.880000000000003</v>
      </c>
      <c r="H53" s="425"/>
      <c r="I53" s="425"/>
      <c r="J53" s="426"/>
    </row>
    <row r="54" spans="1:10" ht="24.95" customHeight="1">
      <c r="A54" s="427"/>
      <c r="B54" s="425"/>
      <c r="C54" s="429">
        <f t="shared" si="0"/>
        <v>45455.430555555555</v>
      </c>
      <c r="D54" s="553">
        <v>1380</v>
      </c>
      <c r="E54" s="553"/>
      <c r="F54" s="425">
        <f>LongTest!F52</f>
        <v>25.330000000000002</v>
      </c>
      <c r="G54" s="425">
        <f>LongTest!G52</f>
        <v>15.880000000000003</v>
      </c>
      <c r="H54" s="425"/>
      <c r="I54" s="425"/>
      <c r="J54" s="426"/>
    </row>
    <row r="55" spans="1:10" ht="24.95" customHeight="1">
      <c r="A55" s="427"/>
      <c r="B55" s="425"/>
      <c r="C55" s="429">
        <f t="shared" si="0"/>
        <v>45455.472222222219</v>
      </c>
      <c r="D55" s="553">
        <v>1440</v>
      </c>
      <c r="E55" s="553"/>
      <c r="F55" s="425">
        <f>LongTest!F53</f>
        <v>25.330000000000002</v>
      </c>
      <c r="G55" s="425">
        <f>LongTest!G53</f>
        <v>15.880000000000003</v>
      </c>
      <c r="H55" s="425">
        <f>'w1'!D20</f>
        <v>15.200000000000001</v>
      </c>
      <c r="I55" s="425">
        <f>'w1'!E20</f>
        <v>205</v>
      </c>
      <c r="J55" s="426">
        <f>'w1'!F20</f>
        <v>6.37</v>
      </c>
    </row>
    <row r="56" spans="1:10" ht="24.95" customHeight="1">
      <c r="A56" s="452"/>
      <c r="B56" s="429"/>
      <c r="C56" s="429"/>
      <c r="D56" s="529"/>
      <c r="E56" s="556"/>
      <c r="F56" s="425"/>
      <c r="G56" s="425"/>
      <c r="H56" s="425"/>
      <c r="I56" s="425"/>
      <c r="J56" s="426"/>
    </row>
    <row r="57" spans="1:10" ht="24.95" customHeight="1">
      <c r="A57" s="452"/>
      <c r="B57" s="429"/>
      <c r="C57" s="429"/>
      <c r="D57" s="529"/>
      <c r="E57" s="556"/>
      <c r="F57" s="425"/>
      <c r="G57" s="425"/>
      <c r="H57" s="425"/>
      <c r="I57" s="425"/>
      <c r="J57" s="426"/>
    </row>
    <row r="58" spans="1:10" ht="24.95" customHeight="1">
      <c r="A58" s="452"/>
      <c r="B58" s="425">
        <v>0</v>
      </c>
      <c r="C58" s="429">
        <f>$C$4+(D58+1440)/1440</f>
        <v>45455.472916666666</v>
      </c>
      <c r="D58" s="529">
        <v>1</v>
      </c>
      <c r="E58" s="556"/>
      <c r="F58" s="430">
        <f>LongTest!F78</f>
        <v>20.232796980712919</v>
      </c>
      <c r="G58" s="430">
        <f>LongTest!G78</f>
        <v>10.782796980712918</v>
      </c>
      <c r="H58" s="549" t="s">
        <v>191</v>
      </c>
      <c r="I58" s="558"/>
      <c r="J58" s="559"/>
    </row>
    <row r="59" spans="1:10" ht="24.95" customHeight="1">
      <c r="A59" s="452"/>
      <c r="B59" s="429"/>
      <c r="C59" s="429">
        <f t="shared" ref="C59:C77" si="1">$C$4+(D59+1440)/1440</f>
        <v>45455.473611111105</v>
      </c>
      <c r="D59" s="529">
        <v>2</v>
      </c>
      <c r="E59" s="556"/>
      <c r="F59" s="430">
        <f>LongTest!F79</f>
        <v>19.374437782107812</v>
      </c>
      <c r="G59" s="430">
        <f>LongTest!G79</f>
        <v>9.9244377821078142</v>
      </c>
      <c r="H59" s="529"/>
      <c r="I59" s="530"/>
      <c r="J59" s="531"/>
    </row>
    <row r="60" spans="1:10" ht="24.95" customHeight="1">
      <c r="A60" s="452"/>
      <c r="B60" s="429"/>
      <c r="C60" s="429">
        <f t="shared" si="1"/>
        <v>45455.474305555552</v>
      </c>
      <c r="D60" s="529">
        <v>3</v>
      </c>
      <c r="E60" s="556"/>
      <c r="F60" s="430">
        <f>LongTest!F80</f>
        <v>18.58440784122201</v>
      </c>
      <c r="G60" s="430">
        <f>LongTest!G80</f>
        <v>9.1344078412220089</v>
      </c>
      <c r="H60" s="529"/>
      <c r="I60" s="530"/>
      <c r="J60" s="531"/>
    </row>
    <row r="61" spans="1:10" ht="24.95" customHeight="1">
      <c r="A61" s="452"/>
      <c r="B61" s="429"/>
      <c r="C61" s="429">
        <f t="shared" si="1"/>
        <v>45455.474999999999</v>
      </c>
      <c r="D61" s="529">
        <v>4</v>
      </c>
      <c r="E61" s="556"/>
      <c r="F61" s="430">
        <f>LongTest!F81</f>
        <v>17.857267841429007</v>
      </c>
      <c r="G61" s="430">
        <f>LongTest!G81</f>
        <v>8.4072678414290092</v>
      </c>
      <c r="H61" s="529"/>
      <c r="I61" s="530"/>
      <c r="J61" s="531"/>
    </row>
    <row r="62" spans="1:10" ht="24.95" customHeight="1">
      <c r="A62" s="452"/>
      <c r="B62" s="429"/>
      <c r="C62" s="429">
        <f t="shared" si="1"/>
        <v>45455.475694444438</v>
      </c>
      <c r="D62" s="529">
        <v>5</v>
      </c>
      <c r="E62" s="556"/>
      <c r="F62" s="430">
        <f>LongTest!F82</f>
        <v>17.188011460201068</v>
      </c>
      <c r="G62" s="430">
        <f>LongTest!G82</f>
        <v>7.7380114602010686</v>
      </c>
      <c r="H62" s="529"/>
      <c r="I62" s="530"/>
      <c r="J62" s="531"/>
    </row>
    <row r="63" spans="1:10" ht="24.95" customHeight="1">
      <c r="A63" s="452"/>
      <c r="B63" s="429"/>
      <c r="C63" s="429">
        <f t="shared" si="1"/>
        <v>45455.479166666664</v>
      </c>
      <c r="D63" s="529">
        <v>10</v>
      </c>
      <c r="E63" s="556"/>
      <c r="F63" s="430">
        <f>LongTest!F83</f>
        <v>15.483270868618019</v>
      </c>
      <c r="G63" s="430">
        <f>LongTest!G83</f>
        <v>6.0332708686180201</v>
      </c>
      <c r="H63" s="529"/>
      <c r="I63" s="530"/>
      <c r="J63" s="531"/>
    </row>
    <row r="64" spans="1:10" ht="24.95" customHeight="1">
      <c r="A64" s="452"/>
      <c r="B64" s="429"/>
      <c r="C64" s="429">
        <f t="shared" si="1"/>
        <v>45455.482638888883</v>
      </c>
      <c r="D64" s="529">
        <v>15</v>
      </c>
      <c r="E64" s="556"/>
      <c r="F64" s="430">
        <f>LongTest!F84</f>
        <v>15.158681504824028</v>
      </c>
      <c r="G64" s="430">
        <f>LongTest!G84</f>
        <v>5.7086815048240274</v>
      </c>
      <c r="H64" s="529"/>
      <c r="I64" s="530"/>
      <c r="J64" s="531"/>
    </row>
    <row r="65" spans="1:10" ht="24.95" customHeight="1">
      <c r="A65" s="452"/>
      <c r="B65" s="429"/>
      <c r="C65" s="429">
        <f t="shared" si="1"/>
        <v>45455.486111111109</v>
      </c>
      <c r="D65" s="529">
        <v>20</v>
      </c>
      <c r="E65" s="556"/>
      <c r="F65" s="430">
        <f>LongTest!F85</f>
        <v>14.285983204912011</v>
      </c>
      <c r="G65" s="430">
        <f>LongTest!G85</f>
        <v>4.8359832049120115</v>
      </c>
      <c r="H65" s="529"/>
      <c r="I65" s="530"/>
      <c r="J65" s="531"/>
    </row>
    <row r="66" spans="1:10" ht="24.95" customHeight="1">
      <c r="A66" s="452"/>
      <c r="B66" s="429"/>
      <c r="C66" s="429">
        <f t="shared" si="1"/>
        <v>45455.489583333328</v>
      </c>
      <c r="D66" s="529">
        <v>25</v>
      </c>
      <c r="E66" s="556"/>
      <c r="F66" s="430">
        <f>LongTest!F86</f>
        <v>13.901017163572192</v>
      </c>
      <c r="G66" s="430">
        <f>LongTest!G86</f>
        <v>4.4510171635721916</v>
      </c>
      <c r="H66" s="529"/>
      <c r="I66" s="530"/>
      <c r="J66" s="531"/>
    </row>
    <row r="67" spans="1:10" ht="24.95" customHeight="1">
      <c r="A67" s="452"/>
      <c r="B67" s="429"/>
      <c r="C67" s="429">
        <f t="shared" si="1"/>
        <v>45455.493055555555</v>
      </c>
      <c r="D67" s="529">
        <v>30</v>
      </c>
      <c r="E67" s="556"/>
      <c r="F67" s="430">
        <f>LongTest!F87</f>
        <v>13.54669615276811</v>
      </c>
      <c r="G67" s="430">
        <f>LongTest!G87</f>
        <v>4.0966961527681098</v>
      </c>
      <c r="H67" s="529"/>
      <c r="I67" s="530"/>
      <c r="J67" s="531"/>
    </row>
    <row r="68" spans="1:10" ht="24.95" customHeight="1">
      <c r="A68" s="452"/>
      <c r="B68" s="429"/>
      <c r="C68" s="429">
        <f t="shared" si="1"/>
        <v>45455.496527777774</v>
      </c>
      <c r="D68" s="529">
        <v>35</v>
      </c>
      <c r="E68" s="556"/>
      <c r="F68" s="430">
        <f>LongTest!F88</f>
        <v>13.434971769034254</v>
      </c>
      <c r="G68" s="430">
        <f>LongTest!G88</f>
        <v>3.9849717690342552</v>
      </c>
      <c r="H68" s="529"/>
      <c r="I68" s="530"/>
      <c r="J68" s="531"/>
    </row>
    <row r="69" spans="1:10" ht="24.95" customHeight="1">
      <c r="A69" s="452"/>
      <c r="B69" s="429"/>
      <c r="C69" s="429">
        <f t="shared" si="1"/>
        <v>45455.5</v>
      </c>
      <c r="D69" s="529">
        <v>40</v>
      </c>
      <c r="E69" s="556"/>
      <c r="F69" s="430">
        <f>LongTest!F89</f>
        <v>13.326294313228475</v>
      </c>
      <c r="G69" s="430">
        <f>LongTest!G89</f>
        <v>3.8762943132284762</v>
      </c>
      <c r="H69" s="529"/>
      <c r="I69" s="530"/>
      <c r="J69" s="531"/>
    </row>
    <row r="70" spans="1:10" ht="24.95" customHeight="1">
      <c r="A70" s="452"/>
      <c r="B70" s="429"/>
      <c r="C70" s="429">
        <f t="shared" si="1"/>
        <v>45455.503472222219</v>
      </c>
      <c r="D70" s="529">
        <v>45</v>
      </c>
      <c r="E70" s="556"/>
      <c r="F70" s="430">
        <f>LongTest!F90</f>
        <v>13.220580690063166</v>
      </c>
      <c r="G70" s="430">
        <f>LongTest!G90</f>
        <v>3.7705806900631673</v>
      </c>
      <c r="H70" s="529"/>
      <c r="I70" s="530"/>
      <c r="J70" s="531"/>
    </row>
    <row r="71" spans="1:10" ht="24.95" customHeight="1">
      <c r="A71" s="452"/>
      <c r="B71" s="429"/>
      <c r="C71" s="429">
        <f t="shared" si="1"/>
        <v>45455.506944444438</v>
      </c>
      <c r="D71" s="529">
        <v>50</v>
      </c>
      <c r="E71" s="556"/>
      <c r="F71" s="430">
        <f>LongTest!F91</f>
        <v>13.11775007041093</v>
      </c>
      <c r="G71" s="430">
        <f>LongTest!G91</f>
        <v>3.6677500704109298</v>
      </c>
      <c r="H71" s="529"/>
      <c r="I71" s="530"/>
      <c r="J71" s="531"/>
    </row>
    <row r="72" spans="1:10" ht="24.95" customHeight="1">
      <c r="A72" s="452"/>
      <c r="B72" s="429"/>
      <c r="C72" s="429">
        <f t="shared" si="1"/>
        <v>45455.510416666664</v>
      </c>
      <c r="D72" s="529">
        <v>55</v>
      </c>
      <c r="E72" s="556"/>
      <c r="F72" s="430">
        <f>LongTest!F92</f>
        <v>13.017723829502245</v>
      </c>
      <c r="G72" s="430">
        <f>LongTest!G92</f>
        <v>3.5677238295022455</v>
      </c>
      <c r="H72" s="529"/>
      <c r="I72" s="530"/>
      <c r="J72" s="531"/>
    </row>
    <row r="73" spans="1:10" ht="24.95" customHeight="1">
      <c r="A73" s="452"/>
      <c r="B73" s="429"/>
      <c r="C73" s="429">
        <f t="shared" si="1"/>
        <v>45455.513888888883</v>
      </c>
      <c r="D73" s="529">
        <v>60</v>
      </c>
      <c r="E73" s="556"/>
      <c r="F73" s="430">
        <f>LongTest!F93</f>
        <v>12.920425486808609</v>
      </c>
      <c r="G73" s="430">
        <f>LongTest!G93</f>
        <v>3.4704254868086104</v>
      </c>
      <c r="H73" s="529"/>
      <c r="I73" s="530"/>
      <c r="J73" s="531"/>
    </row>
    <row r="74" spans="1:10" ht="24.95" customHeight="1">
      <c r="A74" s="452"/>
      <c r="B74" s="429"/>
      <c r="C74" s="429">
        <f t="shared" si="1"/>
        <v>45455.524305555555</v>
      </c>
      <c r="D74" s="529">
        <v>75</v>
      </c>
      <c r="E74" s="556"/>
      <c r="F74" s="430">
        <f>LongTest!F94</f>
        <v>12.825780647565169</v>
      </c>
      <c r="G74" s="430">
        <f>LongTest!G94</f>
        <v>3.3757806475651706</v>
      </c>
      <c r="H74" s="529"/>
      <c r="I74" s="530"/>
      <c r="J74" s="531"/>
    </row>
    <row r="75" spans="1:10" ht="24.95" customHeight="1">
      <c r="A75" s="452"/>
      <c r="B75" s="429"/>
      <c r="C75" s="429">
        <f t="shared" si="1"/>
        <v>45455.534722222219</v>
      </c>
      <c r="D75" s="529">
        <v>90</v>
      </c>
      <c r="E75" s="556"/>
      <c r="F75" s="430">
        <f>LongTest!F95</f>
        <v>12.733716945888137</v>
      </c>
      <c r="G75" s="430">
        <f>LongTest!G95</f>
        <v>3.2837169458881377</v>
      </c>
      <c r="H75" s="529"/>
      <c r="I75" s="530"/>
      <c r="J75" s="531"/>
    </row>
    <row r="76" spans="1:10" ht="24.95" customHeight="1">
      <c r="A76" s="452"/>
      <c r="B76" s="429"/>
      <c r="C76" s="429">
        <f t="shared" si="1"/>
        <v>45455.545138888883</v>
      </c>
      <c r="D76" s="529">
        <v>105</v>
      </c>
      <c r="E76" s="556"/>
      <c r="F76" s="430">
        <f>LongTest!F96</f>
        <v>12.644163989443497</v>
      </c>
      <c r="G76" s="430">
        <f>LongTest!G96</f>
        <v>3.194163989443497</v>
      </c>
      <c r="H76" s="529"/>
      <c r="I76" s="530"/>
      <c r="J76" s="531"/>
    </row>
    <row r="77" spans="1:10" ht="24.95" customHeight="1">
      <c r="A77" s="452"/>
      <c r="B77" s="429"/>
      <c r="C77" s="429">
        <f t="shared" si="1"/>
        <v>45455.555555555555</v>
      </c>
      <c r="D77" s="529">
        <v>120</v>
      </c>
      <c r="E77" s="556"/>
      <c r="F77" s="430">
        <f>LongTest!F97</f>
        <v>12.389894151376794</v>
      </c>
      <c r="G77" s="430">
        <f>LongTest!G97</f>
        <v>2.9398941513767949</v>
      </c>
      <c r="H77" s="529" t="s">
        <v>329</v>
      </c>
      <c r="I77" s="530"/>
      <c r="J77" s="531"/>
    </row>
    <row r="78" spans="1:10" ht="24.95" customHeight="1">
      <c r="A78" s="452"/>
      <c r="B78" s="429"/>
      <c r="C78" s="429"/>
      <c r="D78" s="529"/>
      <c r="E78" s="556"/>
      <c r="F78" s="430"/>
      <c r="G78" s="430"/>
      <c r="H78" s="529"/>
      <c r="I78" s="530"/>
      <c r="J78" s="531"/>
    </row>
    <row r="79" spans="1:10" ht="24.95" customHeight="1">
      <c r="A79" s="452"/>
      <c r="B79" s="429"/>
      <c r="C79" s="429"/>
      <c r="D79" s="529"/>
      <c r="E79" s="556"/>
      <c r="F79" s="430"/>
      <c r="G79" s="430"/>
      <c r="H79" s="529"/>
      <c r="I79" s="530"/>
      <c r="J79" s="531"/>
    </row>
    <row r="80" spans="1:10" ht="24.95" customHeight="1">
      <c r="A80" s="452"/>
      <c r="B80" s="429"/>
      <c r="C80" s="429"/>
      <c r="D80" s="529"/>
      <c r="E80" s="556"/>
      <c r="F80" s="430"/>
      <c r="G80" s="430"/>
      <c r="H80" s="529"/>
      <c r="I80" s="530"/>
      <c r="J80" s="531"/>
    </row>
    <row r="81" spans="1:10" ht="24.95" customHeight="1" thickBot="1">
      <c r="A81" s="456"/>
      <c r="B81" s="457"/>
      <c r="C81" s="457"/>
      <c r="D81" s="532"/>
      <c r="E81" s="557"/>
      <c r="F81" s="458"/>
      <c r="G81" s="458"/>
      <c r="H81" s="532"/>
      <c r="I81" s="533"/>
      <c r="J81" s="534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N13" sqref="N13"/>
    </sheetView>
  </sheetViews>
  <sheetFormatPr defaultRowHeight="16.5"/>
  <cols>
    <col min="1" max="2" width="9" style="447"/>
    <col min="3" max="3" width="11.375" style="447" customWidth="1"/>
    <col min="4" max="4" width="6.75" style="447" customWidth="1"/>
    <col min="5" max="5" width="7.25" style="447" customWidth="1"/>
    <col min="6" max="6" width="13.875" style="447" bestFit="1" customWidth="1"/>
    <col min="7" max="7" width="12.125" style="447" customWidth="1"/>
    <col min="8" max="16384" width="9" style="447"/>
  </cols>
  <sheetData>
    <row r="1" spans="1:11" ht="45" customHeight="1" thickBot="1">
      <c r="A1" s="560" t="s">
        <v>320</v>
      </c>
      <c r="B1" s="561"/>
      <c r="C1" s="561"/>
      <c r="D1" s="561"/>
      <c r="E1" s="561"/>
      <c r="F1" s="561"/>
      <c r="G1" s="561"/>
      <c r="H1" s="561"/>
      <c r="I1" s="561"/>
      <c r="J1" s="562"/>
    </row>
    <row r="2" spans="1:11" ht="24.95" customHeight="1">
      <c r="A2" s="536" t="s">
        <v>295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1" ht="24.95" customHeight="1">
      <c r="A3" s="541" t="s">
        <v>296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3" t="str">
        <f>Input!I54</f>
        <v>W-1</v>
      </c>
      <c r="J3" s="424" t="s">
        <v>322</v>
      </c>
    </row>
    <row r="4" spans="1:11" ht="24.95" customHeight="1">
      <c r="A4" s="541" t="s">
        <v>297</v>
      </c>
      <c r="B4" s="542"/>
      <c r="C4" s="543">
        <f>StepTest!C12</f>
        <v>45489.458333333336</v>
      </c>
      <c r="D4" s="544"/>
      <c r="E4" s="544"/>
      <c r="F4" s="544"/>
      <c r="G4" s="544"/>
      <c r="H4" s="544"/>
      <c r="I4" s="544"/>
      <c r="J4" s="545"/>
    </row>
    <row r="5" spans="1:11" ht="24.95" customHeight="1">
      <c r="A5" s="541" t="s">
        <v>298</v>
      </c>
      <c r="B5" s="542"/>
      <c r="C5" s="543">
        <f>StepTest!C51</f>
        <v>45489.875</v>
      </c>
      <c r="D5" s="544"/>
      <c r="E5" s="544"/>
      <c r="F5" s="544"/>
      <c r="G5" s="544"/>
      <c r="H5" s="544"/>
      <c r="I5" s="544"/>
      <c r="J5" s="545"/>
    </row>
    <row r="6" spans="1:11" ht="24.95" customHeight="1">
      <c r="A6" s="541" t="s">
        <v>294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1" ht="24.95" customHeight="1">
      <c r="A7" s="541" t="s">
        <v>299</v>
      </c>
      <c r="B7" s="542"/>
      <c r="C7" s="549" t="s">
        <v>326</v>
      </c>
      <c r="D7" s="542"/>
      <c r="E7" s="425">
        <f>LongTest!C6</f>
        <v>5</v>
      </c>
      <c r="F7" s="425" t="s">
        <v>300</v>
      </c>
      <c r="G7" s="529"/>
      <c r="H7" s="530"/>
      <c r="I7" s="530"/>
      <c r="J7" s="531"/>
    </row>
    <row r="8" spans="1:11" ht="24.95" customHeight="1">
      <c r="A8" s="541" t="s">
        <v>302</v>
      </c>
      <c r="B8" s="542"/>
      <c r="C8" s="549" t="s">
        <v>327</v>
      </c>
      <c r="D8" s="542"/>
      <c r="E8" s="425">
        <f>LongTest!D7</f>
        <v>200</v>
      </c>
      <c r="F8" s="425" t="s">
        <v>303</v>
      </c>
      <c r="G8" s="425" t="s">
        <v>328</v>
      </c>
      <c r="H8" s="549">
        <f>LongTest!G7</f>
        <v>100</v>
      </c>
      <c r="I8" s="542"/>
      <c r="J8" s="426" t="s">
        <v>301</v>
      </c>
    </row>
    <row r="9" spans="1:11" ht="24.95" customHeight="1">
      <c r="A9" s="541" t="s">
        <v>305</v>
      </c>
      <c r="B9" s="542"/>
      <c r="C9" s="549" t="s">
        <v>325</v>
      </c>
      <c r="D9" s="542"/>
      <c r="E9" s="425">
        <f>LongTest!D8</f>
        <v>9.4499999999999993</v>
      </c>
      <c r="F9" s="425" t="s">
        <v>301</v>
      </c>
      <c r="G9" s="425" t="s">
        <v>321</v>
      </c>
      <c r="H9" s="549">
        <f>Input!M51</f>
        <v>150</v>
      </c>
      <c r="I9" s="542"/>
      <c r="J9" s="426" t="s">
        <v>309</v>
      </c>
    </row>
    <row r="10" spans="1:11" ht="24.95" customHeight="1">
      <c r="A10" s="554" t="s">
        <v>307</v>
      </c>
      <c r="B10" s="439" t="s">
        <v>308</v>
      </c>
      <c r="C10" s="555" t="s">
        <v>190</v>
      </c>
      <c r="D10" s="555" t="s">
        <v>310</v>
      </c>
      <c r="E10" s="555"/>
      <c r="F10" s="439" t="s">
        <v>311</v>
      </c>
      <c r="G10" s="439" t="s">
        <v>313</v>
      </c>
      <c r="H10" s="439" t="s">
        <v>314</v>
      </c>
      <c r="I10" s="439" t="s">
        <v>315</v>
      </c>
      <c r="J10" s="440" t="s">
        <v>318</v>
      </c>
    </row>
    <row r="11" spans="1:11" ht="24.95" customHeight="1">
      <c r="A11" s="554"/>
      <c r="B11" s="439" t="s">
        <v>331</v>
      </c>
      <c r="C11" s="555"/>
      <c r="D11" s="555" t="s">
        <v>332</v>
      </c>
      <c r="E11" s="555"/>
      <c r="F11" s="439" t="s">
        <v>312</v>
      </c>
      <c r="G11" s="439" t="s">
        <v>312</v>
      </c>
      <c r="H11" s="439" t="s">
        <v>333</v>
      </c>
      <c r="I11" s="465" t="s">
        <v>334</v>
      </c>
      <c r="J11" s="441"/>
      <c r="K11" s="459"/>
    </row>
    <row r="12" spans="1:11" ht="24.95" customHeight="1">
      <c r="A12" s="427">
        <v>1</v>
      </c>
      <c r="B12" s="428">
        <f>Input!D20</f>
        <v>94</v>
      </c>
      <c r="C12" s="429">
        <f t="shared" ref="C12:C51" si="0">$C$4+D12/1440</f>
        <v>45489.459027777782</v>
      </c>
      <c r="D12" s="553">
        <v>1</v>
      </c>
      <c r="E12" s="553"/>
      <c r="F12" s="430">
        <f>StepTest!F12</f>
        <v>10.45</v>
      </c>
      <c r="G12" s="430">
        <f>StepTest!G12</f>
        <v>1</v>
      </c>
      <c r="H12" s="574"/>
      <c r="I12" s="575"/>
      <c r="J12" s="576"/>
    </row>
    <row r="13" spans="1:11" ht="24.95" customHeight="1">
      <c r="A13" s="427"/>
      <c r="B13" s="425"/>
      <c r="C13" s="429">
        <f t="shared" si="0"/>
        <v>45489.459722222222</v>
      </c>
      <c r="D13" s="553">
        <v>2</v>
      </c>
      <c r="E13" s="553"/>
      <c r="F13" s="430">
        <f>StepTest!F13</f>
        <v>11.27</v>
      </c>
      <c r="G13" s="430">
        <f>StepTest!G13</f>
        <v>1.82</v>
      </c>
      <c r="H13" s="574"/>
      <c r="I13" s="575"/>
      <c r="J13" s="576"/>
    </row>
    <row r="14" spans="1:11" ht="24.95" customHeight="1">
      <c r="A14" s="427"/>
      <c r="B14" s="425"/>
      <c r="C14" s="429">
        <f t="shared" si="0"/>
        <v>45489.460416666669</v>
      </c>
      <c r="D14" s="553">
        <v>3</v>
      </c>
      <c r="E14" s="553"/>
      <c r="F14" s="430">
        <f>StepTest!F14</f>
        <v>11.75</v>
      </c>
      <c r="G14" s="430">
        <f>StepTest!G14</f>
        <v>2.2999999999999998</v>
      </c>
      <c r="H14" s="574"/>
      <c r="I14" s="575"/>
      <c r="J14" s="576"/>
    </row>
    <row r="15" spans="1:11" ht="24.95" customHeight="1">
      <c r="A15" s="427"/>
      <c r="B15" s="425"/>
      <c r="C15" s="429">
        <f t="shared" si="0"/>
        <v>45489.461111111115</v>
      </c>
      <c r="D15" s="553">
        <v>4</v>
      </c>
      <c r="E15" s="553"/>
      <c r="F15" s="430">
        <f>StepTest!F15</f>
        <v>12.079999999999998</v>
      </c>
      <c r="G15" s="430">
        <f>StepTest!G15</f>
        <v>2.63</v>
      </c>
      <c r="H15" s="574"/>
      <c r="I15" s="575"/>
      <c r="J15" s="576"/>
    </row>
    <row r="16" spans="1:11" ht="24.95" customHeight="1">
      <c r="A16" s="427"/>
      <c r="B16" s="425"/>
      <c r="C16" s="429">
        <f t="shared" si="0"/>
        <v>45489.461805555555</v>
      </c>
      <c r="D16" s="553">
        <v>5</v>
      </c>
      <c r="E16" s="553"/>
      <c r="F16" s="430">
        <f>StepTest!F16</f>
        <v>12.35</v>
      </c>
      <c r="G16" s="430">
        <f>StepTest!G16</f>
        <v>2.9</v>
      </c>
      <c r="H16" s="529"/>
      <c r="I16" s="530"/>
      <c r="J16" s="531"/>
    </row>
    <row r="17" spans="1:10" ht="24.95" customHeight="1">
      <c r="A17" s="427"/>
      <c r="B17" s="425"/>
      <c r="C17" s="429">
        <f t="shared" si="0"/>
        <v>45489.465277777781</v>
      </c>
      <c r="D17" s="553">
        <v>10</v>
      </c>
      <c r="E17" s="553"/>
      <c r="F17" s="430">
        <f>StepTest!F17</f>
        <v>13.16</v>
      </c>
      <c r="G17" s="430">
        <f>StepTest!G17</f>
        <v>3.71</v>
      </c>
      <c r="H17" s="529"/>
      <c r="I17" s="530"/>
      <c r="J17" s="531"/>
    </row>
    <row r="18" spans="1:10" ht="24.95" customHeight="1">
      <c r="A18" s="427"/>
      <c r="B18" s="425"/>
      <c r="C18" s="429">
        <f t="shared" si="0"/>
        <v>45489.46875</v>
      </c>
      <c r="D18" s="553">
        <v>15</v>
      </c>
      <c r="E18" s="553"/>
      <c r="F18" s="430">
        <f>StepTest!F18</f>
        <v>13.64</v>
      </c>
      <c r="G18" s="430">
        <f>StepTest!G18</f>
        <v>4.1900000000000004</v>
      </c>
      <c r="H18" s="529"/>
      <c r="I18" s="530"/>
      <c r="J18" s="531"/>
    </row>
    <row r="19" spans="1:10" ht="24.95" customHeight="1">
      <c r="A19" s="427"/>
      <c r="B19" s="425"/>
      <c r="C19" s="429">
        <f t="shared" si="0"/>
        <v>45489.472222222226</v>
      </c>
      <c r="D19" s="553">
        <v>20</v>
      </c>
      <c r="E19" s="553"/>
      <c r="F19" s="430">
        <f>StepTest!F19</f>
        <v>13.98</v>
      </c>
      <c r="G19" s="430">
        <f>StepTest!G19</f>
        <v>4.53</v>
      </c>
      <c r="H19" s="529"/>
      <c r="I19" s="530"/>
      <c r="J19" s="531"/>
    </row>
    <row r="20" spans="1:10" ht="24.95" customHeight="1">
      <c r="A20" s="427"/>
      <c r="B20" s="425"/>
      <c r="C20" s="429">
        <f t="shared" si="0"/>
        <v>45489.475694444445</v>
      </c>
      <c r="D20" s="553">
        <v>25</v>
      </c>
      <c r="E20" s="553"/>
      <c r="F20" s="430">
        <f>StepTest!F20</f>
        <v>14.239999999999998</v>
      </c>
      <c r="G20" s="430">
        <f>StepTest!G20</f>
        <v>4.79</v>
      </c>
      <c r="H20" s="529"/>
      <c r="I20" s="530"/>
      <c r="J20" s="531"/>
    </row>
    <row r="21" spans="1:10" ht="24.95" customHeight="1">
      <c r="A21" s="427"/>
      <c r="B21" s="425"/>
      <c r="C21" s="429">
        <f t="shared" si="0"/>
        <v>45489.479166666672</v>
      </c>
      <c r="D21" s="553">
        <v>30</v>
      </c>
      <c r="E21" s="553"/>
      <c r="F21" s="430">
        <f>StepTest!F21</f>
        <v>14.45</v>
      </c>
      <c r="G21" s="430">
        <f>StepTest!G21</f>
        <v>5</v>
      </c>
      <c r="H21" s="529"/>
      <c r="I21" s="530"/>
      <c r="J21" s="531"/>
    </row>
    <row r="22" spans="1:10" ht="24.95" customHeight="1">
      <c r="A22" s="427"/>
      <c r="B22" s="425"/>
      <c r="C22" s="429">
        <f t="shared" si="0"/>
        <v>45489.482638888891</v>
      </c>
      <c r="D22" s="553">
        <v>35</v>
      </c>
      <c r="E22" s="553"/>
      <c r="F22" s="430">
        <f>StepTest!F22</f>
        <v>14.64</v>
      </c>
      <c r="G22" s="430">
        <f>StepTest!G22</f>
        <v>5.19</v>
      </c>
      <c r="H22" s="529"/>
      <c r="I22" s="530"/>
      <c r="J22" s="531"/>
    </row>
    <row r="23" spans="1:10" ht="24.95" customHeight="1">
      <c r="A23" s="427"/>
      <c r="B23" s="425"/>
      <c r="C23" s="429">
        <f t="shared" si="0"/>
        <v>45489.486111111117</v>
      </c>
      <c r="D23" s="553">
        <v>40</v>
      </c>
      <c r="E23" s="553"/>
      <c r="F23" s="430">
        <f>StepTest!F23</f>
        <v>14.79</v>
      </c>
      <c r="G23" s="430">
        <f>StepTest!G23</f>
        <v>5.34</v>
      </c>
      <c r="H23" s="529"/>
      <c r="I23" s="530"/>
      <c r="J23" s="531"/>
    </row>
    <row r="24" spans="1:10" ht="24.95" customHeight="1">
      <c r="A24" s="427"/>
      <c r="B24" s="425"/>
      <c r="C24" s="429">
        <f t="shared" si="0"/>
        <v>45489.489583333336</v>
      </c>
      <c r="D24" s="553">
        <v>45</v>
      </c>
      <c r="E24" s="553"/>
      <c r="F24" s="430">
        <f>StepTest!F24</f>
        <v>14.93</v>
      </c>
      <c r="G24" s="430">
        <f>StepTest!G24</f>
        <v>5.48</v>
      </c>
      <c r="H24" s="529"/>
      <c r="I24" s="530"/>
      <c r="J24" s="531"/>
    </row>
    <row r="25" spans="1:10" ht="24.95" customHeight="1">
      <c r="A25" s="427"/>
      <c r="B25" s="425"/>
      <c r="C25" s="429">
        <f t="shared" si="0"/>
        <v>45489.493055555555</v>
      </c>
      <c r="D25" s="553">
        <v>50</v>
      </c>
      <c r="E25" s="553"/>
      <c r="F25" s="430">
        <f>StepTest!F25</f>
        <v>15.059999999999999</v>
      </c>
      <c r="G25" s="430">
        <f>StepTest!G25</f>
        <v>5.61</v>
      </c>
      <c r="H25" s="529"/>
      <c r="I25" s="530"/>
      <c r="J25" s="531"/>
    </row>
    <row r="26" spans="1:10" ht="24.95" customHeight="1">
      <c r="A26" s="427"/>
      <c r="B26" s="425"/>
      <c r="C26" s="429">
        <f t="shared" si="0"/>
        <v>45489.496527777781</v>
      </c>
      <c r="D26" s="553">
        <v>55</v>
      </c>
      <c r="E26" s="553"/>
      <c r="F26" s="430">
        <f>StepTest!F26</f>
        <v>15.169999999999998</v>
      </c>
      <c r="G26" s="430">
        <f>StepTest!G26</f>
        <v>5.72</v>
      </c>
      <c r="H26" s="529"/>
      <c r="I26" s="530"/>
      <c r="J26" s="531"/>
    </row>
    <row r="27" spans="1:10" ht="24.95" customHeight="1">
      <c r="A27" s="427"/>
      <c r="B27" s="425"/>
      <c r="C27" s="429">
        <f t="shared" si="0"/>
        <v>45489.5</v>
      </c>
      <c r="D27" s="553">
        <v>60</v>
      </c>
      <c r="E27" s="553"/>
      <c r="F27" s="430">
        <f>StepTest!F27</f>
        <v>15.27</v>
      </c>
      <c r="G27" s="430">
        <f>StepTest!G27</f>
        <v>5.82</v>
      </c>
      <c r="H27" s="529"/>
      <c r="I27" s="530"/>
      <c r="J27" s="531"/>
    </row>
    <row r="28" spans="1:10" ht="24.95" customHeight="1">
      <c r="A28" s="427"/>
      <c r="B28" s="425"/>
      <c r="C28" s="429">
        <f t="shared" si="0"/>
        <v>45489.510416666672</v>
      </c>
      <c r="D28" s="553">
        <v>75</v>
      </c>
      <c r="E28" s="553"/>
      <c r="F28" s="430">
        <f>StepTest!F28</f>
        <v>15.53</v>
      </c>
      <c r="G28" s="430">
        <f>StepTest!G28</f>
        <v>6.08</v>
      </c>
      <c r="H28" s="529"/>
      <c r="I28" s="530"/>
      <c r="J28" s="531"/>
    </row>
    <row r="29" spans="1:10" ht="24.95" customHeight="1">
      <c r="A29" s="427"/>
      <c r="B29" s="425"/>
      <c r="C29" s="429">
        <f t="shared" si="0"/>
        <v>45489.520833333336</v>
      </c>
      <c r="D29" s="553">
        <v>90</v>
      </c>
      <c r="E29" s="553"/>
      <c r="F29" s="430">
        <f>StepTest!F29</f>
        <v>15.75</v>
      </c>
      <c r="G29" s="430">
        <f>StepTest!G29</f>
        <v>6.3</v>
      </c>
      <c r="H29" s="529"/>
      <c r="I29" s="530"/>
      <c r="J29" s="531"/>
    </row>
    <row r="30" spans="1:10" ht="24.95" customHeight="1">
      <c r="A30" s="427"/>
      <c r="B30" s="425"/>
      <c r="C30" s="429">
        <f t="shared" si="0"/>
        <v>45489.53125</v>
      </c>
      <c r="D30" s="553">
        <v>105</v>
      </c>
      <c r="E30" s="553"/>
      <c r="F30" s="430">
        <f>StepTest!F30</f>
        <v>15.93</v>
      </c>
      <c r="G30" s="430">
        <f>StepTest!G30</f>
        <v>6.48</v>
      </c>
      <c r="H30" s="529"/>
      <c r="I30" s="530"/>
      <c r="J30" s="531"/>
    </row>
    <row r="31" spans="1:10" ht="24.95" customHeight="1">
      <c r="A31" s="427"/>
      <c r="B31" s="425"/>
      <c r="C31" s="429">
        <f t="shared" si="0"/>
        <v>45489.541666666672</v>
      </c>
      <c r="D31" s="553">
        <v>120</v>
      </c>
      <c r="E31" s="553"/>
      <c r="F31" s="430">
        <f>StepTest!F31</f>
        <v>16.09</v>
      </c>
      <c r="G31" s="430">
        <f>StepTest!G31</f>
        <v>6.64</v>
      </c>
      <c r="H31" s="529"/>
      <c r="I31" s="530"/>
      <c r="J31" s="531"/>
    </row>
    <row r="32" spans="1:10" ht="24.95" customHeight="1">
      <c r="A32" s="431">
        <v>2</v>
      </c>
      <c r="B32" s="428">
        <f>Input!D21</f>
        <v>120</v>
      </c>
      <c r="C32" s="429">
        <f t="shared" si="0"/>
        <v>45489.548611111117</v>
      </c>
      <c r="D32" s="553">
        <v>130</v>
      </c>
      <c r="E32" s="553"/>
      <c r="F32" s="430">
        <f>StepTest!F32</f>
        <v>17.419999999999998</v>
      </c>
      <c r="G32" s="430">
        <f>StepTest!G32</f>
        <v>7.97</v>
      </c>
      <c r="H32" s="529"/>
      <c r="I32" s="530"/>
      <c r="J32" s="531"/>
    </row>
    <row r="33" spans="1:10" ht="24.95" customHeight="1">
      <c r="A33" s="431"/>
      <c r="B33" s="428"/>
      <c r="C33" s="429">
        <f t="shared" si="0"/>
        <v>45489.555555555555</v>
      </c>
      <c r="D33" s="553">
        <v>140</v>
      </c>
      <c r="E33" s="553"/>
      <c r="F33" s="430">
        <f>StepTest!F33</f>
        <v>17.64</v>
      </c>
      <c r="G33" s="430">
        <f>StepTest!G33</f>
        <v>8.19</v>
      </c>
      <c r="H33" s="529"/>
      <c r="I33" s="530"/>
      <c r="J33" s="531"/>
    </row>
    <row r="34" spans="1:10" ht="24.95" customHeight="1">
      <c r="A34" s="431"/>
      <c r="B34" s="428"/>
      <c r="C34" s="429">
        <f t="shared" si="0"/>
        <v>45489.5625</v>
      </c>
      <c r="D34" s="553">
        <v>150</v>
      </c>
      <c r="E34" s="553"/>
      <c r="F34" s="430">
        <f>StepTest!F34</f>
        <v>17.86</v>
      </c>
      <c r="G34" s="430">
        <f>StepTest!G34</f>
        <v>8.41</v>
      </c>
      <c r="H34" s="529"/>
      <c r="I34" s="530"/>
      <c r="J34" s="531"/>
    </row>
    <row r="35" spans="1:10" ht="24.95" customHeight="1">
      <c r="A35" s="431"/>
      <c r="B35" s="428"/>
      <c r="C35" s="429">
        <f t="shared" si="0"/>
        <v>45489.583333333336</v>
      </c>
      <c r="D35" s="553">
        <v>180</v>
      </c>
      <c r="E35" s="553"/>
      <c r="F35" s="430">
        <f>StepTest!F35</f>
        <v>18.079999999999998</v>
      </c>
      <c r="G35" s="430">
        <f>StepTest!G35</f>
        <v>8.6300000000000008</v>
      </c>
      <c r="H35" s="529"/>
      <c r="I35" s="530"/>
      <c r="J35" s="531"/>
    </row>
    <row r="36" spans="1:10" ht="24.95" customHeight="1">
      <c r="A36" s="431"/>
      <c r="B36" s="428"/>
      <c r="C36" s="429">
        <f t="shared" si="0"/>
        <v>45489.625</v>
      </c>
      <c r="D36" s="553">
        <v>240</v>
      </c>
      <c r="E36" s="553"/>
      <c r="F36" s="430">
        <f>StepTest!F36</f>
        <v>18.309999999999999</v>
      </c>
      <c r="G36" s="430">
        <f>StepTest!G36</f>
        <v>8.86</v>
      </c>
      <c r="H36" s="529"/>
      <c r="I36" s="530"/>
      <c r="J36" s="531"/>
    </row>
    <row r="37" spans="1:10" ht="24.95" customHeight="1">
      <c r="A37" s="431">
        <v>3</v>
      </c>
      <c r="B37" s="428">
        <f>Input!D22</f>
        <v>146.19999999999999</v>
      </c>
      <c r="C37" s="429">
        <f t="shared" si="0"/>
        <v>45489.631944444445</v>
      </c>
      <c r="D37" s="553">
        <v>250</v>
      </c>
      <c r="E37" s="553"/>
      <c r="F37" s="430">
        <f>StepTest!F37</f>
        <v>19.799999999999997</v>
      </c>
      <c r="G37" s="430">
        <f>StepTest!G37</f>
        <v>10.35</v>
      </c>
      <c r="H37" s="529"/>
      <c r="I37" s="530"/>
      <c r="J37" s="531"/>
    </row>
    <row r="38" spans="1:10" ht="24.95" customHeight="1">
      <c r="A38" s="431"/>
      <c r="B38" s="428"/>
      <c r="C38" s="429">
        <f t="shared" si="0"/>
        <v>45489.638888888891</v>
      </c>
      <c r="D38" s="553">
        <v>260</v>
      </c>
      <c r="E38" s="553"/>
      <c r="F38" s="430">
        <f>StepTest!F38</f>
        <v>20.049999999999997</v>
      </c>
      <c r="G38" s="430">
        <f>StepTest!G38</f>
        <v>10.6</v>
      </c>
      <c r="H38" s="529"/>
      <c r="I38" s="530"/>
      <c r="J38" s="531"/>
    </row>
    <row r="39" spans="1:10" ht="24.95" customHeight="1">
      <c r="A39" s="431"/>
      <c r="B39" s="428"/>
      <c r="C39" s="429">
        <f t="shared" si="0"/>
        <v>45489.645833333336</v>
      </c>
      <c r="D39" s="553">
        <v>270</v>
      </c>
      <c r="E39" s="553"/>
      <c r="F39" s="430">
        <f>StepTest!F39</f>
        <v>20.299999999999997</v>
      </c>
      <c r="G39" s="430">
        <f>StepTest!G39</f>
        <v>10.85</v>
      </c>
      <c r="H39" s="529"/>
      <c r="I39" s="530"/>
      <c r="J39" s="531"/>
    </row>
    <row r="40" spans="1:10" ht="24.95" customHeight="1">
      <c r="A40" s="431"/>
      <c r="B40" s="428"/>
      <c r="C40" s="429">
        <f t="shared" si="0"/>
        <v>45489.666666666672</v>
      </c>
      <c r="D40" s="553">
        <v>300</v>
      </c>
      <c r="E40" s="553"/>
      <c r="F40" s="430">
        <f>StepTest!F40</f>
        <v>20.549999999999997</v>
      </c>
      <c r="G40" s="430">
        <f>StepTest!G40</f>
        <v>11.1</v>
      </c>
      <c r="H40" s="529"/>
      <c r="I40" s="530"/>
      <c r="J40" s="531"/>
    </row>
    <row r="41" spans="1:10" ht="24.95" customHeight="1">
      <c r="A41" s="431"/>
      <c r="B41" s="428"/>
      <c r="C41" s="429">
        <f t="shared" si="0"/>
        <v>45489.708333333336</v>
      </c>
      <c r="D41" s="553">
        <v>360</v>
      </c>
      <c r="E41" s="553"/>
      <c r="F41" s="430">
        <f>StepTest!F41</f>
        <v>20.799999999999997</v>
      </c>
      <c r="G41" s="430">
        <f>StepTest!G41</f>
        <v>11.35</v>
      </c>
      <c r="H41" s="529"/>
      <c r="I41" s="530"/>
      <c r="J41" s="531"/>
    </row>
    <row r="42" spans="1:10" ht="24.95" customHeight="1">
      <c r="A42" s="431">
        <v>4</v>
      </c>
      <c r="B42" s="428">
        <f>Input!D23</f>
        <v>172</v>
      </c>
      <c r="C42" s="429">
        <f t="shared" si="0"/>
        <v>45489.715277777781</v>
      </c>
      <c r="D42" s="549">
        <v>370</v>
      </c>
      <c r="E42" s="542"/>
      <c r="F42" s="430">
        <f>StepTest!F42</f>
        <v>22.46</v>
      </c>
      <c r="G42" s="430">
        <f>StepTest!G42</f>
        <v>13.01</v>
      </c>
      <c r="H42" s="529"/>
      <c r="I42" s="530"/>
      <c r="J42" s="531"/>
    </row>
    <row r="43" spans="1:10" ht="24.95" customHeight="1">
      <c r="A43" s="431"/>
      <c r="B43" s="428"/>
      <c r="C43" s="429">
        <f t="shared" si="0"/>
        <v>45489.722222222226</v>
      </c>
      <c r="D43" s="549">
        <v>380</v>
      </c>
      <c r="E43" s="542"/>
      <c r="F43" s="430">
        <f>StepTest!F43</f>
        <v>22.74</v>
      </c>
      <c r="G43" s="430">
        <f>StepTest!G43</f>
        <v>13.29</v>
      </c>
      <c r="H43" s="529"/>
      <c r="I43" s="530"/>
      <c r="J43" s="531"/>
    </row>
    <row r="44" spans="1:10" ht="24.95" customHeight="1">
      <c r="A44" s="431"/>
      <c r="B44" s="428"/>
      <c r="C44" s="429">
        <f t="shared" si="0"/>
        <v>45489.729166666672</v>
      </c>
      <c r="D44" s="549">
        <v>390</v>
      </c>
      <c r="E44" s="542"/>
      <c r="F44" s="430">
        <f>StepTest!F44</f>
        <v>23.02</v>
      </c>
      <c r="G44" s="430">
        <f>StepTest!G44</f>
        <v>13.57</v>
      </c>
      <c r="H44" s="529"/>
      <c r="I44" s="530"/>
      <c r="J44" s="531"/>
    </row>
    <row r="45" spans="1:10" ht="24.95" customHeight="1">
      <c r="A45" s="431"/>
      <c r="B45" s="428"/>
      <c r="C45" s="429">
        <f t="shared" si="0"/>
        <v>45489.75</v>
      </c>
      <c r="D45" s="549">
        <v>420</v>
      </c>
      <c r="E45" s="542"/>
      <c r="F45" s="430">
        <f>StepTest!F45</f>
        <v>23.299999999999997</v>
      </c>
      <c r="G45" s="430">
        <f>StepTest!G45</f>
        <v>13.85</v>
      </c>
      <c r="H45" s="529"/>
      <c r="I45" s="530"/>
      <c r="J45" s="531"/>
    </row>
    <row r="46" spans="1:10" ht="24.95" customHeight="1">
      <c r="A46" s="431"/>
      <c r="B46" s="428"/>
      <c r="C46" s="429">
        <f t="shared" si="0"/>
        <v>45489.791666666672</v>
      </c>
      <c r="D46" s="549">
        <v>480</v>
      </c>
      <c r="E46" s="542"/>
      <c r="F46" s="430">
        <f>StepTest!F46</f>
        <v>23.58</v>
      </c>
      <c r="G46" s="430">
        <f>StepTest!G46</f>
        <v>14.13</v>
      </c>
      <c r="H46" s="529"/>
      <c r="I46" s="530"/>
      <c r="J46" s="531"/>
    </row>
    <row r="47" spans="1:10" ht="24.95" customHeight="1">
      <c r="A47" s="431">
        <v>5</v>
      </c>
      <c r="B47" s="428">
        <f>Input!D24</f>
        <v>197.79999999999998</v>
      </c>
      <c r="C47" s="429">
        <f t="shared" si="0"/>
        <v>45489.798611111117</v>
      </c>
      <c r="D47" s="549">
        <v>490</v>
      </c>
      <c r="E47" s="542"/>
      <c r="F47" s="430">
        <f>StepTest!F47</f>
        <v>25.27</v>
      </c>
      <c r="G47" s="430">
        <f>StepTest!G47</f>
        <v>15.82</v>
      </c>
      <c r="H47" s="529"/>
      <c r="I47" s="530"/>
      <c r="J47" s="531"/>
    </row>
    <row r="48" spans="1:10" ht="24.95" customHeight="1">
      <c r="A48" s="431"/>
      <c r="B48" s="428"/>
      <c r="C48" s="429">
        <f t="shared" si="0"/>
        <v>45489.805555555555</v>
      </c>
      <c r="D48" s="549">
        <v>500</v>
      </c>
      <c r="E48" s="542"/>
      <c r="F48" s="430">
        <f>StepTest!F48</f>
        <v>25.9</v>
      </c>
      <c r="G48" s="430">
        <f>StepTest!G48</f>
        <v>16.45</v>
      </c>
      <c r="H48" s="529"/>
      <c r="I48" s="530"/>
      <c r="J48" s="531"/>
    </row>
    <row r="49" spans="1:10" ht="24.95" customHeight="1">
      <c r="A49" s="431"/>
      <c r="B49" s="428"/>
      <c r="C49" s="429">
        <f t="shared" si="0"/>
        <v>45489.8125</v>
      </c>
      <c r="D49" s="549">
        <v>510</v>
      </c>
      <c r="E49" s="542"/>
      <c r="F49" s="430">
        <f>StepTest!F49</f>
        <v>26.54</v>
      </c>
      <c r="G49" s="430">
        <f>StepTest!G49</f>
        <v>17.09</v>
      </c>
      <c r="H49" s="529"/>
      <c r="I49" s="530"/>
      <c r="J49" s="531"/>
    </row>
    <row r="50" spans="1:10" ht="24.95" customHeight="1">
      <c r="A50" s="431"/>
      <c r="B50" s="428"/>
      <c r="C50" s="429">
        <f t="shared" si="0"/>
        <v>45489.833333333336</v>
      </c>
      <c r="D50" s="549">
        <v>540</v>
      </c>
      <c r="E50" s="542"/>
      <c r="F50" s="430">
        <f>StepTest!F50</f>
        <v>27.169999999999998</v>
      </c>
      <c r="G50" s="430">
        <f>StepTest!G50</f>
        <v>17.72</v>
      </c>
      <c r="H50" s="529"/>
      <c r="I50" s="530"/>
      <c r="J50" s="531"/>
    </row>
    <row r="51" spans="1:10" ht="24.95" customHeight="1">
      <c r="A51" s="432"/>
      <c r="B51" s="433"/>
      <c r="C51" s="434">
        <f t="shared" si="0"/>
        <v>45489.875</v>
      </c>
      <c r="D51" s="577">
        <v>600</v>
      </c>
      <c r="E51" s="578"/>
      <c r="F51" s="435">
        <f>StepTest!F51</f>
        <v>27.81</v>
      </c>
      <c r="G51" s="435">
        <f>StepTest!G51</f>
        <v>18.36</v>
      </c>
      <c r="H51" s="571"/>
      <c r="I51" s="572"/>
      <c r="J51" s="573"/>
    </row>
    <row r="52" spans="1:10" ht="24.95" customHeight="1">
      <c r="A52" s="452"/>
      <c r="B52" s="460"/>
      <c r="C52" s="460"/>
      <c r="D52" s="563"/>
      <c r="E52" s="569"/>
      <c r="F52" s="460"/>
      <c r="G52" s="460"/>
      <c r="H52" s="563"/>
      <c r="I52" s="564"/>
      <c r="J52" s="565"/>
    </row>
    <row r="53" spans="1:10" ht="24.95" customHeight="1">
      <c r="A53" s="452"/>
      <c r="B53" s="460"/>
      <c r="C53" s="460"/>
      <c r="D53" s="563"/>
      <c r="E53" s="569"/>
      <c r="F53" s="460"/>
      <c r="G53" s="460"/>
      <c r="H53" s="563"/>
      <c r="I53" s="564"/>
      <c r="J53" s="565"/>
    </row>
    <row r="54" spans="1:10" ht="24.95" customHeight="1">
      <c r="A54" s="452"/>
      <c r="B54" s="460"/>
      <c r="C54" s="460"/>
      <c r="D54" s="563"/>
      <c r="E54" s="569"/>
      <c r="F54" s="460"/>
      <c r="G54" s="460"/>
      <c r="H54" s="563"/>
      <c r="I54" s="564"/>
      <c r="J54" s="565"/>
    </row>
    <row r="55" spans="1:10" ht="24.95" customHeight="1">
      <c r="A55" s="452"/>
      <c r="B55" s="460"/>
      <c r="C55" s="460"/>
      <c r="D55" s="563"/>
      <c r="E55" s="569"/>
      <c r="F55" s="460"/>
      <c r="G55" s="460"/>
      <c r="H55" s="563"/>
      <c r="I55" s="564"/>
      <c r="J55" s="565"/>
    </row>
    <row r="56" spans="1:10" ht="24.95" customHeight="1">
      <c r="A56" s="452"/>
      <c r="B56" s="460"/>
      <c r="C56" s="460"/>
      <c r="D56" s="563"/>
      <c r="E56" s="569"/>
      <c r="F56" s="460"/>
      <c r="G56" s="460"/>
      <c r="H56" s="563"/>
      <c r="I56" s="564"/>
      <c r="J56" s="565"/>
    </row>
    <row r="57" spans="1:10" ht="24.95" customHeight="1" thickBot="1">
      <c r="A57" s="456"/>
      <c r="B57" s="461"/>
      <c r="C57" s="461"/>
      <c r="D57" s="566"/>
      <c r="E57" s="570"/>
      <c r="F57" s="461"/>
      <c r="G57" s="461"/>
      <c r="H57" s="566"/>
      <c r="I57" s="567"/>
      <c r="J57" s="568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447"/>
    <col min="3" max="3" width="11.375" style="447" customWidth="1"/>
    <col min="4" max="4" width="6.75" style="447" customWidth="1"/>
    <col min="5" max="5" width="7.25" style="447" customWidth="1"/>
    <col min="6" max="6" width="13.875" style="447" bestFit="1" customWidth="1"/>
    <col min="7" max="7" width="12.125" style="447" customWidth="1"/>
    <col min="8" max="16384" width="9" style="447"/>
  </cols>
  <sheetData>
    <row r="1" spans="1:10" ht="45.75" customHeight="1" thickBot="1">
      <c r="A1" s="560" t="s">
        <v>319</v>
      </c>
      <c r="B1" s="561"/>
      <c r="C1" s="561"/>
      <c r="D1" s="561"/>
      <c r="E1" s="561"/>
      <c r="F1" s="561"/>
      <c r="G1" s="561"/>
      <c r="H1" s="561"/>
      <c r="I1" s="561"/>
      <c r="J1" s="562"/>
    </row>
    <row r="2" spans="1:10" ht="24.95" customHeight="1">
      <c r="A2" s="536" t="s">
        <v>295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296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3" t="str">
        <f>Input!I54</f>
        <v>W-1</v>
      </c>
      <c r="J3" s="424" t="s">
        <v>322</v>
      </c>
    </row>
    <row r="4" spans="1:10" ht="24.95" customHeight="1">
      <c r="A4" s="541" t="s">
        <v>297</v>
      </c>
      <c r="B4" s="542"/>
      <c r="C4" s="543">
        <f>LongTest!C10</f>
        <v>45454.472222222219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298</v>
      </c>
      <c r="B5" s="542"/>
      <c r="C5" s="543">
        <f>LongTest!C77</f>
        <v>45456.472222222219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294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299</v>
      </c>
      <c r="B7" s="542"/>
      <c r="C7" s="549" t="s">
        <v>326</v>
      </c>
      <c r="D7" s="542"/>
      <c r="E7" s="425">
        <f>LongTest!C6</f>
        <v>5</v>
      </c>
      <c r="F7" s="425" t="s">
        <v>300</v>
      </c>
      <c r="G7" s="425" t="s">
        <v>328</v>
      </c>
      <c r="H7" s="549">
        <f>Input!I50</f>
        <v>50</v>
      </c>
      <c r="I7" s="542"/>
      <c r="J7" s="426" t="s">
        <v>301</v>
      </c>
    </row>
    <row r="8" spans="1:10" ht="24.95" customHeight="1">
      <c r="A8" s="541" t="s">
        <v>302</v>
      </c>
      <c r="B8" s="542"/>
      <c r="C8" s="549" t="s">
        <v>327</v>
      </c>
      <c r="D8" s="542"/>
      <c r="E8" s="425">
        <f>LongTest!D7</f>
        <v>200</v>
      </c>
      <c r="F8" s="425" t="s">
        <v>303</v>
      </c>
      <c r="G8" s="425" t="s">
        <v>304</v>
      </c>
      <c r="H8" s="549">
        <f>LongTest!G7</f>
        <v>100</v>
      </c>
      <c r="I8" s="542"/>
      <c r="J8" s="426" t="s">
        <v>301</v>
      </c>
    </row>
    <row r="9" spans="1:10" ht="24.95" customHeight="1">
      <c r="A9" s="541" t="s">
        <v>305</v>
      </c>
      <c r="B9" s="542"/>
      <c r="C9" s="549" t="s">
        <v>325</v>
      </c>
      <c r="D9" s="542"/>
      <c r="E9" s="425">
        <f>LongTest!D8</f>
        <v>9.4499999999999993</v>
      </c>
      <c r="F9" s="425" t="s">
        <v>301</v>
      </c>
      <c r="G9" s="425" t="s">
        <v>306</v>
      </c>
      <c r="H9" s="549">
        <f>LongTest!G8</f>
        <v>25.330000000000002</v>
      </c>
      <c r="I9" s="542"/>
      <c r="J9" s="426" t="s">
        <v>301</v>
      </c>
    </row>
    <row r="10" spans="1:10" ht="24.95" customHeight="1">
      <c r="A10" s="554" t="s">
        <v>307</v>
      </c>
      <c r="B10" s="439" t="s">
        <v>308</v>
      </c>
      <c r="C10" s="555" t="s">
        <v>190</v>
      </c>
      <c r="D10" s="555" t="s">
        <v>310</v>
      </c>
      <c r="E10" s="555"/>
      <c r="F10" s="439" t="s">
        <v>311</v>
      </c>
      <c r="G10" s="439" t="s">
        <v>313</v>
      </c>
      <c r="H10" s="439" t="s">
        <v>314</v>
      </c>
      <c r="I10" s="439" t="s">
        <v>315</v>
      </c>
      <c r="J10" s="440" t="s">
        <v>318</v>
      </c>
    </row>
    <row r="11" spans="1:10" ht="24.95" customHeight="1">
      <c r="A11" s="554"/>
      <c r="B11" s="439" t="s">
        <v>331</v>
      </c>
      <c r="C11" s="555"/>
      <c r="D11" s="555" t="s">
        <v>332</v>
      </c>
      <c r="E11" s="555"/>
      <c r="F11" s="439" t="s">
        <v>312</v>
      </c>
      <c r="G11" s="439" t="s">
        <v>312</v>
      </c>
      <c r="H11" s="439" t="s">
        <v>333</v>
      </c>
      <c r="I11" s="465" t="s">
        <v>334</v>
      </c>
      <c r="J11" s="441"/>
    </row>
    <row r="12" spans="1:10" ht="24.95" customHeight="1">
      <c r="A12" s="427">
        <v>1</v>
      </c>
      <c r="B12" s="428">
        <f>LongTest!B10</f>
        <v>150</v>
      </c>
      <c r="C12" s="429">
        <f t="shared" ref="C12:C43" si="0">$C$4+D12/1440</f>
        <v>45454.472916666666</v>
      </c>
      <c r="D12" s="553">
        <v>1</v>
      </c>
      <c r="E12" s="553"/>
      <c r="F12" s="430">
        <f>LongTest!F10</f>
        <v>12.765655952211457</v>
      </c>
      <c r="G12" s="430">
        <f>LongTest!G10</f>
        <v>3.3156559522114577</v>
      </c>
      <c r="H12" s="333"/>
      <c r="I12" s="333"/>
      <c r="J12" s="448"/>
    </row>
    <row r="13" spans="1:10" ht="24.95" customHeight="1">
      <c r="A13" s="427"/>
      <c r="B13" s="425"/>
      <c r="C13" s="429">
        <f t="shared" si="0"/>
        <v>45454.473611111105</v>
      </c>
      <c r="D13" s="553">
        <v>2</v>
      </c>
      <c r="E13" s="553"/>
      <c r="F13" s="430">
        <f>LongTest!F11</f>
        <v>14.149879737904628</v>
      </c>
      <c r="G13" s="430">
        <f>LongTest!G11</f>
        <v>4.6998797379046291</v>
      </c>
      <c r="H13" s="333"/>
      <c r="I13" s="333"/>
      <c r="J13" s="448"/>
    </row>
    <row r="14" spans="1:10" ht="24.95" customHeight="1">
      <c r="A14" s="427"/>
      <c r="B14" s="425"/>
      <c r="C14" s="429">
        <f t="shared" si="0"/>
        <v>45454.474305555552</v>
      </c>
      <c r="D14" s="553">
        <v>3</v>
      </c>
      <c r="E14" s="553"/>
      <c r="F14" s="430">
        <f>LongTest!F12</f>
        <v>14.959598745141413</v>
      </c>
      <c r="G14" s="430">
        <f>LongTest!G12</f>
        <v>5.5095987451414139</v>
      </c>
      <c r="H14" s="333"/>
      <c r="I14" s="333"/>
      <c r="J14" s="448"/>
    </row>
    <row r="15" spans="1:10" ht="24.95" customHeight="1">
      <c r="A15" s="427"/>
      <c r="B15" s="425"/>
      <c r="C15" s="429">
        <f t="shared" si="0"/>
        <v>45454.474999999999</v>
      </c>
      <c r="D15" s="553">
        <v>4</v>
      </c>
      <c r="E15" s="553"/>
      <c r="F15" s="430">
        <f>LongTest!F13</f>
        <v>15.534103523597803</v>
      </c>
      <c r="G15" s="430">
        <f>LongTest!G13</f>
        <v>6.084103523597804</v>
      </c>
      <c r="H15" s="333"/>
      <c r="I15" s="333"/>
      <c r="J15" s="448"/>
    </row>
    <row r="16" spans="1:10" ht="24.95" customHeight="1">
      <c r="A16" s="427"/>
      <c r="B16" s="425"/>
      <c r="C16" s="429">
        <f t="shared" si="0"/>
        <v>45454.475694444438</v>
      </c>
      <c r="D16" s="553">
        <v>5</v>
      </c>
      <c r="E16" s="553"/>
      <c r="F16" s="430">
        <f>LongTest!F14</f>
        <v>15.97972404982378</v>
      </c>
      <c r="G16" s="430">
        <f>LongTest!G14</f>
        <v>6.5297240498237805</v>
      </c>
      <c r="H16" s="425">
        <f>'w1'!D14</f>
        <v>15.5</v>
      </c>
      <c r="I16" s="425">
        <f>'w1'!E14</f>
        <v>202</v>
      </c>
      <c r="J16" s="426">
        <f>'w1'!F14</f>
        <v>6.38</v>
      </c>
    </row>
    <row r="17" spans="1:10" ht="24.95" customHeight="1">
      <c r="A17" s="427"/>
      <c r="B17" s="425"/>
      <c r="C17" s="429">
        <f t="shared" si="0"/>
        <v>45454.479166666664</v>
      </c>
      <c r="D17" s="553">
        <v>10</v>
      </c>
      <c r="E17" s="553"/>
      <c r="F17" s="430">
        <f>LongTest!F15</f>
        <v>17.363947835516949</v>
      </c>
      <c r="G17" s="430">
        <f>LongTest!G15</f>
        <v>7.9139478355169501</v>
      </c>
      <c r="H17" s="425"/>
      <c r="I17" s="425"/>
      <c r="J17" s="426"/>
    </row>
    <row r="18" spans="1:10" ht="24.95" customHeight="1">
      <c r="A18" s="427"/>
      <c r="B18" s="425"/>
      <c r="C18" s="429">
        <f t="shared" si="0"/>
        <v>45454.482638888883</v>
      </c>
      <c r="D18" s="553">
        <v>15</v>
      </c>
      <c r="E18" s="553"/>
      <c r="F18" s="430">
        <f>LongTest!F16</f>
        <v>18.173666842753736</v>
      </c>
      <c r="G18" s="430">
        <f>LongTest!G16</f>
        <v>8.7236668427537367</v>
      </c>
      <c r="H18" s="425"/>
      <c r="I18" s="425"/>
      <c r="J18" s="426"/>
    </row>
    <row r="19" spans="1:10" ht="24.95" customHeight="1">
      <c r="A19" s="427"/>
      <c r="B19" s="425"/>
      <c r="C19" s="429">
        <f t="shared" si="0"/>
        <v>45454.486111111109</v>
      </c>
      <c r="D19" s="553">
        <v>20</v>
      </c>
      <c r="E19" s="553"/>
      <c r="F19" s="430">
        <f>LongTest!F17</f>
        <v>18.748171621210126</v>
      </c>
      <c r="G19" s="430">
        <f>LongTest!G17</f>
        <v>9.2981716212101269</v>
      </c>
      <c r="H19" s="425"/>
      <c r="I19" s="425"/>
      <c r="J19" s="426"/>
    </row>
    <row r="20" spans="1:10" ht="24.95" customHeight="1">
      <c r="A20" s="427"/>
      <c r="B20" s="425"/>
      <c r="C20" s="429">
        <f t="shared" si="0"/>
        <v>45454.489583333328</v>
      </c>
      <c r="D20" s="553">
        <v>25</v>
      </c>
      <c r="E20" s="553"/>
      <c r="F20" s="430">
        <f>LongTest!F18</f>
        <v>19.193792147436099</v>
      </c>
      <c r="G20" s="430">
        <f>LongTest!G18</f>
        <v>9.7437921474360998</v>
      </c>
      <c r="H20" s="425"/>
      <c r="I20" s="425"/>
      <c r="J20" s="426"/>
    </row>
    <row r="21" spans="1:10" ht="24.95" customHeight="1">
      <c r="A21" s="427"/>
      <c r="B21" s="425"/>
      <c r="C21" s="429">
        <f t="shared" si="0"/>
        <v>45454.493055555555</v>
      </c>
      <c r="D21" s="553">
        <v>30</v>
      </c>
      <c r="E21" s="553"/>
      <c r="F21" s="430">
        <f>LongTest!F19</f>
        <v>19.557890628446909</v>
      </c>
      <c r="G21" s="430">
        <f>LongTest!G19</f>
        <v>10.10789062844691</v>
      </c>
      <c r="H21" s="425">
        <f>'w1'!D15</f>
        <v>15.200000000000001</v>
      </c>
      <c r="I21" s="425">
        <f>'w1'!E15</f>
        <v>207</v>
      </c>
      <c r="J21" s="426">
        <f>'w1'!F15</f>
        <v>6.62</v>
      </c>
    </row>
    <row r="22" spans="1:10" ht="24.95" customHeight="1">
      <c r="A22" s="427"/>
      <c r="B22" s="425"/>
      <c r="C22" s="429">
        <f t="shared" si="0"/>
        <v>45454.496527777774</v>
      </c>
      <c r="D22" s="553">
        <v>35</v>
      </c>
      <c r="E22" s="553"/>
      <c r="F22" s="430">
        <f>LongTest!F20</f>
        <v>19.865731507818719</v>
      </c>
      <c r="G22" s="430">
        <f>LongTest!G20</f>
        <v>10.41573150781872</v>
      </c>
      <c r="H22" s="425"/>
      <c r="I22" s="425"/>
      <c r="J22" s="426"/>
    </row>
    <row r="23" spans="1:10" ht="24.95" customHeight="1">
      <c r="A23" s="427"/>
      <c r="B23" s="425"/>
      <c r="C23" s="429">
        <f t="shared" si="0"/>
        <v>45454.5</v>
      </c>
      <c r="D23" s="553">
        <v>40</v>
      </c>
      <c r="E23" s="553"/>
      <c r="F23" s="430">
        <f>LongTest!F21</f>
        <v>20.132395406903299</v>
      </c>
      <c r="G23" s="430">
        <f>LongTest!G21</f>
        <v>10.6823954069033</v>
      </c>
      <c r="H23" s="425"/>
      <c r="I23" s="425"/>
      <c r="J23" s="426"/>
    </row>
    <row r="24" spans="1:10" ht="24.95" customHeight="1">
      <c r="A24" s="427"/>
      <c r="B24" s="425"/>
      <c r="C24" s="429">
        <f t="shared" si="0"/>
        <v>45454.503472222219</v>
      </c>
      <c r="D24" s="553">
        <v>45</v>
      </c>
      <c r="E24" s="553"/>
      <c r="F24" s="430">
        <f>LongTest!F22</f>
        <v>20.367609635683696</v>
      </c>
      <c r="G24" s="430">
        <f>LongTest!G22</f>
        <v>10.917609635683696</v>
      </c>
      <c r="H24" s="425"/>
      <c r="I24" s="425"/>
      <c r="J24" s="426"/>
    </row>
    <row r="25" spans="1:10" ht="24.95" customHeight="1">
      <c r="A25" s="427"/>
      <c r="B25" s="425"/>
      <c r="C25" s="429">
        <f t="shared" si="0"/>
        <v>45454.506944444438</v>
      </c>
      <c r="D25" s="553">
        <v>50</v>
      </c>
      <c r="E25" s="553"/>
      <c r="F25" s="430">
        <f>LongTest!F23</f>
        <v>20.578015933129272</v>
      </c>
      <c r="G25" s="430">
        <f>LongTest!G23</f>
        <v>11.128015933129273</v>
      </c>
      <c r="H25" s="425"/>
      <c r="I25" s="425"/>
      <c r="J25" s="426"/>
    </row>
    <row r="26" spans="1:10" ht="24.95" customHeight="1">
      <c r="A26" s="427"/>
      <c r="B26" s="425"/>
      <c r="C26" s="429">
        <f t="shared" si="0"/>
        <v>45454.510416666664</v>
      </c>
      <c r="D26" s="553">
        <v>55</v>
      </c>
      <c r="E26" s="553"/>
      <c r="F26" s="430">
        <f>LongTest!F24</f>
        <v>20.768351581320562</v>
      </c>
      <c r="G26" s="430">
        <f>LongTest!G24</f>
        <v>11.318351581320563</v>
      </c>
      <c r="H26" s="425"/>
      <c r="I26" s="425"/>
      <c r="J26" s="426"/>
    </row>
    <row r="27" spans="1:10" ht="24.95" customHeight="1">
      <c r="A27" s="427"/>
      <c r="B27" s="425"/>
      <c r="C27" s="429">
        <f t="shared" si="0"/>
        <v>45454.513888888883</v>
      </c>
      <c r="D27" s="553">
        <v>60</v>
      </c>
      <c r="E27" s="553"/>
      <c r="F27" s="430">
        <f>LongTest!F25</f>
        <v>20.942114414140082</v>
      </c>
      <c r="G27" s="430">
        <f>LongTest!G25</f>
        <v>11.492114414140083</v>
      </c>
      <c r="H27" s="425">
        <f>'w1'!D16</f>
        <v>15.4</v>
      </c>
      <c r="I27" s="425">
        <f>'w1'!E16</f>
        <v>202</v>
      </c>
      <c r="J27" s="426">
        <f>'w1'!F16</f>
        <v>6.41</v>
      </c>
    </row>
    <row r="28" spans="1:10" ht="24.95" customHeight="1">
      <c r="A28" s="427"/>
      <c r="B28" s="425"/>
      <c r="C28" s="429">
        <f t="shared" si="0"/>
        <v>45454.524305555555</v>
      </c>
      <c r="D28" s="553">
        <v>75</v>
      </c>
      <c r="E28" s="553"/>
      <c r="F28" s="430">
        <f>LongTest!F26</f>
        <v>21.387734940366059</v>
      </c>
      <c r="G28" s="430">
        <f>LongTest!G26</f>
        <v>11.93773494036606</v>
      </c>
      <c r="H28" s="425"/>
      <c r="I28" s="425"/>
      <c r="J28" s="426"/>
    </row>
    <row r="29" spans="1:10" ht="24.95" customHeight="1">
      <c r="A29" s="427"/>
      <c r="B29" s="425"/>
      <c r="C29" s="429">
        <f t="shared" si="0"/>
        <v>45454.534722222219</v>
      </c>
      <c r="D29" s="553">
        <v>90</v>
      </c>
      <c r="E29" s="553"/>
      <c r="F29" s="430">
        <f>LongTest!F27</f>
        <v>21.751833421376869</v>
      </c>
      <c r="G29" s="430">
        <f>LongTest!G27</f>
        <v>12.30183342137687</v>
      </c>
      <c r="H29" s="425"/>
      <c r="I29" s="425"/>
      <c r="J29" s="426"/>
    </row>
    <row r="30" spans="1:10" ht="24.95" customHeight="1">
      <c r="A30" s="427"/>
      <c r="B30" s="425"/>
      <c r="C30" s="429">
        <f t="shared" si="0"/>
        <v>45454.545138888883</v>
      </c>
      <c r="D30" s="553">
        <v>105</v>
      </c>
      <c r="E30" s="553"/>
      <c r="F30" s="430">
        <f>LongTest!F28</f>
        <v>22.059674300748675</v>
      </c>
      <c r="G30" s="430">
        <f>LongTest!G28</f>
        <v>12.609674300748676</v>
      </c>
      <c r="H30" s="425"/>
      <c r="I30" s="425"/>
      <c r="J30" s="426"/>
    </row>
    <row r="31" spans="1:10" ht="24.95" customHeight="1">
      <c r="A31" s="427"/>
      <c r="B31" s="425"/>
      <c r="C31" s="429">
        <f t="shared" si="0"/>
        <v>45454.555555555555</v>
      </c>
      <c r="D31" s="553">
        <v>120</v>
      </c>
      <c r="E31" s="553"/>
      <c r="F31" s="430">
        <f>LongTest!F29</f>
        <v>22.326338199833256</v>
      </c>
      <c r="G31" s="430">
        <f>LongTest!G29</f>
        <v>12.876338199833256</v>
      </c>
      <c r="H31" s="425">
        <f>'w1'!D17</f>
        <v>15</v>
      </c>
      <c r="I31" s="425">
        <f>'w1'!E17</f>
        <v>201</v>
      </c>
      <c r="J31" s="426">
        <f>'w1'!F17</f>
        <v>6.37</v>
      </c>
    </row>
    <row r="32" spans="1:10" ht="24.95" customHeight="1">
      <c r="A32" s="427"/>
      <c r="B32" s="449"/>
      <c r="C32" s="429">
        <f t="shared" si="0"/>
        <v>45454.569444444438</v>
      </c>
      <c r="D32" s="553">
        <v>140</v>
      </c>
      <c r="E32" s="553"/>
      <c r="F32" s="430">
        <f>LongTest!F30</f>
        <v>22.634179079205065</v>
      </c>
      <c r="G32" s="430">
        <f>LongTest!G30</f>
        <v>13.184179079205066</v>
      </c>
      <c r="H32" s="425"/>
      <c r="I32" s="425"/>
      <c r="J32" s="426"/>
    </row>
    <row r="33" spans="1:10" ht="24.95" customHeight="1">
      <c r="A33" s="427"/>
      <c r="B33" s="425"/>
      <c r="C33" s="429">
        <f t="shared" si="0"/>
        <v>45454.583333333328</v>
      </c>
      <c r="D33" s="553">
        <v>160</v>
      </c>
      <c r="E33" s="553"/>
      <c r="F33" s="430">
        <f>LongTest!F31</f>
        <v>22.900842978289646</v>
      </c>
      <c r="G33" s="430">
        <f>LongTest!G31</f>
        <v>13.450842978289646</v>
      </c>
      <c r="H33" s="425"/>
      <c r="I33" s="425"/>
      <c r="J33" s="426"/>
    </row>
    <row r="34" spans="1:10" ht="24.95" customHeight="1">
      <c r="A34" s="427"/>
      <c r="B34" s="425"/>
      <c r="C34" s="429">
        <f t="shared" si="0"/>
        <v>45454.597222222219</v>
      </c>
      <c r="D34" s="553">
        <v>180</v>
      </c>
      <c r="E34" s="553"/>
      <c r="F34" s="430">
        <f>LongTest!F32</f>
        <v>23.136057207070042</v>
      </c>
      <c r="G34" s="430">
        <f>LongTest!G32</f>
        <v>13.686057207070043</v>
      </c>
      <c r="H34" s="425"/>
      <c r="I34" s="425"/>
      <c r="J34" s="426"/>
    </row>
    <row r="35" spans="1:10" ht="24.95" customHeight="1">
      <c r="A35" s="427"/>
      <c r="B35" s="425"/>
      <c r="C35" s="429">
        <f t="shared" si="0"/>
        <v>45454.638888888883</v>
      </c>
      <c r="D35" s="553">
        <v>240</v>
      </c>
      <c r="E35" s="553"/>
      <c r="F35" s="430">
        <f>LongTest!F33</f>
        <v>23.710561985526432</v>
      </c>
      <c r="G35" s="430">
        <f>LongTest!G33</f>
        <v>14.260561985526433</v>
      </c>
      <c r="H35" s="425">
        <f>'w1'!D18</f>
        <v>15</v>
      </c>
      <c r="I35" s="425">
        <f>'w1'!E18</f>
        <v>206</v>
      </c>
      <c r="J35" s="426">
        <f>'w1'!F18</f>
        <v>6.59</v>
      </c>
    </row>
    <row r="36" spans="1:10" ht="24.95" customHeight="1">
      <c r="A36" s="427"/>
      <c r="B36" s="425"/>
      <c r="C36" s="429">
        <f t="shared" si="0"/>
        <v>45454.680555555555</v>
      </c>
      <c r="D36" s="553">
        <v>300</v>
      </c>
      <c r="E36" s="553"/>
      <c r="F36" s="430">
        <f>LongTest!F34</f>
        <v>24.156182511752405</v>
      </c>
      <c r="G36" s="430">
        <f>LongTest!G34</f>
        <v>14.706182511752406</v>
      </c>
      <c r="H36" s="425"/>
      <c r="I36" s="425"/>
      <c r="J36" s="426"/>
    </row>
    <row r="37" spans="1:10" ht="24.95" customHeight="1">
      <c r="A37" s="450"/>
      <c r="B37" s="451"/>
      <c r="C37" s="429">
        <f t="shared" si="0"/>
        <v>45454.722222222219</v>
      </c>
      <c r="D37" s="553">
        <v>360</v>
      </c>
      <c r="E37" s="553"/>
      <c r="F37" s="430">
        <f>LongTest!F35</f>
        <v>24.520280992763215</v>
      </c>
      <c r="G37" s="430">
        <f>LongTest!G35</f>
        <v>15.070280992763216</v>
      </c>
      <c r="H37" s="425"/>
      <c r="I37" s="425"/>
      <c r="J37" s="426"/>
    </row>
    <row r="38" spans="1:10" ht="24.95" customHeight="1">
      <c r="A38" s="427"/>
      <c r="B38" s="425"/>
      <c r="C38" s="429">
        <f t="shared" si="0"/>
        <v>45454.763888888883</v>
      </c>
      <c r="D38" s="553">
        <v>420</v>
      </c>
      <c r="E38" s="553"/>
      <c r="F38" s="430">
        <f>LongTest!F36</f>
        <v>24.828121872135025</v>
      </c>
      <c r="G38" s="430">
        <f>LongTest!G36</f>
        <v>15.378121872135026</v>
      </c>
      <c r="H38" s="425"/>
      <c r="I38" s="425"/>
      <c r="J38" s="426"/>
    </row>
    <row r="39" spans="1:10" ht="24.95" customHeight="1">
      <c r="A39" s="427"/>
      <c r="B39" s="425"/>
      <c r="C39" s="429">
        <f t="shared" si="0"/>
        <v>45454.805555555555</v>
      </c>
      <c r="D39" s="553">
        <v>480</v>
      </c>
      <c r="E39" s="553"/>
      <c r="F39" s="430">
        <f>LongTest!F37</f>
        <v>25.094785771219605</v>
      </c>
      <c r="G39" s="430">
        <f>LongTest!G37</f>
        <v>15.644785771219606</v>
      </c>
      <c r="H39" s="425">
        <f>'w1'!D19</f>
        <v>15.600000000000001</v>
      </c>
      <c r="I39" s="425">
        <f>'w1'!E19</f>
        <v>203</v>
      </c>
      <c r="J39" s="426">
        <f>'w1'!F19</f>
        <v>6.39</v>
      </c>
    </row>
    <row r="40" spans="1:10" ht="24.95" customHeight="1">
      <c r="A40" s="427"/>
      <c r="B40" s="425"/>
      <c r="C40" s="429">
        <f t="shared" si="0"/>
        <v>45454.847222222219</v>
      </c>
      <c r="D40" s="553">
        <v>540</v>
      </c>
      <c r="E40" s="553"/>
      <c r="F40" s="430">
        <f>LongTest!F38</f>
        <v>25.330000000000002</v>
      </c>
      <c r="G40" s="430">
        <f>LongTest!G38</f>
        <v>15.880000000000003</v>
      </c>
      <c r="H40" s="425"/>
      <c r="I40" s="425"/>
      <c r="J40" s="426"/>
    </row>
    <row r="41" spans="1:10" ht="24.95" customHeight="1">
      <c r="A41" s="427"/>
      <c r="B41" s="425"/>
      <c r="C41" s="429">
        <f t="shared" si="0"/>
        <v>45454.888888888883</v>
      </c>
      <c r="D41" s="553">
        <v>600</v>
      </c>
      <c r="E41" s="553"/>
      <c r="F41" s="430">
        <f>LongTest!F39</f>
        <v>25.330000000000002</v>
      </c>
      <c r="G41" s="430">
        <f>LongTest!G39</f>
        <v>15.880000000000003</v>
      </c>
      <c r="H41" s="425"/>
      <c r="I41" s="425"/>
      <c r="J41" s="426"/>
    </row>
    <row r="42" spans="1:10" ht="24.95" customHeight="1">
      <c r="A42" s="450"/>
      <c r="B42" s="451"/>
      <c r="C42" s="429">
        <f t="shared" si="0"/>
        <v>45454.930555555555</v>
      </c>
      <c r="D42" s="553">
        <v>660</v>
      </c>
      <c r="E42" s="553"/>
      <c r="F42" s="430">
        <f>LongTest!F40</f>
        <v>25.330000000000002</v>
      </c>
      <c r="G42" s="430">
        <f>LongTest!G40</f>
        <v>15.880000000000003</v>
      </c>
      <c r="H42" s="425"/>
      <c r="I42" s="425"/>
      <c r="J42" s="426"/>
    </row>
    <row r="43" spans="1:10" ht="24.95" customHeight="1">
      <c r="A43" s="427"/>
      <c r="B43" s="425"/>
      <c r="C43" s="429">
        <f t="shared" si="0"/>
        <v>45454.972222222219</v>
      </c>
      <c r="D43" s="553">
        <v>720</v>
      </c>
      <c r="E43" s="553"/>
      <c r="F43" s="430">
        <f>LongTest!F41</f>
        <v>25.330000000000002</v>
      </c>
      <c r="G43" s="430">
        <f>LongTest!G41</f>
        <v>15.880000000000003</v>
      </c>
      <c r="H43" s="425"/>
      <c r="I43" s="425"/>
      <c r="J43" s="426"/>
    </row>
    <row r="44" spans="1:10" ht="24.95" customHeight="1">
      <c r="A44" s="427"/>
      <c r="B44" s="425"/>
      <c r="C44" s="429">
        <f t="shared" ref="C44:C75" si="1">$C$4+D44/1440</f>
        <v>45455.013888888883</v>
      </c>
      <c r="D44" s="553">
        <v>780</v>
      </c>
      <c r="E44" s="553"/>
      <c r="F44" s="425">
        <f>LongTest!F42</f>
        <v>25.330000000000002</v>
      </c>
      <c r="G44" s="425">
        <f>LongTest!G42</f>
        <v>15.880000000000003</v>
      </c>
      <c r="H44" s="425"/>
      <c r="I44" s="425"/>
      <c r="J44" s="426"/>
    </row>
    <row r="45" spans="1:10" ht="24.95" customHeight="1">
      <c r="A45" s="427"/>
      <c r="B45" s="425"/>
      <c r="C45" s="429">
        <f t="shared" si="1"/>
        <v>45455.055555555555</v>
      </c>
      <c r="D45" s="553">
        <v>840</v>
      </c>
      <c r="E45" s="553"/>
      <c r="F45" s="425">
        <f>LongTest!F43</f>
        <v>25.330000000000002</v>
      </c>
      <c r="G45" s="425">
        <f>LongTest!G43</f>
        <v>15.880000000000003</v>
      </c>
      <c r="H45" s="425"/>
      <c r="I45" s="425"/>
      <c r="J45" s="426"/>
    </row>
    <row r="46" spans="1:10" ht="24.95" customHeight="1">
      <c r="A46" s="427"/>
      <c r="B46" s="425"/>
      <c r="C46" s="429">
        <f t="shared" si="1"/>
        <v>45455.097222222219</v>
      </c>
      <c r="D46" s="553">
        <v>900</v>
      </c>
      <c r="E46" s="553"/>
      <c r="F46" s="425">
        <f>LongTest!F44</f>
        <v>25.330000000000002</v>
      </c>
      <c r="G46" s="425">
        <f>LongTest!G44</f>
        <v>15.880000000000003</v>
      </c>
      <c r="H46" s="425"/>
      <c r="I46" s="425"/>
      <c r="J46" s="426"/>
    </row>
    <row r="47" spans="1:10" ht="24.95" customHeight="1">
      <c r="A47" s="450"/>
      <c r="B47" s="451"/>
      <c r="C47" s="429">
        <f t="shared" si="1"/>
        <v>45455.138888888883</v>
      </c>
      <c r="D47" s="553">
        <v>960</v>
      </c>
      <c r="E47" s="553"/>
      <c r="F47" s="425">
        <f>LongTest!F45</f>
        <v>25.330000000000002</v>
      </c>
      <c r="G47" s="425">
        <f>LongTest!G45</f>
        <v>15.880000000000003</v>
      </c>
      <c r="H47" s="425"/>
      <c r="I47" s="425"/>
      <c r="J47" s="426"/>
    </row>
    <row r="48" spans="1:10" ht="24.95" customHeight="1">
      <c r="A48" s="427"/>
      <c r="B48" s="425"/>
      <c r="C48" s="429">
        <f t="shared" si="1"/>
        <v>45455.180555555555</v>
      </c>
      <c r="D48" s="553">
        <v>1020</v>
      </c>
      <c r="E48" s="553"/>
      <c r="F48" s="425">
        <f>LongTest!F46</f>
        <v>25.330000000000002</v>
      </c>
      <c r="G48" s="425">
        <f>LongTest!G46</f>
        <v>15.880000000000003</v>
      </c>
      <c r="H48" s="425"/>
      <c r="I48" s="425"/>
      <c r="J48" s="426"/>
    </row>
    <row r="49" spans="1:10" ht="24.95" customHeight="1">
      <c r="A49" s="427"/>
      <c r="B49" s="425"/>
      <c r="C49" s="429">
        <f t="shared" si="1"/>
        <v>45455.222222222219</v>
      </c>
      <c r="D49" s="553">
        <v>1080</v>
      </c>
      <c r="E49" s="553"/>
      <c r="F49" s="425">
        <f>LongTest!F47</f>
        <v>25.330000000000002</v>
      </c>
      <c r="G49" s="425">
        <f>LongTest!G47</f>
        <v>15.880000000000003</v>
      </c>
      <c r="H49" s="425"/>
      <c r="I49" s="425"/>
      <c r="J49" s="426"/>
    </row>
    <row r="50" spans="1:10" ht="24.95" customHeight="1">
      <c r="A50" s="427"/>
      <c r="B50" s="425"/>
      <c r="C50" s="429">
        <f t="shared" si="1"/>
        <v>45455.263888888883</v>
      </c>
      <c r="D50" s="553">
        <v>1140</v>
      </c>
      <c r="E50" s="553"/>
      <c r="F50" s="425">
        <f>LongTest!F48</f>
        <v>25.330000000000002</v>
      </c>
      <c r="G50" s="425">
        <f>LongTest!G48</f>
        <v>15.880000000000003</v>
      </c>
      <c r="H50" s="425"/>
      <c r="I50" s="425"/>
      <c r="J50" s="426"/>
    </row>
    <row r="51" spans="1:10" ht="24.95" customHeight="1">
      <c r="A51" s="427"/>
      <c r="B51" s="425"/>
      <c r="C51" s="429">
        <f t="shared" si="1"/>
        <v>45455.305555555555</v>
      </c>
      <c r="D51" s="553">
        <v>1200</v>
      </c>
      <c r="E51" s="553"/>
      <c r="F51" s="425">
        <f>LongTest!F49</f>
        <v>25.330000000000002</v>
      </c>
      <c r="G51" s="425">
        <f>LongTest!G49</f>
        <v>15.880000000000003</v>
      </c>
      <c r="H51" s="425"/>
      <c r="I51" s="425"/>
      <c r="J51" s="426"/>
    </row>
    <row r="52" spans="1:10" ht="24.95" customHeight="1">
      <c r="A52" s="427"/>
      <c r="B52" s="425"/>
      <c r="C52" s="429">
        <f t="shared" si="1"/>
        <v>45455.347222222219</v>
      </c>
      <c r="D52" s="553">
        <v>1260</v>
      </c>
      <c r="E52" s="553"/>
      <c r="F52" s="425">
        <f>LongTest!F50</f>
        <v>25.330000000000002</v>
      </c>
      <c r="G52" s="425">
        <f>LongTest!G50</f>
        <v>15.880000000000003</v>
      </c>
      <c r="H52" s="425"/>
      <c r="I52" s="425"/>
      <c r="J52" s="426"/>
    </row>
    <row r="53" spans="1:10" ht="24.95" customHeight="1">
      <c r="A53" s="427"/>
      <c r="B53" s="425"/>
      <c r="C53" s="429">
        <f t="shared" si="1"/>
        <v>45455.388888888883</v>
      </c>
      <c r="D53" s="553">
        <v>1320</v>
      </c>
      <c r="E53" s="553"/>
      <c r="F53" s="425">
        <f>LongTest!F51</f>
        <v>25.330000000000002</v>
      </c>
      <c r="G53" s="425">
        <f>LongTest!G51</f>
        <v>15.880000000000003</v>
      </c>
      <c r="H53" s="425"/>
      <c r="I53" s="425"/>
      <c r="J53" s="426"/>
    </row>
    <row r="54" spans="1:10" ht="24.95" customHeight="1">
      <c r="A54" s="427"/>
      <c r="B54" s="425"/>
      <c r="C54" s="429">
        <f t="shared" si="1"/>
        <v>45455.430555555555</v>
      </c>
      <c r="D54" s="553">
        <v>1380</v>
      </c>
      <c r="E54" s="553"/>
      <c r="F54" s="425">
        <f>LongTest!F52</f>
        <v>25.330000000000002</v>
      </c>
      <c r="G54" s="425">
        <f>LongTest!G52</f>
        <v>15.880000000000003</v>
      </c>
      <c r="H54" s="425"/>
      <c r="I54" s="425"/>
      <c r="J54" s="426"/>
    </row>
    <row r="55" spans="1:10" ht="24.95" customHeight="1">
      <c r="A55" s="427"/>
      <c r="B55" s="425"/>
      <c r="C55" s="429">
        <f t="shared" si="1"/>
        <v>45455.472222222219</v>
      </c>
      <c r="D55" s="553">
        <v>1440</v>
      </c>
      <c r="E55" s="553"/>
      <c r="F55" s="425">
        <f>LongTest!F53</f>
        <v>25.330000000000002</v>
      </c>
      <c r="G55" s="425">
        <f>LongTest!G53</f>
        <v>15.880000000000003</v>
      </c>
      <c r="H55" s="425">
        <f>'w1'!D20</f>
        <v>15.200000000000001</v>
      </c>
      <c r="I55" s="425">
        <f>'w1'!E20</f>
        <v>205</v>
      </c>
      <c r="J55" s="426">
        <f>'w1'!F20</f>
        <v>6.37</v>
      </c>
    </row>
    <row r="56" spans="1:10" ht="24.95" customHeight="1">
      <c r="A56" s="452"/>
      <c r="B56" s="429"/>
      <c r="C56" s="429">
        <f t="shared" si="1"/>
        <v>45455.513888888883</v>
      </c>
      <c r="D56" s="529">
        <v>1500</v>
      </c>
      <c r="E56" s="556"/>
      <c r="F56" s="425">
        <f>LongTest!F54</f>
        <v>25.330000000000002</v>
      </c>
      <c r="G56" s="425">
        <f>LongTest!G54</f>
        <v>15.880000000000003</v>
      </c>
      <c r="H56" s="425"/>
      <c r="I56" s="425"/>
      <c r="J56" s="426"/>
    </row>
    <row r="57" spans="1:10" ht="24.95" customHeight="1">
      <c r="A57" s="452"/>
      <c r="B57" s="429"/>
      <c r="C57" s="429">
        <f t="shared" si="1"/>
        <v>45455.555555555555</v>
      </c>
      <c r="D57" s="529">
        <v>1560</v>
      </c>
      <c r="E57" s="556"/>
      <c r="F57" s="425">
        <f>LongTest!F55</f>
        <v>25.330000000000002</v>
      </c>
      <c r="G57" s="425">
        <f>LongTest!G55</f>
        <v>15.880000000000003</v>
      </c>
      <c r="H57" s="425"/>
      <c r="I57" s="425"/>
      <c r="J57" s="426"/>
    </row>
    <row r="58" spans="1:10" ht="24.95" customHeight="1">
      <c r="A58" s="452"/>
      <c r="B58" s="429"/>
      <c r="C58" s="429">
        <f t="shared" si="1"/>
        <v>45455.597222222219</v>
      </c>
      <c r="D58" s="529">
        <v>1620</v>
      </c>
      <c r="E58" s="556"/>
      <c r="F58" s="425">
        <f>LongTest!F56</f>
        <v>25.330000000000002</v>
      </c>
      <c r="G58" s="425">
        <f>LongTest!G56</f>
        <v>15.880000000000003</v>
      </c>
      <c r="H58" s="425"/>
      <c r="I58" s="425"/>
      <c r="J58" s="426"/>
    </row>
    <row r="59" spans="1:10" ht="24.95" customHeight="1">
      <c r="A59" s="452"/>
      <c r="B59" s="429"/>
      <c r="C59" s="429">
        <f t="shared" si="1"/>
        <v>45455.638888888883</v>
      </c>
      <c r="D59" s="529">
        <v>1680</v>
      </c>
      <c r="E59" s="556"/>
      <c r="F59" s="425">
        <f>LongTest!F57</f>
        <v>25.330000000000002</v>
      </c>
      <c r="G59" s="425">
        <f>LongTest!G57</f>
        <v>15.880000000000003</v>
      </c>
      <c r="H59" s="425">
        <f>H55</f>
        <v>15.200000000000001</v>
      </c>
      <c r="I59" s="425">
        <f t="shared" ref="I59:J59" si="2">I55</f>
        <v>205</v>
      </c>
      <c r="J59" s="426">
        <f t="shared" si="2"/>
        <v>6.37</v>
      </c>
    </row>
    <row r="60" spans="1:10" ht="24.95" customHeight="1">
      <c r="A60" s="452"/>
      <c r="B60" s="429"/>
      <c r="C60" s="429">
        <f t="shared" si="1"/>
        <v>45455.680555555555</v>
      </c>
      <c r="D60" s="529">
        <v>1740</v>
      </c>
      <c r="E60" s="556"/>
      <c r="F60" s="425">
        <f>LongTest!F58</f>
        <v>25.330000000000002</v>
      </c>
      <c r="G60" s="425">
        <f>LongTest!G58</f>
        <v>15.880000000000003</v>
      </c>
      <c r="H60" s="425"/>
      <c r="I60" s="425"/>
      <c r="J60" s="426"/>
    </row>
    <row r="61" spans="1:10" ht="24.95" customHeight="1">
      <c r="A61" s="452"/>
      <c r="B61" s="429"/>
      <c r="C61" s="429">
        <f t="shared" si="1"/>
        <v>45455.722222222219</v>
      </c>
      <c r="D61" s="529">
        <v>1800</v>
      </c>
      <c r="E61" s="556"/>
      <c r="F61" s="425">
        <f>LongTest!F59</f>
        <v>25.330000000000002</v>
      </c>
      <c r="G61" s="425">
        <f>LongTest!G59</f>
        <v>15.880000000000003</v>
      </c>
      <c r="H61" s="425"/>
      <c r="I61" s="425"/>
      <c r="J61" s="426"/>
    </row>
    <row r="62" spans="1:10" ht="24.95" customHeight="1">
      <c r="A62" s="452"/>
      <c r="B62" s="429"/>
      <c r="C62" s="429">
        <f t="shared" si="1"/>
        <v>45455.763888888883</v>
      </c>
      <c r="D62" s="529">
        <v>1860</v>
      </c>
      <c r="E62" s="556"/>
      <c r="F62" s="425">
        <f>LongTest!F60</f>
        <v>25.330000000000002</v>
      </c>
      <c r="G62" s="425">
        <f>LongTest!G60</f>
        <v>15.880000000000003</v>
      </c>
      <c r="H62" s="425"/>
      <c r="I62" s="425"/>
      <c r="J62" s="426"/>
    </row>
    <row r="63" spans="1:10" ht="24.95" customHeight="1">
      <c r="A63" s="452"/>
      <c r="B63" s="429"/>
      <c r="C63" s="429">
        <f t="shared" si="1"/>
        <v>45455.805555555555</v>
      </c>
      <c r="D63" s="529">
        <v>1920</v>
      </c>
      <c r="E63" s="556"/>
      <c r="F63" s="425">
        <f>LongTest!F61</f>
        <v>25.330000000000002</v>
      </c>
      <c r="G63" s="425">
        <f>LongTest!G61</f>
        <v>15.880000000000003</v>
      </c>
      <c r="H63" s="425">
        <f>H59</f>
        <v>15.200000000000001</v>
      </c>
      <c r="I63" s="425">
        <f t="shared" ref="I63:J63" si="3">I59</f>
        <v>205</v>
      </c>
      <c r="J63" s="426">
        <f t="shared" si="3"/>
        <v>6.37</v>
      </c>
    </row>
    <row r="64" spans="1:10" ht="24.95" customHeight="1">
      <c r="A64" s="452"/>
      <c r="B64" s="429"/>
      <c r="C64" s="429">
        <f t="shared" si="1"/>
        <v>45455.847222222219</v>
      </c>
      <c r="D64" s="529">
        <v>1980</v>
      </c>
      <c r="E64" s="556"/>
      <c r="F64" s="425">
        <f>LongTest!F62</f>
        <v>25.330000000000002</v>
      </c>
      <c r="G64" s="425">
        <f>LongTest!G62</f>
        <v>15.880000000000003</v>
      </c>
      <c r="H64" s="425"/>
      <c r="I64" s="425"/>
      <c r="J64" s="426"/>
    </row>
    <row r="65" spans="1:10" ht="24.95" customHeight="1">
      <c r="A65" s="452"/>
      <c r="B65" s="429"/>
      <c r="C65" s="429">
        <f t="shared" si="1"/>
        <v>45455.888888888883</v>
      </c>
      <c r="D65" s="529">
        <v>2040</v>
      </c>
      <c r="E65" s="556"/>
      <c r="F65" s="425">
        <f>LongTest!F63</f>
        <v>25.330000000000002</v>
      </c>
      <c r="G65" s="425">
        <f>LongTest!G63</f>
        <v>15.880000000000003</v>
      </c>
      <c r="H65" s="425"/>
      <c r="I65" s="425"/>
      <c r="J65" s="426"/>
    </row>
    <row r="66" spans="1:10" ht="24.95" customHeight="1">
      <c r="A66" s="452"/>
      <c r="B66" s="429"/>
      <c r="C66" s="429">
        <f t="shared" si="1"/>
        <v>45455.930555555555</v>
      </c>
      <c r="D66" s="529">
        <v>2100</v>
      </c>
      <c r="E66" s="556"/>
      <c r="F66" s="425">
        <f>LongTest!F64</f>
        <v>25.330000000000002</v>
      </c>
      <c r="G66" s="425">
        <f>LongTest!G64</f>
        <v>15.880000000000003</v>
      </c>
      <c r="H66" s="425"/>
      <c r="I66" s="425"/>
      <c r="J66" s="426"/>
    </row>
    <row r="67" spans="1:10" ht="24.95" customHeight="1">
      <c r="A67" s="452"/>
      <c r="B67" s="429"/>
      <c r="C67" s="429">
        <f t="shared" si="1"/>
        <v>45455.972222222219</v>
      </c>
      <c r="D67" s="529">
        <v>2160</v>
      </c>
      <c r="E67" s="556"/>
      <c r="F67" s="425">
        <f>LongTest!F65</f>
        <v>25.330000000000002</v>
      </c>
      <c r="G67" s="425">
        <f>LongTest!G65</f>
        <v>15.880000000000003</v>
      </c>
      <c r="H67" s="425"/>
      <c r="I67" s="425"/>
      <c r="J67" s="426"/>
    </row>
    <row r="68" spans="1:10" ht="24.95" customHeight="1">
      <c r="A68" s="452"/>
      <c r="B68" s="429"/>
      <c r="C68" s="429">
        <f t="shared" si="1"/>
        <v>45456.013888888883</v>
      </c>
      <c r="D68" s="529">
        <v>2220</v>
      </c>
      <c r="E68" s="556"/>
      <c r="F68" s="425">
        <f>LongTest!F66</f>
        <v>25.330000000000002</v>
      </c>
      <c r="G68" s="425">
        <f>LongTest!G66</f>
        <v>15.880000000000003</v>
      </c>
      <c r="H68" s="425"/>
      <c r="I68" s="425"/>
      <c r="J68" s="426"/>
    </row>
    <row r="69" spans="1:10" ht="24.95" customHeight="1">
      <c r="A69" s="452"/>
      <c r="B69" s="429"/>
      <c r="C69" s="429">
        <f t="shared" si="1"/>
        <v>45456.055555555555</v>
      </c>
      <c r="D69" s="529">
        <v>2280</v>
      </c>
      <c r="E69" s="556"/>
      <c r="F69" s="425">
        <f>LongTest!F67</f>
        <v>25.330000000000002</v>
      </c>
      <c r="G69" s="425">
        <f>LongTest!G67</f>
        <v>15.880000000000003</v>
      </c>
      <c r="H69" s="425"/>
      <c r="I69" s="425"/>
      <c r="J69" s="426"/>
    </row>
    <row r="70" spans="1:10" ht="24.95" customHeight="1">
      <c r="A70" s="452"/>
      <c r="B70" s="429"/>
      <c r="C70" s="429">
        <f t="shared" si="1"/>
        <v>45456.097222222219</v>
      </c>
      <c r="D70" s="529">
        <v>2340</v>
      </c>
      <c r="E70" s="556"/>
      <c r="F70" s="425">
        <f>LongTest!F68</f>
        <v>25.330000000000002</v>
      </c>
      <c r="G70" s="425">
        <f>LongTest!G68</f>
        <v>15.880000000000003</v>
      </c>
      <c r="H70" s="425"/>
      <c r="I70" s="425"/>
      <c r="J70" s="426"/>
    </row>
    <row r="71" spans="1:10" ht="24.95" customHeight="1">
      <c r="A71" s="452"/>
      <c r="B71" s="429"/>
      <c r="C71" s="429">
        <f t="shared" si="1"/>
        <v>45456.138888888883</v>
      </c>
      <c r="D71" s="529">
        <v>2400</v>
      </c>
      <c r="E71" s="556"/>
      <c r="F71" s="425">
        <f>LongTest!F69</f>
        <v>25.330000000000002</v>
      </c>
      <c r="G71" s="425">
        <f>LongTest!G69</f>
        <v>15.880000000000003</v>
      </c>
      <c r="H71" s="425"/>
      <c r="I71" s="425"/>
      <c r="J71" s="426"/>
    </row>
    <row r="72" spans="1:10" ht="24.95" customHeight="1">
      <c r="A72" s="452"/>
      <c r="B72" s="429"/>
      <c r="C72" s="429">
        <f t="shared" si="1"/>
        <v>45456.180555555555</v>
      </c>
      <c r="D72" s="529">
        <v>2460</v>
      </c>
      <c r="E72" s="556"/>
      <c r="F72" s="425">
        <f>LongTest!F70</f>
        <v>25.330000000000002</v>
      </c>
      <c r="G72" s="425">
        <f>LongTest!G70</f>
        <v>15.880000000000003</v>
      </c>
      <c r="H72" s="425"/>
      <c r="I72" s="425"/>
      <c r="J72" s="426"/>
    </row>
    <row r="73" spans="1:10" ht="24.95" customHeight="1">
      <c r="A73" s="452"/>
      <c r="B73" s="429"/>
      <c r="C73" s="429">
        <f t="shared" si="1"/>
        <v>45456.222222222219</v>
      </c>
      <c r="D73" s="529">
        <v>2520</v>
      </c>
      <c r="E73" s="556"/>
      <c r="F73" s="425">
        <f>LongTest!F71</f>
        <v>25.330000000000002</v>
      </c>
      <c r="G73" s="425">
        <f>LongTest!G71</f>
        <v>15.880000000000003</v>
      </c>
      <c r="H73" s="425"/>
      <c r="I73" s="425"/>
      <c r="J73" s="426"/>
    </row>
    <row r="74" spans="1:10" ht="24.95" customHeight="1">
      <c r="A74" s="452"/>
      <c r="B74" s="429"/>
      <c r="C74" s="429">
        <f t="shared" si="1"/>
        <v>45456.263888888883</v>
      </c>
      <c r="D74" s="529">
        <v>2580</v>
      </c>
      <c r="E74" s="556"/>
      <c r="F74" s="425">
        <f>LongTest!F72</f>
        <v>25.330000000000002</v>
      </c>
      <c r="G74" s="425">
        <f>LongTest!G72</f>
        <v>15.880000000000003</v>
      </c>
      <c r="H74" s="425"/>
      <c r="I74" s="425"/>
      <c r="J74" s="426"/>
    </row>
    <row r="75" spans="1:10" ht="24.95" customHeight="1">
      <c r="A75" s="452"/>
      <c r="B75" s="429"/>
      <c r="C75" s="429">
        <f t="shared" si="1"/>
        <v>45456.305555555555</v>
      </c>
      <c r="D75" s="529">
        <v>2640</v>
      </c>
      <c r="E75" s="556"/>
      <c r="F75" s="425">
        <f>LongTest!F73</f>
        <v>25.330000000000002</v>
      </c>
      <c r="G75" s="425">
        <f>LongTest!G73</f>
        <v>15.880000000000003</v>
      </c>
      <c r="H75" s="425"/>
      <c r="I75" s="425"/>
      <c r="J75" s="426"/>
    </row>
    <row r="76" spans="1:10" ht="24.95" customHeight="1">
      <c r="A76" s="452"/>
      <c r="B76" s="429"/>
      <c r="C76" s="429">
        <f t="shared" ref="C76:C79" si="4">$C$4+D76/1440</f>
        <v>45456.347222222219</v>
      </c>
      <c r="D76" s="529">
        <v>2700</v>
      </c>
      <c r="E76" s="556"/>
      <c r="F76" s="425">
        <f>LongTest!F74</f>
        <v>25.330000000000002</v>
      </c>
      <c r="G76" s="425">
        <f>LongTest!G74</f>
        <v>15.880000000000003</v>
      </c>
      <c r="H76" s="425"/>
      <c r="I76" s="425"/>
      <c r="J76" s="426"/>
    </row>
    <row r="77" spans="1:10" ht="24.95" customHeight="1">
      <c r="A77" s="452"/>
      <c r="B77" s="429"/>
      <c r="C77" s="429">
        <f t="shared" si="4"/>
        <v>45456.388888888883</v>
      </c>
      <c r="D77" s="529">
        <v>2760</v>
      </c>
      <c r="E77" s="556"/>
      <c r="F77" s="425">
        <f>LongTest!F75</f>
        <v>25.330000000000002</v>
      </c>
      <c r="G77" s="425">
        <f>LongTest!G75</f>
        <v>15.880000000000003</v>
      </c>
      <c r="H77" s="425"/>
      <c r="I77" s="425"/>
      <c r="J77" s="426"/>
    </row>
    <row r="78" spans="1:10" ht="24.95" customHeight="1">
      <c r="A78" s="452"/>
      <c r="B78" s="429"/>
      <c r="C78" s="429">
        <f t="shared" si="4"/>
        <v>45456.430555555555</v>
      </c>
      <c r="D78" s="529">
        <v>2820</v>
      </c>
      <c r="E78" s="556"/>
      <c r="F78" s="425">
        <f>LongTest!F76</f>
        <v>25.330000000000002</v>
      </c>
      <c r="G78" s="425">
        <f>LongTest!G76</f>
        <v>15.880000000000003</v>
      </c>
      <c r="H78" s="425"/>
      <c r="I78" s="425"/>
      <c r="J78" s="426"/>
    </row>
    <row r="79" spans="1:10" ht="24.95" customHeight="1">
      <c r="A79" s="453"/>
      <c r="B79" s="434"/>
      <c r="C79" s="434">
        <f t="shared" si="4"/>
        <v>45456.472222222219</v>
      </c>
      <c r="D79" s="571">
        <v>2880</v>
      </c>
      <c r="E79" s="582"/>
      <c r="F79" s="454">
        <f>LongTest!F77</f>
        <v>25.330000000000002</v>
      </c>
      <c r="G79" s="454">
        <f>LongTest!G77</f>
        <v>15.880000000000003</v>
      </c>
      <c r="H79" s="454">
        <f>H63</f>
        <v>15.200000000000001</v>
      </c>
      <c r="I79" s="454">
        <f t="shared" ref="I79:J79" si="5">I63</f>
        <v>205</v>
      </c>
      <c r="J79" s="455">
        <f t="shared" si="5"/>
        <v>6.37</v>
      </c>
    </row>
    <row r="80" spans="1:10" ht="24.95" customHeight="1" thickBot="1">
      <c r="A80" s="579" t="s">
        <v>324</v>
      </c>
      <c r="B80" s="580"/>
      <c r="C80" s="580"/>
      <c r="D80" s="580"/>
      <c r="E80" s="580"/>
      <c r="F80" s="580"/>
      <c r="G80" s="580"/>
      <c r="H80" s="580"/>
      <c r="I80" s="580"/>
      <c r="J80" s="581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447"/>
    <col min="2" max="2" width="9.5" style="447" bestFit="1" customWidth="1"/>
    <col min="3" max="3" width="11.375" style="447" customWidth="1"/>
    <col min="4" max="4" width="6.75" style="447" customWidth="1"/>
    <col min="5" max="5" width="7.25" style="447" customWidth="1"/>
    <col min="6" max="6" width="14" style="447" bestFit="1" customWidth="1"/>
    <col min="7" max="7" width="12.125" style="447" customWidth="1"/>
    <col min="8" max="16384" width="9" style="447"/>
  </cols>
  <sheetData>
    <row r="1" spans="1:10" ht="45" customHeight="1" thickBot="1">
      <c r="A1" s="560" t="s">
        <v>330</v>
      </c>
      <c r="B1" s="561"/>
      <c r="C1" s="561"/>
      <c r="D1" s="561"/>
      <c r="E1" s="561"/>
      <c r="F1" s="561"/>
      <c r="G1" s="561"/>
      <c r="H1" s="561"/>
      <c r="I1" s="561"/>
      <c r="J1" s="562"/>
    </row>
    <row r="2" spans="1:10" ht="24.95" customHeight="1">
      <c r="A2" s="536" t="s">
        <v>295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296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3" t="str">
        <f>Input!I54</f>
        <v>W-1</v>
      </c>
      <c r="J3" s="424" t="s">
        <v>322</v>
      </c>
    </row>
    <row r="4" spans="1:10" ht="24.95" customHeight="1">
      <c r="A4" s="541" t="s">
        <v>297</v>
      </c>
      <c r="B4" s="542"/>
      <c r="C4" s="543">
        <f>장기28!C5</f>
        <v>45456.472222222219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298</v>
      </c>
      <c r="B5" s="542"/>
      <c r="C5" s="543">
        <f>LongTest!C101</f>
        <v>45456.722222222219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294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299</v>
      </c>
      <c r="B7" s="542"/>
      <c r="C7" s="549" t="s">
        <v>326</v>
      </c>
      <c r="D7" s="542"/>
      <c r="E7" s="425">
        <f>LongTest!C6</f>
        <v>5</v>
      </c>
      <c r="F7" s="425" t="s">
        <v>300</v>
      </c>
      <c r="G7" s="425" t="s">
        <v>328</v>
      </c>
      <c r="H7" s="549">
        <f>Input!I50</f>
        <v>50</v>
      </c>
      <c r="I7" s="542"/>
      <c r="J7" s="426" t="s">
        <v>301</v>
      </c>
    </row>
    <row r="8" spans="1:10" ht="24.95" customHeight="1">
      <c r="A8" s="541" t="s">
        <v>302</v>
      </c>
      <c r="B8" s="542"/>
      <c r="C8" s="549" t="s">
        <v>327</v>
      </c>
      <c r="D8" s="542"/>
      <c r="E8" s="425">
        <f>LongTest!D7</f>
        <v>200</v>
      </c>
      <c r="F8" s="425" t="s">
        <v>303</v>
      </c>
      <c r="G8" s="425" t="s">
        <v>304</v>
      </c>
      <c r="H8" s="549">
        <f>LongTest!G7</f>
        <v>100</v>
      </c>
      <c r="I8" s="542"/>
      <c r="J8" s="426" t="s">
        <v>301</v>
      </c>
    </row>
    <row r="9" spans="1:10" ht="24.95" customHeight="1">
      <c r="A9" s="541" t="s">
        <v>305</v>
      </c>
      <c r="B9" s="542"/>
      <c r="C9" s="549" t="s">
        <v>325</v>
      </c>
      <c r="D9" s="542"/>
      <c r="E9" s="425">
        <f>LongTest!D8</f>
        <v>9.4499999999999993</v>
      </c>
      <c r="F9" s="425" t="s">
        <v>301</v>
      </c>
      <c r="G9" s="425" t="s">
        <v>306</v>
      </c>
      <c r="H9" s="549">
        <f>LongTest!G8</f>
        <v>25.330000000000002</v>
      </c>
      <c r="I9" s="542"/>
      <c r="J9" s="426" t="s">
        <v>301</v>
      </c>
    </row>
    <row r="10" spans="1:10" ht="24.95" customHeight="1">
      <c r="A10" s="554" t="s">
        <v>307</v>
      </c>
      <c r="B10" s="439" t="s">
        <v>308</v>
      </c>
      <c r="C10" s="555" t="s">
        <v>190</v>
      </c>
      <c r="D10" s="555" t="s">
        <v>310</v>
      </c>
      <c r="E10" s="555"/>
      <c r="F10" s="439" t="s">
        <v>311</v>
      </c>
      <c r="G10" s="439" t="s">
        <v>313</v>
      </c>
      <c r="H10" s="439" t="s">
        <v>314</v>
      </c>
      <c r="I10" s="439" t="s">
        <v>315</v>
      </c>
      <c r="J10" s="440" t="s">
        <v>318</v>
      </c>
    </row>
    <row r="11" spans="1:10" ht="24.95" customHeight="1">
      <c r="A11" s="554"/>
      <c r="B11" s="439" t="s">
        <v>331</v>
      </c>
      <c r="C11" s="555"/>
      <c r="D11" s="555" t="s">
        <v>332</v>
      </c>
      <c r="E11" s="555"/>
      <c r="F11" s="439" t="s">
        <v>312</v>
      </c>
      <c r="G11" s="439" t="s">
        <v>312</v>
      </c>
      <c r="H11" s="439" t="s">
        <v>333</v>
      </c>
      <c r="I11" s="465" t="s">
        <v>334</v>
      </c>
      <c r="J11" s="441"/>
    </row>
    <row r="12" spans="1:10" ht="24.95" customHeight="1">
      <c r="A12" s="452"/>
      <c r="B12" s="425">
        <v>0</v>
      </c>
      <c r="C12" s="429">
        <f t="shared" ref="C12:C35" si="0">$C$4+D12/1440</f>
        <v>45456.472916666666</v>
      </c>
      <c r="D12" s="529">
        <v>1</v>
      </c>
      <c r="E12" s="556"/>
      <c r="F12" s="430">
        <f>LongTest!F78</f>
        <v>20.232796980712919</v>
      </c>
      <c r="G12" s="430">
        <f>LongTest!G78</f>
        <v>10.782796980712918</v>
      </c>
      <c r="H12" s="462"/>
      <c r="I12" s="463"/>
      <c r="J12" s="464"/>
    </row>
    <row r="13" spans="1:10" ht="24.95" customHeight="1">
      <c r="A13" s="452"/>
      <c r="B13" s="429"/>
      <c r="C13" s="429">
        <f t="shared" si="0"/>
        <v>45456.473611111105</v>
      </c>
      <c r="D13" s="529">
        <v>2</v>
      </c>
      <c r="E13" s="556"/>
      <c r="F13" s="430">
        <f>LongTest!F79</f>
        <v>19.374437782107812</v>
      </c>
      <c r="G13" s="430">
        <f>LongTest!G79</f>
        <v>9.9244377821078142</v>
      </c>
      <c r="H13" s="529"/>
      <c r="I13" s="530"/>
      <c r="J13" s="531"/>
    </row>
    <row r="14" spans="1:10" ht="24.95" customHeight="1">
      <c r="A14" s="452"/>
      <c r="B14" s="429"/>
      <c r="C14" s="429">
        <f t="shared" si="0"/>
        <v>45456.474305555552</v>
      </c>
      <c r="D14" s="529">
        <v>3</v>
      </c>
      <c r="E14" s="556"/>
      <c r="F14" s="430">
        <f>LongTest!F80</f>
        <v>18.58440784122201</v>
      </c>
      <c r="G14" s="430">
        <f>LongTest!G80</f>
        <v>9.1344078412220089</v>
      </c>
      <c r="H14" s="529"/>
      <c r="I14" s="530"/>
      <c r="J14" s="531"/>
    </row>
    <row r="15" spans="1:10" ht="24.95" customHeight="1">
      <c r="A15" s="452"/>
      <c r="B15" s="429"/>
      <c r="C15" s="429">
        <f t="shared" si="0"/>
        <v>45456.474999999999</v>
      </c>
      <c r="D15" s="529">
        <v>4</v>
      </c>
      <c r="E15" s="556"/>
      <c r="F15" s="430">
        <f>LongTest!F81</f>
        <v>17.857267841429007</v>
      </c>
      <c r="G15" s="430">
        <f>LongTest!G81</f>
        <v>8.4072678414290092</v>
      </c>
      <c r="H15" s="529"/>
      <c r="I15" s="530"/>
      <c r="J15" s="531"/>
    </row>
    <row r="16" spans="1:10" ht="24.95" customHeight="1">
      <c r="A16" s="452"/>
      <c r="B16" s="429"/>
      <c r="C16" s="429">
        <f t="shared" si="0"/>
        <v>45456.475694444438</v>
      </c>
      <c r="D16" s="529">
        <v>5</v>
      </c>
      <c r="E16" s="556"/>
      <c r="F16" s="430">
        <f>LongTest!F82</f>
        <v>17.188011460201068</v>
      </c>
      <c r="G16" s="430">
        <f>LongTest!G82</f>
        <v>7.7380114602010686</v>
      </c>
      <c r="H16" s="529"/>
      <c r="I16" s="530"/>
      <c r="J16" s="531"/>
    </row>
    <row r="17" spans="1:10" ht="24.95" customHeight="1">
      <c r="A17" s="452"/>
      <c r="B17" s="429"/>
      <c r="C17" s="429">
        <f t="shared" si="0"/>
        <v>45456.479166666664</v>
      </c>
      <c r="D17" s="529">
        <v>10</v>
      </c>
      <c r="E17" s="556"/>
      <c r="F17" s="430">
        <f>LongTest!F83</f>
        <v>15.483270868618019</v>
      </c>
      <c r="G17" s="430">
        <f>LongTest!G83</f>
        <v>6.0332708686180201</v>
      </c>
      <c r="H17" s="529"/>
      <c r="I17" s="530"/>
      <c r="J17" s="531"/>
    </row>
    <row r="18" spans="1:10" ht="24.95" customHeight="1">
      <c r="A18" s="452"/>
      <c r="B18" s="429"/>
      <c r="C18" s="429">
        <f t="shared" si="0"/>
        <v>45456.482638888883</v>
      </c>
      <c r="D18" s="529">
        <v>15</v>
      </c>
      <c r="E18" s="556"/>
      <c r="F18" s="430">
        <f>LongTest!F84</f>
        <v>15.158681504824028</v>
      </c>
      <c r="G18" s="430">
        <f>LongTest!G84</f>
        <v>5.7086815048240274</v>
      </c>
      <c r="H18" s="529"/>
      <c r="I18" s="530"/>
      <c r="J18" s="531"/>
    </row>
    <row r="19" spans="1:10" ht="24.95" customHeight="1">
      <c r="A19" s="452"/>
      <c r="B19" s="429"/>
      <c r="C19" s="429">
        <f t="shared" si="0"/>
        <v>45456.486111111109</v>
      </c>
      <c r="D19" s="529">
        <v>20</v>
      </c>
      <c r="E19" s="556"/>
      <c r="F19" s="430">
        <f>LongTest!F85</f>
        <v>14.285983204912011</v>
      </c>
      <c r="G19" s="430">
        <f>LongTest!G85</f>
        <v>4.8359832049120115</v>
      </c>
      <c r="H19" s="529"/>
      <c r="I19" s="530"/>
      <c r="J19" s="531"/>
    </row>
    <row r="20" spans="1:10" ht="24.95" customHeight="1">
      <c r="A20" s="452"/>
      <c r="B20" s="429"/>
      <c r="C20" s="429">
        <f t="shared" si="0"/>
        <v>45456.489583333328</v>
      </c>
      <c r="D20" s="529">
        <v>25</v>
      </c>
      <c r="E20" s="556"/>
      <c r="F20" s="430">
        <f>LongTest!F86</f>
        <v>13.901017163572192</v>
      </c>
      <c r="G20" s="430">
        <f>LongTest!G86</f>
        <v>4.4510171635721916</v>
      </c>
      <c r="H20" s="529"/>
      <c r="I20" s="530"/>
      <c r="J20" s="531"/>
    </row>
    <row r="21" spans="1:10" ht="24.95" customHeight="1">
      <c r="A21" s="452"/>
      <c r="B21" s="429"/>
      <c r="C21" s="429">
        <f t="shared" si="0"/>
        <v>45456.493055555555</v>
      </c>
      <c r="D21" s="529">
        <v>30</v>
      </c>
      <c r="E21" s="556"/>
      <c r="F21" s="430">
        <f>LongTest!F87</f>
        <v>13.54669615276811</v>
      </c>
      <c r="G21" s="430">
        <f>LongTest!G87</f>
        <v>4.0966961527681098</v>
      </c>
      <c r="H21" s="529"/>
      <c r="I21" s="530"/>
      <c r="J21" s="531"/>
    </row>
    <row r="22" spans="1:10" ht="24.95" customHeight="1">
      <c r="A22" s="452"/>
      <c r="B22" s="429"/>
      <c r="C22" s="429">
        <f t="shared" si="0"/>
        <v>45456.496527777774</v>
      </c>
      <c r="D22" s="529">
        <v>35</v>
      </c>
      <c r="E22" s="556"/>
      <c r="F22" s="430">
        <f>LongTest!F88</f>
        <v>13.434971769034254</v>
      </c>
      <c r="G22" s="430">
        <f>LongTest!G88</f>
        <v>3.9849717690342552</v>
      </c>
      <c r="H22" s="529"/>
      <c r="I22" s="530"/>
      <c r="J22" s="531"/>
    </row>
    <row r="23" spans="1:10" ht="24.95" customHeight="1">
      <c r="A23" s="452"/>
      <c r="B23" s="429"/>
      <c r="C23" s="429">
        <f t="shared" si="0"/>
        <v>45456.5</v>
      </c>
      <c r="D23" s="529">
        <v>40</v>
      </c>
      <c r="E23" s="556"/>
      <c r="F23" s="430">
        <f>LongTest!F89</f>
        <v>13.326294313228475</v>
      </c>
      <c r="G23" s="430">
        <f>LongTest!G89</f>
        <v>3.8762943132284762</v>
      </c>
      <c r="H23" s="529"/>
      <c r="I23" s="530"/>
      <c r="J23" s="531"/>
    </row>
    <row r="24" spans="1:10" ht="24.95" customHeight="1">
      <c r="A24" s="452"/>
      <c r="B24" s="429"/>
      <c r="C24" s="429">
        <f t="shared" si="0"/>
        <v>45456.503472222219</v>
      </c>
      <c r="D24" s="529">
        <v>45</v>
      </c>
      <c r="E24" s="556"/>
      <c r="F24" s="430">
        <f>LongTest!F90</f>
        <v>13.220580690063166</v>
      </c>
      <c r="G24" s="430">
        <f>LongTest!G90</f>
        <v>3.7705806900631673</v>
      </c>
      <c r="H24" s="529"/>
      <c r="I24" s="530"/>
      <c r="J24" s="531"/>
    </row>
    <row r="25" spans="1:10" ht="24.95" customHeight="1">
      <c r="A25" s="452"/>
      <c r="B25" s="429"/>
      <c r="C25" s="429">
        <f t="shared" si="0"/>
        <v>45456.506944444438</v>
      </c>
      <c r="D25" s="529">
        <v>50</v>
      </c>
      <c r="E25" s="556"/>
      <c r="F25" s="430">
        <f>LongTest!F91</f>
        <v>13.11775007041093</v>
      </c>
      <c r="G25" s="430">
        <f>LongTest!G91</f>
        <v>3.6677500704109298</v>
      </c>
      <c r="H25" s="529"/>
      <c r="I25" s="530"/>
      <c r="J25" s="531"/>
    </row>
    <row r="26" spans="1:10" ht="24.95" customHeight="1">
      <c r="A26" s="452"/>
      <c r="B26" s="429"/>
      <c r="C26" s="429">
        <f t="shared" si="0"/>
        <v>45456.510416666664</v>
      </c>
      <c r="D26" s="529">
        <v>55</v>
      </c>
      <c r="E26" s="556"/>
      <c r="F26" s="430">
        <f>LongTest!F92</f>
        <v>13.017723829502245</v>
      </c>
      <c r="G26" s="430">
        <f>LongTest!G92</f>
        <v>3.5677238295022455</v>
      </c>
      <c r="H26" s="529"/>
      <c r="I26" s="530"/>
      <c r="J26" s="531"/>
    </row>
    <row r="27" spans="1:10" ht="24.95" customHeight="1">
      <c r="A27" s="452"/>
      <c r="B27" s="429"/>
      <c r="C27" s="429">
        <f t="shared" si="0"/>
        <v>45456.513888888883</v>
      </c>
      <c r="D27" s="529">
        <v>60</v>
      </c>
      <c r="E27" s="556"/>
      <c r="F27" s="430">
        <f>LongTest!F93</f>
        <v>12.920425486808609</v>
      </c>
      <c r="G27" s="430">
        <f>LongTest!G93</f>
        <v>3.4704254868086104</v>
      </c>
      <c r="H27" s="529"/>
      <c r="I27" s="530"/>
      <c r="J27" s="531"/>
    </row>
    <row r="28" spans="1:10" ht="24.95" customHeight="1">
      <c r="A28" s="452"/>
      <c r="B28" s="429"/>
      <c r="C28" s="429">
        <f t="shared" si="0"/>
        <v>45456.524305555555</v>
      </c>
      <c r="D28" s="529">
        <v>75</v>
      </c>
      <c r="E28" s="556"/>
      <c r="F28" s="430">
        <f>LongTest!F94</f>
        <v>12.825780647565169</v>
      </c>
      <c r="G28" s="430">
        <f>LongTest!G94</f>
        <v>3.3757806475651706</v>
      </c>
      <c r="H28" s="529"/>
      <c r="I28" s="530"/>
      <c r="J28" s="531"/>
    </row>
    <row r="29" spans="1:10" ht="24.95" customHeight="1">
      <c r="A29" s="452"/>
      <c r="B29" s="429"/>
      <c r="C29" s="429">
        <f t="shared" si="0"/>
        <v>45456.534722222219</v>
      </c>
      <c r="D29" s="529">
        <v>90</v>
      </c>
      <c r="E29" s="556"/>
      <c r="F29" s="430">
        <f>LongTest!F95</f>
        <v>12.733716945888137</v>
      </c>
      <c r="G29" s="430">
        <f>LongTest!G95</f>
        <v>3.2837169458881377</v>
      </c>
      <c r="H29" s="529"/>
      <c r="I29" s="530"/>
      <c r="J29" s="531"/>
    </row>
    <row r="30" spans="1:10" ht="24.95" customHeight="1">
      <c r="A30" s="452"/>
      <c r="B30" s="429"/>
      <c r="C30" s="429">
        <f t="shared" si="0"/>
        <v>45456.545138888883</v>
      </c>
      <c r="D30" s="529">
        <v>105</v>
      </c>
      <c r="E30" s="556"/>
      <c r="F30" s="430">
        <f>LongTest!F96</f>
        <v>12.644163989443497</v>
      </c>
      <c r="G30" s="430">
        <f>LongTest!G96</f>
        <v>3.194163989443497</v>
      </c>
      <c r="H30" s="529"/>
      <c r="I30" s="530"/>
      <c r="J30" s="531"/>
    </row>
    <row r="31" spans="1:10" ht="24.95" customHeight="1">
      <c r="A31" s="452"/>
      <c r="B31" s="429"/>
      <c r="C31" s="429">
        <f t="shared" si="0"/>
        <v>45456.555555555555</v>
      </c>
      <c r="D31" s="529">
        <v>120</v>
      </c>
      <c r="E31" s="556"/>
      <c r="F31" s="430">
        <f>LongTest!F97</f>
        <v>12.389894151376794</v>
      </c>
      <c r="G31" s="430">
        <f>LongTest!G97</f>
        <v>2.9398941513767949</v>
      </c>
      <c r="H31" s="529"/>
      <c r="I31" s="530"/>
      <c r="J31" s="531"/>
    </row>
    <row r="32" spans="1:10" ht="24.95" customHeight="1">
      <c r="A32" s="452"/>
      <c r="B32" s="429"/>
      <c r="C32" s="429">
        <f t="shared" si="0"/>
        <v>45456.597222222219</v>
      </c>
      <c r="D32" s="529">
        <v>180</v>
      </c>
      <c r="E32" s="556"/>
      <c r="F32" s="430">
        <f>LongTest!F98</f>
        <v>12.309717870281746</v>
      </c>
      <c r="G32" s="430">
        <f>LongTest!G98</f>
        <v>2.859717870281747</v>
      </c>
      <c r="H32" s="529"/>
      <c r="I32" s="530"/>
      <c r="J32" s="531"/>
    </row>
    <row r="33" spans="1:10" ht="24.95" customHeight="1">
      <c r="A33" s="452"/>
      <c r="B33" s="429"/>
      <c r="C33" s="429">
        <f t="shared" si="0"/>
        <v>45456.638888888883</v>
      </c>
      <c r="D33" s="529">
        <v>240</v>
      </c>
      <c r="E33" s="556"/>
      <c r="F33" s="430">
        <f>LongTest!F99</f>
        <v>11.872546708864883</v>
      </c>
      <c r="G33" s="430">
        <f>LongTest!G99</f>
        <v>2.4225467088648833</v>
      </c>
      <c r="H33" s="529"/>
      <c r="I33" s="530"/>
      <c r="J33" s="531"/>
    </row>
    <row r="34" spans="1:10" ht="24.95" customHeight="1">
      <c r="A34" s="452"/>
      <c r="B34" s="429"/>
      <c r="C34" s="429">
        <f t="shared" si="0"/>
        <v>45456.680555555555</v>
      </c>
      <c r="D34" s="529">
        <v>300</v>
      </c>
      <c r="E34" s="556"/>
      <c r="F34" s="430">
        <f>LongTest!F100</f>
        <v>11.502206833974805</v>
      </c>
      <c r="G34" s="430">
        <f>LongTest!G100</f>
        <v>2.0522068339748056</v>
      </c>
      <c r="H34" s="529"/>
      <c r="I34" s="530"/>
      <c r="J34" s="531"/>
    </row>
    <row r="35" spans="1:10" ht="24.95" customHeight="1" thickBot="1">
      <c r="A35" s="456"/>
      <c r="B35" s="457"/>
      <c r="C35" s="457">
        <f t="shared" si="0"/>
        <v>45456.722222222219</v>
      </c>
      <c r="D35" s="532">
        <v>360</v>
      </c>
      <c r="E35" s="557"/>
      <c r="F35" s="458">
        <f>LongTest!F101</f>
        <v>11.18848160450383</v>
      </c>
      <c r="G35" s="458">
        <f>LongTest!G101</f>
        <v>1.7384816045038303</v>
      </c>
      <c r="H35" s="532" t="s">
        <v>323</v>
      </c>
      <c r="I35" s="533"/>
      <c r="J35" s="53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436"/>
    <col min="3" max="3" width="11.375" style="436" customWidth="1"/>
    <col min="4" max="4" width="6.75" style="436" customWidth="1"/>
    <col min="5" max="5" width="7.25" style="436" customWidth="1"/>
    <col min="6" max="6" width="13.875" style="436" bestFit="1" customWidth="1"/>
    <col min="7" max="7" width="12.125" style="436" customWidth="1"/>
    <col min="8" max="16384" width="9" style="436"/>
  </cols>
  <sheetData>
    <row r="1" spans="1:10" ht="45.75" customHeight="1" thickBot="1">
      <c r="A1" s="597" t="s">
        <v>319</v>
      </c>
      <c r="B1" s="598"/>
      <c r="C1" s="598"/>
      <c r="D1" s="598"/>
      <c r="E1" s="598"/>
      <c r="F1" s="598"/>
      <c r="G1" s="598"/>
      <c r="H1" s="598"/>
      <c r="I1" s="598"/>
      <c r="J1" s="599"/>
    </row>
    <row r="2" spans="1:10" ht="24.95" customHeight="1">
      <c r="A2" s="600" t="s">
        <v>295</v>
      </c>
      <c r="B2" s="601"/>
      <c r="C2" s="602" t="str">
        <f>LongTest!C2</f>
        <v>순성중명아파트 이용허가 유효기간의 연장을 위한 지하수영향조사보고서</v>
      </c>
      <c r="D2" s="603"/>
      <c r="E2" s="603"/>
      <c r="F2" s="603"/>
      <c r="G2" s="603"/>
      <c r="H2" s="603"/>
      <c r="I2" s="603"/>
      <c r="J2" s="604"/>
    </row>
    <row r="3" spans="1:10" ht="24.95" customHeight="1">
      <c r="A3" s="588" t="s">
        <v>296</v>
      </c>
      <c r="B3" s="589"/>
      <c r="C3" s="605" t="str">
        <f>LongTest!C4</f>
        <v>충청남도 당진시 순성면 순성로 453-30번지</v>
      </c>
      <c r="D3" s="606"/>
      <c r="E3" s="606"/>
      <c r="F3" s="606"/>
      <c r="G3" s="606"/>
      <c r="H3" s="607"/>
      <c r="I3" s="437" t="str">
        <f>Input!I54</f>
        <v>W-1</v>
      </c>
      <c r="J3" s="438" t="s">
        <v>322</v>
      </c>
    </row>
    <row r="4" spans="1:10" ht="24.95" customHeight="1">
      <c r="A4" s="588" t="s">
        <v>297</v>
      </c>
      <c r="B4" s="589"/>
      <c r="C4" s="591">
        <f>LongTest!C10</f>
        <v>45454.472222222219</v>
      </c>
      <c r="D4" s="592"/>
      <c r="E4" s="592"/>
      <c r="F4" s="592"/>
      <c r="G4" s="592"/>
      <c r="H4" s="592"/>
      <c r="I4" s="592"/>
      <c r="J4" s="593"/>
    </row>
    <row r="5" spans="1:10" ht="24.95" customHeight="1">
      <c r="A5" s="588" t="s">
        <v>298</v>
      </c>
      <c r="B5" s="589"/>
      <c r="C5" s="591">
        <f>C55</f>
        <v>45455.472222222219</v>
      </c>
      <c r="D5" s="592"/>
      <c r="E5" s="592"/>
      <c r="F5" s="592"/>
      <c r="G5" s="592"/>
      <c r="H5" s="592"/>
      <c r="I5" s="592"/>
      <c r="J5" s="593"/>
    </row>
    <row r="6" spans="1:10" ht="24.95" customHeight="1">
      <c r="A6" s="588" t="s">
        <v>294</v>
      </c>
      <c r="B6" s="589"/>
      <c r="C6" s="594" t="str">
        <f>LongTest!C5</f>
        <v>주식회사 한일지하수</v>
      </c>
      <c r="D6" s="595"/>
      <c r="E6" s="595"/>
      <c r="F6" s="595"/>
      <c r="G6" s="595"/>
      <c r="H6" s="595"/>
      <c r="I6" s="595"/>
      <c r="J6" s="596"/>
    </row>
    <row r="7" spans="1:10" ht="24.95" customHeight="1">
      <c r="A7" s="588" t="s">
        <v>299</v>
      </c>
      <c r="B7" s="589"/>
      <c r="C7" s="590" t="s">
        <v>326</v>
      </c>
      <c r="D7" s="589"/>
      <c r="E7" s="439">
        <f>LongTest!C6</f>
        <v>5</v>
      </c>
      <c r="F7" s="439" t="s">
        <v>300</v>
      </c>
      <c r="G7" s="439" t="s">
        <v>328</v>
      </c>
      <c r="H7" s="590">
        <f>Input!I50</f>
        <v>50</v>
      </c>
      <c r="I7" s="589"/>
      <c r="J7" s="440" t="s">
        <v>301</v>
      </c>
    </row>
    <row r="8" spans="1:10" ht="24.95" customHeight="1">
      <c r="A8" s="588" t="s">
        <v>302</v>
      </c>
      <c r="B8" s="589"/>
      <c r="C8" s="590" t="s">
        <v>327</v>
      </c>
      <c r="D8" s="589"/>
      <c r="E8" s="439">
        <f>LongTest!D7</f>
        <v>200</v>
      </c>
      <c r="F8" s="439" t="s">
        <v>303</v>
      </c>
      <c r="G8" s="439" t="s">
        <v>304</v>
      </c>
      <c r="H8" s="590">
        <f>LongTest!G7</f>
        <v>100</v>
      </c>
      <c r="I8" s="589"/>
      <c r="J8" s="440" t="s">
        <v>301</v>
      </c>
    </row>
    <row r="9" spans="1:10" ht="24.95" customHeight="1">
      <c r="A9" s="588" t="s">
        <v>305</v>
      </c>
      <c r="B9" s="589"/>
      <c r="C9" s="590" t="s">
        <v>325</v>
      </c>
      <c r="D9" s="589"/>
      <c r="E9" s="439">
        <f>LongTest!D8</f>
        <v>9.4499999999999993</v>
      </c>
      <c r="F9" s="439" t="s">
        <v>301</v>
      </c>
      <c r="G9" s="439" t="s">
        <v>306</v>
      </c>
      <c r="H9" s="590">
        <f>LongTest!G8</f>
        <v>25.330000000000002</v>
      </c>
      <c r="I9" s="589"/>
      <c r="J9" s="440" t="s">
        <v>301</v>
      </c>
    </row>
    <row r="10" spans="1:10" ht="24.95" customHeight="1">
      <c r="A10" s="554" t="s">
        <v>307</v>
      </c>
      <c r="B10" s="439" t="s">
        <v>308</v>
      </c>
      <c r="C10" s="555" t="s">
        <v>190</v>
      </c>
      <c r="D10" s="555" t="s">
        <v>310</v>
      </c>
      <c r="E10" s="555"/>
      <c r="F10" s="439" t="s">
        <v>311</v>
      </c>
      <c r="G10" s="439" t="s">
        <v>313</v>
      </c>
      <c r="H10" s="439" t="s">
        <v>314</v>
      </c>
      <c r="I10" s="439" t="s">
        <v>315</v>
      </c>
      <c r="J10" s="440" t="s">
        <v>318</v>
      </c>
    </row>
    <row r="11" spans="1:10" ht="24.95" customHeight="1">
      <c r="A11" s="554"/>
      <c r="B11" s="439" t="s">
        <v>331</v>
      </c>
      <c r="C11" s="555"/>
      <c r="D11" s="555" t="s">
        <v>332</v>
      </c>
      <c r="E11" s="555"/>
      <c r="F11" s="439" t="s">
        <v>312</v>
      </c>
      <c r="G11" s="439" t="s">
        <v>312</v>
      </c>
      <c r="H11" s="439" t="s">
        <v>333</v>
      </c>
      <c r="I11" s="465" t="s">
        <v>334</v>
      </c>
      <c r="J11" s="441"/>
    </row>
    <row r="12" spans="1:10" ht="24.95" customHeight="1">
      <c r="A12" s="421">
        <v>1</v>
      </c>
      <c r="B12" s="471">
        <f>LongTest!B10</f>
        <v>150</v>
      </c>
      <c r="C12" s="442">
        <f t="shared" ref="C12:C55" si="0">$C$4+D12/1440</f>
        <v>45454.472916666666</v>
      </c>
      <c r="D12" s="555">
        <v>1</v>
      </c>
      <c r="E12" s="555"/>
      <c r="F12" s="443">
        <f>LongTest!F10</f>
        <v>12.765655952211457</v>
      </c>
      <c r="G12" s="443">
        <f>LongTest!G10</f>
        <v>3.3156559522114577</v>
      </c>
      <c r="H12" s="444"/>
      <c r="I12" s="444"/>
      <c r="J12" s="445"/>
    </row>
    <row r="13" spans="1:10" ht="24.95" customHeight="1">
      <c r="A13" s="421"/>
      <c r="B13" s="439"/>
      <c r="C13" s="442">
        <f t="shared" si="0"/>
        <v>45454.473611111105</v>
      </c>
      <c r="D13" s="555">
        <v>2</v>
      </c>
      <c r="E13" s="555"/>
      <c r="F13" s="443">
        <f>LongTest!F11</f>
        <v>14.149879737904628</v>
      </c>
      <c r="G13" s="443">
        <f>LongTest!G11</f>
        <v>4.6998797379046291</v>
      </c>
      <c r="H13" s="444"/>
      <c r="I13" s="444"/>
      <c r="J13" s="445"/>
    </row>
    <row r="14" spans="1:10" ht="24.95" customHeight="1">
      <c r="A14" s="421"/>
      <c r="B14" s="439"/>
      <c r="C14" s="442">
        <f t="shared" si="0"/>
        <v>45454.474305555552</v>
      </c>
      <c r="D14" s="555">
        <v>3</v>
      </c>
      <c r="E14" s="555"/>
      <c r="F14" s="443">
        <f>LongTest!F12</f>
        <v>14.959598745141413</v>
      </c>
      <c r="G14" s="443">
        <f>LongTest!G12</f>
        <v>5.5095987451414139</v>
      </c>
      <c r="H14" s="444"/>
      <c r="I14" s="444"/>
      <c r="J14" s="445"/>
    </row>
    <row r="15" spans="1:10" ht="24.95" customHeight="1">
      <c r="A15" s="421"/>
      <c r="B15" s="439"/>
      <c r="C15" s="442">
        <f t="shared" si="0"/>
        <v>45454.474999999999</v>
      </c>
      <c r="D15" s="555">
        <v>4</v>
      </c>
      <c r="E15" s="555"/>
      <c r="F15" s="443">
        <f>LongTest!F13</f>
        <v>15.534103523597803</v>
      </c>
      <c r="G15" s="443">
        <f>LongTest!G13</f>
        <v>6.084103523597804</v>
      </c>
      <c r="H15" s="444"/>
      <c r="I15" s="444"/>
      <c r="J15" s="445"/>
    </row>
    <row r="16" spans="1:10" ht="24.95" customHeight="1">
      <c r="A16" s="421"/>
      <c r="B16" s="439"/>
      <c r="C16" s="442">
        <f t="shared" si="0"/>
        <v>45454.475694444438</v>
      </c>
      <c r="D16" s="555">
        <v>5</v>
      </c>
      <c r="E16" s="555"/>
      <c r="F16" s="443">
        <f>LongTest!F14</f>
        <v>15.97972404982378</v>
      </c>
      <c r="G16" s="443">
        <f>LongTest!G14</f>
        <v>6.5297240498237805</v>
      </c>
      <c r="H16" s="439">
        <f>'w1'!D14</f>
        <v>15.5</v>
      </c>
      <c r="I16" s="439">
        <f>'w1'!E14</f>
        <v>202</v>
      </c>
      <c r="J16" s="440">
        <f>'w1'!F14</f>
        <v>6.38</v>
      </c>
    </row>
    <row r="17" spans="1:10" ht="24.95" customHeight="1">
      <c r="A17" s="421"/>
      <c r="B17" s="439"/>
      <c r="C17" s="442">
        <f t="shared" si="0"/>
        <v>45454.479166666664</v>
      </c>
      <c r="D17" s="555">
        <v>10</v>
      </c>
      <c r="E17" s="555"/>
      <c r="F17" s="443">
        <f>LongTest!F15</f>
        <v>17.363947835516949</v>
      </c>
      <c r="G17" s="443">
        <f>LongTest!G15</f>
        <v>7.9139478355169501</v>
      </c>
      <c r="H17" s="439"/>
      <c r="I17" s="439"/>
      <c r="J17" s="440"/>
    </row>
    <row r="18" spans="1:10" ht="24.95" customHeight="1">
      <c r="A18" s="421"/>
      <c r="B18" s="439"/>
      <c r="C18" s="442">
        <f t="shared" si="0"/>
        <v>45454.482638888883</v>
      </c>
      <c r="D18" s="555">
        <v>15</v>
      </c>
      <c r="E18" s="555"/>
      <c r="F18" s="443">
        <f>LongTest!F16</f>
        <v>18.173666842753736</v>
      </c>
      <c r="G18" s="443">
        <f>LongTest!G16</f>
        <v>8.7236668427537367</v>
      </c>
      <c r="H18" s="439"/>
      <c r="I18" s="439"/>
      <c r="J18" s="440"/>
    </row>
    <row r="19" spans="1:10" ht="24.95" customHeight="1">
      <c r="A19" s="421"/>
      <c r="B19" s="439"/>
      <c r="C19" s="442">
        <f t="shared" si="0"/>
        <v>45454.486111111109</v>
      </c>
      <c r="D19" s="555">
        <v>20</v>
      </c>
      <c r="E19" s="555"/>
      <c r="F19" s="443">
        <f>LongTest!F17</f>
        <v>18.748171621210126</v>
      </c>
      <c r="G19" s="443">
        <f>LongTest!G17</f>
        <v>9.2981716212101269</v>
      </c>
      <c r="H19" s="439"/>
      <c r="I19" s="439"/>
      <c r="J19" s="440"/>
    </row>
    <row r="20" spans="1:10" ht="24.95" customHeight="1">
      <c r="A20" s="421"/>
      <c r="B20" s="439"/>
      <c r="C20" s="442">
        <f t="shared" si="0"/>
        <v>45454.489583333328</v>
      </c>
      <c r="D20" s="555">
        <v>25</v>
      </c>
      <c r="E20" s="555"/>
      <c r="F20" s="443">
        <f>LongTest!F18</f>
        <v>19.193792147436099</v>
      </c>
      <c r="G20" s="443">
        <f>LongTest!G18</f>
        <v>9.7437921474360998</v>
      </c>
      <c r="H20" s="439"/>
      <c r="I20" s="439"/>
      <c r="J20" s="440"/>
    </row>
    <row r="21" spans="1:10" ht="24.95" customHeight="1">
      <c r="A21" s="421"/>
      <c r="B21" s="439"/>
      <c r="C21" s="442">
        <f t="shared" si="0"/>
        <v>45454.493055555555</v>
      </c>
      <c r="D21" s="555">
        <v>30</v>
      </c>
      <c r="E21" s="555"/>
      <c r="F21" s="443">
        <f>LongTest!F19</f>
        <v>19.557890628446909</v>
      </c>
      <c r="G21" s="443">
        <f>LongTest!G19</f>
        <v>10.10789062844691</v>
      </c>
      <c r="H21" s="439">
        <f>'w1'!D15</f>
        <v>15.200000000000001</v>
      </c>
      <c r="I21" s="439">
        <f>'w1'!E15</f>
        <v>207</v>
      </c>
      <c r="J21" s="440">
        <f>'w1'!F15</f>
        <v>6.62</v>
      </c>
    </row>
    <row r="22" spans="1:10" ht="24.95" customHeight="1">
      <c r="A22" s="421"/>
      <c r="B22" s="439"/>
      <c r="C22" s="442">
        <f t="shared" si="0"/>
        <v>45454.496527777774</v>
      </c>
      <c r="D22" s="555">
        <v>35</v>
      </c>
      <c r="E22" s="555"/>
      <c r="F22" s="443">
        <f>LongTest!F20</f>
        <v>19.865731507818719</v>
      </c>
      <c r="G22" s="443">
        <f>LongTest!G20</f>
        <v>10.41573150781872</v>
      </c>
      <c r="H22" s="439"/>
      <c r="I22" s="439"/>
      <c r="J22" s="440"/>
    </row>
    <row r="23" spans="1:10" ht="24.95" customHeight="1">
      <c r="A23" s="421"/>
      <c r="B23" s="439"/>
      <c r="C23" s="442">
        <f t="shared" si="0"/>
        <v>45454.5</v>
      </c>
      <c r="D23" s="555">
        <v>40</v>
      </c>
      <c r="E23" s="555"/>
      <c r="F23" s="443">
        <f>LongTest!F21</f>
        <v>20.132395406903299</v>
      </c>
      <c r="G23" s="443">
        <f>LongTest!G21</f>
        <v>10.6823954069033</v>
      </c>
      <c r="H23" s="439"/>
      <c r="I23" s="439"/>
      <c r="J23" s="440"/>
    </row>
    <row r="24" spans="1:10" ht="24.95" customHeight="1">
      <c r="A24" s="421"/>
      <c r="B24" s="439"/>
      <c r="C24" s="442">
        <f t="shared" si="0"/>
        <v>45454.503472222219</v>
      </c>
      <c r="D24" s="555">
        <v>45</v>
      </c>
      <c r="E24" s="555"/>
      <c r="F24" s="443">
        <f>LongTest!F22</f>
        <v>20.367609635683696</v>
      </c>
      <c r="G24" s="443">
        <f>LongTest!G22</f>
        <v>10.917609635683696</v>
      </c>
      <c r="H24" s="439"/>
      <c r="I24" s="439"/>
      <c r="J24" s="440"/>
    </row>
    <row r="25" spans="1:10" ht="24.95" customHeight="1">
      <c r="A25" s="421"/>
      <c r="B25" s="439"/>
      <c r="C25" s="442">
        <f t="shared" si="0"/>
        <v>45454.506944444438</v>
      </c>
      <c r="D25" s="555">
        <v>50</v>
      </c>
      <c r="E25" s="555"/>
      <c r="F25" s="443">
        <f>LongTest!F23</f>
        <v>20.578015933129272</v>
      </c>
      <c r="G25" s="443">
        <f>LongTest!G23</f>
        <v>11.128015933129273</v>
      </c>
      <c r="H25" s="439"/>
      <c r="I25" s="439"/>
      <c r="J25" s="440"/>
    </row>
    <row r="26" spans="1:10" ht="24.95" customHeight="1">
      <c r="A26" s="421"/>
      <c r="B26" s="439"/>
      <c r="C26" s="442">
        <f t="shared" si="0"/>
        <v>45454.510416666664</v>
      </c>
      <c r="D26" s="555">
        <v>55</v>
      </c>
      <c r="E26" s="555"/>
      <c r="F26" s="443">
        <f>LongTest!F24</f>
        <v>20.768351581320562</v>
      </c>
      <c r="G26" s="443">
        <f>LongTest!G24</f>
        <v>11.318351581320563</v>
      </c>
      <c r="H26" s="439"/>
      <c r="I26" s="439"/>
      <c r="J26" s="440"/>
    </row>
    <row r="27" spans="1:10" ht="24.95" customHeight="1">
      <c r="A27" s="421"/>
      <c r="B27" s="439"/>
      <c r="C27" s="442">
        <f t="shared" si="0"/>
        <v>45454.513888888883</v>
      </c>
      <c r="D27" s="555">
        <v>60</v>
      </c>
      <c r="E27" s="555"/>
      <c r="F27" s="443">
        <f>LongTest!F25</f>
        <v>20.942114414140082</v>
      </c>
      <c r="G27" s="443">
        <f>LongTest!G25</f>
        <v>11.492114414140083</v>
      </c>
      <c r="H27" s="439">
        <f>'w1'!D16</f>
        <v>15.4</v>
      </c>
      <c r="I27" s="439">
        <f>'w1'!E16</f>
        <v>202</v>
      </c>
      <c r="J27" s="440">
        <f>'w1'!F16</f>
        <v>6.41</v>
      </c>
    </row>
    <row r="28" spans="1:10" ht="24.95" customHeight="1">
      <c r="A28" s="421"/>
      <c r="B28" s="439"/>
      <c r="C28" s="442">
        <f t="shared" si="0"/>
        <v>45454.524305555555</v>
      </c>
      <c r="D28" s="555">
        <v>75</v>
      </c>
      <c r="E28" s="555"/>
      <c r="F28" s="443">
        <f>LongTest!F26</f>
        <v>21.387734940366059</v>
      </c>
      <c r="G28" s="443">
        <f>LongTest!G26</f>
        <v>11.93773494036606</v>
      </c>
      <c r="H28" s="439"/>
      <c r="I28" s="439"/>
      <c r="J28" s="440"/>
    </row>
    <row r="29" spans="1:10" ht="24.95" customHeight="1">
      <c r="A29" s="421"/>
      <c r="B29" s="439"/>
      <c r="C29" s="442">
        <f t="shared" si="0"/>
        <v>45454.534722222219</v>
      </c>
      <c r="D29" s="555">
        <v>90</v>
      </c>
      <c r="E29" s="555"/>
      <c r="F29" s="443">
        <f>LongTest!F27</f>
        <v>21.751833421376869</v>
      </c>
      <c r="G29" s="443">
        <f>LongTest!G27</f>
        <v>12.30183342137687</v>
      </c>
      <c r="H29" s="439"/>
      <c r="I29" s="439"/>
      <c r="J29" s="440"/>
    </row>
    <row r="30" spans="1:10" ht="24.95" customHeight="1">
      <c r="A30" s="421"/>
      <c r="B30" s="439"/>
      <c r="C30" s="442">
        <f t="shared" si="0"/>
        <v>45454.545138888883</v>
      </c>
      <c r="D30" s="555">
        <v>105</v>
      </c>
      <c r="E30" s="555"/>
      <c r="F30" s="443">
        <f>LongTest!F28</f>
        <v>22.059674300748675</v>
      </c>
      <c r="G30" s="443">
        <f>LongTest!G28</f>
        <v>12.609674300748676</v>
      </c>
      <c r="H30" s="439"/>
      <c r="I30" s="439"/>
      <c r="J30" s="440"/>
    </row>
    <row r="31" spans="1:10" ht="24.95" customHeight="1">
      <c r="A31" s="421"/>
      <c r="B31" s="439"/>
      <c r="C31" s="442">
        <f t="shared" si="0"/>
        <v>45454.555555555555</v>
      </c>
      <c r="D31" s="555">
        <v>120</v>
      </c>
      <c r="E31" s="555"/>
      <c r="F31" s="443">
        <f>LongTest!F29</f>
        <v>22.326338199833256</v>
      </c>
      <c r="G31" s="443">
        <f>LongTest!G29</f>
        <v>12.876338199833256</v>
      </c>
      <c r="H31" s="439">
        <f>'w1'!D17</f>
        <v>15</v>
      </c>
      <c r="I31" s="439">
        <f>'w1'!E17</f>
        <v>201</v>
      </c>
      <c r="J31" s="440">
        <f>'w1'!F17</f>
        <v>6.37</v>
      </c>
    </row>
    <row r="32" spans="1:10" ht="24.95" customHeight="1">
      <c r="A32" s="421"/>
      <c r="B32" s="419"/>
      <c r="C32" s="442">
        <f t="shared" si="0"/>
        <v>45454.569444444438</v>
      </c>
      <c r="D32" s="555">
        <v>140</v>
      </c>
      <c r="E32" s="555"/>
      <c r="F32" s="443">
        <f>LongTest!F30</f>
        <v>22.634179079205065</v>
      </c>
      <c r="G32" s="443">
        <f>LongTest!G30</f>
        <v>13.184179079205066</v>
      </c>
      <c r="H32" s="439"/>
      <c r="I32" s="439"/>
      <c r="J32" s="440"/>
    </row>
    <row r="33" spans="1:10" ht="24.95" customHeight="1">
      <c r="A33" s="421"/>
      <c r="B33" s="439"/>
      <c r="C33" s="442">
        <f t="shared" si="0"/>
        <v>45454.583333333328</v>
      </c>
      <c r="D33" s="555">
        <v>160</v>
      </c>
      <c r="E33" s="555"/>
      <c r="F33" s="443">
        <f>LongTest!F31</f>
        <v>22.900842978289646</v>
      </c>
      <c r="G33" s="443">
        <f>LongTest!G31</f>
        <v>13.450842978289646</v>
      </c>
      <c r="H33" s="439"/>
      <c r="I33" s="439"/>
      <c r="J33" s="440"/>
    </row>
    <row r="34" spans="1:10" ht="24.95" customHeight="1">
      <c r="A34" s="421"/>
      <c r="B34" s="439"/>
      <c r="C34" s="442">
        <f t="shared" si="0"/>
        <v>45454.597222222219</v>
      </c>
      <c r="D34" s="555">
        <v>180</v>
      </c>
      <c r="E34" s="555"/>
      <c r="F34" s="443">
        <f>LongTest!F32</f>
        <v>23.136057207070042</v>
      </c>
      <c r="G34" s="443">
        <f>LongTest!G32</f>
        <v>13.686057207070043</v>
      </c>
      <c r="H34" s="439"/>
      <c r="I34" s="439"/>
      <c r="J34" s="440"/>
    </row>
    <row r="35" spans="1:10" ht="24.95" customHeight="1">
      <c r="A35" s="421"/>
      <c r="B35" s="439"/>
      <c r="C35" s="442">
        <f t="shared" si="0"/>
        <v>45454.638888888883</v>
      </c>
      <c r="D35" s="555">
        <v>240</v>
      </c>
      <c r="E35" s="555"/>
      <c r="F35" s="443">
        <f>LongTest!F33</f>
        <v>23.710561985526432</v>
      </c>
      <c r="G35" s="443">
        <f>LongTest!G33</f>
        <v>14.260561985526433</v>
      </c>
      <c r="H35" s="439">
        <f>'w1'!D18</f>
        <v>15</v>
      </c>
      <c r="I35" s="439">
        <f>'w1'!E18</f>
        <v>206</v>
      </c>
      <c r="J35" s="440">
        <f>'w1'!F18</f>
        <v>6.59</v>
      </c>
    </row>
    <row r="36" spans="1:10" ht="24.95" customHeight="1">
      <c r="A36" s="421"/>
      <c r="B36" s="439"/>
      <c r="C36" s="442">
        <f t="shared" si="0"/>
        <v>45454.680555555555</v>
      </c>
      <c r="D36" s="555">
        <v>300</v>
      </c>
      <c r="E36" s="555"/>
      <c r="F36" s="443">
        <f>LongTest!F34</f>
        <v>24.156182511752405</v>
      </c>
      <c r="G36" s="443">
        <f>LongTest!G34</f>
        <v>14.706182511752406</v>
      </c>
      <c r="H36" s="439"/>
      <c r="I36" s="439"/>
      <c r="J36" s="440"/>
    </row>
    <row r="37" spans="1:10" ht="24.95" customHeight="1">
      <c r="A37" s="422"/>
      <c r="B37" s="420"/>
      <c r="C37" s="442">
        <f t="shared" si="0"/>
        <v>45454.722222222219</v>
      </c>
      <c r="D37" s="555">
        <v>360</v>
      </c>
      <c r="E37" s="555"/>
      <c r="F37" s="443">
        <f>LongTest!F35</f>
        <v>24.520280992763215</v>
      </c>
      <c r="G37" s="443">
        <f>LongTest!G35</f>
        <v>15.070280992763216</v>
      </c>
      <c r="H37" s="439"/>
      <c r="I37" s="439"/>
      <c r="J37" s="440"/>
    </row>
    <row r="38" spans="1:10" ht="24.95" customHeight="1">
      <c r="A38" s="421"/>
      <c r="B38" s="439"/>
      <c r="C38" s="442">
        <f t="shared" si="0"/>
        <v>45454.763888888883</v>
      </c>
      <c r="D38" s="555">
        <v>420</v>
      </c>
      <c r="E38" s="555"/>
      <c r="F38" s="443">
        <f>LongTest!F36</f>
        <v>24.828121872135025</v>
      </c>
      <c r="G38" s="443">
        <f>LongTest!G36</f>
        <v>15.378121872135026</v>
      </c>
      <c r="H38" s="439"/>
      <c r="I38" s="439"/>
      <c r="J38" s="440"/>
    </row>
    <row r="39" spans="1:10" ht="24.95" customHeight="1">
      <c r="A39" s="421"/>
      <c r="B39" s="439"/>
      <c r="C39" s="442">
        <f t="shared" si="0"/>
        <v>45454.805555555555</v>
      </c>
      <c r="D39" s="555">
        <v>480</v>
      </c>
      <c r="E39" s="555"/>
      <c r="F39" s="443">
        <f>LongTest!F37</f>
        <v>25.094785771219605</v>
      </c>
      <c r="G39" s="443">
        <f>LongTest!G37</f>
        <v>15.644785771219606</v>
      </c>
      <c r="H39" s="439">
        <f>'w1'!D19</f>
        <v>15.600000000000001</v>
      </c>
      <c r="I39" s="439">
        <f>'w1'!E19</f>
        <v>203</v>
      </c>
      <c r="J39" s="440">
        <f>'w1'!F19</f>
        <v>6.39</v>
      </c>
    </row>
    <row r="40" spans="1:10" ht="24.95" customHeight="1">
      <c r="A40" s="421"/>
      <c r="B40" s="439"/>
      <c r="C40" s="442">
        <f t="shared" si="0"/>
        <v>45454.847222222219</v>
      </c>
      <c r="D40" s="555">
        <v>540</v>
      </c>
      <c r="E40" s="555"/>
      <c r="F40" s="443">
        <f>LongTest!F38</f>
        <v>25.330000000000002</v>
      </c>
      <c r="G40" s="443">
        <f>LongTest!G38</f>
        <v>15.880000000000003</v>
      </c>
      <c r="H40" s="439"/>
      <c r="I40" s="439"/>
      <c r="J40" s="440"/>
    </row>
    <row r="41" spans="1:10" ht="24.95" customHeight="1">
      <c r="A41" s="421"/>
      <c r="B41" s="439"/>
      <c r="C41" s="442">
        <f t="shared" si="0"/>
        <v>45454.888888888883</v>
      </c>
      <c r="D41" s="555">
        <v>600</v>
      </c>
      <c r="E41" s="555"/>
      <c r="F41" s="443">
        <f>LongTest!F39</f>
        <v>25.330000000000002</v>
      </c>
      <c r="G41" s="443">
        <f>LongTest!G39</f>
        <v>15.880000000000003</v>
      </c>
      <c r="H41" s="439"/>
      <c r="I41" s="439"/>
      <c r="J41" s="440"/>
    </row>
    <row r="42" spans="1:10" ht="24.95" customHeight="1">
      <c r="A42" s="422"/>
      <c r="B42" s="420"/>
      <c r="C42" s="442">
        <f t="shared" si="0"/>
        <v>45454.930555555555</v>
      </c>
      <c r="D42" s="555">
        <v>660</v>
      </c>
      <c r="E42" s="555"/>
      <c r="F42" s="443">
        <f>LongTest!F40</f>
        <v>25.330000000000002</v>
      </c>
      <c r="G42" s="443">
        <f>LongTest!G40</f>
        <v>15.880000000000003</v>
      </c>
      <c r="H42" s="439"/>
      <c r="I42" s="439"/>
      <c r="J42" s="440"/>
    </row>
    <row r="43" spans="1:10" ht="24.95" customHeight="1">
      <c r="A43" s="421"/>
      <c r="B43" s="439"/>
      <c r="C43" s="442">
        <f t="shared" si="0"/>
        <v>45454.972222222219</v>
      </c>
      <c r="D43" s="555">
        <v>720</v>
      </c>
      <c r="E43" s="555"/>
      <c r="F43" s="443">
        <f>LongTest!F41</f>
        <v>25.330000000000002</v>
      </c>
      <c r="G43" s="443">
        <f>LongTest!G41</f>
        <v>15.880000000000003</v>
      </c>
      <c r="H43" s="439"/>
      <c r="I43" s="439"/>
      <c r="J43" s="440"/>
    </row>
    <row r="44" spans="1:10" ht="24.95" customHeight="1">
      <c r="A44" s="421"/>
      <c r="B44" s="439"/>
      <c r="C44" s="442">
        <f t="shared" si="0"/>
        <v>45455.013888888883</v>
      </c>
      <c r="D44" s="555">
        <v>780</v>
      </c>
      <c r="E44" s="555"/>
      <c r="F44" s="439">
        <f>LongTest!F42</f>
        <v>25.330000000000002</v>
      </c>
      <c r="G44" s="439">
        <f>LongTest!G42</f>
        <v>15.880000000000003</v>
      </c>
      <c r="H44" s="439"/>
      <c r="I44" s="439"/>
      <c r="J44" s="440"/>
    </row>
    <row r="45" spans="1:10" ht="24.95" customHeight="1">
      <c r="A45" s="421"/>
      <c r="B45" s="439"/>
      <c r="C45" s="442">
        <f t="shared" si="0"/>
        <v>45455.055555555555</v>
      </c>
      <c r="D45" s="555">
        <v>840</v>
      </c>
      <c r="E45" s="555"/>
      <c r="F45" s="439">
        <f>LongTest!F43</f>
        <v>25.330000000000002</v>
      </c>
      <c r="G45" s="439">
        <f>LongTest!G43</f>
        <v>15.880000000000003</v>
      </c>
      <c r="H45" s="439"/>
      <c r="I45" s="439"/>
      <c r="J45" s="440"/>
    </row>
    <row r="46" spans="1:10" ht="24.95" customHeight="1">
      <c r="A46" s="421"/>
      <c r="B46" s="439"/>
      <c r="C46" s="442">
        <f t="shared" si="0"/>
        <v>45455.097222222219</v>
      </c>
      <c r="D46" s="555">
        <v>900</v>
      </c>
      <c r="E46" s="555"/>
      <c r="F46" s="439">
        <f>LongTest!F44</f>
        <v>25.330000000000002</v>
      </c>
      <c r="G46" s="439">
        <f>LongTest!G44</f>
        <v>15.880000000000003</v>
      </c>
      <c r="H46" s="439"/>
      <c r="I46" s="439"/>
      <c r="J46" s="440"/>
    </row>
    <row r="47" spans="1:10" ht="24.95" customHeight="1">
      <c r="A47" s="422"/>
      <c r="B47" s="420"/>
      <c r="C47" s="442">
        <f t="shared" si="0"/>
        <v>45455.138888888883</v>
      </c>
      <c r="D47" s="555">
        <v>960</v>
      </c>
      <c r="E47" s="555"/>
      <c r="F47" s="439">
        <f>LongTest!F45</f>
        <v>25.330000000000002</v>
      </c>
      <c r="G47" s="439">
        <f>LongTest!G45</f>
        <v>15.880000000000003</v>
      </c>
      <c r="H47" s="439"/>
      <c r="I47" s="439"/>
      <c r="J47" s="440"/>
    </row>
    <row r="48" spans="1:10" ht="24.95" customHeight="1">
      <c r="A48" s="421"/>
      <c r="B48" s="439"/>
      <c r="C48" s="442">
        <f t="shared" si="0"/>
        <v>45455.180555555555</v>
      </c>
      <c r="D48" s="555">
        <v>1020</v>
      </c>
      <c r="E48" s="555"/>
      <c r="F48" s="439">
        <f>LongTest!F46</f>
        <v>25.330000000000002</v>
      </c>
      <c r="G48" s="439">
        <f>LongTest!G46</f>
        <v>15.880000000000003</v>
      </c>
      <c r="H48" s="439"/>
      <c r="I48" s="439"/>
      <c r="J48" s="440"/>
    </row>
    <row r="49" spans="1:10" ht="24.95" customHeight="1">
      <c r="A49" s="421"/>
      <c r="B49" s="439"/>
      <c r="C49" s="442">
        <f t="shared" si="0"/>
        <v>45455.222222222219</v>
      </c>
      <c r="D49" s="555">
        <v>1080</v>
      </c>
      <c r="E49" s="555"/>
      <c r="F49" s="439">
        <f>LongTest!F47</f>
        <v>25.330000000000002</v>
      </c>
      <c r="G49" s="439">
        <f>LongTest!G47</f>
        <v>15.880000000000003</v>
      </c>
      <c r="H49" s="439"/>
      <c r="I49" s="439"/>
      <c r="J49" s="440"/>
    </row>
    <row r="50" spans="1:10" ht="24.95" customHeight="1">
      <c r="A50" s="421"/>
      <c r="B50" s="439"/>
      <c r="C50" s="442">
        <f t="shared" si="0"/>
        <v>45455.263888888883</v>
      </c>
      <c r="D50" s="555">
        <v>1140</v>
      </c>
      <c r="E50" s="555"/>
      <c r="F50" s="439">
        <f>LongTest!F48</f>
        <v>25.330000000000002</v>
      </c>
      <c r="G50" s="439">
        <f>LongTest!G48</f>
        <v>15.880000000000003</v>
      </c>
      <c r="H50" s="439"/>
      <c r="I50" s="439"/>
      <c r="J50" s="440"/>
    </row>
    <row r="51" spans="1:10" ht="24.95" customHeight="1">
      <c r="A51" s="421"/>
      <c r="B51" s="439"/>
      <c r="C51" s="442">
        <f t="shared" si="0"/>
        <v>45455.305555555555</v>
      </c>
      <c r="D51" s="555">
        <v>1200</v>
      </c>
      <c r="E51" s="555"/>
      <c r="F51" s="439">
        <f>LongTest!F49</f>
        <v>25.330000000000002</v>
      </c>
      <c r="G51" s="439">
        <f>LongTest!G49</f>
        <v>15.880000000000003</v>
      </c>
      <c r="H51" s="439"/>
      <c r="I51" s="439"/>
      <c r="J51" s="440"/>
    </row>
    <row r="52" spans="1:10" ht="24.95" customHeight="1">
      <c r="A52" s="421"/>
      <c r="B52" s="439"/>
      <c r="C52" s="442">
        <f t="shared" si="0"/>
        <v>45455.347222222219</v>
      </c>
      <c r="D52" s="555">
        <v>1260</v>
      </c>
      <c r="E52" s="555"/>
      <c r="F52" s="439">
        <f>LongTest!F50</f>
        <v>25.330000000000002</v>
      </c>
      <c r="G52" s="439">
        <f>LongTest!G50</f>
        <v>15.880000000000003</v>
      </c>
      <c r="H52" s="439"/>
      <c r="I52" s="439"/>
      <c r="J52" s="440"/>
    </row>
    <row r="53" spans="1:10" ht="24.95" customHeight="1">
      <c r="A53" s="421"/>
      <c r="B53" s="439"/>
      <c r="C53" s="442">
        <f t="shared" si="0"/>
        <v>45455.388888888883</v>
      </c>
      <c r="D53" s="555">
        <v>1320</v>
      </c>
      <c r="E53" s="555"/>
      <c r="F53" s="439">
        <f>LongTest!F51</f>
        <v>25.330000000000002</v>
      </c>
      <c r="G53" s="439">
        <f>LongTest!G51</f>
        <v>15.880000000000003</v>
      </c>
      <c r="H53" s="439"/>
      <c r="I53" s="439"/>
      <c r="J53" s="440"/>
    </row>
    <row r="54" spans="1:10" ht="24.95" customHeight="1">
      <c r="A54" s="421"/>
      <c r="B54" s="439"/>
      <c r="C54" s="442">
        <f t="shared" si="0"/>
        <v>45455.430555555555</v>
      </c>
      <c r="D54" s="555">
        <v>1380</v>
      </c>
      <c r="E54" s="555"/>
      <c r="F54" s="439">
        <f>LongTest!F52</f>
        <v>25.330000000000002</v>
      </c>
      <c r="G54" s="439">
        <f>LongTest!G52</f>
        <v>15.880000000000003</v>
      </c>
      <c r="H54" s="439"/>
      <c r="I54" s="439"/>
      <c r="J54" s="440"/>
    </row>
    <row r="55" spans="1:10" ht="24.95" customHeight="1">
      <c r="A55" s="421"/>
      <c r="B55" s="439"/>
      <c r="C55" s="442">
        <f t="shared" si="0"/>
        <v>45455.472222222219</v>
      </c>
      <c r="D55" s="555">
        <v>1440</v>
      </c>
      <c r="E55" s="555"/>
      <c r="F55" s="439">
        <f>LongTest!F53</f>
        <v>25.330000000000002</v>
      </c>
      <c r="G55" s="439">
        <f>LongTest!G53</f>
        <v>15.880000000000003</v>
      </c>
      <c r="H55" s="439">
        <f>'w1'!D20</f>
        <v>15.200000000000001</v>
      </c>
      <c r="I55" s="439">
        <f>'w1'!E20</f>
        <v>205</v>
      </c>
      <c r="J55" s="440">
        <f>'w1'!F20</f>
        <v>6.37</v>
      </c>
    </row>
    <row r="56" spans="1:10" ht="24.95" customHeight="1">
      <c r="A56" s="446"/>
      <c r="B56" s="442"/>
      <c r="C56" s="442"/>
      <c r="D56" s="586"/>
      <c r="E56" s="587"/>
      <c r="F56" s="439"/>
      <c r="G56" s="439"/>
      <c r="H56" s="439"/>
      <c r="I56" s="439"/>
      <c r="J56" s="440"/>
    </row>
    <row r="57" spans="1:10" ht="24.95" customHeight="1" thickBot="1">
      <c r="A57" s="583" t="s">
        <v>324</v>
      </c>
      <c r="B57" s="584"/>
      <c r="C57" s="584"/>
      <c r="D57" s="584"/>
      <c r="E57" s="584"/>
      <c r="F57" s="584"/>
      <c r="G57" s="584"/>
      <c r="H57" s="584"/>
      <c r="I57" s="584"/>
      <c r="J57" s="58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447"/>
    <col min="2" max="2" width="9.5" style="447" bestFit="1" customWidth="1"/>
    <col min="3" max="3" width="11.375" style="447" customWidth="1"/>
    <col min="4" max="4" width="6.75" style="447" customWidth="1"/>
    <col min="5" max="5" width="7.25" style="447" customWidth="1"/>
    <col min="6" max="6" width="14" style="447" bestFit="1" customWidth="1"/>
    <col min="7" max="7" width="12.125" style="447" customWidth="1"/>
    <col min="8" max="16384" width="9" style="447"/>
  </cols>
  <sheetData>
    <row r="1" spans="1:10" ht="45" customHeight="1" thickBot="1">
      <c r="A1" s="560" t="s">
        <v>330</v>
      </c>
      <c r="B1" s="561"/>
      <c r="C1" s="561"/>
      <c r="D1" s="561"/>
      <c r="E1" s="561"/>
      <c r="F1" s="561"/>
      <c r="G1" s="561"/>
      <c r="H1" s="561"/>
      <c r="I1" s="561"/>
      <c r="J1" s="562"/>
    </row>
    <row r="2" spans="1:10" ht="24.95" customHeight="1">
      <c r="A2" s="536" t="s">
        <v>295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296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3" t="str">
        <f>Input!I54</f>
        <v>W-1</v>
      </c>
      <c r="J3" s="424" t="s">
        <v>322</v>
      </c>
    </row>
    <row r="4" spans="1:10" ht="24.95" customHeight="1">
      <c r="A4" s="541" t="s">
        <v>297</v>
      </c>
      <c r="B4" s="542"/>
      <c r="C4" s="543">
        <f>장기14!C55</f>
        <v>45455.472222222219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298</v>
      </c>
      <c r="B5" s="542"/>
      <c r="C5" s="543">
        <f>C31</f>
        <v>45455.555555555555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294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299</v>
      </c>
      <c r="B7" s="542"/>
      <c r="C7" s="549" t="s">
        <v>326</v>
      </c>
      <c r="D7" s="542"/>
      <c r="E7" s="425">
        <f>LongTest!C6</f>
        <v>5</v>
      </c>
      <c r="F7" s="425" t="s">
        <v>300</v>
      </c>
      <c r="G7" s="425" t="s">
        <v>328</v>
      </c>
      <c r="H7" s="549">
        <f>Input!I50</f>
        <v>50</v>
      </c>
      <c r="I7" s="542"/>
      <c r="J7" s="426" t="s">
        <v>301</v>
      </c>
    </row>
    <row r="8" spans="1:10" ht="24.95" customHeight="1">
      <c r="A8" s="541" t="s">
        <v>302</v>
      </c>
      <c r="B8" s="542"/>
      <c r="C8" s="549" t="s">
        <v>327</v>
      </c>
      <c r="D8" s="542"/>
      <c r="E8" s="425">
        <f>LongTest!D7</f>
        <v>200</v>
      </c>
      <c r="F8" s="425" t="s">
        <v>303</v>
      </c>
      <c r="G8" s="425" t="s">
        <v>304</v>
      </c>
      <c r="H8" s="549">
        <f>LongTest!G7</f>
        <v>100</v>
      </c>
      <c r="I8" s="542"/>
      <c r="J8" s="426" t="s">
        <v>301</v>
      </c>
    </row>
    <row r="9" spans="1:10" ht="24.95" customHeight="1">
      <c r="A9" s="541" t="s">
        <v>305</v>
      </c>
      <c r="B9" s="542"/>
      <c r="C9" s="549" t="s">
        <v>325</v>
      </c>
      <c r="D9" s="542"/>
      <c r="E9" s="425">
        <f>LongTest!D8</f>
        <v>9.4499999999999993</v>
      </c>
      <c r="F9" s="425" t="s">
        <v>301</v>
      </c>
      <c r="G9" s="425" t="s">
        <v>306</v>
      </c>
      <c r="H9" s="549">
        <f>LongTest!G8</f>
        <v>25.330000000000002</v>
      </c>
      <c r="I9" s="542"/>
      <c r="J9" s="426" t="s">
        <v>301</v>
      </c>
    </row>
    <row r="10" spans="1:10" ht="24.95" customHeight="1">
      <c r="A10" s="554" t="s">
        <v>307</v>
      </c>
      <c r="B10" s="439" t="s">
        <v>308</v>
      </c>
      <c r="C10" s="555" t="s">
        <v>190</v>
      </c>
      <c r="D10" s="555" t="s">
        <v>310</v>
      </c>
      <c r="E10" s="555"/>
      <c r="F10" s="439" t="s">
        <v>311</v>
      </c>
      <c r="G10" s="439" t="s">
        <v>313</v>
      </c>
      <c r="H10" s="439" t="s">
        <v>314</v>
      </c>
      <c r="I10" s="439" t="s">
        <v>315</v>
      </c>
      <c r="J10" s="440" t="s">
        <v>318</v>
      </c>
    </row>
    <row r="11" spans="1:10" ht="24.95" customHeight="1">
      <c r="A11" s="554"/>
      <c r="B11" s="439" t="s">
        <v>331</v>
      </c>
      <c r="C11" s="555"/>
      <c r="D11" s="555" t="s">
        <v>332</v>
      </c>
      <c r="E11" s="555"/>
      <c r="F11" s="439" t="s">
        <v>312</v>
      </c>
      <c r="G11" s="439" t="s">
        <v>312</v>
      </c>
      <c r="H11" s="439" t="s">
        <v>333</v>
      </c>
      <c r="I11" s="465" t="s">
        <v>334</v>
      </c>
      <c r="J11" s="441"/>
    </row>
    <row r="12" spans="1:10" ht="24.95" customHeight="1">
      <c r="A12" s="452"/>
      <c r="B12" s="425">
        <v>0</v>
      </c>
      <c r="C12" s="429">
        <f t="shared" ref="C12:C31" si="0">$C$4+D12/1440</f>
        <v>45455.472916666666</v>
      </c>
      <c r="D12" s="529">
        <v>1</v>
      </c>
      <c r="E12" s="556"/>
      <c r="F12" s="430">
        <f>LongTest!F78</f>
        <v>20.232796980712919</v>
      </c>
      <c r="G12" s="430">
        <f>LongTest!G78</f>
        <v>10.782796980712918</v>
      </c>
      <c r="H12" s="462"/>
      <c r="I12" s="463"/>
      <c r="J12" s="464"/>
    </row>
    <row r="13" spans="1:10" ht="24.95" customHeight="1">
      <c r="A13" s="452"/>
      <c r="B13" s="429"/>
      <c r="C13" s="429">
        <f t="shared" si="0"/>
        <v>45455.473611111105</v>
      </c>
      <c r="D13" s="529">
        <v>2</v>
      </c>
      <c r="E13" s="556"/>
      <c r="F13" s="430">
        <f>LongTest!F79</f>
        <v>19.374437782107812</v>
      </c>
      <c r="G13" s="430">
        <f>LongTest!G79</f>
        <v>9.9244377821078142</v>
      </c>
      <c r="H13" s="529"/>
      <c r="I13" s="530"/>
      <c r="J13" s="531"/>
    </row>
    <row r="14" spans="1:10" ht="24.95" customHeight="1">
      <c r="A14" s="452"/>
      <c r="B14" s="429"/>
      <c r="C14" s="429">
        <f t="shared" si="0"/>
        <v>45455.474305555552</v>
      </c>
      <c r="D14" s="529">
        <v>3</v>
      </c>
      <c r="E14" s="556"/>
      <c r="F14" s="430">
        <f>LongTest!F80</f>
        <v>18.58440784122201</v>
      </c>
      <c r="G14" s="430">
        <f>LongTest!G80</f>
        <v>9.1344078412220089</v>
      </c>
      <c r="H14" s="529"/>
      <c r="I14" s="530"/>
      <c r="J14" s="531"/>
    </row>
    <row r="15" spans="1:10" ht="24.95" customHeight="1">
      <c r="A15" s="452"/>
      <c r="B15" s="429"/>
      <c r="C15" s="429">
        <f t="shared" si="0"/>
        <v>45455.474999999999</v>
      </c>
      <c r="D15" s="529">
        <v>4</v>
      </c>
      <c r="E15" s="556"/>
      <c r="F15" s="430">
        <f>LongTest!F81</f>
        <v>17.857267841429007</v>
      </c>
      <c r="G15" s="430">
        <f>LongTest!G81</f>
        <v>8.4072678414290092</v>
      </c>
      <c r="H15" s="529"/>
      <c r="I15" s="530"/>
      <c r="J15" s="531"/>
    </row>
    <row r="16" spans="1:10" ht="24.95" customHeight="1">
      <c r="A16" s="452"/>
      <c r="B16" s="429"/>
      <c r="C16" s="429">
        <f t="shared" si="0"/>
        <v>45455.475694444438</v>
      </c>
      <c r="D16" s="529">
        <v>5</v>
      </c>
      <c r="E16" s="556"/>
      <c r="F16" s="430">
        <f>LongTest!F82</f>
        <v>17.188011460201068</v>
      </c>
      <c r="G16" s="430">
        <f>LongTest!G82</f>
        <v>7.7380114602010686</v>
      </c>
      <c r="H16" s="529"/>
      <c r="I16" s="530"/>
      <c r="J16" s="531"/>
    </row>
    <row r="17" spans="1:10" ht="24.95" customHeight="1">
      <c r="A17" s="452"/>
      <c r="B17" s="429"/>
      <c r="C17" s="429">
        <f t="shared" si="0"/>
        <v>45455.479166666664</v>
      </c>
      <c r="D17" s="529">
        <v>10</v>
      </c>
      <c r="E17" s="556"/>
      <c r="F17" s="430">
        <f>LongTest!F83</f>
        <v>15.483270868618019</v>
      </c>
      <c r="G17" s="430">
        <f>LongTest!G83</f>
        <v>6.0332708686180201</v>
      </c>
      <c r="H17" s="529"/>
      <c r="I17" s="530"/>
      <c r="J17" s="531"/>
    </row>
    <row r="18" spans="1:10" ht="24.95" customHeight="1">
      <c r="A18" s="452"/>
      <c r="B18" s="429"/>
      <c r="C18" s="429">
        <f t="shared" si="0"/>
        <v>45455.482638888883</v>
      </c>
      <c r="D18" s="529">
        <v>15</v>
      </c>
      <c r="E18" s="556"/>
      <c r="F18" s="430">
        <f>LongTest!F84</f>
        <v>15.158681504824028</v>
      </c>
      <c r="G18" s="430">
        <f>LongTest!G84</f>
        <v>5.7086815048240274</v>
      </c>
      <c r="H18" s="529"/>
      <c r="I18" s="530"/>
      <c r="J18" s="531"/>
    </row>
    <row r="19" spans="1:10" ht="24.95" customHeight="1">
      <c r="A19" s="452"/>
      <c r="B19" s="429"/>
      <c r="C19" s="429">
        <f t="shared" si="0"/>
        <v>45455.486111111109</v>
      </c>
      <c r="D19" s="529">
        <v>20</v>
      </c>
      <c r="E19" s="556"/>
      <c r="F19" s="430">
        <f>LongTest!F85</f>
        <v>14.285983204912011</v>
      </c>
      <c r="G19" s="430">
        <f>LongTest!G85</f>
        <v>4.8359832049120115</v>
      </c>
      <c r="H19" s="529"/>
      <c r="I19" s="530"/>
      <c r="J19" s="531"/>
    </row>
    <row r="20" spans="1:10" ht="24.95" customHeight="1">
      <c r="A20" s="452"/>
      <c r="B20" s="429"/>
      <c r="C20" s="429">
        <f t="shared" si="0"/>
        <v>45455.489583333328</v>
      </c>
      <c r="D20" s="529">
        <v>25</v>
      </c>
      <c r="E20" s="556"/>
      <c r="F20" s="430">
        <f>LongTest!F86</f>
        <v>13.901017163572192</v>
      </c>
      <c r="G20" s="430">
        <f>LongTest!G86</f>
        <v>4.4510171635721916</v>
      </c>
      <c r="H20" s="529"/>
      <c r="I20" s="530"/>
      <c r="J20" s="531"/>
    </row>
    <row r="21" spans="1:10" ht="24.95" customHeight="1">
      <c r="A21" s="452"/>
      <c r="B21" s="429"/>
      <c r="C21" s="429">
        <f t="shared" si="0"/>
        <v>45455.493055555555</v>
      </c>
      <c r="D21" s="529">
        <v>30</v>
      </c>
      <c r="E21" s="556"/>
      <c r="F21" s="430">
        <f>LongTest!F87</f>
        <v>13.54669615276811</v>
      </c>
      <c r="G21" s="430">
        <f>LongTest!G87</f>
        <v>4.0966961527681098</v>
      </c>
      <c r="H21" s="529"/>
      <c r="I21" s="530"/>
      <c r="J21" s="531"/>
    </row>
    <row r="22" spans="1:10" ht="24.95" customHeight="1">
      <c r="A22" s="452"/>
      <c r="B22" s="429"/>
      <c r="C22" s="429">
        <f t="shared" si="0"/>
        <v>45455.496527777774</v>
      </c>
      <c r="D22" s="529">
        <v>35</v>
      </c>
      <c r="E22" s="556"/>
      <c r="F22" s="430">
        <f>LongTest!F88</f>
        <v>13.434971769034254</v>
      </c>
      <c r="G22" s="430">
        <f>LongTest!G88</f>
        <v>3.9849717690342552</v>
      </c>
      <c r="H22" s="529"/>
      <c r="I22" s="530"/>
      <c r="J22" s="531"/>
    </row>
    <row r="23" spans="1:10" ht="24.95" customHeight="1">
      <c r="A23" s="452"/>
      <c r="B23" s="429"/>
      <c r="C23" s="429">
        <f t="shared" si="0"/>
        <v>45455.5</v>
      </c>
      <c r="D23" s="529">
        <v>40</v>
      </c>
      <c r="E23" s="556"/>
      <c r="F23" s="430">
        <f>LongTest!F89</f>
        <v>13.326294313228475</v>
      </c>
      <c r="G23" s="430">
        <f>LongTest!G89</f>
        <v>3.8762943132284762</v>
      </c>
      <c r="H23" s="529"/>
      <c r="I23" s="530"/>
      <c r="J23" s="531"/>
    </row>
    <row r="24" spans="1:10" ht="24.95" customHeight="1">
      <c r="A24" s="452"/>
      <c r="B24" s="429"/>
      <c r="C24" s="429">
        <f t="shared" si="0"/>
        <v>45455.503472222219</v>
      </c>
      <c r="D24" s="529">
        <v>45</v>
      </c>
      <c r="E24" s="556"/>
      <c r="F24" s="430">
        <f>LongTest!F90</f>
        <v>13.220580690063166</v>
      </c>
      <c r="G24" s="430">
        <f>LongTest!G90</f>
        <v>3.7705806900631673</v>
      </c>
      <c r="H24" s="529"/>
      <c r="I24" s="530"/>
      <c r="J24" s="531"/>
    </row>
    <row r="25" spans="1:10" ht="24.95" customHeight="1">
      <c r="A25" s="452"/>
      <c r="B25" s="429"/>
      <c r="C25" s="429">
        <f t="shared" si="0"/>
        <v>45455.506944444438</v>
      </c>
      <c r="D25" s="529">
        <v>50</v>
      </c>
      <c r="E25" s="556"/>
      <c r="F25" s="430">
        <f>LongTest!F91</f>
        <v>13.11775007041093</v>
      </c>
      <c r="G25" s="430">
        <f>LongTest!G91</f>
        <v>3.6677500704109298</v>
      </c>
      <c r="H25" s="529"/>
      <c r="I25" s="530"/>
      <c r="J25" s="531"/>
    </row>
    <row r="26" spans="1:10" ht="24.95" customHeight="1">
      <c r="A26" s="452"/>
      <c r="B26" s="429"/>
      <c r="C26" s="429">
        <f t="shared" si="0"/>
        <v>45455.510416666664</v>
      </c>
      <c r="D26" s="529">
        <v>55</v>
      </c>
      <c r="E26" s="556"/>
      <c r="F26" s="430">
        <f>LongTest!F92</f>
        <v>13.017723829502245</v>
      </c>
      <c r="G26" s="430">
        <f>LongTest!G92</f>
        <v>3.5677238295022455</v>
      </c>
      <c r="H26" s="529"/>
      <c r="I26" s="530"/>
      <c r="J26" s="531"/>
    </row>
    <row r="27" spans="1:10" ht="24.95" customHeight="1">
      <c r="A27" s="452"/>
      <c r="B27" s="429"/>
      <c r="C27" s="429">
        <f t="shared" si="0"/>
        <v>45455.513888888883</v>
      </c>
      <c r="D27" s="529">
        <v>60</v>
      </c>
      <c r="E27" s="556"/>
      <c r="F27" s="430">
        <f>LongTest!F93</f>
        <v>12.920425486808609</v>
      </c>
      <c r="G27" s="430">
        <f>LongTest!G93</f>
        <v>3.4704254868086104</v>
      </c>
      <c r="H27" s="529"/>
      <c r="I27" s="530"/>
      <c r="J27" s="531"/>
    </row>
    <row r="28" spans="1:10" ht="24.95" customHeight="1">
      <c r="A28" s="452"/>
      <c r="B28" s="429"/>
      <c r="C28" s="429">
        <f t="shared" si="0"/>
        <v>45455.524305555555</v>
      </c>
      <c r="D28" s="529">
        <v>75</v>
      </c>
      <c r="E28" s="556"/>
      <c r="F28" s="430">
        <f>LongTest!F94</f>
        <v>12.825780647565169</v>
      </c>
      <c r="G28" s="430">
        <f>LongTest!G94</f>
        <v>3.3757806475651706</v>
      </c>
      <c r="H28" s="529"/>
      <c r="I28" s="530"/>
      <c r="J28" s="531"/>
    </row>
    <row r="29" spans="1:10" ht="24.95" customHeight="1">
      <c r="A29" s="452"/>
      <c r="B29" s="429"/>
      <c r="C29" s="429">
        <f t="shared" si="0"/>
        <v>45455.534722222219</v>
      </c>
      <c r="D29" s="529">
        <v>90</v>
      </c>
      <c r="E29" s="556"/>
      <c r="F29" s="430">
        <f>LongTest!F95</f>
        <v>12.733716945888137</v>
      </c>
      <c r="G29" s="430">
        <f>LongTest!G95</f>
        <v>3.2837169458881377</v>
      </c>
      <c r="H29" s="529"/>
      <c r="I29" s="530"/>
      <c r="J29" s="531"/>
    </row>
    <row r="30" spans="1:10" ht="24.95" customHeight="1">
      <c r="A30" s="452"/>
      <c r="B30" s="429"/>
      <c r="C30" s="429">
        <f t="shared" si="0"/>
        <v>45455.545138888883</v>
      </c>
      <c r="D30" s="529">
        <v>105</v>
      </c>
      <c r="E30" s="556"/>
      <c r="F30" s="430">
        <f>LongTest!F96</f>
        <v>12.644163989443497</v>
      </c>
      <c r="G30" s="430">
        <f>LongTest!G96</f>
        <v>3.194163989443497</v>
      </c>
      <c r="H30" s="529"/>
      <c r="I30" s="530"/>
      <c r="J30" s="531"/>
    </row>
    <row r="31" spans="1:10" ht="24.95" customHeight="1">
      <c r="A31" s="452"/>
      <c r="B31" s="429"/>
      <c r="C31" s="429">
        <f t="shared" si="0"/>
        <v>45455.555555555555</v>
      </c>
      <c r="D31" s="529">
        <v>120</v>
      </c>
      <c r="E31" s="556"/>
      <c r="F31" s="430">
        <f>LongTest!F97</f>
        <v>12.389894151376794</v>
      </c>
      <c r="G31" s="430">
        <f>LongTest!G97</f>
        <v>2.9398941513767949</v>
      </c>
      <c r="H31" s="529" t="s">
        <v>329</v>
      </c>
      <c r="I31" s="530"/>
      <c r="J31" s="531"/>
    </row>
    <row r="32" spans="1:10" ht="24.95" customHeight="1">
      <c r="A32" s="452"/>
      <c r="B32" s="429"/>
      <c r="C32" s="429"/>
      <c r="D32" s="529"/>
      <c r="E32" s="556"/>
      <c r="F32" s="430"/>
      <c r="G32" s="430"/>
      <c r="H32" s="529"/>
      <c r="I32" s="530"/>
      <c r="J32" s="531"/>
    </row>
    <row r="33" spans="1:10" ht="24.95" customHeight="1">
      <c r="A33" s="452"/>
      <c r="B33" s="429"/>
      <c r="C33" s="429"/>
      <c r="D33" s="529"/>
      <c r="E33" s="556"/>
      <c r="F33" s="430"/>
      <c r="G33" s="430"/>
      <c r="H33" s="529"/>
      <c r="I33" s="530"/>
      <c r="J33" s="531"/>
    </row>
    <row r="34" spans="1:10" ht="24.95" customHeight="1">
      <c r="A34" s="452"/>
      <c r="B34" s="429"/>
      <c r="C34" s="429"/>
      <c r="D34" s="529"/>
      <c r="E34" s="556"/>
      <c r="F34" s="430"/>
      <c r="G34" s="430"/>
      <c r="H34" s="529"/>
      <c r="I34" s="530"/>
      <c r="J34" s="531"/>
    </row>
    <row r="35" spans="1:10" ht="24.95" customHeight="1" thickBot="1">
      <c r="A35" s="456"/>
      <c r="B35" s="457"/>
      <c r="C35" s="457"/>
      <c r="D35" s="532"/>
      <c r="E35" s="557"/>
      <c r="F35" s="458"/>
      <c r="G35" s="458"/>
      <c r="H35" s="532"/>
      <c r="I35" s="533"/>
      <c r="J35" s="53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E10" sqref="E10"/>
    </sheetView>
  </sheetViews>
  <sheetFormatPr defaultColWidth="10" defaultRowHeight="16.5"/>
  <cols>
    <col min="1" max="1" width="10" style="418"/>
    <col min="2" max="2" width="18.75" style="418" customWidth="1"/>
    <col min="3" max="4" width="16.375" style="418" customWidth="1"/>
    <col min="5" max="5" width="13.375" style="417" customWidth="1"/>
    <col min="6" max="6" width="13.875" style="417" customWidth="1"/>
    <col min="7" max="7" width="10" style="418"/>
    <col min="8" max="8" width="11.625" style="418" customWidth="1"/>
    <col min="9" max="9" width="10.625" style="418" customWidth="1"/>
    <col min="10" max="10" width="11.375" style="418" customWidth="1"/>
    <col min="11" max="11" width="10" style="418"/>
    <col min="12" max="12" width="11.25" style="418" customWidth="1"/>
    <col min="13" max="15" width="10" style="418"/>
    <col min="16" max="16" width="11.25" style="418" customWidth="1"/>
    <col min="17" max="16384" width="10" style="418"/>
  </cols>
  <sheetData>
    <row r="1" spans="2:17" s="99" customFormat="1" ht="18" customHeight="1">
      <c r="E1" s="11"/>
      <c r="F1" s="11"/>
    </row>
    <row r="2" spans="2:17" s="99" customFormat="1" ht="18" customHeight="1">
      <c r="B2" s="388" t="s">
        <v>234</v>
      </c>
      <c r="E2" s="11"/>
      <c r="F2" s="11"/>
    </row>
    <row r="3" spans="2:17" s="99" customFormat="1" ht="18" customHeight="1">
      <c r="E3" s="11"/>
      <c r="F3" s="11"/>
    </row>
    <row r="4" spans="2:17" s="391" customFormat="1" ht="26.25" customHeight="1">
      <c r="B4" s="389" t="s">
        <v>233</v>
      </c>
      <c r="C4" s="390" t="str">
        <f>Input!$I$54</f>
        <v>W-1</v>
      </c>
      <c r="E4" s="390"/>
      <c r="F4" s="390"/>
    </row>
    <row r="5" spans="2:17" s="99" customFormat="1" ht="18" customHeight="1" thickBot="1">
      <c r="E5" s="11"/>
      <c r="F5" s="11"/>
    </row>
    <row r="6" spans="2:17" s="99" customFormat="1" ht="26.1" customHeight="1">
      <c r="B6" s="392" t="s">
        <v>203</v>
      </c>
      <c r="C6" s="393">
        <f>LongTest!C10</f>
        <v>45454.472222222219</v>
      </c>
      <c r="D6" s="394"/>
      <c r="E6" s="11"/>
      <c r="F6" s="11"/>
    </row>
    <row r="7" spans="2:17" s="99" customFormat="1" ht="26.1" customHeight="1">
      <c r="B7" s="395" t="s">
        <v>204</v>
      </c>
      <c r="C7" s="396">
        <v>15.3</v>
      </c>
      <c r="D7" s="394"/>
      <c r="E7" s="11"/>
      <c r="F7" s="11"/>
    </row>
    <row r="8" spans="2:17" s="99" customFormat="1" ht="26.1" customHeight="1">
      <c r="B8" s="395" t="s">
        <v>205</v>
      </c>
      <c r="C8" s="396">
        <v>204</v>
      </c>
      <c r="D8" s="394"/>
      <c r="E8" s="11"/>
      <c r="F8" s="11"/>
    </row>
    <row r="9" spans="2:17" s="99" customFormat="1" ht="26.1" customHeight="1" thickBot="1">
      <c r="B9" s="397" t="s">
        <v>206</v>
      </c>
      <c r="C9" s="398">
        <v>6.5</v>
      </c>
      <c r="D9" s="394"/>
      <c r="E9" s="11"/>
      <c r="F9" s="11"/>
    </row>
    <row r="10" spans="2:17" s="99" customFormat="1" ht="26.1" customHeight="1">
      <c r="B10" s="11"/>
      <c r="C10" s="399"/>
      <c r="D10" s="394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10" t="s">
        <v>207</v>
      </c>
      <c r="C12" s="611"/>
      <c r="D12" s="610" t="str">
        <f>C4</f>
        <v>W-1</v>
      </c>
      <c r="E12" s="612"/>
      <c r="F12" s="611"/>
      <c r="H12" s="610" t="str">
        <f>C4</f>
        <v>W-1</v>
      </c>
      <c r="I12" s="612"/>
      <c r="J12" s="611"/>
      <c r="L12"/>
      <c r="M12"/>
      <c r="N12"/>
      <c r="O12"/>
      <c r="P12"/>
      <c r="Q12"/>
    </row>
    <row r="13" spans="2:17" s="11" customFormat="1" ht="26.1" customHeight="1">
      <c r="B13" s="400" t="s">
        <v>203</v>
      </c>
      <c r="C13" s="401" t="s">
        <v>208</v>
      </c>
      <c r="D13" s="402" t="s">
        <v>209</v>
      </c>
      <c r="E13" s="403" t="s">
        <v>210</v>
      </c>
      <c r="F13" s="401" t="s">
        <v>211</v>
      </c>
      <c r="H13" s="400" t="s">
        <v>209</v>
      </c>
      <c r="I13" s="403" t="s">
        <v>210</v>
      </c>
      <c r="J13" s="401" t="s">
        <v>211</v>
      </c>
      <c r="L13"/>
      <c r="M13"/>
      <c r="N13"/>
      <c r="O13"/>
      <c r="P13"/>
      <c r="Q13"/>
    </row>
    <row r="14" spans="2:17" s="11" customFormat="1" ht="26.1" customHeight="1">
      <c r="B14" s="404">
        <f>$C$6+C14/1440</f>
        <v>45454.475694444438</v>
      </c>
      <c r="C14" s="405">
        <v>5</v>
      </c>
      <c r="D14" s="406">
        <f t="shared" ref="D14:D20" si="0">baseTemp+H14</f>
        <v>15.5</v>
      </c>
      <c r="E14" s="407">
        <f>$C$8+I14</f>
        <v>202</v>
      </c>
      <c r="F14" s="408">
        <f>$C$9+J14</f>
        <v>6.38</v>
      </c>
      <c r="H14" s="400">
        <v>0.2</v>
      </c>
      <c r="I14" s="403">
        <v>-2</v>
      </c>
      <c r="J14" s="401">
        <v>-0.12</v>
      </c>
      <c r="L14"/>
      <c r="M14"/>
      <c r="N14"/>
      <c r="O14"/>
      <c r="P14"/>
      <c r="Q14"/>
    </row>
    <row r="15" spans="2:17" s="11" customFormat="1" ht="26.1" customHeight="1">
      <c r="B15" s="409">
        <f t="shared" ref="B15:B23" si="1">$C$6+C15/1440</f>
        <v>45454.493055555555</v>
      </c>
      <c r="C15" s="401">
        <v>30</v>
      </c>
      <c r="D15" s="410">
        <f t="shared" si="0"/>
        <v>15.200000000000001</v>
      </c>
      <c r="E15" s="411">
        <f t="shared" ref="E15:E20" si="2">$C$8+I15</f>
        <v>207</v>
      </c>
      <c r="F15" s="412">
        <f t="shared" ref="F15:F20" si="3">$C$9+J15</f>
        <v>6.62</v>
      </c>
      <c r="H15" s="400">
        <v>-0.1</v>
      </c>
      <c r="I15" s="403">
        <v>3</v>
      </c>
      <c r="J15" s="401">
        <v>0.12</v>
      </c>
      <c r="L15"/>
      <c r="M15"/>
      <c r="N15"/>
      <c r="O15"/>
      <c r="P15"/>
      <c r="Q15"/>
    </row>
    <row r="16" spans="2:17" s="11" customFormat="1" ht="26.1" customHeight="1">
      <c r="B16" s="409">
        <f t="shared" si="1"/>
        <v>45454.513888888883</v>
      </c>
      <c r="C16" s="401">
        <v>60</v>
      </c>
      <c r="D16" s="410">
        <f t="shared" si="0"/>
        <v>15.4</v>
      </c>
      <c r="E16" s="411">
        <f t="shared" si="2"/>
        <v>202</v>
      </c>
      <c r="F16" s="412">
        <f t="shared" si="3"/>
        <v>6.41</v>
      </c>
      <c r="H16" s="400">
        <v>0.1</v>
      </c>
      <c r="I16" s="403">
        <v>-2</v>
      </c>
      <c r="J16" s="401">
        <v>-0.09</v>
      </c>
      <c r="L16"/>
      <c r="M16"/>
      <c r="N16"/>
      <c r="O16"/>
      <c r="P16"/>
      <c r="Q16"/>
    </row>
    <row r="17" spans="2:17" s="11" customFormat="1" ht="26.1" customHeight="1">
      <c r="B17" s="409">
        <f t="shared" si="1"/>
        <v>45454.555555555555</v>
      </c>
      <c r="C17" s="401">
        <v>120</v>
      </c>
      <c r="D17" s="410">
        <f t="shared" si="0"/>
        <v>15</v>
      </c>
      <c r="E17" s="411">
        <f t="shared" si="2"/>
        <v>201</v>
      </c>
      <c r="F17" s="412">
        <f t="shared" si="3"/>
        <v>6.37</v>
      </c>
      <c r="H17" s="400">
        <v>-0.3</v>
      </c>
      <c r="I17" s="403">
        <v>-3</v>
      </c>
      <c r="J17" s="401">
        <v>-0.13</v>
      </c>
      <c r="L17"/>
      <c r="M17"/>
      <c r="N17"/>
      <c r="O17"/>
      <c r="P17"/>
      <c r="Q17"/>
    </row>
    <row r="18" spans="2:17" s="11" customFormat="1" ht="26.1" customHeight="1">
      <c r="B18" s="409">
        <f t="shared" si="1"/>
        <v>45454.638888888883</v>
      </c>
      <c r="C18" s="401">
        <v>240</v>
      </c>
      <c r="D18" s="410">
        <f t="shared" si="0"/>
        <v>15</v>
      </c>
      <c r="E18" s="411">
        <f t="shared" si="2"/>
        <v>206</v>
      </c>
      <c r="F18" s="412">
        <f t="shared" si="3"/>
        <v>6.59</v>
      </c>
      <c r="H18" s="400">
        <v>-0.3</v>
      </c>
      <c r="I18" s="403">
        <v>2</v>
      </c>
      <c r="J18" s="401">
        <v>0.09</v>
      </c>
      <c r="L18"/>
      <c r="M18"/>
      <c r="N18"/>
      <c r="O18"/>
      <c r="P18"/>
      <c r="Q18"/>
    </row>
    <row r="19" spans="2:17" s="11" customFormat="1" ht="26.1" customHeight="1">
      <c r="B19" s="409">
        <f t="shared" si="1"/>
        <v>45454.805555555555</v>
      </c>
      <c r="C19" s="401">
        <v>480</v>
      </c>
      <c r="D19" s="410">
        <f t="shared" si="0"/>
        <v>15.600000000000001</v>
      </c>
      <c r="E19" s="411">
        <f t="shared" si="2"/>
        <v>203</v>
      </c>
      <c r="F19" s="412">
        <f t="shared" si="3"/>
        <v>6.39</v>
      </c>
      <c r="H19" s="400">
        <v>0.3</v>
      </c>
      <c r="I19" s="403">
        <v>-1</v>
      </c>
      <c r="J19" s="401">
        <v>-0.11</v>
      </c>
      <c r="L19"/>
      <c r="M19"/>
      <c r="N19"/>
      <c r="O19"/>
      <c r="P19"/>
      <c r="Q19"/>
    </row>
    <row r="20" spans="2:17" s="99" customFormat="1" ht="26.1" customHeight="1">
      <c r="B20" s="409">
        <f t="shared" si="1"/>
        <v>45455.472222222219</v>
      </c>
      <c r="C20" s="401">
        <v>1440</v>
      </c>
      <c r="D20" s="410">
        <f t="shared" si="0"/>
        <v>15.200000000000001</v>
      </c>
      <c r="E20" s="411">
        <f t="shared" si="2"/>
        <v>205</v>
      </c>
      <c r="F20" s="412">
        <f t="shared" si="3"/>
        <v>6.37</v>
      </c>
      <c r="H20" s="400">
        <v>-0.1</v>
      </c>
      <c r="I20" s="403">
        <v>1</v>
      </c>
      <c r="J20" s="401">
        <v>-0.13</v>
      </c>
      <c r="L20"/>
      <c r="M20"/>
      <c r="N20"/>
      <c r="O20"/>
      <c r="P20"/>
      <c r="Q20"/>
    </row>
    <row r="21" spans="2:17" s="99" customFormat="1" ht="26.1" customHeight="1">
      <c r="B21" s="409">
        <f t="shared" si="1"/>
        <v>45455.638888888883</v>
      </c>
      <c r="C21" s="401">
        <v>1680</v>
      </c>
      <c r="D21" s="410">
        <f>$D$20</f>
        <v>15.200000000000001</v>
      </c>
      <c r="E21" s="411">
        <f>$E$20</f>
        <v>205</v>
      </c>
      <c r="F21" s="412">
        <f>$F$20</f>
        <v>6.37</v>
      </c>
      <c r="H21" s="400">
        <v>0.1</v>
      </c>
      <c r="I21" s="403">
        <v>-1</v>
      </c>
      <c r="J21" s="401">
        <v>-0.12</v>
      </c>
      <c r="L21"/>
      <c r="M21"/>
      <c r="N21"/>
      <c r="O21"/>
      <c r="P21"/>
      <c r="Q21"/>
    </row>
    <row r="22" spans="2:17" s="99" customFormat="1" ht="26.1" customHeight="1">
      <c r="B22" s="409">
        <f t="shared" si="1"/>
        <v>45455.805555555555</v>
      </c>
      <c r="C22" s="401">
        <v>1920</v>
      </c>
      <c r="D22" s="410">
        <f t="shared" ref="D22:D23" si="4">$D$20</f>
        <v>15.200000000000001</v>
      </c>
      <c r="E22" s="411">
        <f t="shared" ref="E22:E23" si="5">$E$20</f>
        <v>205</v>
      </c>
      <c r="F22" s="412">
        <f t="shared" ref="F22:F23" si="6">$F$20</f>
        <v>6.37</v>
      </c>
      <c r="H22" s="400">
        <v>-0.1</v>
      </c>
      <c r="I22" s="403">
        <v>2</v>
      </c>
      <c r="J22" s="401">
        <v>-7.0000000000000007E-2</v>
      </c>
      <c r="L22"/>
      <c r="M22"/>
      <c r="N22"/>
      <c r="O22"/>
      <c r="P22"/>
      <c r="Q22"/>
    </row>
    <row r="23" spans="2:17" s="99" customFormat="1" ht="26.1" customHeight="1" thickBot="1">
      <c r="B23" s="409">
        <f t="shared" si="1"/>
        <v>45456.472222222219</v>
      </c>
      <c r="C23" s="401">
        <v>2880</v>
      </c>
      <c r="D23" s="410">
        <f t="shared" si="4"/>
        <v>15.200000000000001</v>
      </c>
      <c r="E23" s="411">
        <f t="shared" si="5"/>
        <v>205</v>
      </c>
      <c r="F23" s="412">
        <f t="shared" si="6"/>
        <v>6.37</v>
      </c>
      <c r="H23" s="413">
        <v>0.3</v>
      </c>
      <c r="I23" s="414">
        <v>-1</v>
      </c>
      <c r="J23" s="415">
        <v>0.12</v>
      </c>
      <c r="L23"/>
      <c r="M23"/>
      <c r="N23"/>
      <c r="O23"/>
      <c r="P23"/>
      <c r="Q23"/>
    </row>
    <row r="24" spans="2:17" s="99" customFormat="1" ht="26.1" customHeight="1">
      <c r="B24" s="613" t="s">
        <v>79</v>
      </c>
      <c r="C24" s="614"/>
      <c r="D24" s="402">
        <f>MAX(D14:D23)</f>
        <v>15.600000000000001</v>
      </c>
      <c r="E24" s="403">
        <f t="shared" ref="E24:F24" si="7">MAX(E14:E23)</f>
        <v>207</v>
      </c>
      <c r="F24" s="401">
        <f t="shared" si="7"/>
        <v>6.62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13" t="s">
        <v>212</v>
      </c>
      <c r="C25" s="614"/>
      <c r="D25" s="402">
        <f>MIN(D14:D23)</f>
        <v>15</v>
      </c>
      <c r="E25" s="403">
        <f t="shared" ref="E25:F25" si="8">MIN(E14:E23)</f>
        <v>201</v>
      </c>
      <c r="F25" s="401">
        <f t="shared" si="8"/>
        <v>6.37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608" t="s">
        <v>213</v>
      </c>
      <c r="C26" s="609"/>
      <c r="D26" s="416">
        <f>D24-D25</f>
        <v>0.60000000000000142</v>
      </c>
      <c r="E26" s="414">
        <f t="shared" ref="E26:F26" si="9">E24-E25</f>
        <v>6</v>
      </c>
      <c r="F26" s="415">
        <f t="shared" si="9"/>
        <v>0.25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2024-12-19T03:41:18Z</cp:lastPrinted>
  <dcterms:created xsi:type="dcterms:W3CDTF">2022-01-08T04:40:11Z</dcterms:created>
  <dcterms:modified xsi:type="dcterms:W3CDTF">2024-12-22T02:26:06Z</dcterms:modified>
</cp:coreProperties>
</file>