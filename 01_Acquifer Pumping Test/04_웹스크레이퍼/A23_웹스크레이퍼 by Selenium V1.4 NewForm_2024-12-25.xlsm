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EE18015C-7C42-4AEB-A842-C469EAD74451}" xr6:coauthVersionLast="47" xr6:coauthVersionMax="47" xr10:uidLastSave="{00000000-0000-0000-0000-000000000000}"/>
  <bookViews>
    <workbookView xWindow="38280" yWindow="-120" windowWidth="38640" windowHeight="21120" tabRatio="526" xr2:uid="{00000000-000D-0000-FFFF-FFFF00000000}"/>
  </bookViews>
  <sheets>
    <sheet name="main" sheetId="103" r:id="rId1"/>
    <sheet name="AREA" sheetId="143" state="hidden" r:id="rId2"/>
    <sheet name="AREAREF" sheetId="167" state="hidden" r:id="rId3"/>
  </sheets>
  <functionGroups builtInGroupCount="19"/>
  <definedNames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03" l="1"/>
  <c r="S9" i="103"/>
  <c r="S10" i="103"/>
  <c r="S11" i="103"/>
  <c r="C38" i="103" l="1"/>
  <c r="N38" i="103"/>
  <c r="M38" i="103"/>
  <c r="L38" i="103"/>
  <c r="K38" i="103"/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<sst xmlns="http://schemas.openxmlformats.org/spreadsheetml/2006/main" count="877" uniqueCount="284">
  <si>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</si>
  <si>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</si>
  <si>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</si>
  <si>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</si>
  <si>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</si>
  <si>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</si>
  <si>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</si>
  <si>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</si>
  <si>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</si>
  <si>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</si>
  <si>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</si>
  <si>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</si>
  <si>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</si>
  <si>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</si>
  <si>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</si>
  <si>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</si>
  <si>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</si>
  <si>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</si>
  <si>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</si>
  <si>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</si>
  <si>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</si>
  <si>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</si>
  <si>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</si>
  <si>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</si>
  <si>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</si>
  <si>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</si>
  <si>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</si>
  <si>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</si>
  <si>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</si>
  <si>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</si>
  <si>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</si>
  <si>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</si>
  <si>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</si>
  <si>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</si>
  <si>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</si>
  <si>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</si>
  <si>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</si>
  <si>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</si>
  <si>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</si>
  <si>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</si>
  <si>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</si>
  <si>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</si>
  <si>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</si>
  <si>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</si>
  <si>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</si>
  <si>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</si>
  <si>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</si>
  <si>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</si>
  <si>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</si>
  <si>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</si>
  <si>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</si>
  <si>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</si>
  <si>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</si>
  <si>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</si>
  <si>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</si>
  <si>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</si>
  <si>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</si>
  <si>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</si>
  <si>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</si>
  <si>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</si>
  <si>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</si>
  <si>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</si>
  <si>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</si>
  <si>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</si>
  <si>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</si>
  <si>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</si>
  <si>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</si>
  <si>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</si>
  <si>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</si>
  <si>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</si>
  <si>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</si>
  <si>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</si>
  <si>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</si>
  <si>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</si>
  <si>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</si>
  <si>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</si>
  <si>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</si>
  <si>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</si>
  <si>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</si>
  <si>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</si>
  <si>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</si>
  <si>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</si>
  <si>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</si>
  <si>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</si>
  <si>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</si>
  <si>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</si>
  <si>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</si>
  <si>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</si>
  <si>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</si>
  <si>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</si>
  <si>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</si>
  <si>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</si>
  <si>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</si>
  <si>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</si>
  <si>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</si>
  <si>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</si>
  <si>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</si>
  <si>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</si>
  <si>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</si>
  <si>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</si>
  <si>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</si>
  <si>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</si>
  <si>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</si>
  <si>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</si>
  <si>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</si>
  <si>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</si>
  <si>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</si>
  <si>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</si>
  <si>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</si>
  <si>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</si>
  <si>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</si>
  <si>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</si>
  <si>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</si>
  <si>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</si>
  <si>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</si>
  <si>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</si>
  <si>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</si>
  <si>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</si>
  <si>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</si>
  <si>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</si>
  <si>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</si>
  <si>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</si>
  <si>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</si>
  <si>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</si>
  <si>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</si>
  <si>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</si>
  <si>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</si>
  <si>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</si>
  <si>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</si>
  <si>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</si>
  <si>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</si>
  <si>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</si>
  <si>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</si>
  <si>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</si>
  <si>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</si>
  <si>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</si>
  <si>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</si>
  <si>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</si>
  <si>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</si>
  <si>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</si>
  <si>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</si>
  <si>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</si>
  <si>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</si>
  <si>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</si>
  <si>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</si>
  <si>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</si>
  <si>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</si>
  <si>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</si>
  <si>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</si>
  <si>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</si>
  <si>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</si>
  <si>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</si>
  <si>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</si>
  <si>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</si>
  <si>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</si>
  <si>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</si>
  <si>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</si>
  <si>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</si>
  <si>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</si>
  <si>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</si>
  <si>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</si>
  <si>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</si>
  <si>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</si>
  <si>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</si>
  <si>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</si>
  <si>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</si>
  <si>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</si>
  <si>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</si>
  <si>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</si>
  <si>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</si>
  <si>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</si>
  <si>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</si>
  <si>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</si>
  <si>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</si>
  <si>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</si>
  <si>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</si>
  <si>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</si>
  <si>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</si>
  <si>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</si>
  <si>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</si>
  <si>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</si>
  <si>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</si>
  <si>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</si>
  <si>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</si>
  <si>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</si>
  <si>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</si>
  <si>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</si>
  <si>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</si>
  <si>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</si>
  <si>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</si>
  <si>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</si>
  <si>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</si>
  <si>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</si>
  <si>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</si>
  <si>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</si>
  <si>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</si>
  <si>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</si>
  <si>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</si>
  <si>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</si>
  <si>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</si>
  <si>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</si>
  <si>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</si>
  <si>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</si>
  <si>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</si>
  <si>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</si>
  <si>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</si>
  <si>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</si>
  <si>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</si>
  <si>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</si>
  <si>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</si>
  <si>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</si>
  <si>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</si>
  <si>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</si>
  <si>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</si>
  <si>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</si>
  <si>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</si>
  <si>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</si>
  <si>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</si>
  <si>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</si>
  <si>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</si>
  <si>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</si>
  <si>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</si>
  <si>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</si>
  <si>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</si>
  <si>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</si>
  <si>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</si>
  <si>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</si>
  <si>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</si>
  <si>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</si>
  <si>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</si>
  <si>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</si>
  <si>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</si>
  <si>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</si>
  <si>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</si>
  <si>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</si>
  <si>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</si>
  <si>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</si>
  <si>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</si>
  <si>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</si>
  <si>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</si>
  <si>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</si>
  <si>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</si>
  <si>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</si>
  <si>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</si>
  <si>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</si>
  <si>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</si>
  <si>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</si>
  <si>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</si>
  <si>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</si>
  <si>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</si>
  <si>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</si>
  <si>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</si>
  <si>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</si>
  <si>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</si>
  <si>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</si>
  <si>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</si>
  <si>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</si>
  <si>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</si>
  <si>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</si>
  <si>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</si>
  <si>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</si>
  <si>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</si>
  <si>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</si>
  <si>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</si>
  <si>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</si>
  <si>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</si>
  <si>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</si>
  <si>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</si>
  <si>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</si>
  <si>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</si>
  <si>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</si>
  <si>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</si>
  <si>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</si>
  <si>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</si>
  <si>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</si>
  <si>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</si>
  <si>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</si>
  <si>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</si>
  <si>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</si>
  <si>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</si>
  <si>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충청도</t>
  </si>
  <si>
    <t>청주</t>
  </si>
  <si>
    <t>30년 청주데이터, 2024-12-25 오후 5:25:40</t>
    <phoneticPr fontId="5" type="noConversion"/>
  </si>
  <si>
    <t>대전,  보령,  부여,  서산,  천안, 금산,  청주,  보은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</si>
</sst>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0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0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0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609600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0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609600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0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V983"/>
  <sheetViews>
    <sheetView tabSelected="1" zoomScaleNormal="100" workbookViewId="0">
      <selection activeCell="W21" sqref="W21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2" ht="20.25">
      <c r="B2" s="2" t="s">
        <v>282</v>
      </c>
    </row>
    <row r="3" spans="2:22" ht="24.75" customHeight="1">
      <c r="R3" s="5"/>
    </row>
    <row r="4" spans="2:22" ht="21.75" customHeight="1" thickBot="1"/>
    <row r="5" spans="2:22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U5" s="7"/>
      <c r="V5" s="82" t="s">
        <v>283</v>
      </c>
    </row>
    <row r="6" spans="2:22" ht="21.95" customHeight="1" thickBot="1">
      <c r="B6" s="8">
        <v>1994</v>
      </c>
      <c r="C6" s="9">
        <v>13.3</v>
      </c>
      <c r="D6" s="9">
        <v>12.8</v>
      </c>
      <c r="E6" s="9">
        <v>54.2</v>
      </c>
      <c r="F6" s="9">
        <v>21.3</v>
      </c>
      <c r="G6" s="9">
        <v>108.8</v>
      </c>
      <c r="H6" s="9">
        <v>140.5</v>
      </c>
      <c r="I6" s="9">
        <v>85.5</v>
      </c>
      <c r="J6" s="10">
        <v>318.5</v>
      </c>
      <c r="K6" s="9">
        <v>48.1</v>
      </c>
      <c r="L6" s="9">
        <v>160.1</v>
      </c>
      <c r="M6" s="9">
        <v>29.6</v>
      </c>
      <c r="N6" s="11">
        <v>19.3</v>
      </c>
      <c r="O6" s="12">
        <f t="shared" ref="O6:O35" si="0">ROUND(SUM(C6:N6),1)</f>
        <v>1012</v>
      </c>
      <c r="P6" s="13">
        <f>ROUND(O6/12,1)</f>
        <v>84.3</v>
      </c>
      <c r="Q6" s="14"/>
    </row>
    <row r="7" spans="2:22" ht="21.95" customHeight="1">
      <c r="B7" s="15">
        <v>1995</v>
      </c>
      <c r="C7" s="16">
        <v>21.5</v>
      </c>
      <c r="D7" s="16">
        <v>14</v>
      </c>
      <c r="E7" s="16">
        <v>34.4</v>
      </c>
      <c r="F7" s="16">
        <v>64</v>
      </c>
      <c r="G7" s="16">
        <v>70.7</v>
      </c>
      <c r="H7" s="16">
        <v>30.9</v>
      </c>
      <c r="I7" s="16">
        <v>204.9</v>
      </c>
      <c r="J7" s="17">
        <v>835.4</v>
      </c>
      <c r="K7" s="16">
        <v>17.5</v>
      </c>
      <c r="L7" s="16">
        <v>22.6</v>
      </c>
      <c r="M7" s="16">
        <v>20.3</v>
      </c>
      <c r="N7" s="18">
        <v>3.6</v>
      </c>
      <c r="O7" s="12">
        <f t="shared" si="0"/>
        <v>1339.8</v>
      </c>
      <c r="P7" s="19">
        <f t="shared" ref="P7:P35" si="1">ROUND(O7/12,1)</f>
        <v>111.7</v>
      </c>
      <c r="Q7" s="14"/>
      <c r="R7" s="79" t="s">
        <v>41</v>
      </c>
      <c r="S7" s="80" t="s">
        <v>40</v>
      </c>
      <c r="T7" s="6"/>
    </row>
    <row r="8" spans="2:22" ht="21.95" customHeight="1">
      <c r="B8" s="15">
        <v>1996</v>
      </c>
      <c r="C8" s="16">
        <v>27.9</v>
      </c>
      <c r="D8" s="16">
        <v>4.2</v>
      </c>
      <c r="E8" s="16">
        <v>98.4</v>
      </c>
      <c r="F8" s="16">
        <v>28.6</v>
      </c>
      <c r="G8" s="16">
        <v>36.799999999999997</v>
      </c>
      <c r="H8" s="16">
        <v>255.8</v>
      </c>
      <c r="I8" s="16">
        <v>170.5</v>
      </c>
      <c r="J8" s="16">
        <v>128.6</v>
      </c>
      <c r="K8" s="16">
        <v>11.2</v>
      </c>
      <c r="L8" s="16">
        <v>67.099999999999994</v>
      </c>
      <c r="M8" s="16">
        <v>77.2</v>
      </c>
      <c r="N8" s="18">
        <v>22.5</v>
      </c>
      <c r="O8" s="12">
        <f t="shared" si="0"/>
        <v>928.8</v>
      </c>
      <c r="P8" s="19">
        <f t="shared" si="1"/>
        <v>77.400000000000006</v>
      </c>
      <c r="Q8" s="14"/>
      <c r="R8" s="20" t="s">
        <v>280</v>
      </c>
      <c r="S8" s="21" t="s">
        <v>281</v>
      </c>
    </row>
    <row r="9" spans="2:22" ht="21.95" customHeight="1" thickBot="1">
      <c r="B9" s="15">
        <v>1997</v>
      </c>
      <c r="C9" s="16">
        <v>12.9</v>
      </c>
      <c r="D9" s="16">
        <v>39.1</v>
      </c>
      <c r="E9" s="16">
        <v>31.6</v>
      </c>
      <c r="F9" s="16">
        <v>58.5</v>
      </c>
      <c r="G9" s="16">
        <v>179.1</v>
      </c>
      <c r="H9" s="16">
        <v>210.3</v>
      </c>
      <c r="I9" s="16">
        <v>425.5</v>
      </c>
      <c r="J9" s="16">
        <v>211.1</v>
      </c>
      <c r="K9" s="16">
        <v>55.5</v>
      </c>
      <c r="L9" s="16">
        <v>8.4</v>
      </c>
      <c r="M9" s="16">
        <v>180.3</v>
      </c>
      <c r="N9" s="18">
        <v>44.3</v>
      </c>
      <c r="O9" s="12">
        <f t="shared" si="0"/>
        <v>1456.6</v>
      </c>
      <c r="P9" s="19">
        <f t="shared" si="1"/>
        <v>121.4</v>
      </c>
      <c r="Q9" s="14"/>
      <c r="R9" s="70" t="str">
        <f>VLOOKUP(R8, tblLocation[], 2, FALSE)</f>
        <v>Table3</v>
      </c>
      <c r="S9" s="22">
        <f ca="1">IFERROR(VLOOKUP(S8, INDIRECT($R$9), 3,0), "지역설정")</f>
        <v>131</v>
      </c>
    </row>
    <row r="10" spans="2:22" ht="21.95" customHeight="1" thickBot="1">
      <c r="B10" s="15">
        <v>1998</v>
      </c>
      <c r="C10" s="16">
        <v>22</v>
      </c>
      <c r="D10" s="16">
        <v>28.9</v>
      </c>
      <c r="E10" s="16">
        <v>30.9</v>
      </c>
      <c r="F10" s="16">
        <v>153.1</v>
      </c>
      <c r="G10" s="16">
        <v>92.8</v>
      </c>
      <c r="H10" s="16">
        <v>247</v>
      </c>
      <c r="I10" s="16">
        <v>253</v>
      </c>
      <c r="J10" s="16">
        <v>460.6</v>
      </c>
      <c r="K10" s="16">
        <v>225.9</v>
      </c>
      <c r="L10" s="16">
        <v>74.2</v>
      </c>
      <c r="M10" s="16">
        <v>44.7</v>
      </c>
      <c r="N10" s="18">
        <v>7.1</v>
      </c>
      <c r="O10" s="12">
        <f t="shared" si="0"/>
        <v>1640.2</v>
      </c>
      <c r="P10" s="19">
        <f t="shared" si="1"/>
        <v>136.69999999999999</v>
      </c>
      <c r="Q10" s="14"/>
      <c r="S10" s="23">
        <f ca="1">IFERROR(VLOOKUP(S8, INDIRECT($R$9), 5,0),"지역설정")</f>
        <v>55</v>
      </c>
    </row>
    <row r="11" spans="2:22" ht="21.95" customHeight="1" thickBot="1">
      <c r="B11" s="15">
        <v>1999</v>
      </c>
      <c r="C11" s="16">
        <v>1.6</v>
      </c>
      <c r="D11" s="16">
        <v>3.6</v>
      </c>
      <c r="E11" s="16">
        <v>54.1</v>
      </c>
      <c r="F11" s="16">
        <v>91.4</v>
      </c>
      <c r="G11" s="16">
        <v>102.4</v>
      </c>
      <c r="H11" s="16">
        <v>191.1</v>
      </c>
      <c r="I11" s="16">
        <v>122.4</v>
      </c>
      <c r="J11" s="16">
        <v>197.4</v>
      </c>
      <c r="K11" s="16">
        <v>281.3</v>
      </c>
      <c r="L11" s="16">
        <v>252.4</v>
      </c>
      <c r="M11" s="16">
        <v>15.4</v>
      </c>
      <c r="N11" s="18">
        <v>13.4</v>
      </c>
      <c r="O11" s="12">
        <f t="shared" si="0"/>
        <v>1326.5</v>
      </c>
      <c r="P11" s="19">
        <f t="shared" si="1"/>
        <v>110.5</v>
      </c>
      <c r="Q11" s="14"/>
      <c r="S11" s="69" t="str">
        <f ca="1">IFERROR(UPPER(VLOOKUP(S8, INDIRECT($R$9), 2,0)), "지역설정")</f>
        <v>CHEONGJU</v>
      </c>
    </row>
    <row r="12" spans="2:22" ht="21.95" customHeight="1">
      <c r="B12" s="15">
        <v>2000</v>
      </c>
      <c r="C12" s="16">
        <v>38.700000000000003</v>
      </c>
      <c r="D12" s="16">
        <v>1.3</v>
      </c>
      <c r="E12" s="16">
        <v>10.4</v>
      </c>
      <c r="F12" s="16">
        <v>56.1</v>
      </c>
      <c r="G12" s="16">
        <v>42.1</v>
      </c>
      <c r="H12" s="16">
        <v>185.7</v>
      </c>
      <c r="I12" s="16">
        <v>300</v>
      </c>
      <c r="J12" s="16">
        <v>390.4</v>
      </c>
      <c r="K12" s="16">
        <v>244.6</v>
      </c>
      <c r="L12" s="16">
        <v>32.1</v>
      </c>
      <c r="M12" s="16">
        <v>37.299999999999997</v>
      </c>
      <c r="N12" s="18">
        <v>18.899999999999999</v>
      </c>
      <c r="O12" s="12">
        <f t="shared" si="0"/>
        <v>1357.6</v>
      </c>
      <c r="P12" s="19">
        <f t="shared" si="1"/>
        <v>113.1</v>
      </c>
    </row>
    <row r="13" spans="2:22" ht="21.95" customHeight="1" thickBot="1">
      <c r="B13" s="15">
        <v>2001</v>
      </c>
      <c r="C13" s="16">
        <v>56.9</v>
      </c>
      <c r="D13" s="16">
        <v>50.3</v>
      </c>
      <c r="E13" s="16">
        <v>11.3</v>
      </c>
      <c r="F13" s="16">
        <v>12.7</v>
      </c>
      <c r="G13" s="16">
        <v>14.3</v>
      </c>
      <c r="H13" s="16">
        <v>217.5</v>
      </c>
      <c r="I13" s="16">
        <v>171.5</v>
      </c>
      <c r="J13" s="16">
        <v>135.5</v>
      </c>
      <c r="K13" s="16">
        <v>11.8</v>
      </c>
      <c r="L13" s="16">
        <v>75.900000000000006</v>
      </c>
      <c r="M13" s="16">
        <v>6.9</v>
      </c>
      <c r="N13" s="18">
        <v>19.5</v>
      </c>
      <c r="O13" s="12">
        <f t="shared" si="0"/>
        <v>784.1</v>
      </c>
      <c r="P13" s="19">
        <f t="shared" si="1"/>
        <v>65.3</v>
      </c>
    </row>
    <row r="14" spans="2:22" ht="21.95" customHeight="1">
      <c r="B14" s="15">
        <v>2002</v>
      </c>
      <c r="C14" s="16">
        <v>58.7</v>
      </c>
      <c r="D14" s="16">
        <v>9</v>
      </c>
      <c r="E14" s="16">
        <v>25.9</v>
      </c>
      <c r="F14" s="16">
        <v>132</v>
      </c>
      <c r="G14" s="16">
        <v>106.9</v>
      </c>
      <c r="H14" s="16">
        <v>57.9</v>
      </c>
      <c r="I14" s="16">
        <v>186.2</v>
      </c>
      <c r="J14" s="16">
        <v>482.4</v>
      </c>
      <c r="K14" s="16">
        <v>90.5</v>
      </c>
      <c r="L14" s="16">
        <v>58</v>
      </c>
      <c r="M14" s="16">
        <v>26.3</v>
      </c>
      <c r="N14" s="18">
        <v>48</v>
      </c>
      <c r="O14" s="12">
        <f t="shared" si="0"/>
        <v>1281.8</v>
      </c>
      <c r="P14" s="19">
        <f t="shared" si="1"/>
        <v>106.8</v>
      </c>
      <c r="R14" s="24" t="s">
        <v>21</v>
      </c>
      <c r="S14" s="25" t="s">
        <v>22</v>
      </c>
      <c r="T14" s="26"/>
    </row>
    <row r="15" spans="2:22" ht="21.95" customHeight="1">
      <c r="B15" s="15">
        <v>2003</v>
      </c>
      <c r="C15" s="16">
        <v>16.2</v>
      </c>
      <c r="D15" s="16">
        <v>45</v>
      </c>
      <c r="E15" s="16">
        <v>38.9</v>
      </c>
      <c r="F15" s="16">
        <v>192.7</v>
      </c>
      <c r="G15" s="16">
        <v>113.5</v>
      </c>
      <c r="H15" s="16">
        <v>186</v>
      </c>
      <c r="I15" s="16">
        <v>467.2</v>
      </c>
      <c r="J15" s="16">
        <v>293.89999999999998</v>
      </c>
      <c r="K15" s="16">
        <v>150.6</v>
      </c>
      <c r="L15" s="16">
        <v>32.5</v>
      </c>
      <c r="M15" s="16">
        <v>33.1</v>
      </c>
      <c r="N15" s="18">
        <v>12.2</v>
      </c>
      <c r="O15" s="12">
        <f t="shared" si="0"/>
        <v>1581.8</v>
      </c>
      <c r="P15" s="19">
        <f t="shared" si="1"/>
        <v>131.80000000000001</v>
      </c>
      <c r="R15" s="27" t="s">
        <v>23</v>
      </c>
      <c r="S15" s="28" t="s">
        <v>24</v>
      </c>
      <c r="T15" s="29"/>
    </row>
    <row r="16" spans="2:22" ht="21.95" customHeight="1" thickBot="1">
      <c r="B16" s="15">
        <v>2004</v>
      </c>
      <c r="C16" s="16">
        <v>12.5</v>
      </c>
      <c r="D16" s="16">
        <v>42.3</v>
      </c>
      <c r="E16" s="16">
        <v>67.3</v>
      </c>
      <c r="F16" s="16">
        <v>61</v>
      </c>
      <c r="G16" s="16">
        <v>121.8</v>
      </c>
      <c r="H16" s="16">
        <v>421.5</v>
      </c>
      <c r="I16" s="16">
        <v>318.89999999999998</v>
      </c>
      <c r="J16" s="16">
        <v>247.6</v>
      </c>
      <c r="K16" s="16">
        <v>139</v>
      </c>
      <c r="L16" s="16">
        <v>2</v>
      </c>
      <c r="M16" s="16">
        <v>34</v>
      </c>
      <c r="N16" s="18">
        <v>38</v>
      </c>
      <c r="O16" s="12">
        <f t="shared" si="0"/>
        <v>1505.9</v>
      </c>
      <c r="P16" s="19">
        <f t="shared" si="1"/>
        <v>125.5</v>
      </c>
      <c r="R16" s="30" t="s">
        <v>25</v>
      </c>
      <c r="S16" s="31" t="s">
        <v>26</v>
      </c>
      <c r="T16" s="32"/>
    </row>
    <row r="17" spans="2:18" ht="21.95" customHeight="1">
      <c r="B17" s="15">
        <v>2005</v>
      </c>
      <c r="C17" s="16">
        <v>4.5999999999999996</v>
      </c>
      <c r="D17" s="16">
        <v>13.8</v>
      </c>
      <c r="E17" s="16">
        <v>36.799999999999997</v>
      </c>
      <c r="F17" s="16">
        <v>66.099999999999994</v>
      </c>
      <c r="G17" s="16">
        <v>50.7</v>
      </c>
      <c r="H17" s="16">
        <v>170</v>
      </c>
      <c r="I17" s="16">
        <v>373.1</v>
      </c>
      <c r="J17" s="16">
        <v>334.7</v>
      </c>
      <c r="K17" s="16">
        <v>295.5</v>
      </c>
      <c r="L17" s="16">
        <v>54.6</v>
      </c>
      <c r="M17" s="16">
        <v>16</v>
      </c>
      <c r="N17" s="18">
        <v>11.3</v>
      </c>
      <c r="O17" s="12">
        <f t="shared" si="0"/>
        <v>1427.2</v>
      </c>
      <c r="P17" s="19">
        <f t="shared" si="1"/>
        <v>118.9</v>
      </c>
    </row>
    <row r="18" spans="2:18" ht="21.95" customHeight="1">
      <c r="B18" s="15">
        <v>2006</v>
      </c>
      <c r="C18" s="16">
        <v>20</v>
      </c>
      <c r="D18" s="16">
        <v>28.9</v>
      </c>
      <c r="E18" s="16">
        <v>8.1999999999999993</v>
      </c>
      <c r="F18" s="16">
        <v>89.3</v>
      </c>
      <c r="G18" s="16">
        <v>119.4</v>
      </c>
      <c r="H18" s="16">
        <v>115.5</v>
      </c>
      <c r="I18" s="16">
        <v>508</v>
      </c>
      <c r="J18" s="16">
        <v>52</v>
      </c>
      <c r="K18" s="16">
        <v>18.399999999999999</v>
      </c>
      <c r="L18" s="16">
        <v>21.3</v>
      </c>
      <c r="M18" s="16">
        <v>83.4</v>
      </c>
      <c r="N18" s="18">
        <v>16.7</v>
      </c>
      <c r="O18" s="12">
        <f t="shared" si="0"/>
        <v>1081.0999999999999</v>
      </c>
      <c r="P18" s="19">
        <f t="shared" si="1"/>
        <v>90.1</v>
      </c>
    </row>
    <row r="19" spans="2:18" ht="21.95" customHeight="1">
      <c r="B19" s="15">
        <v>2007</v>
      </c>
      <c r="C19" s="16">
        <v>11.2</v>
      </c>
      <c r="D19" s="16">
        <v>33.299999999999997</v>
      </c>
      <c r="E19" s="16">
        <v>103.2</v>
      </c>
      <c r="F19" s="16">
        <v>35.799999999999997</v>
      </c>
      <c r="G19" s="16">
        <v>145.5</v>
      </c>
      <c r="H19" s="16">
        <v>81.2</v>
      </c>
      <c r="I19" s="16">
        <v>273.2</v>
      </c>
      <c r="J19" s="16">
        <v>385.5</v>
      </c>
      <c r="K19" s="16">
        <v>391.4</v>
      </c>
      <c r="L19" s="16">
        <v>43.5</v>
      </c>
      <c r="M19" s="16">
        <v>8.8000000000000007</v>
      </c>
      <c r="N19" s="18">
        <v>21.9</v>
      </c>
      <c r="O19" s="12">
        <f t="shared" si="0"/>
        <v>1534.5</v>
      </c>
      <c r="P19" s="19">
        <f t="shared" si="1"/>
        <v>127.9</v>
      </c>
    </row>
    <row r="20" spans="2:18" ht="21.95" customHeight="1">
      <c r="B20" s="15">
        <v>2008</v>
      </c>
      <c r="C20" s="16">
        <v>29</v>
      </c>
      <c r="D20" s="16">
        <v>7.7</v>
      </c>
      <c r="E20" s="16">
        <v>29.4</v>
      </c>
      <c r="F20" s="16">
        <v>27</v>
      </c>
      <c r="G20" s="16">
        <v>64.5</v>
      </c>
      <c r="H20" s="16">
        <v>112</v>
      </c>
      <c r="I20" s="16">
        <v>296.60000000000002</v>
      </c>
      <c r="J20" s="16">
        <v>195.5</v>
      </c>
      <c r="K20" s="16">
        <v>92.6</v>
      </c>
      <c r="L20" s="16">
        <v>13.1</v>
      </c>
      <c r="M20" s="16">
        <v>10.5</v>
      </c>
      <c r="N20" s="18">
        <v>14.4</v>
      </c>
      <c r="O20" s="12">
        <f t="shared" si="0"/>
        <v>892.3</v>
      </c>
      <c r="P20" s="19">
        <f t="shared" si="1"/>
        <v>74.400000000000006</v>
      </c>
      <c r="R20" s="4"/>
    </row>
    <row r="21" spans="2:18" ht="21.95" customHeight="1">
      <c r="B21" s="15">
        <v>2009</v>
      </c>
      <c r="C21" s="16">
        <v>17.8</v>
      </c>
      <c r="D21" s="16">
        <v>13.1</v>
      </c>
      <c r="E21" s="16">
        <v>54.9</v>
      </c>
      <c r="F21" s="16">
        <v>30.4</v>
      </c>
      <c r="G21" s="16">
        <v>109.6</v>
      </c>
      <c r="H21" s="16">
        <v>77.2</v>
      </c>
      <c r="I21" s="16">
        <v>345.7</v>
      </c>
      <c r="J21" s="16">
        <v>187.5</v>
      </c>
      <c r="K21" s="16">
        <v>49.5</v>
      </c>
      <c r="L21" s="16">
        <v>49.5</v>
      </c>
      <c r="M21" s="16">
        <v>43.9</v>
      </c>
      <c r="N21" s="18">
        <v>40.700000000000003</v>
      </c>
      <c r="O21" s="12">
        <f t="shared" si="0"/>
        <v>1019.8</v>
      </c>
      <c r="P21" s="19">
        <f t="shared" si="1"/>
        <v>85</v>
      </c>
    </row>
    <row r="22" spans="2:18" ht="21.95" customHeight="1">
      <c r="B22" s="15">
        <v>2010</v>
      </c>
      <c r="C22" s="16">
        <v>37.799999999999997</v>
      </c>
      <c r="D22" s="16">
        <v>69.2</v>
      </c>
      <c r="E22" s="16">
        <v>99.8</v>
      </c>
      <c r="F22" s="16">
        <v>70.5</v>
      </c>
      <c r="G22" s="16">
        <v>110</v>
      </c>
      <c r="H22" s="16">
        <v>42.6</v>
      </c>
      <c r="I22" s="16">
        <v>224.1</v>
      </c>
      <c r="J22" s="16">
        <v>433.2</v>
      </c>
      <c r="K22" s="16">
        <v>278.60000000000002</v>
      </c>
      <c r="L22" s="16">
        <v>17.100000000000001</v>
      </c>
      <c r="M22" s="16">
        <v>15.7</v>
      </c>
      <c r="N22" s="18">
        <v>23.8</v>
      </c>
      <c r="O22" s="12">
        <f t="shared" si="0"/>
        <v>1422.4</v>
      </c>
      <c r="P22" s="19">
        <f t="shared" si="1"/>
        <v>118.5</v>
      </c>
    </row>
    <row r="23" spans="2:18" ht="21.95" customHeight="1">
      <c r="B23" s="15">
        <v>2011</v>
      </c>
      <c r="C23" s="16">
        <v>4.5</v>
      </c>
      <c r="D23" s="16">
        <v>43.2</v>
      </c>
      <c r="E23" s="16">
        <v>23.5</v>
      </c>
      <c r="F23" s="16">
        <v>111.2</v>
      </c>
      <c r="G23" s="16">
        <v>116.2</v>
      </c>
      <c r="H23" s="16">
        <v>360.7</v>
      </c>
      <c r="I23" s="16">
        <v>531.9</v>
      </c>
      <c r="J23" s="16">
        <v>290.2</v>
      </c>
      <c r="K23" s="16">
        <v>182.5</v>
      </c>
      <c r="L23" s="16">
        <v>34.5</v>
      </c>
      <c r="M23" s="16">
        <v>92.6</v>
      </c>
      <c r="N23" s="18">
        <v>14.6</v>
      </c>
      <c r="O23" s="12">
        <f t="shared" si="0"/>
        <v>1805.6</v>
      </c>
      <c r="P23" s="19">
        <f t="shared" si="1"/>
        <v>150.5</v>
      </c>
    </row>
    <row r="24" spans="2:18" ht="21.95" customHeight="1">
      <c r="B24" s="15">
        <v>2012</v>
      </c>
      <c r="C24" s="16">
        <v>17.8</v>
      </c>
      <c r="D24" s="16">
        <v>3.7</v>
      </c>
      <c r="E24" s="16">
        <v>65.099999999999994</v>
      </c>
      <c r="F24" s="16">
        <v>106.8</v>
      </c>
      <c r="G24" s="16">
        <v>31.2</v>
      </c>
      <c r="H24" s="16">
        <v>93.7</v>
      </c>
      <c r="I24" s="16">
        <v>257.39999999999998</v>
      </c>
      <c r="J24" s="16">
        <v>479.5</v>
      </c>
      <c r="K24" s="16">
        <v>162.5</v>
      </c>
      <c r="L24" s="16">
        <v>61.2</v>
      </c>
      <c r="M24" s="16">
        <v>52.1</v>
      </c>
      <c r="N24" s="18">
        <v>56.6</v>
      </c>
      <c r="O24" s="12">
        <f t="shared" si="0"/>
        <v>1387.6</v>
      </c>
      <c r="P24" s="19">
        <f t="shared" si="1"/>
        <v>115.6</v>
      </c>
    </row>
    <row r="25" spans="2:18" ht="21.95" customHeight="1">
      <c r="B25" s="15">
        <v>2013</v>
      </c>
      <c r="C25" s="16">
        <v>30.5</v>
      </c>
      <c r="D25" s="16">
        <v>33.200000000000003</v>
      </c>
      <c r="E25" s="16">
        <v>46.8</v>
      </c>
      <c r="F25" s="16">
        <v>65</v>
      </c>
      <c r="G25" s="16">
        <v>97.9</v>
      </c>
      <c r="H25" s="16">
        <v>229.9</v>
      </c>
      <c r="I25" s="16">
        <v>253.6</v>
      </c>
      <c r="J25" s="16">
        <v>183.9</v>
      </c>
      <c r="K25" s="16">
        <v>162.6</v>
      </c>
      <c r="L25" s="16">
        <v>25</v>
      </c>
      <c r="M25" s="16">
        <v>75</v>
      </c>
      <c r="N25" s="18">
        <v>37.299999999999997</v>
      </c>
      <c r="O25" s="12">
        <f t="shared" si="0"/>
        <v>1240.7</v>
      </c>
      <c r="P25" s="19">
        <f t="shared" si="1"/>
        <v>103.4</v>
      </c>
    </row>
    <row r="26" spans="2:18" ht="21.95" customHeight="1">
      <c r="B26" s="15">
        <v>2014</v>
      </c>
      <c r="C26" s="16">
        <v>5.9</v>
      </c>
      <c r="D26" s="16">
        <v>6.8</v>
      </c>
      <c r="E26" s="16">
        <v>51.1</v>
      </c>
      <c r="F26" s="16">
        <v>43.7</v>
      </c>
      <c r="G26" s="16">
        <v>35</v>
      </c>
      <c r="H26" s="16">
        <v>92.6</v>
      </c>
      <c r="I26" s="16">
        <v>125.1</v>
      </c>
      <c r="J26" s="16">
        <v>197.5</v>
      </c>
      <c r="K26" s="16">
        <v>147.5</v>
      </c>
      <c r="L26" s="16">
        <v>151.1</v>
      </c>
      <c r="M26" s="16">
        <v>24.8</v>
      </c>
      <c r="N26" s="18">
        <v>32.6</v>
      </c>
      <c r="O26" s="12">
        <f t="shared" si="0"/>
        <v>913.7</v>
      </c>
      <c r="P26" s="19">
        <f t="shared" si="1"/>
        <v>76.099999999999994</v>
      </c>
    </row>
    <row r="27" spans="2:18" ht="21.95" customHeight="1">
      <c r="B27" s="15">
        <v>2015</v>
      </c>
      <c r="C27" s="16">
        <v>16</v>
      </c>
      <c r="D27" s="16">
        <v>26.5</v>
      </c>
      <c r="E27" s="16">
        <v>44.1</v>
      </c>
      <c r="F27" s="16">
        <v>109.1</v>
      </c>
      <c r="G27" s="16">
        <v>24.4</v>
      </c>
      <c r="H27" s="16">
        <v>83.3</v>
      </c>
      <c r="I27" s="16">
        <v>141.4</v>
      </c>
      <c r="J27" s="16">
        <v>54.3</v>
      </c>
      <c r="K27" s="16">
        <v>20.100000000000001</v>
      </c>
      <c r="L27" s="16">
        <v>90.5</v>
      </c>
      <c r="M27" s="16">
        <v>107.5</v>
      </c>
      <c r="N27" s="18">
        <v>39.700000000000003</v>
      </c>
      <c r="O27" s="12">
        <f t="shared" si="0"/>
        <v>756.9</v>
      </c>
      <c r="P27" s="19">
        <f t="shared" si="1"/>
        <v>63.1</v>
      </c>
    </row>
    <row r="28" spans="2:18" ht="21.95" customHeight="1">
      <c r="B28" s="15">
        <v>2016</v>
      </c>
      <c r="C28" s="16">
        <v>5.7</v>
      </c>
      <c r="D28" s="16">
        <v>45.5</v>
      </c>
      <c r="E28" s="16">
        <v>13.2</v>
      </c>
      <c r="F28" s="16">
        <v>132.1</v>
      </c>
      <c r="G28" s="16">
        <v>84.4</v>
      </c>
      <c r="H28" s="16">
        <v>39.9</v>
      </c>
      <c r="I28" s="16">
        <v>320</v>
      </c>
      <c r="J28" s="16">
        <v>69</v>
      </c>
      <c r="K28" s="16">
        <v>78.099999999999994</v>
      </c>
      <c r="L28" s="16">
        <v>83.6</v>
      </c>
      <c r="M28" s="16">
        <v>26.4</v>
      </c>
      <c r="N28" s="18">
        <v>40.1</v>
      </c>
      <c r="O28" s="12">
        <f t="shared" si="0"/>
        <v>938</v>
      </c>
      <c r="P28" s="19">
        <f t="shared" si="1"/>
        <v>78.2</v>
      </c>
    </row>
    <row r="29" spans="2:18" ht="21.95" customHeight="1">
      <c r="B29" s="15">
        <v>2017</v>
      </c>
      <c r="C29" s="16">
        <v>12</v>
      </c>
      <c r="D29" s="16">
        <v>38.700000000000003</v>
      </c>
      <c r="E29" s="16">
        <v>8.9</v>
      </c>
      <c r="F29" s="16">
        <v>61.7</v>
      </c>
      <c r="G29" s="16">
        <v>11.9</v>
      </c>
      <c r="H29" s="16">
        <v>17.5</v>
      </c>
      <c r="I29" s="16">
        <v>789.1</v>
      </c>
      <c r="J29" s="16">
        <v>225.2</v>
      </c>
      <c r="K29" s="16">
        <v>78.3</v>
      </c>
      <c r="L29" s="16">
        <v>23.1</v>
      </c>
      <c r="M29" s="16">
        <v>13.7</v>
      </c>
      <c r="N29" s="18">
        <v>21.1</v>
      </c>
      <c r="O29" s="12">
        <f t="shared" si="0"/>
        <v>1301.2</v>
      </c>
      <c r="P29" s="19">
        <f t="shared" si="1"/>
        <v>108.4</v>
      </c>
    </row>
    <row r="30" spans="2:18" ht="21.95" customHeight="1">
      <c r="B30" s="15">
        <v>2018</v>
      </c>
      <c r="C30" s="16">
        <v>17.600000000000001</v>
      </c>
      <c r="D30" s="16">
        <v>30.6</v>
      </c>
      <c r="E30" s="16">
        <v>81.7</v>
      </c>
      <c r="F30" s="16">
        <v>133</v>
      </c>
      <c r="G30" s="16">
        <v>92</v>
      </c>
      <c r="H30" s="16">
        <v>63.3</v>
      </c>
      <c r="I30" s="16">
        <v>324.89999999999998</v>
      </c>
      <c r="J30" s="16">
        <v>247.9</v>
      </c>
      <c r="K30" s="16">
        <v>204</v>
      </c>
      <c r="L30" s="16">
        <v>112.2</v>
      </c>
      <c r="M30" s="16">
        <v>45.9</v>
      </c>
      <c r="N30" s="18">
        <v>28.5</v>
      </c>
      <c r="O30" s="12">
        <f t="shared" si="0"/>
        <v>1381.6</v>
      </c>
      <c r="P30" s="19">
        <f t="shared" si="1"/>
        <v>115.1</v>
      </c>
    </row>
    <row r="31" spans="2:18" ht="21.95" customHeight="1">
      <c r="B31" s="15">
        <v>2019</v>
      </c>
      <c r="C31" s="16">
        <v>0.1</v>
      </c>
      <c r="D31" s="16">
        <v>23</v>
      </c>
      <c r="E31" s="16">
        <v>20.3</v>
      </c>
      <c r="F31" s="16">
        <v>60.8</v>
      </c>
      <c r="G31" s="16">
        <v>20.3</v>
      </c>
      <c r="H31" s="16">
        <v>82.5</v>
      </c>
      <c r="I31" s="16">
        <v>204.8</v>
      </c>
      <c r="J31" s="16">
        <v>80.5</v>
      </c>
      <c r="K31" s="16">
        <v>155.1</v>
      </c>
      <c r="L31" s="16">
        <v>84.3</v>
      </c>
      <c r="M31" s="16">
        <v>104.9</v>
      </c>
      <c r="N31" s="18">
        <v>20.100000000000001</v>
      </c>
      <c r="O31" s="12">
        <f t="shared" si="0"/>
        <v>856.7</v>
      </c>
      <c r="P31" s="19">
        <f t="shared" si="1"/>
        <v>71.400000000000006</v>
      </c>
    </row>
    <row r="32" spans="2:18" ht="21.95" customHeight="1">
      <c r="B32" s="15">
        <v>2020</v>
      </c>
      <c r="C32" s="16">
        <v>62</v>
      </c>
      <c r="D32" s="16">
        <v>62.7</v>
      </c>
      <c r="E32" s="16">
        <v>22.9</v>
      </c>
      <c r="F32" s="16">
        <v>15.7</v>
      </c>
      <c r="G32" s="16">
        <v>65.3</v>
      </c>
      <c r="H32" s="16">
        <v>145.9</v>
      </c>
      <c r="I32" s="16">
        <v>386.6</v>
      </c>
      <c r="J32" s="16">
        <v>385.8</v>
      </c>
      <c r="K32" s="16">
        <v>160.6</v>
      </c>
      <c r="L32" s="16">
        <v>5.8</v>
      </c>
      <c r="M32" s="16">
        <v>41</v>
      </c>
      <c r="N32" s="18">
        <v>4.3</v>
      </c>
      <c r="O32" s="12">
        <f t="shared" si="0"/>
        <v>1358.6</v>
      </c>
      <c r="P32" s="19">
        <f t="shared" si="1"/>
        <v>113.2</v>
      </c>
    </row>
    <row r="33" spans="2:16" ht="21.95" customHeight="1">
      <c r="B33" s="15">
        <v>2021</v>
      </c>
      <c r="C33" s="16">
        <v>12.7</v>
      </c>
      <c r="D33" s="16">
        <v>7.5</v>
      </c>
      <c r="E33" s="16">
        <v>76.599999999999994</v>
      </c>
      <c r="F33" s="16">
        <v>46.4</v>
      </c>
      <c r="G33" s="16">
        <v>136.4</v>
      </c>
      <c r="H33" s="16">
        <v>75.400000000000006</v>
      </c>
      <c r="I33" s="16">
        <v>138.1</v>
      </c>
      <c r="J33" s="16">
        <v>233.1</v>
      </c>
      <c r="K33" s="16">
        <v>185</v>
      </c>
      <c r="L33" s="16">
        <v>29.4</v>
      </c>
      <c r="M33" s="16">
        <v>57.3</v>
      </c>
      <c r="N33" s="18">
        <v>3.7</v>
      </c>
      <c r="O33" s="12">
        <f t="shared" si="0"/>
        <v>1001.6</v>
      </c>
      <c r="P33" s="19">
        <f t="shared" si="1"/>
        <v>83.5</v>
      </c>
    </row>
    <row r="34" spans="2:16" ht="21.95" customHeight="1">
      <c r="B34" s="15">
        <v>2022</v>
      </c>
      <c r="C34" s="16">
        <v>1.4</v>
      </c>
      <c r="D34" s="16">
        <v>2.4</v>
      </c>
      <c r="E34" s="16">
        <v>59</v>
      </c>
      <c r="F34" s="16">
        <v>45.2</v>
      </c>
      <c r="G34" s="16">
        <v>9.1</v>
      </c>
      <c r="H34" s="16">
        <v>129.6</v>
      </c>
      <c r="I34" s="16">
        <v>171.7</v>
      </c>
      <c r="J34" s="16">
        <v>519.4</v>
      </c>
      <c r="K34" s="16">
        <v>116</v>
      </c>
      <c r="L34" s="16">
        <v>105.9</v>
      </c>
      <c r="M34" s="16">
        <v>56.7</v>
      </c>
      <c r="N34" s="18">
        <v>20</v>
      </c>
      <c r="O34" s="12">
        <f t="shared" si="0"/>
        <v>1236.4000000000001</v>
      </c>
      <c r="P34" s="19">
        <f t="shared" si="1"/>
        <v>103</v>
      </c>
    </row>
    <row r="35" spans="2:16" ht="21.95" customHeight="1" thickBot="1">
      <c r="B35" s="33">
        <v>2023</v>
      </c>
      <c r="C35" s="34">
        <v>28</v>
      </c>
      <c r="D35" s="34">
        <v>2.8</v>
      </c>
      <c r="E35" s="34">
        <v>18.8</v>
      </c>
      <c r="F35" s="34">
        <v>30.1</v>
      </c>
      <c r="G35" s="34">
        <v>202.4</v>
      </c>
      <c r="H35" s="34">
        <v>100.5</v>
      </c>
      <c r="I35" s="34">
        <v>698.5</v>
      </c>
      <c r="J35" s="34">
        <v>297.7</v>
      </c>
      <c r="K35" s="34">
        <v>270.60000000000002</v>
      </c>
      <c r="L35" s="34">
        <v>17.399999999999999</v>
      </c>
      <c r="M35" s="34">
        <v>41.5</v>
      </c>
      <c r="N35" s="35">
        <v>97.3</v>
      </c>
      <c r="O35" s="36">
        <f t="shared" si="0"/>
        <v>1805.6</v>
      </c>
      <c r="P35" s="37">
        <f t="shared" si="1"/>
        <v>150.5</v>
      </c>
    </row>
    <row r="36" spans="2:16" ht="21.95" customHeight="1">
      <c r="B36" s="38" t="s">
        <v>13</v>
      </c>
      <c r="C36" s="39">
        <f>ROUND(MAX(C6:C35),1)</f>
        <v>62</v>
      </c>
      <c r="D36" s="39">
        <f t="shared" ref="D36:N36" si="2">ROUND(MAX(D6:D35),1)</f>
        <v>69.2</v>
      </c>
      <c r="E36" s="39">
        <f t="shared" si="2"/>
        <v>103.2</v>
      </c>
      <c r="F36" s="39">
        <f t="shared" si="2"/>
        <v>192.7</v>
      </c>
      <c r="G36" s="39">
        <f t="shared" si="2"/>
        <v>202.4</v>
      </c>
      <c r="H36" s="39">
        <f t="shared" si="2"/>
        <v>421.5</v>
      </c>
      <c r="I36" s="39">
        <f t="shared" si="2"/>
        <v>789.1</v>
      </c>
      <c r="J36" s="39">
        <f t="shared" si="2"/>
        <v>835.4</v>
      </c>
      <c r="K36" s="39">
        <f t="shared" si="2"/>
        <v>391.4</v>
      </c>
      <c r="L36" s="39">
        <f t="shared" si="2"/>
        <v>252.4</v>
      </c>
      <c r="M36" s="39">
        <f t="shared" si="2"/>
        <v>180.3</v>
      </c>
      <c r="N36" s="40">
        <f t="shared" si="2"/>
        <v>97.3</v>
      </c>
      <c r="O36" s="41">
        <f>ROUND(MAX(O6:O35),1)</f>
        <v>1805.6</v>
      </c>
      <c r="P36" s="42">
        <f>ROUND(MAX(P6:P35),1)</f>
        <v>150.5</v>
      </c>
    </row>
    <row r="37" spans="2:16" ht="21.95" customHeight="1">
      <c r="B37" s="43" t="s">
        <v>14</v>
      </c>
      <c r="C37" s="44">
        <f>ROUND(MIN(C6:C35),1)</f>
        <v>0.1</v>
      </c>
      <c r="D37" s="44">
        <f t="shared" ref="D37:N37" si="3">ROUND(MIN(D6:D35),1)</f>
        <v>1.3</v>
      </c>
      <c r="E37" s="44">
        <f t="shared" si="3"/>
        <v>8.1999999999999993</v>
      </c>
      <c r="F37" s="44">
        <f t="shared" si="3"/>
        <v>12.7</v>
      </c>
      <c r="G37" s="44">
        <f t="shared" si="3"/>
        <v>9.1</v>
      </c>
      <c r="H37" s="44">
        <f t="shared" si="3"/>
        <v>17.5</v>
      </c>
      <c r="I37" s="44">
        <f t="shared" si="3"/>
        <v>85.5</v>
      </c>
      <c r="J37" s="44">
        <f t="shared" si="3"/>
        <v>52</v>
      </c>
      <c r="K37" s="44">
        <f t="shared" si="3"/>
        <v>11.2</v>
      </c>
      <c r="L37" s="44">
        <f t="shared" si="3"/>
        <v>2</v>
      </c>
      <c r="M37" s="44">
        <f t="shared" si="3"/>
        <v>6.9</v>
      </c>
      <c r="N37" s="19">
        <f t="shared" si="3"/>
        <v>3.6</v>
      </c>
      <c r="O37" s="45">
        <f>ROUND(MIN(O6:O35),1)</f>
        <v>756.9</v>
      </c>
      <c r="P37" s="46">
        <f>ROUND(MIN(P6:P35),1)</f>
        <v>63.1</v>
      </c>
    </row>
    <row r="38" spans="2:16" ht="21.95" customHeight="1" thickBot="1">
      <c r="B38" s="47" t="s">
        <v>18</v>
      </c>
      <c r="C38" s="48">
        <f>ROUND(AVERAGE(C6:C35),1)</f>
        <v>20.6</v>
      </c>
      <c r="D38" s="48">
        <f t="shared" ref="D38:J38" si="4">ROUND(AVERAGE(D6:D35),1)</f>
        <v>24.8</v>
      </c>
      <c r="E38" s="48">
        <f t="shared" si="4"/>
        <v>44.1</v>
      </c>
      <c r="F38" s="48">
        <f t="shared" si="4"/>
        <v>71.7</v>
      </c>
      <c r="G38" s="48">
        <f t="shared" si="4"/>
        <v>83.8</v>
      </c>
      <c r="H38" s="48">
        <f t="shared" si="4"/>
        <v>141.9</v>
      </c>
      <c r="I38" s="48">
        <f t="shared" si="4"/>
        <v>302.3</v>
      </c>
      <c r="J38" s="48">
        <f t="shared" si="4"/>
        <v>285.10000000000002</v>
      </c>
      <c r="K38" s="48">
        <f t="shared" ref="K38:P38" si="5">ROUND(AVERAGE(K6:K35),1)</f>
        <v>144.19999999999999</v>
      </c>
      <c r="L38" s="48">
        <f t="shared" si="5"/>
        <v>60.3</v>
      </c>
      <c r="M38" s="48">
        <f t="shared" si="5"/>
        <v>47.4</v>
      </c>
      <c r="N38" s="49">
        <f t="shared" si="5"/>
        <v>26.4</v>
      </c>
      <c r="O38" s="50">
        <f t="shared" si="5"/>
        <v>1252.5999999999999</v>
      </c>
      <c r="P38" s="51">
        <f t="shared" si="5"/>
        <v>104.4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2014</v>
      </c>
      <c r="C44" s="53">
        <f t="shared" ref="C44:N44" si="6">C26</f>
        <v>5.9</v>
      </c>
      <c r="D44" s="53">
        <f t="shared" si="6"/>
        <v>6.8</v>
      </c>
      <c r="E44" s="53">
        <f t="shared" si="6"/>
        <v>51.1</v>
      </c>
      <c r="F44" s="53">
        <f t="shared" si="6"/>
        <v>43.7</v>
      </c>
      <c r="G44" s="53">
        <f t="shared" si="6"/>
        <v>35</v>
      </c>
      <c r="H44" s="53">
        <f t="shared" si="6"/>
        <v>92.6</v>
      </c>
      <c r="I44" s="53">
        <f t="shared" si="6"/>
        <v>125.1</v>
      </c>
      <c r="J44" s="53">
        <f t="shared" si="6"/>
        <v>197.5</v>
      </c>
      <c r="K44" s="53">
        <f t="shared" si="6"/>
        <v>147.5</v>
      </c>
      <c r="L44" s="53">
        <f t="shared" si="6"/>
        <v>151.1</v>
      </c>
      <c r="M44" s="53">
        <f t="shared" si="6"/>
        <v>24.8</v>
      </c>
      <c r="N44" s="54">
        <f t="shared" si="6"/>
        <v>32.6</v>
      </c>
      <c r="O44" s="55">
        <f>ROUND(SUM(C44:N44),1)</f>
        <v>913.7</v>
      </c>
      <c r="P44" s="46">
        <f>ROUND(O44/12,1)</f>
        <v>76.099999999999994</v>
      </c>
    </row>
    <row r="45" spans="2:16" ht="21.95" customHeight="1">
      <c r="B45" s="52">
        <f t="shared" ref="B45:N45" si="7">B27</f>
        <v>2015</v>
      </c>
      <c r="C45" s="53">
        <f t="shared" si="7"/>
        <v>16</v>
      </c>
      <c r="D45" s="53">
        <f t="shared" si="7"/>
        <v>26.5</v>
      </c>
      <c r="E45" s="53">
        <f t="shared" si="7"/>
        <v>44.1</v>
      </c>
      <c r="F45" s="53">
        <f t="shared" si="7"/>
        <v>109.1</v>
      </c>
      <c r="G45" s="53">
        <f t="shared" si="7"/>
        <v>24.4</v>
      </c>
      <c r="H45" s="53">
        <f t="shared" si="7"/>
        <v>83.3</v>
      </c>
      <c r="I45" s="53">
        <f t="shared" si="7"/>
        <v>141.4</v>
      </c>
      <c r="J45" s="53">
        <f t="shared" si="7"/>
        <v>54.3</v>
      </c>
      <c r="K45" s="53">
        <f t="shared" si="7"/>
        <v>20.100000000000001</v>
      </c>
      <c r="L45" s="53">
        <f t="shared" si="7"/>
        <v>90.5</v>
      </c>
      <c r="M45" s="53">
        <f t="shared" si="7"/>
        <v>107.5</v>
      </c>
      <c r="N45" s="54">
        <f t="shared" si="7"/>
        <v>39.700000000000003</v>
      </c>
      <c r="O45" s="55">
        <f t="shared" ref="O45:O53" si="8">ROUND(SUM(C45:N45),1)</f>
        <v>756.9</v>
      </c>
      <c r="P45" s="46">
        <f t="shared" ref="P45:P53" si="9">ROUND(O45/12,1)</f>
        <v>63.1</v>
      </c>
    </row>
    <row r="46" spans="2:16" ht="21.95" customHeight="1">
      <c r="B46" s="52">
        <f t="shared" ref="B46:N46" si="10">B28</f>
        <v>2016</v>
      </c>
      <c r="C46" s="53">
        <f t="shared" si="10"/>
        <v>5.7</v>
      </c>
      <c r="D46" s="53">
        <f t="shared" si="10"/>
        <v>45.5</v>
      </c>
      <c r="E46" s="53">
        <f t="shared" si="10"/>
        <v>13.2</v>
      </c>
      <c r="F46" s="53">
        <f t="shared" si="10"/>
        <v>132.1</v>
      </c>
      <c r="G46" s="53">
        <f t="shared" si="10"/>
        <v>84.4</v>
      </c>
      <c r="H46" s="53">
        <f t="shared" si="10"/>
        <v>39.9</v>
      </c>
      <c r="I46" s="53">
        <f t="shared" si="10"/>
        <v>320</v>
      </c>
      <c r="J46" s="53">
        <f t="shared" si="10"/>
        <v>69</v>
      </c>
      <c r="K46" s="53">
        <f t="shared" si="10"/>
        <v>78.099999999999994</v>
      </c>
      <c r="L46" s="53">
        <f t="shared" si="10"/>
        <v>83.6</v>
      </c>
      <c r="M46" s="53">
        <f t="shared" si="10"/>
        <v>26.4</v>
      </c>
      <c r="N46" s="54">
        <f t="shared" si="10"/>
        <v>40.1</v>
      </c>
      <c r="O46" s="55">
        <f t="shared" si="8"/>
        <v>938</v>
      </c>
      <c r="P46" s="46">
        <f t="shared" si="9"/>
        <v>78.2</v>
      </c>
    </row>
    <row r="47" spans="2:16" ht="21.95" customHeight="1">
      <c r="B47" s="52">
        <f t="shared" ref="B47:N47" si="11">B29</f>
        <v>2017</v>
      </c>
      <c r="C47" s="53">
        <f t="shared" si="11"/>
        <v>12</v>
      </c>
      <c r="D47" s="53">
        <f t="shared" si="11"/>
        <v>38.700000000000003</v>
      </c>
      <c r="E47" s="53">
        <f t="shared" si="11"/>
        <v>8.9</v>
      </c>
      <c r="F47" s="53">
        <f t="shared" si="11"/>
        <v>61.7</v>
      </c>
      <c r="G47" s="53">
        <f t="shared" si="11"/>
        <v>11.9</v>
      </c>
      <c r="H47" s="53">
        <f t="shared" si="11"/>
        <v>17.5</v>
      </c>
      <c r="I47" s="53">
        <f t="shared" si="11"/>
        <v>789.1</v>
      </c>
      <c r="J47" s="53">
        <f t="shared" si="11"/>
        <v>225.2</v>
      </c>
      <c r="K47" s="53">
        <f t="shared" si="11"/>
        <v>78.3</v>
      </c>
      <c r="L47" s="53">
        <f t="shared" si="11"/>
        <v>23.1</v>
      </c>
      <c r="M47" s="53">
        <f t="shared" si="11"/>
        <v>13.7</v>
      </c>
      <c r="N47" s="54">
        <f t="shared" si="11"/>
        <v>21.1</v>
      </c>
      <c r="O47" s="55">
        <f>ROUND(SUM(C47:N47),1)</f>
        <v>1301.2</v>
      </c>
      <c r="P47" s="46">
        <f t="shared" si="9"/>
        <v>108.4</v>
      </c>
    </row>
    <row r="48" spans="2:16" ht="21.95" customHeight="1">
      <c r="B48" s="52">
        <f t="shared" ref="B48:N48" si="12">B30</f>
        <v>2018</v>
      </c>
      <c r="C48" s="53">
        <f t="shared" si="12"/>
        <v>17.600000000000001</v>
      </c>
      <c r="D48" s="53">
        <f t="shared" si="12"/>
        <v>30.6</v>
      </c>
      <c r="E48" s="53">
        <f t="shared" si="12"/>
        <v>81.7</v>
      </c>
      <c r="F48" s="53">
        <f t="shared" si="12"/>
        <v>133</v>
      </c>
      <c r="G48" s="53">
        <f t="shared" si="12"/>
        <v>92</v>
      </c>
      <c r="H48" s="53">
        <f t="shared" si="12"/>
        <v>63.3</v>
      </c>
      <c r="I48" s="53">
        <f t="shared" si="12"/>
        <v>324.89999999999998</v>
      </c>
      <c r="J48" s="53">
        <f t="shared" si="12"/>
        <v>247.9</v>
      </c>
      <c r="K48" s="53">
        <f t="shared" si="12"/>
        <v>204</v>
      </c>
      <c r="L48" s="53">
        <f t="shared" si="12"/>
        <v>112.2</v>
      </c>
      <c r="M48" s="53">
        <f t="shared" si="12"/>
        <v>45.9</v>
      </c>
      <c r="N48" s="54">
        <f t="shared" si="12"/>
        <v>28.5</v>
      </c>
      <c r="O48" s="55">
        <f t="shared" si="8"/>
        <v>1381.6</v>
      </c>
      <c r="P48" s="46">
        <f t="shared" si="9"/>
        <v>115.1</v>
      </c>
    </row>
    <row r="49" spans="2:16" ht="21.95" customHeight="1">
      <c r="B49" s="52">
        <f t="shared" ref="B49:N49" si="13">B31</f>
        <v>2019</v>
      </c>
      <c r="C49" s="53">
        <f t="shared" si="13"/>
        <v>0.1</v>
      </c>
      <c r="D49" s="53">
        <f t="shared" si="13"/>
        <v>23</v>
      </c>
      <c r="E49" s="53">
        <f t="shared" si="13"/>
        <v>20.3</v>
      </c>
      <c r="F49" s="53">
        <f t="shared" si="13"/>
        <v>60.8</v>
      </c>
      <c r="G49" s="53">
        <f t="shared" si="13"/>
        <v>20.3</v>
      </c>
      <c r="H49" s="53">
        <f t="shared" si="13"/>
        <v>82.5</v>
      </c>
      <c r="I49" s="53">
        <f t="shared" si="13"/>
        <v>204.8</v>
      </c>
      <c r="J49" s="53">
        <f t="shared" si="13"/>
        <v>80.5</v>
      </c>
      <c r="K49" s="53">
        <f t="shared" si="13"/>
        <v>155.1</v>
      </c>
      <c r="L49" s="53">
        <f t="shared" si="13"/>
        <v>84.3</v>
      </c>
      <c r="M49" s="53">
        <f t="shared" si="13"/>
        <v>104.9</v>
      </c>
      <c r="N49" s="54">
        <f t="shared" si="13"/>
        <v>20.100000000000001</v>
      </c>
      <c r="O49" s="55">
        <f t="shared" si="8"/>
        <v>856.7</v>
      </c>
      <c r="P49" s="46">
        <f t="shared" si="9"/>
        <v>71.400000000000006</v>
      </c>
    </row>
    <row r="50" spans="2:16" ht="21.95" customHeight="1">
      <c r="B50" s="52">
        <f t="shared" ref="B50:N50" si="14">B32</f>
        <v>2020</v>
      </c>
      <c r="C50" s="53">
        <f t="shared" si="14"/>
        <v>62</v>
      </c>
      <c r="D50" s="53">
        <f t="shared" si="14"/>
        <v>62.7</v>
      </c>
      <c r="E50" s="53">
        <f t="shared" si="14"/>
        <v>22.9</v>
      </c>
      <c r="F50" s="53">
        <f t="shared" si="14"/>
        <v>15.7</v>
      </c>
      <c r="G50" s="53">
        <f t="shared" si="14"/>
        <v>65.3</v>
      </c>
      <c r="H50" s="53">
        <f t="shared" si="14"/>
        <v>145.9</v>
      </c>
      <c r="I50" s="53">
        <f t="shared" si="14"/>
        <v>386.6</v>
      </c>
      <c r="J50" s="53">
        <f t="shared" si="14"/>
        <v>385.8</v>
      </c>
      <c r="K50" s="53">
        <f t="shared" si="14"/>
        <v>160.6</v>
      </c>
      <c r="L50" s="53">
        <f t="shared" si="14"/>
        <v>5.8</v>
      </c>
      <c r="M50" s="53">
        <f t="shared" si="14"/>
        <v>41</v>
      </c>
      <c r="N50" s="54">
        <f t="shared" si="14"/>
        <v>4.3</v>
      </c>
      <c r="O50" s="55">
        <f t="shared" si="8"/>
        <v>1358.6</v>
      </c>
      <c r="P50" s="46">
        <f t="shared" si="9"/>
        <v>113.2</v>
      </c>
    </row>
    <row r="51" spans="2:16" ht="21.95" customHeight="1">
      <c r="B51" s="52">
        <f t="shared" ref="B51:N51" si="15">B33</f>
        <v>2021</v>
      </c>
      <c r="C51" s="53">
        <f t="shared" si="15"/>
        <v>12.7</v>
      </c>
      <c r="D51" s="53">
        <f t="shared" si="15"/>
        <v>7.5</v>
      </c>
      <c r="E51" s="53">
        <f t="shared" si="15"/>
        <v>76.599999999999994</v>
      </c>
      <c r="F51" s="53">
        <f t="shared" si="15"/>
        <v>46.4</v>
      </c>
      <c r="G51" s="53">
        <f t="shared" si="15"/>
        <v>136.4</v>
      </c>
      <c r="H51" s="53">
        <f t="shared" si="15"/>
        <v>75.400000000000006</v>
      </c>
      <c r="I51" s="53">
        <f t="shared" si="15"/>
        <v>138.1</v>
      </c>
      <c r="J51" s="53">
        <f t="shared" si="15"/>
        <v>233.1</v>
      </c>
      <c r="K51" s="53">
        <f t="shared" si="15"/>
        <v>185</v>
      </c>
      <c r="L51" s="53">
        <f t="shared" si="15"/>
        <v>29.4</v>
      </c>
      <c r="M51" s="53">
        <f t="shared" si="15"/>
        <v>57.3</v>
      </c>
      <c r="N51" s="54">
        <f t="shared" si="15"/>
        <v>3.7</v>
      </c>
      <c r="O51" s="55">
        <f t="shared" si="8"/>
        <v>1001.6</v>
      </c>
      <c r="P51" s="46">
        <f t="shared" si="9"/>
        <v>83.5</v>
      </c>
    </row>
    <row r="52" spans="2:16" ht="21.95" customHeight="1">
      <c r="B52" s="52">
        <f t="shared" ref="B52:N52" si="16">B34</f>
        <v>2022</v>
      </c>
      <c r="C52" s="53">
        <f t="shared" si="16"/>
        <v>1.4</v>
      </c>
      <c r="D52" s="53">
        <f t="shared" si="16"/>
        <v>2.4</v>
      </c>
      <c r="E52" s="53">
        <f t="shared" si="16"/>
        <v>59</v>
      </c>
      <c r="F52" s="53">
        <f t="shared" si="16"/>
        <v>45.2</v>
      </c>
      <c r="G52" s="53">
        <f t="shared" si="16"/>
        <v>9.1</v>
      </c>
      <c r="H52" s="53">
        <f t="shared" si="16"/>
        <v>129.6</v>
      </c>
      <c r="I52" s="53">
        <f t="shared" si="16"/>
        <v>171.7</v>
      </c>
      <c r="J52" s="53">
        <f t="shared" si="16"/>
        <v>519.4</v>
      </c>
      <c r="K52" s="53">
        <f t="shared" si="16"/>
        <v>116</v>
      </c>
      <c r="L52" s="53">
        <f t="shared" si="16"/>
        <v>105.9</v>
      </c>
      <c r="M52" s="53">
        <f t="shared" si="16"/>
        <v>56.7</v>
      </c>
      <c r="N52" s="54">
        <f t="shared" si="16"/>
        <v>20</v>
      </c>
      <c r="O52" s="55">
        <f t="shared" si="8"/>
        <v>1236.4000000000001</v>
      </c>
      <c r="P52" s="46">
        <f t="shared" si="9"/>
        <v>103</v>
      </c>
    </row>
    <row r="53" spans="2:16" ht="21.95" customHeight="1" thickBot="1">
      <c r="B53" s="56">
        <f t="shared" ref="B53:N53" si="17">B35</f>
        <v>2023</v>
      </c>
      <c r="C53" s="57">
        <f t="shared" si="17"/>
        <v>28</v>
      </c>
      <c r="D53" s="57">
        <f t="shared" si="17"/>
        <v>2.8</v>
      </c>
      <c r="E53" s="57">
        <f t="shared" si="17"/>
        <v>18.8</v>
      </c>
      <c r="F53" s="57">
        <f t="shared" si="17"/>
        <v>30.1</v>
      </c>
      <c r="G53" s="57">
        <f t="shared" si="17"/>
        <v>202.4</v>
      </c>
      <c r="H53" s="57">
        <f t="shared" si="17"/>
        <v>100.5</v>
      </c>
      <c r="I53" s="57">
        <f t="shared" si="17"/>
        <v>698.5</v>
      </c>
      <c r="J53" s="57">
        <f t="shared" si="17"/>
        <v>297.7</v>
      </c>
      <c r="K53" s="57">
        <f t="shared" si="17"/>
        <v>270.60000000000002</v>
      </c>
      <c r="L53" s="57">
        <f t="shared" si="17"/>
        <v>17.399999999999999</v>
      </c>
      <c r="M53" s="57">
        <f t="shared" si="17"/>
        <v>41.5</v>
      </c>
      <c r="N53" s="58">
        <f t="shared" si="17"/>
        <v>97.3</v>
      </c>
      <c r="O53" s="59">
        <f t="shared" si="8"/>
        <v>1805.6</v>
      </c>
      <c r="P53" s="51">
        <f t="shared" si="9"/>
        <v>150.5</v>
      </c>
    </row>
    <row r="54" spans="2:16" ht="21.95" customHeight="1">
      <c r="B54" s="60" t="s">
        <v>19</v>
      </c>
      <c r="C54" s="61">
        <f>MAX(C44:C53)</f>
        <v>62</v>
      </c>
      <c r="D54" s="61">
        <f t="shared" ref="D54:P54" si="18">MAX(D44:D53)</f>
        <v>62.7</v>
      </c>
      <c r="E54" s="61">
        <f t="shared" si="18"/>
        <v>81.7</v>
      </c>
      <c r="F54" s="61">
        <f t="shared" si="18"/>
        <v>133</v>
      </c>
      <c r="G54" s="61">
        <f t="shared" si="18"/>
        <v>202.4</v>
      </c>
      <c r="H54" s="61">
        <f t="shared" si="18"/>
        <v>145.9</v>
      </c>
      <c r="I54" s="61">
        <f t="shared" si="18"/>
        <v>789.1</v>
      </c>
      <c r="J54" s="61">
        <f t="shared" si="18"/>
        <v>519.4</v>
      </c>
      <c r="K54" s="61">
        <f t="shared" si="18"/>
        <v>270.60000000000002</v>
      </c>
      <c r="L54" s="61">
        <f t="shared" si="18"/>
        <v>151.1</v>
      </c>
      <c r="M54" s="61">
        <f t="shared" si="18"/>
        <v>107.5</v>
      </c>
      <c r="N54" s="62">
        <f t="shared" si="18"/>
        <v>97.3</v>
      </c>
      <c r="O54" s="63">
        <f t="shared" si="18"/>
        <v>1805.6</v>
      </c>
      <c r="P54" s="62">
        <f t="shared" si="18"/>
        <v>150.5</v>
      </c>
    </row>
    <row r="55" spans="2:16" ht="21.95" customHeight="1">
      <c r="B55" s="64" t="s">
        <v>20</v>
      </c>
      <c r="C55" s="65">
        <f>MIN(C44:C53)</f>
        <v>0.1</v>
      </c>
      <c r="D55" s="65">
        <f t="shared" ref="D55:P55" si="19">MIN(D44:D53)</f>
        <v>2.4</v>
      </c>
      <c r="E55" s="65">
        <f t="shared" si="19"/>
        <v>8.9</v>
      </c>
      <c r="F55" s="65">
        <f t="shared" si="19"/>
        <v>15.7</v>
      </c>
      <c r="G55" s="65">
        <f t="shared" si="19"/>
        <v>9.1</v>
      </c>
      <c r="H55" s="65">
        <f t="shared" si="19"/>
        <v>17.5</v>
      </c>
      <c r="I55" s="65">
        <f t="shared" si="19"/>
        <v>125.1</v>
      </c>
      <c r="J55" s="65">
        <f t="shared" si="19"/>
        <v>54.3</v>
      </c>
      <c r="K55" s="65">
        <f t="shared" si="19"/>
        <v>20.100000000000001</v>
      </c>
      <c r="L55" s="65">
        <f t="shared" si="19"/>
        <v>5.8</v>
      </c>
      <c r="M55" s="65">
        <f t="shared" si="19"/>
        <v>13.7</v>
      </c>
      <c r="N55" s="46">
        <f t="shared" si="19"/>
        <v>3.7</v>
      </c>
      <c r="O55" s="55">
        <f>MIN(O44:O53)</f>
        <v>756.9</v>
      </c>
      <c r="P55" s="46">
        <f t="shared" si="19"/>
        <v>63.1</v>
      </c>
    </row>
    <row r="56" spans="2:16" ht="21.95" customHeight="1" thickBot="1">
      <c r="B56" s="66" t="s">
        <v>7</v>
      </c>
      <c r="C56" s="67">
        <f>ROUND(AVERAGE(C44:C53),1)</f>
        <v>16.100000000000001</v>
      </c>
      <c r="D56" s="67">
        <f t="shared" ref="D56:N56" si="20">ROUND(AVERAGE(D44:D53),1)</f>
        <v>24.7</v>
      </c>
      <c r="E56" s="67">
        <f t="shared" si="20"/>
        <v>39.700000000000003</v>
      </c>
      <c r="F56" s="67">
        <f t="shared" si="20"/>
        <v>67.8</v>
      </c>
      <c r="G56" s="67">
        <f t="shared" si="20"/>
        <v>68.099999999999994</v>
      </c>
      <c r="H56" s="67">
        <f t="shared" si="20"/>
        <v>83.1</v>
      </c>
      <c r="I56" s="67">
        <f t="shared" si="20"/>
        <v>330</v>
      </c>
      <c r="J56" s="67">
        <f t="shared" si="20"/>
        <v>231</v>
      </c>
      <c r="K56" s="67">
        <f t="shared" si="20"/>
        <v>141.5</v>
      </c>
      <c r="L56" s="67">
        <f t="shared" si="20"/>
        <v>70.3</v>
      </c>
      <c r="M56" s="67">
        <f t="shared" si="20"/>
        <v>52</v>
      </c>
      <c r="N56" s="51">
        <f t="shared" si="20"/>
        <v>30.7</v>
      </c>
      <c r="O56" s="59">
        <f>ROUND(AVERAGE(O44:O53),1)</f>
        <v>1155</v>
      </c>
      <c r="P56" s="51">
        <f>ROUND(AVERAGE(P44:P53),1)</f>
        <v>96.3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_GetWeatherData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_GetWeatherData"/>
      </mc:Fallback>
    </mc:AlternateContent>
    <mc:AlternateContent xmlns:mc="http://schemas.openxmlformats.org/markup-compatibility/2006">
      <mc:Choice Requires="x14">
        <control shapeId="59398" r:id="rId6" name="CommandButton_Clear30Year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_Clear30Year"/>
      </mc:Fallback>
    </mc:AlternateContent>
    <mc:AlternateContent xmlns:mc="http://schemas.openxmlformats.org/markup-compatibility/2006">
      <mc:Choice Requires="x14">
        <control shapeId="59415" r:id="rId8" name="CommandButton_BackUP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_BackUP"/>
      </mc:Fallback>
    </mc:AlternateContent>
    <mc:AlternateContent xmlns:mc="http://schemas.openxmlformats.org/markup-compatibility/2006">
      <mc:Choice Requires="x14">
        <control shapeId="59430" r:id="rId10" name="CommandButton_LoadDataFromArray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_LoadDataFromArray"/>
      </mc:Fallback>
    </mc:AlternateContent>
    <mc:AlternateContent xmlns:mc="http://schemas.openxmlformats.org/markup-compatibility/2006">
      <mc:Choice Requires="x14">
        <control shapeId="59432" r:id="rId12" name="CommandButton_AnnualReset">
          <controlPr defaultSize="0" autoLine="0" r:id="rId13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609600</xdr:colOff>
                <xdr:row>17</xdr:row>
                <xdr:rowOff>228600</xdr:rowOff>
              </to>
            </anchor>
          </controlPr>
        </control>
      </mc:Choice>
      <mc:Fallback>
        <control shapeId="59432" r:id="rId12" name="CommandButton_AnnualReset"/>
      </mc:Fallback>
    </mc:AlternateContent>
    <mc:AlternateContent xmlns:mc="http://schemas.openxmlformats.org/markup-compatibility/2006">
      <mc:Choice Requires="x14">
        <control shapeId="59434" r:id="rId14" name="CommandButton_DeleteIgnoreError">
          <controlPr defaultSize="0" autoLine="0" r:id="rId1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609600</xdr:colOff>
                <xdr:row>19</xdr:row>
                <xdr:rowOff>161925</xdr:rowOff>
              </to>
            </anchor>
          </controlPr>
        </control>
      </mc:Choice>
      <mc:Fallback>
        <control shapeId="59434" r:id="rId14" name="CommandButton_DeleteIgnoreErr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main</vt:lpstr>
      <vt:lpstr>AREA</vt:lpstr>
      <vt:lpstr>AREAREF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2024-12-25T08:29:02Z</dcterms:modified>
</cp:coreProperties>
</file>