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DFC8B755-D69C-4023-B156-41BC8E3244FE}" xr6:coauthVersionLast="47" xr6:coauthVersionMax="47" xr10:uidLastSave="{00000000-0000-0000-0000-000000000000}"/>
  <bookViews>
    <workbookView xWindow="-120" yWindow="-120" windowWidth="38640" windowHeight="21120" tabRatio="526" xr2:uid="{00000000-000D-0000-FFFF-FFFF00000000}"/>
  </bookViews>
  <sheets>
    <sheet name="main" sheetId="103" r:id="rId1"/>
    <sheet name="AREA" sheetId="143" state="hidden" r:id="rId2"/>
    <sheet name="AREAREF" sheetId="167" state="hidden" r:id="rId3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03" l="1"/>
  <c r="S10" i="103"/>
  <c r="C38" i="103" l="1"/>
  <c r="N38" i="103"/>
  <c r="M38" i="103"/>
  <c r="L38" i="103"/>
  <c r="K38" i="103"/>
  <c r="S9" i="103"/>
  <c r="S11" i="103"/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<sst xmlns="http://schemas.openxmlformats.org/spreadsheetml/2006/main" count="824" uniqueCount="259">
  <si>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</si>
  <si>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</si>
  <si>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</si>
  <si>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</si>
  <si>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</si>
  <si>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</si>
  <si>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</si>
  <si>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</si>
  <si>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</si>
  <si>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</si>
  <si>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</si>
  <si>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</si>
  <si>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</si>
  <si>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</si>
  <si>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</si>
  <si>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</si>
  <si>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</si>
  <si>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</si>
  <si>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</si>
  <si>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</si>
  <si>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</si>
  <si>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</si>
  <si>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</si>
  <si>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</si>
  <si>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</si>
  <si>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</si>
  <si>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</si>
  <si>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</si>
  <si>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</si>
  <si>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</si>
  <si>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</si>
  <si>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</si>
  <si>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</si>
  <si>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</si>
  <si>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</si>
  <si>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</si>
  <si>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</si>
  <si>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</si>
  <si>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</si>
  <si>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</si>
  <si>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</si>
  <si>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</si>
  <si>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</si>
  <si>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</si>
  <si>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</si>
  <si>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</si>
  <si>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</si>
  <si>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</si>
  <si>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</si>
  <si>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</si>
  <si>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</si>
  <si>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</si>
  <si>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</si>
  <si>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</si>
  <si>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</si>
  <si>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</si>
  <si>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</si>
  <si>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</si>
  <si>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</si>
  <si>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</si>
  <si>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</si>
  <si>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</si>
  <si>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</si>
  <si>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</si>
  <si>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</si>
  <si>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</si>
  <si>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</si>
  <si>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</si>
  <si>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</si>
  <si>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</si>
  <si>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</si>
  <si>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</si>
  <si>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</si>
  <si>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</si>
  <si>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</si>
  <si>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</si>
  <si>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</si>
  <si>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</si>
  <si>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</si>
  <si>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</si>
  <si>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</si>
  <si>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</si>
  <si>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</si>
  <si>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</si>
  <si>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</si>
  <si>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</si>
  <si>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</si>
  <si>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</si>
  <si>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</si>
  <si>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</si>
  <si>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</si>
  <si>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</si>
  <si>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</si>
  <si>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</si>
  <si>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</si>
  <si>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</si>
  <si>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</si>
  <si>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</si>
  <si>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</si>
  <si>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</si>
  <si>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</si>
  <si>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</si>
  <si>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</si>
  <si>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</si>
  <si>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</si>
  <si>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</si>
  <si>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</si>
  <si>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</si>
  <si>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</si>
  <si>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</si>
  <si>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</si>
  <si>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</si>
  <si>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</si>
  <si>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</si>
  <si>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</si>
  <si>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</si>
  <si>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</si>
  <si>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</si>
  <si>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</si>
  <si>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</si>
  <si>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</si>
  <si>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</si>
  <si>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</si>
  <si>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</si>
  <si>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</si>
  <si>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</si>
  <si>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</si>
  <si>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</si>
  <si>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</si>
  <si>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</si>
  <si>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</si>
  <si>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</si>
  <si>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</si>
  <si>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</si>
  <si>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</si>
  <si>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</si>
  <si>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</si>
  <si>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</si>
  <si>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</si>
  <si>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</si>
  <si>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</si>
  <si>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</si>
  <si>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</si>
  <si>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</si>
  <si>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</si>
  <si>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</si>
  <si>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</si>
  <si>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</si>
  <si>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</si>
  <si>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</si>
  <si>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</si>
  <si>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</si>
  <si>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</si>
  <si>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</si>
  <si>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</si>
  <si>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</si>
  <si>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</si>
  <si>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</si>
  <si>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</si>
  <si>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</si>
  <si>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</si>
  <si>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</si>
  <si>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</si>
  <si>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</si>
  <si>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</si>
  <si>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</si>
  <si>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</si>
  <si>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</si>
  <si>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</si>
  <si>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</si>
  <si>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</si>
  <si>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</si>
  <si>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</si>
  <si>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</si>
  <si>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</si>
  <si>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</si>
  <si>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</si>
  <si>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</si>
  <si>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</si>
  <si>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</si>
  <si>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</si>
  <si>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</si>
  <si>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</si>
  <si>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</si>
  <si>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</si>
  <si>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</si>
  <si>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</si>
  <si>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</si>
  <si>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</si>
  <si>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</si>
  <si>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</si>
  <si>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</si>
  <si>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</si>
  <si>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</si>
  <si>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</si>
  <si>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</si>
  <si>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</si>
  <si>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</si>
  <si>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</si>
  <si>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</si>
  <si>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</si>
  <si>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</si>
  <si>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</si>
  <si>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</si>
  <si>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</si>
  <si>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</si>
  <si>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</si>
  <si>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</si>
  <si>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</si>
  <si>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</si>
  <si>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</si>
  <si>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</si>
  <si>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</si>
  <si>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</si>
  <si>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</si>
  <si>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</si>
  <si>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</si>
  <si>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</si>
  <si>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</si>
  <si>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</si>
  <si>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</si>
  <si>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</si>
  <si>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</si>
  <si>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</si>
  <si>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</si>
  <si>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</si>
  <si>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</si>
  <si>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</si>
  <si>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</si>
  <si>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</si>
  <si>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</si>
  <si>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</si>
  <si>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</si>
  <si>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</si>
  <si>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</si>
  <si>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</si>
  <si>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</si>
  <si>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</si>
  <si>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</si>
  <si>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</si>
  <si>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</si>
  <si>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</si>
  <si>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</si>
  <si>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</si>
  <si>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</si>
  <si>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</si>
  <si>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</si>
  <si>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</si>
  <si>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</si>
  <si>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</si>
  <si>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</si>
  <si>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</si>
  <si>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</si>
  <si>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</si>
  <si>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</si>
  <si>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</si>
  <si>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30년 거창데이터, 2024-12-22 오전 10:14:15</t>
    <phoneticPr fontId="5" type="noConversion"/>
  </si>
  <si>
    <t>충청도</t>
  </si>
  <si>
    <t>대전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</si>
</sst>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16</xdr:row>
          <xdr:rowOff>133350</xdr:rowOff>
        </xdr:from>
        <xdr:to>
          <xdr:col>19</xdr:col>
          <xdr:colOff>314325</xdr:colOff>
          <xdr:row>17</xdr:row>
          <xdr:rowOff>257175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Y28" sqref="Y2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256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21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  <c r="R8" s="25" t="s">
        <v>257</v>
      </c>
      <c r="S8" s="26" t="s">
        <v>258</v>
      </c>
    </row>
    <row r="9" spans="2:21" ht="21.95" customHeight="1" thickBo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  <c r="R9" s="79" t="str">
        <f>VLOOKUP(R8, tblLocation[], 2, FALSE)</f>
        <v>Table3</v>
      </c>
      <c r="S9" s="27">
        <f ca="1">VLOOKUP(S8, INDIRECT($R$9), 3,0)</f>
        <v>133</v>
      </c>
    </row>
    <row r="10" spans="2:21" ht="21.95" customHeight="1" thickBo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  <c r="S10" s="28">
        <f ca="1">VLOOKUP(S8, INDIRECT($R$9), 5,0)</f>
        <v>29</v>
      </c>
    </row>
    <row r="11" spans="2:21" ht="21.95" customHeight="1" thickBo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  <c r="S11" s="78" t="str">
        <f ca="1">VLOOKUP(S8, INDIRECT($R$9), 2,0)</f>
        <v>DaeJeon</v>
      </c>
    </row>
    <row r="12" spans="2:21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21" ht="21.95" customHeight="1" thickBo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21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8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8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8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  <c r="R20" s="4"/>
    </row>
    <row r="21" spans="2:18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8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8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8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8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8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8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8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8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8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8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8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J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ref="K38:P38" si="5">ROUND(AVERAGE(K6:K35),1)</f>
        <v>148.19999999999999</v>
      </c>
      <c r="L38" s="53">
        <f t="shared" si="5"/>
        <v>61.9</v>
      </c>
      <c r="M38" s="53">
        <f t="shared" si="5"/>
        <v>48.7</v>
      </c>
      <c r="N38" s="54">
        <f t="shared" si="5"/>
        <v>26.8</v>
      </c>
      <c r="O38" s="55">
        <f t="shared" si="5"/>
        <v>1354.3</v>
      </c>
      <c r="P38" s="56">
        <f t="shared" si="5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46.2</v>
      </c>
      <c r="D44" s="62">
        <f t="shared" si="6"/>
        <v>54.2</v>
      </c>
      <c r="E44" s="62">
        <f t="shared" si="6"/>
        <v>52.8</v>
      </c>
      <c r="F44" s="62">
        <f t="shared" si="6"/>
        <v>86.8</v>
      </c>
      <c r="G44" s="62">
        <f t="shared" si="6"/>
        <v>110.4</v>
      </c>
      <c r="H44" s="62">
        <f t="shared" si="6"/>
        <v>162.6</v>
      </c>
      <c r="I44" s="62">
        <f t="shared" si="6"/>
        <v>218.7</v>
      </c>
      <c r="J44" s="62">
        <f t="shared" si="6"/>
        <v>126.6</v>
      </c>
      <c r="K44" s="62">
        <f t="shared" si="6"/>
        <v>146.4</v>
      </c>
      <c r="L44" s="62">
        <f t="shared" si="6"/>
        <v>19.600000000000001</v>
      </c>
      <c r="M44" s="62">
        <f t="shared" si="6"/>
        <v>63.1</v>
      </c>
      <c r="N44" s="63">
        <f t="shared" si="6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45" si="7">B27</f>
        <v>2014</v>
      </c>
      <c r="C45" s="62">
        <f t="shared" si="7"/>
        <v>6.5</v>
      </c>
      <c r="D45" s="62">
        <f t="shared" si="7"/>
        <v>8.5</v>
      </c>
      <c r="E45" s="62">
        <f t="shared" si="7"/>
        <v>67.2</v>
      </c>
      <c r="F45" s="62">
        <f t="shared" si="7"/>
        <v>59.4</v>
      </c>
      <c r="G45" s="62">
        <f t="shared" si="7"/>
        <v>49.7</v>
      </c>
      <c r="H45" s="62">
        <f t="shared" si="7"/>
        <v>143.69999999999999</v>
      </c>
      <c r="I45" s="62">
        <f t="shared" si="7"/>
        <v>177.2</v>
      </c>
      <c r="J45" s="62">
        <f t="shared" si="7"/>
        <v>240.9</v>
      </c>
      <c r="K45" s="62">
        <f t="shared" si="7"/>
        <v>118</v>
      </c>
      <c r="L45" s="62">
        <f t="shared" si="7"/>
        <v>169.4</v>
      </c>
      <c r="M45" s="62">
        <f t="shared" si="7"/>
        <v>40.700000000000003</v>
      </c>
      <c r="N45" s="63">
        <f t="shared" si="7"/>
        <v>36.5</v>
      </c>
      <c r="O45" s="64">
        <f t="shared" ref="O45:O53" si="8">ROUND(SUM(C45:N45),1)</f>
        <v>1117.7</v>
      </c>
      <c r="P45" s="51">
        <f t="shared" ref="P45:P53" si="9">ROUND(O45/12,1)</f>
        <v>93.1</v>
      </c>
    </row>
    <row r="46" spans="2:16" ht="21.95" customHeight="1">
      <c r="B46" s="61">
        <f t="shared" ref="B46:N46" si="10">B28</f>
        <v>2015</v>
      </c>
      <c r="C46" s="62">
        <f t="shared" si="10"/>
        <v>31.5</v>
      </c>
      <c r="D46" s="62">
        <f t="shared" si="10"/>
        <v>27</v>
      </c>
      <c r="E46" s="62">
        <f t="shared" si="10"/>
        <v>44.7</v>
      </c>
      <c r="F46" s="62">
        <f t="shared" si="10"/>
        <v>95.2</v>
      </c>
      <c r="G46" s="62">
        <f t="shared" si="10"/>
        <v>28.9</v>
      </c>
      <c r="H46" s="62">
        <f t="shared" si="10"/>
        <v>119.8</v>
      </c>
      <c r="I46" s="62">
        <f t="shared" si="10"/>
        <v>145.6</v>
      </c>
      <c r="J46" s="62">
        <f t="shared" si="10"/>
        <v>51.6</v>
      </c>
      <c r="K46" s="62">
        <f t="shared" si="10"/>
        <v>18.5</v>
      </c>
      <c r="L46" s="62">
        <f t="shared" si="10"/>
        <v>94.1</v>
      </c>
      <c r="M46" s="62">
        <f t="shared" si="10"/>
        <v>126.1</v>
      </c>
      <c r="N46" s="63">
        <f t="shared" si="10"/>
        <v>39.700000000000003</v>
      </c>
      <c r="O46" s="64">
        <f t="shared" si="8"/>
        <v>822.7</v>
      </c>
      <c r="P46" s="51">
        <f t="shared" si="9"/>
        <v>68.599999999999994</v>
      </c>
    </row>
    <row r="47" spans="2:16" ht="21.95" customHeight="1">
      <c r="B47" s="61">
        <f t="shared" ref="B47:N47" si="11">B29</f>
        <v>2016</v>
      </c>
      <c r="C47" s="62">
        <f t="shared" si="11"/>
        <v>11.6</v>
      </c>
      <c r="D47" s="62">
        <f t="shared" si="11"/>
        <v>45.8</v>
      </c>
      <c r="E47" s="62">
        <f t="shared" si="11"/>
        <v>40.299999999999997</v>
      </c>
      <c r="F47" s="62">
        <f t="shared" si="11"/>
        <v>154.9</v>
      </c>
      <c r="G47" s="62">
        <f t="shared" si="11"/>
        <v>85.1</v>
      </c>
      <c r="H47" s="62">
        <f t="shared" si="11"/>
        <v>62.5</v>
      </c>
      <c r="I47" s="62">
        <f t="shared" si="11"/>
        <v>367.9</v>
      </c>
      <c r="J47" s="62">
        <f t="shared" si="11"/>
        <v>57.4</v>
      </c>
      <c r="K47" s="62">
        <f t="shared" si="11"/>
        <v>196</v>
      </c>
      <c r="L47" s="62">
        <f t="shared" si="11"/>
        <v>122.6</v>
      </c>
      <c r="M47" s="62">
        <f t="shared" si="11"/>
        <v>29.5</v>
      </c>
      <c r="N47" s="63">
        <f t="shared" si="11"/>
        <v>54.8</v>
      </c>
      <c r="O47" s="64">
        <f>ROUND(SUM(C47:N47),1)</f>
        <v>1228.4000000000001</v>
      </c>
      <c r="P47" s="51">
        <f t="shared" si="9"/>
        <v>102.4</v>
      </c>
    </row>
    <row r="48" spans="2:16" ht="21.95" customHeight="1">
      <c r="B48" s="61">
        <f t="shared" ref="B48:N48" si="12">B30</f>
        <v>2017</v>
      </c>
      <c r="C48" s="62">
        <f t="shared" si="12"/>
        <v>15</v>
      </c>
      <c r="D48" s="62">
        <f t="shared" si="12"/>
        <v>42</v>
      </c>
      <c r="E48" s="62">
        <f t="shared" si="12"/>
        <v>11.6</v>
      </c>
      <c r="F48" s="62">
        <f t="shared" si="12"/>
        <v>77.7</v>
      </c>
      <c r="G48" s="62">
        <f t="shared" si="12"/>
        <v>29.3</v>
      </c>
      <c r="H48" s="62">
        <f t="shared" si="12"/>
        <v>35.299999999999997</v>
      </c>
      <c r="I48" s="62">
        <f t="shared" si="12"/>
        <v>434.5</v>
      </c>
      <c r="J48" s="62">
        <f t="shared" si="12"/>
        <v>293.8</v>
      </c>
      <c r="K48" s="62">
        <f t="shared" si="12"/>
        <v>111.4</v>
      </c>
      <c r="L48" s="62">
        <f t="shared" si="12"/>
        <v>28.3</v>
      </c>
      <c r="M48" s="62">
        <f t="shared" si="12"/>
        <v>15.1</v>
      </c>
      <c r="N48" s="63">
        <f t="shared" si="12"/>
        <v>33.5</v>
      </c>
      <c r="O48" s="64">
        <f t="shared" si="8"/>
        <v>1127.5</v>
      </c>
      <c r="P48" s="51">
        <f t="shared" si="9"/>
        <v>94</v>
      </c>
    </row>
    <row r="49" spans="2:16" ht="21.95" customHeight="1">
      <c r="B49" s="61">
        <f t="shared" ref="B49:N49" si="13">B31</f>
        <v>2018</v>
      </c>
      <c r="C49" s="62">
        <f t="shared" si="13"/>
        <v>23.9</v>
      </c>
      <c r="D49" s="62">
        <f t="shared" si="13"/>
        <v>40.5</v>
      </c>
      <c r="E49" s="62">
        <f t="shared" si="13"/>
        <v>108.4</v>
      </c>
      <c r="F49" s="62">
        <f t="shared" si="13"/>
        <v>155.30000000000001</v>
      </c>
      <c r="G49" s="62">
        <f t="shared" si="13"/>
        <v>95.9</v>
      </c>
      <c r="H49" s="62">
        <f t="shared" si="13"/>
        <v>115.8</v>
      </c>
      <c r="I49" s="62">
        <f t="shared" si="13"/>
        <v>226.9</v>
      </c>
      <c r="J49" s="62">
        <f t="shared" si="13"/>
        <v>408.6</v>
      </c>
      <c r="K49" s="62">
        <f t="shared" si="13"/>
        <v>149.4</v>
      </c>
      <c r="L49" s="62">
        <f t="shared" si="13"/>
        <v>133.9</v>
      </c>
      <c r="M49" s="62">
        <f t="shared" si="13"/>
        <v>49.8</v>
      </c>
      <c r="N49" s="63">
        <f t="shared" si="13"/>
        <v>33.700000000000003</v>
      </c>
      <c r="O49" s="64">
        <f t="shared" si="8"/>
        <v>1542.1</v>
      </c>
      <c r="P49" s="51">
        <f t="shared" si="9"/>
        <v>128.5</v>
      </c>
    </row>
    <row r="50" spans="2:16" ht="21.95" customHeight="1">
      <c r="B50" s="61">
        <f t="shared" ref="B50:N50" si="14">B32</f>
        <v>2019</v>
      </c>
      <c r="C50" s="62">
        <f t="shared" si="14"/>
        <v>1.7</v>
      </c>
      <c r="D50" s="62">
        <f t="shared" si="14"/>
        <v>46.3</v>
      </c>
      <c r="E50" s="62">
        <f t="shared" si="14"/>
        <v>33.700000000000003</v>
      </c>
      <c r="F50" s="62">
        <f t="shared" si="14"/>
        <v>91.6</v>
      </c>
      <c r="G50" s="62">
        <f t="shared" si="14"/>
        <v>35.6</v>
      </c>
      <c r="H50" s="62">
        <f t="shared" si="14"/>
        <v>77.900000000000006</v>
      </c>
      <c r="I50" s="62">
        <f t="shared" si="14"/>
        <v>199</v>
      </c>
      <c r="J50" s="62">
        <f t="shared" si="14"/>
        <v>104.3</v>
      </c>
      <c r="K50" s="62">
        <f t="shared" si="14"/>
        <v>167</v>
      </c>
      <c r="L50" s="62">
        <f t="shared" si="14"/>
        <v>106.1</v>
      </c>
      <c r="M50" s="62">
        <f t="shared" si="14"/>
        <v>94</v>
      </c>
      <c r="N50" s="63">
        <f t="shared" si="14"/>
        <v>27</v>
      </c>
      <c r="O50" s="64">
        <f t="shared" si="8"/>
        <v>984.2</v>
      </c>
      <c r="P50" s="51">
        <f t="shared" si="9"/>
        <v>82</v>
      </c>
    </row>
    <row r="51" spans="2:16" ht="21.95" customHeight="1">
      <c r="B51" s="61">
        <f t="shared" ref="B51:N51" si="15">B33</f>
        <v>2020</v>
      </c>
      <c r="C51" s="62">
        <f t="shared" si="15"/>
        <v>78.5</v>
      </c>
      <c r="D51" s="62">
        <f t="shared" si="15"/>
        <v>91.2</v>
      </c>
      <c r="E51" s="62">
        <f t="shared" si="15"/>
        <v>24.4</v>
      </c>
      <c r="F51" s="62">
        <f t="shared" si="15"/>
        <v>17.8</v>
      </c>
      <c r="G51" s="62">
        <f t="shared" si="15"/>
        <v>80.400000000000006</v>
      </c>
      <c r="H51" s="62">
        <f t="shared" si="15"/>
        <v>192.5</v>
      </c>
      <c r="I51" s="62">
        <f t="shared" si="15"/>
        <v>544.9</v>
      </c>
      <c r="J51" s="62">
        <f t="shared" si="15"/>
        <v>361.6</v>
      </c>
      <c r="K51" s="62">
        <f t="shared" si="15"/>
        <v>173.6</v>
      </c>
      <c r="L51" s="62">
        <f t="shared" si="15"/>
        <v>3.2</v>
      </c>
      <c r="M51" s="62">
        <f t="shared" si="15"/>
        <v>41.8</v>
      </c>
      <c r="N51" s="63">
        <f t="shared" si="15"/>
        <v>4.0999999999999996</v>
      </c>
      <c r="O51" s="64">
        <f t="shared" si="8"/>
        <v>1614</v>
      </c>
      <c r="P51" s="51">
        <f t="shared" si="9"/>
        <v>134.5</v>
      </c>
    </row>
    <row r="52" spans="2:16" ht="21.95" customHeight="1">
      <c r="B52" s="61">
        <f t="shared" ref="B52:N52" si="16">B34</f>
        <v>2021</v>
      </c>
      <c r="C52" s="62">
        <f t="shared" si="16"/>
        <v>23.6</v>
      </c>
      <c r="D52" s="62">
        <f t="shared" si="16"/>
        <v>14.1</v>
      </c>
      <c r="E52" s="62">
        <f t="shared" si="16"/>
        <v>95.2</v>
      </c>
      <c r="F52" s="62">
        <f t="shared" si="16"/>
        <v>47.4</v>
      </c>
      <c r="G52" s="62">
        <f t="shared" si="16"/>
        <v>134.19999999999999</v>
      </c>
      <c r="H52" s="62">
        <f t="shared" si="16"/>
        <v>105.9</v>
      </c>
      <c r="I52" s="62">
        <f t="shared" si="16"/>
        <v>151.80000000000001</v>
      </c>
      <c r="J52" s="62">
        <f t="shared" si="16"/>
        <v>289.2</v>
      </c>
      <c r="K52" s="62">
        <f t="shared" si="16"/>
        <v>161.19999999999999</v>
      </c>
      <c r="L52" s="62">
        <f t="shared" si="16"/>
        <v>40.799999999999997</v>
      </c>
      <c r="M52" s="62">
        <f t="shared" si="16"/>
        <v>41.7</v>
      </c>
      <c r="N52" s="63">
        <f t="shared" si="16"/>
        <v>4.4000000000000004</v>
      </c>
      <c r="O52" s="64">
        <f t="shared" si="8"/>
        <v>1109.5</v>
      </c>
      <c r="P52" s="51">
        <f t="shared" si="9"/>
        <v>92.5</v>
      </c>
    </row>
    <row r="53" spans="2:16" ht="21.95" customHeight="1" thickBot="1">
      <c r="B53" s="65">
        <f t="shared" ref="B53:N53" si="17">B35</f>
        <v>2022</v>
      </c>
      <c r="C53" s="66">
        <f t="shared" si="17"/>
        <v>1.2</v>
      </c>
      <c r="D53" s="66">
        <f t="shared" si="17"/>
        <v>1.4</v>
      </c>
      <c r="E53" s="66">
        <f t="shared" si="17"/>
        <v>74</v>
      </c>
      <c r="F53" s="66">
        <f t="shared" si="17"/>
        <v>69.7</v>
      </c>
      <c r="G53" s="66">
        <f t="shared" si="17"/>
        <v>8.1</v>
      </c>
      <c r="H53" s="66">
        <f t="shared" si="17"/>
        <v>117.6</v>
      </c>
      <c r="I53" s="66">
        <f t="shared" si="17"/>
        <v>195</v>
      </c>
      <c r="J53" s="66">
        <f t="shared" si="17"/>
        <v>496.1</v>
      </c>
      <c r="K53" s="66">
        <f t="shared" si="17"/>
        <v>90.2</v>
      </c>
      <c r="L53" s="66">
        <f t="shared" si="17"/>
        <v>89.3</v>
      </c>
      <c r="M53" s="66">
        <f t="shared" si="17"/>
        <v>45.8</v>
      </c>
      <c r="N53" s="67">
        <f t="shared" si="17"/>
        <v>14.7</v>
      </c>
      <c r="O53" s="68">
        <f t="shared" si="8"/>
        <v>1203.0999999999999</v>
      </c>
      <c r="P53" s="56">
        <f t="shared" si="9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18">MAX(D44:D53)</f>
        <v>91.2</v>
      </c>
      <c r="E54" s="70">
        <f t="shared" si="18"/>
        <v>108.4</v>
      </c>
      <c r="F54" s="70">
        <f t="shared" si="18"/>
        <v>155.30000000000001</v>
      </c>
      <c r="G54" s="70">
        <f t="shared" si="18"/>
        <v>134.19999999999999</v>
      </c>
      <c r="H54" s="70">
        <f t="shared" si="18"/>
        <v>192.5</v>
      </c>
      <c r="I54" s="70">
        <f t="shared" si="18"/>
        <v>544.9</v>
      </c>
      <c r="J54" s="70">
        <f t="shared" si="18"/>
        <v>496.1</v>
      </c>
      <c r="K54" s="70">
        <f t="shared" si="18"/>
        <v>196</v>
      </c>
      <c r="L54" s="70">
        <f t="shared" si="18"/>
        <v>169.4</v>
      </c>
      <c r="M54" s="70">
        <f t="shared" si="18"/>
        <v>126.1</v>
      </c>
      <c r="N54" s="71">
        <f t="shared" si="18"/>
        <v>54.8</v>
      </c>
      <c r="O54" s="72">
        <f t="shared" si="18"/>
        <v>1614</v>
      </c>
      <c r="P54" s="71">
        <f t="shared" si="18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9">MIN(D44:D53)</f>
        <v>1.4</v>
      </c>
      <c r="E55" s="74">
        <f t="shared" si="19"/>
        <v>11.6</v>
      </c>
      <c r="F55" s="74">
        <f t="shared" si="19"/>
        <v>17.8</v>
      </c>
      <c r="G55" s="74">
        <f t="shared" si="19"/>
        <v>8.1</v>
      </c>
      <c r="H55" s="74">
        <f t="shared" si="19"/>
        <v>35.299999999999997</v>
      </c>
      <c r="I55" s="74">
        <f t="shared" si="19"/>
        <v>145.6</v>
      </c>
      <c r="J55" s="74">
        <f t="shared" si="19"/>
        <v>51.6</v>
      </c>
      <c r="K55" s="74">
        <f t="shared" si="19"/>
        <v>18.5</v>
      </c>
      <c r="L55" s="74">
        <f t="shared" si="19"/>
        <v>3.2</v>
      </c>
      <c r="M55" s="74">
        <f t="shared" si="19"/>
        <v>15.1</v>
      </c>
      <c r="N55" s="51">
        <f t="shared" si="19"/>
        <v>4.0999999999999996</v>
      </c>
      <c r="O55" s="64">
        <f>MIN(O44:O53)</f>
        <v>822.7</v>
      </c>
      <c r="P55" s="51">
        <f t="shared" si="19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20">ROUND(AVERAGE(D44:D53),1)</f>
        <v>37.1</v>
      </c>
      <c r="E56" s="76">
        <f t="shared" si="20"/>
        <v>55.2</v>
      </c>
      <c r="F56" s="76">
        <f t="shared" si="20"/>
        <v>85.6</v>
      </c>
      <c r="G56" s="76">
        <f t="shared" si="20"/>
        <v>65.8</v>
      </c>
      <c r="H56" s="76">
        <f t="shared" si="20"/>
        <v>113.4</v>
      </c>
      <c r="I56" s="76">
        <f t="shared" si="20"/>
        <v>266.2</v>
      </c>
      <c r="J56" s="76">
        <f t="shared" si="20"/>
        <v>243</v>
      </c>
      <c r="K56" s="76">
        <f t="shared" si="20"/>
        <v>133.19999999999999</v>
      </c>
      <c r="L56" s="76">
        <f t="shared" si="20"/>
        <v>80.7</v>
      </c>
      <c r="M56" s="76">
        <f t="shared" si="20"/>
        <v>54.8</v>
      </c>
      <c r="N56" s="56">
        <f t="shared" si="20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16</xdr:col>
                <xdr:colOff>514350</xdr:colOff>
                <xdr:row>16</xdr:row>
                <xdr:rowOff>133350</xdr:rowOff>
              </from>
              <to>
                <xdr:col>19</xdr:col>
                <xdr:colOff>314325</xdr:colOff>
                <xdr:row>17</xdr:row>
                <xdr:rowOff>257175</xdr:rowOff>
              </to>
            </anchor>
          </controlPr>
        </control>
      </mc:Choice>
      <mc:Fallback>
        <control shapeId="59432" r:id="rId12" name="CommandButton_Annual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I18" sqref="I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" style="1" customWidth="1"/>
    <col min="16" max="16" width="8.33203125" style="1" customWidth="1"/>
    <col min="17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169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1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</row>
    <row r="34" spans="1:11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</row>
    <row r="35" spans="1:11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</row>
    <row r="36" spans="1:11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</row>
    <row r="37" spans="1:11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</row>
    <row r="38" spans="1:11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</row>
    <row r="39" spans="1:11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</row>
    <row r="40" spans="1:11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</row>
    <row r="41" spans="1:11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</row>
    <row r="42" spans="1:11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</row>
    <row r="43" spans="1:11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</row>
    <row r="44" spans="1:11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</row>
    <row r="45" spans="1:11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1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1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1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F49" sqref="F49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main</vt:lpstr>
      <vt:lpstr>AREA</vt:lpstr>
      <vt:lpstr>AREAREF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2024-12-25T04:46:32Z</dcterms:modified>
</cp:coreProperties>
</file>