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4FCF152B-3C22-4BC0-BA4B-9794BA8A6D7C}" xr6:coauthVersionLast="47" xr6:coauthVersionMax="47" xr10:uidLastSave="{00000000-0000-0000-0000-000000000000}"/>
  <bookViews>
    <workbookView xWindow="38280" yWindow="-120" windowWidth="38640" windowHeight="21120" tabRatio="526" activeTab="1" xr2:uid="{00000000-000D-0000-FFFF-FFFF00000000}"/>
  </bookViews>
  <sheets>
    <sheet name="충남" sheetId="168" r:id="rId1"/>
    <sheet name="main" sheetId="103" r:id="rId2"/>
    <sheet name="AREA" sheetId="143" state="hidden" r:id="rId3"/>
    <sheet name="AREAREF" sheetId="167" state="hidden" r:id="rId4"/>
  </sheets>
  <functionGroups builtInGroupCount="19"/>
  <definedNames>
    <definedName name="CategoryA_Area" localSheetId="0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68" l="1"/>
  <c r="M53" i="168"/>
  <c r="L53" i="168"/>
  <c r="K53" i="168"/>
  <c r="J53" i="168"/>
  <c r="I53" i="168"/>
  <c r="H53" i="168"/>
  <c r="G53" i="168"/>
  <c r="F53" i="168"/>
  <c r="E53" i="168"/>
  <c r="D53" i="168"/>
  <c r="C53" i="168"/>
  <c r="B53" i="168"/>
  <c r="N52" i="168"/>
  <c r="M52" i="168"/>
  <c r="L52" i="168"/>
  <c r="K52" i="168"/>
  <c r="J52" i="168"/>
  <c r="I52" i="168"/>
  <c r="H52" i="168"/>
  <c r="G52" i="168"/>
  <c r="F52" i="168"/>
  <c r="E52" i="168"/>
  <c r="D52" i="168"/>
  <c r="C52" i="168"/>
  <c r="B52" i="168"/>
  <c r="N51" i="168"/>
  <c r="M51" i="168"/>
  <c r="L51" i="168"/>
  <c r="K51" i="168"/>
  <c r="J51" i="168"/>
  <c r="I51" i="168"/>
  <c r="H51" i="168"/>
  <c r="G51" i="168"/>
  <c r="F51" i="168"/>
  <c r="E51" i="168"/>
  <c r="D51" i="168"/>
  <c r="C51" i="168"/>
  <c r="B51" i="168"/>
  <c r="N50" i="168"/>
  <c r="M50" i="168"/>
  <c r="L50" i="168"/>
  <c r="K50" i="168"/>
  <c r="J50" i="168"/>
  <c r="I50" i="168"/>
  <c r="H50" i="168"/>
  <c r="O50" i="168" s="1"/>
  <c r="P50" i="168" s="1"/>
  <c r="G50" i="168"/>
  <c r="F50" i="168"/>
  <c r="E50" i="168"/>
  <c r="D50" i="168"/>
  <c r="C50" i="168"/>
  <c r="B50" i="168"/>
  <c r="N49" i="168"/>
  <c r="M49" i="168"/>
  <c r="L49" i="168"/>
  <c r="K49" i="168"/>
  <c r="J49" i="168"/>
  <c r="I49" i="168"/>
  <c r="H49" i="168"/>
  <c r="G49" i="168"/>
  <c r="F49" i="168"/>
  <c r="E49" i="168"/>
  <c r="D49" i="168"/>
  <c r="C49" i="168"/>
  <c r="B49" i="168"/>
  <c r="N48" i="168"/>
  <c r="M48" i="168"/>
  <c r="L48" i="168"/>
  <c r="K48" i="168"/>
  <c r="J48" i="168"/>
  <c r="I48" i="168"/>
  <c r="H48" i="168"/>
  <c r="G48" i="168"/>
  <c r="F48" i="168"/>
  <c r="E48" i="168"/>
  <c r="D48" i="168"/>
  <c r="C48" i="168"/>
  <c r="B48" i="168"/>
  <c r="N47" i="168"/>
  <c r="M47" i="168"/>
  <c r="L47" i="168"/>
  <c r="K47" i="168"/>
  <c r="J47" i="168"/>
  <c r="I47" i="168"/>
  <c r="H47" i="168"/>
  <c r="G47" i="168"/>
  <c r="F47" i="168"/>
  <c r="E47" i="168"/>
  <c r="D47" i="168"/>
  <c r="C47" i="168"/>
  <c r="B47" i="168"/>
  <c r="N46" i="168"/>
  <c r="M46" i="168"/>
  <c r="L46" i="168"/>
  <c r="K46" i="168"/>
  <c r="J46" i="168"/>
  <c r="I46" i="168"/>
  <c r="H46" i="168"/>
  <c r="G46" i="168"/>
  <c r="F46" i="168"/>
  <c r="E46" i="168"/>
  <c r="D46" i="168"/>
  <c r="C46" i="168"/>
  <c r="B46" i="168"/>
  <c r="N45" i="168"/>
  <c r="M45" i="168"/>
  <c r="L45" i="168"/>
  <c r="K45" i="168"/>
  <c r="J45" i="168"/>
  <c r="I45" i="168"/>
  <c r="H45" i="168"/>
  <c r="G45" i="168"/>
  <c r="F45" i="168"/>
  <c r="E45" i="168"/>
  <c r="D45" i="168"/>
  <c r="C45" i="168"/>
  <c r="B45" i="168"/>
  <c r="N44" i="168"/>
  <c r="M44" i="168"/>
  <c r="M54" i="168" s="1"/>
  <c r="L44" i="168"/>
  <c r="K44" i="168"/>
  <c r="J44" i="168"/>
  <c r="I44" i="168"/>
  <c r="H44" i="168"/>
  <c r="G44" i="168"/>
  <c r="G55" i="168" s="1"/>
  <c r="F44" i="168"/>
  <c r="F55" i="168" s="1"/>
  <c r="E44" i="168"/>
  <c r="D44" i="168"/>
  <c r="C44" i="168"/>
  <c r="B44" i="168"/>
  <c r="N38" i="168"/>
  <c r="M38" i="168"/>
  <c r="L38" i="168"/>
  <c r="K38" i="168"/>
  <c r="J38" i="168"/>
  <c r="I38" i="168"/>
  <c r="H38" i="168"/>
  <c r="G38" i="168"/>
  <c r="F38" i="168"/>
  <c r="E38" i="168"/>
  <c r="D38" i="168"/>
  <c r="C38" i="168"/>
  <c r="N37" i="168"/>
  <c r="M37" i="168"/>
  <c r="L37" i="168"/>
  <c r="K37" i="168"/>
  <c r="J37" i="168"/>
  <c r="I37" i="168"/>
  <c r="H37" i="168"/>
  <c r="G37" i="168"/>
  <c r="F37" i="168"/>
  <c r="E37" i="168"/>
  <c r="D37" i="168"/>
  <c r="C37" i="168"/>
  <c r="N36" i="168"/>
  <c r="M36" i="168"/>
  <c r="L36" i="168"/>
  <c r="K36" i="168"/>
  <c r="J36" i="168"/>
  <c r="I36" i="168"/>
  <c r="H36" i="168"/>
  <c r="G36" i="168"/>
  <c r="F36" i="168"/>
  <c r="E36" i="168"/>
  <c r="D36" i="168"/>
  <c r="C36" i="168"/>
  <c r="O35" i="168"/>
  <c r="P35" i="168" s="1"/>
  <c r="O34" i="168"/>
  <c r="P34" i="168" s="1"/>
  <c r="O33" i="168"/>
  <c r="P33" i="168" s="1"/>
  <c r="O32" i="168"/>
  <c r="P32" i="168" s="1"/>
  <c r="O31" i="168"/>
  <c r="P31" i="168" s="1"/>
  <c r="O30" i="168"/>
  <c r="P30" i="168" s="1"/>
  <c r="O29" i="168"/>
  <c r="P29" i="168" s="1"/>
  <c r="O28" i="168"/>
  <c r="P28" i="168" s="1"/>
  <c r="O27" i="168"/>
  <c r="P27" i="168" s="1"/>
  <c r="O26" i="168"/>
  <c r="P26" i="168" s="1"/>
  <c r="O25" i="168"/>
  <c r="P25" i="168" s="1"/>
  <c r="O24" i="168"/>
  <c r="P24" i="168" s="1"/>
  <c r="O23" i="168"/>
  <c r="P23" i="168" s="1"/>
  <c r="O22" i="168"/>
  <c r="P22" i="168" s="1"/>
  <c r="O21" i="168"/>
  <c r="P21" i="168" s="1"/>
  <c r="O20" i="168"/>
  <c r="P20" i="168" s="1"/>
  <c r="O19" i="168"/>
  <c r="P19" i="168" s="1"/>
  <c r="O18" i="168"/>
  <c r="P18" i="168" s="1"/>
  <c r="O17" i="168"/>
  <c r="P17" i="168" s="1"/>
  <c r="O16" i="168"/>
  <c r="P16" i="168" s="1"/>
  <c r="O15" i="168"/>
  <c r="P15" i="168" s="1"/>
  <c r="O14" i="168"/>
  <c r="P14" i="168" s="1"/>
  <c r="O13" i="168"/>
  <c r="P13" i="168" s="1"/>
  <c r="O12" i="168"/>
  <c r="P12" i="168" s="1"/>
  <c r="O11" i="168"/>
  <c r="P11" i="168" s="1"/>
  <c r="O10" i="168"/>
  <c r="O9" i="168"/>
  <c r="P9" i="168" s="1"/>
  <c r="O8" i="168"/>
  <c r="P8" i="168" s="1"/>
  <c r="O7" i="168"/>
  <c r="P7" i="168" s="1"/>
  <c r="O6" i="168"/>
  <c r="P6" i="168" s="1"/>
  <c r="R9" i="103"/>
  <c r="S10" i="103"/>
  <c r="S9" i="103"/>
  <c r="S11" i="103"/>
  <c r="H56" i="168" l="1"/>
  <c r="O49" i="168"/>
  <c r="P49" i="168" s="1"/>
  <c r="J56" i="168"/>
  <c r="O48" i="168"/>
  <c r="P48" i="168" s="1"/>
  <c r="K54" i="168"/>
  <c r="N55" i="168"/>
  <c r="O36" i="168"/>
  <c r="I54" i="168"/>
  <c r="L54" i="168"/>
  <c r="O47" i="168"/>
  <c r="P47" i="168" s="1"/>
  <c r="M55" i="168"/>
  <c r="O46" i="168"/>
  <c r="P46" i="168" s="1"/>
  <c r="O45" i="168"/>
  <c r="P45" i="168" s="1"/>
  <c r="O53" i="168"/>
  <c r="P53" i="168" s="1"/>
  <c r="O52" i="168"/>
  <c r="P52" i="168" s="1"/>
  <c r="C55" i="168"/>
  <c r="D55" i="168"/>
  <c r="O51" i="168"/>
  <c r="P51" i="168" s="1"/>
  <c r="E55" i="168"/>
  <c r="N54" i="168"/>
  <c r="C56" i="168"/>
  <c r="F56" i="168"/>
  <c r="G56" i="168"/>
  <c r="E54" i="168"/>
  <c r="I56" i="168"/>
  <c r="H55" i="168"/>
  <c r="G54" i="168"/>
  <c r="I55" i="168"/>
  <c r="K56" i="168"/>
  <c r="H54" i="168"/>
  <c r="J55" i="168"/>
  <c r="L56" i="168"/>
  <c r="K55" i="168"/>
  <c r="M56" i="168"/>
  <c r="O44" i="168"/>
  <c r="J54" i="168"/>
  <c r="L55" i="168"/>
  <c r="N56" i="168"/>
  <c r="P10" i="168"/>
  <c r="P38" i="168" s="1"/>
  <c r="D56" i="168"/>
  <c r="E56" i="168"/>
  <c r="C54" i="168"/>
  <c r="D54" i="168"/>
  <c r="F54" i="168"/>
  <c r="O38" i="168"/>
  <c r="O37" i="168"/>
  <c r="C38" i="103"/>
  <c r="N38" i="103"/>
  <c r="M38" i="103"/>
  <c r="L38" i="103"/>
  <c r="K38" i="103"/>
  <c r="P37" i="168" l="1"/>
  <c r="P36" i="168"/>
  <c r="O55" i="168"/>
  <c r="O56" i="168"/>
  <c r="P44" i="168"/>
  <c r="O54" i="168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8" l="1"/>
  <c r="P54" i="168"/>
  <c r="P55" i="168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5" authorId="0" shapeId="0" xr:uid="{77A85C08-3CF6-4350-95A4-EBAA37B47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충청도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대전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보령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부여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서산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천안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금산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청주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 xml:space="preserve">보은
지열공
서울
</t>
        </r>
      </text>
    </commen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S11" authorId="0" shapeId="0" xr:uid="{CCDCC8E2-B714-420B-9709-CB51093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=IFERROR(UPPER(VLOOKUP(T5, INDIRECT(S6), 2,0)), " </t>
        </r>
        <r>
          <rPr>
            <sz val="9"/>
            <color indexed="81"/>
            <rFont val="돋움"/>
            <family val="3"/>
            <charset val="129"/>
          </rPr>
          <t>지역설정</t>
        </r>
        <r>
          <rPr>
            <sz val="9"/>
            <color indexed="81"/>
            <rFont val="Tahoma"/>
            <family val="2"/>
          </rPr>
          <t>")</t>
        </r>
      </text>
    </comment>
  </commentList>
</comments>
</file>

<file path=xl/sharedStrings.xml><?xml version="1.0" encoding="utf-8"?>
<sst xmlns="http://schemas.openxmlformats.org/spreadsheetml/2006/main" count="1229" uniqueCount="285">
  <si>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</si>
  <si>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</si>
  <si>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</si>
  <si>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</si>
  <si>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</si>
  <si>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</si>
  <si>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</si>
  <si>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</si>
  <si>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</si>
  <si>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</si>
  <si>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</si>
  <si>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</si>
  <si>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</si>
  <si>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</si>
  <si>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</si>
  <si>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</si>
  <si>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</si>
  <si>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</si>
  <si>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</si>
  <si>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</si>
  <si>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</si>
  <si>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</si>
  <si>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</si>
  <si>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</si>
  <si>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</si>
  <si>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</si>
  <si>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</si>
  <si>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</si>
  <si>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</si>
  <si>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</si>
  <si>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</si>
  <si>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</si>
  <si>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</si>
  <si>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</si>
  <si>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</si>
  <si>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</si>
  <si>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</si>
  <si>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</si>
  <si>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</si>
  <si>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</si>
  <si>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</si>
  <si>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</si>
  <si>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</si>
  <si>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</si>
  <si>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</si>
  <si>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</si>
  <si>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</si>
  <si>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</si>
  <si>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</si>
  <si>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</si>
  <si>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</si>
  <si>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</si>
  <si>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</si>
  <si>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</si>
  <si>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</si>
  <si>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</si>
  <si>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</si>
  <si>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</si>
  <si>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</si>
  <si>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</si>
  <si>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</si>
  <si>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</si>
  <si>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</si>
  <si>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</si>
  <si>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</si>
  <si>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</si>
  <si>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</si>
  <si>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</si>
  <si>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</si>
  <si>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</si>
  <si>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</si>
  <si>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</si>
  <si>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</si>
  <si>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</si>
  <si>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</si>
  <si>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</si>
  <si>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</si>
  <si>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</si>
  <si>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</si>
  <si>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</si>
  <si>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</si>
  <si>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</si>
  <si>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</si>
  <si>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</si>
  <si>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</si>
  <si>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</si>
  <si>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</si>
  <si>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</si>
  <si>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</si>
  <si>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</si>
  <si>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</si>
  <si>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</si>
  <si>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</si>
  <si>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</si>
  <si>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</si>
  <si>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</si>
  <si>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</si>
  <si>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</si>
  <si>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</si>
  <si>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</si>
  <si>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</si>
  <si>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</si>
  <si>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</si>
  <si>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</si>
  <si>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</si>
  <si>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</si>
  <si>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</si>
  <si>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</si>
  <si>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</si>
  <si>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</si>
  <si>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</si>
  <si>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</si>
  <si>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</si>
  <si>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</si>
  <si>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</si>
  <si>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</si>
  <si>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</si>
  <si>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</si>
  <si>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</si>
  <si>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</si>
  <si>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</si>
  <si>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</si>
  <si>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</si>
  <si>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</si>
  <si>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</si>
  <si>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</si>
  <si>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</si>
  <si>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</si>
  <si>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</si>
  <si>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</si>
  <si>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</si>
  <si>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</si>
  <si>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</si>
  <si>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</si>
  <si>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</si>
  <si>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</si>
  <si>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</si>
  <si>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</si>
  <si>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</si>
  <si>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</si>
  <si>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</si>
  <si>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</si>
  <si>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</si>
  <si>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</si>
  <si>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</si>
  <si>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</si>
  <si>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</si>
  <si>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</si>
  <si>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</si>
  <si>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</si>
  <si>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</si>
  <si>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</si>
  <si>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</si>
  <si>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</si>
  <si>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</si>
  <si>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</si>
  <si>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</si>
  <si>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</si>
  <si>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</si>
  <si>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</si>
  <si>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</si>
  <si>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</si>
  <si>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</si>
  <si>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</si>
  <si>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</si>
  <si>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</si>
  <si>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</si>
  <si>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</si>
  <si>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</si>
  <si>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</si>
  <si>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</si>
  <si>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</si>
  <si>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</si>
  <si>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</si>
  <si>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</si>
  <si>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</si>
  <si>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</si>
  <si>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</si>
  <si>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</si>
  <si>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</si>
  <si>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</si>
  <si>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</si>
  <si>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</si>
  <si>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</si>
  <si>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</si>
  <si>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</si>
  <si>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</si>
  <si>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</si>
  <si>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</si>
  <si>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</si>
  <si>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</si>
  <si>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</si>
  <si>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</si>
  <si>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</si>
  <si>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</si>
  <si>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</si>
  <si>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</si>
  <si>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</si>
  <si>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</si>
  <si>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</si>
  <si>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</si>
  <si>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</si>
  <si>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</si>
  <si>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</si>
  <si>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</si>
  <si>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</si>
  <si>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</si>
  <si>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</si>
  <si>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</si>
  <si>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</si>
  <si>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</si>
  <si>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</si>
  <si>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</si>
  <si>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</si>
  <si>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</si>
  <si>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</si>
  <si>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</si>
  <si>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</si>
  <si>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</si>
  <si>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</si>
  <si>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</si>
  <si>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</si>
  <si>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</si>
  <si>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</si>
  <si>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</si>
  <si>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</si>
  <si>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</si>
  <si>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</si>
  <si>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</si>
  <si>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</si>
  <si>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</si>
  <si>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</si>
  <si>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</si>
  <si>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</si>
  <si>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</si>
  <si>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</si>
  <si>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</si>
  <si>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</si>
  <si>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</si>
  <si>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</si>
  <si>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</si>
  <si>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</si>
  <si>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</si>
  <si>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</si>
  <si>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</si>
  <si>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</si>
  <si>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</si>
  <si>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</si>
  <si>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</si>
  <si>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</si>
  <si>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</si>
  <si>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</si>
  <si>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</si>
  <si>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</si>
  <si>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</si>
  <si>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</si>
  <si>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지역</t>
    <phoneticPr fontId="5" type="noConversion"/>
  </si>
  <si>
    <t>Table7</t>
    <phoneticPr fontId="5" type="noConversion"/>
  </si>
  <si>
    <t>전국</t>
    <phoneticPr fontId="5" type="noConversion"/>
  </si>
  <si>
    <t>강원영동</t>
    <phoneticPr fontId="5" type="noConversion"/>
  </si>
  <si>
    <t>강원영서</t>
    <phoneticPr fontId="5" type="noConversion"/>
  </si>
  <si>
    <t>충북</t>
    <phoneticPr fontId="5" type="noConversion"/>
  </si>
  <si>
    <t>충남</t>
    <phoneticPr fontId="5" type="noConversion"/>
  </si>
  <si>
    <t>경북</t>
    <phoneticPr fontId="5" type="noConversion"/>
  </si>
  <si>
    <t>경남</t>
    <phoneticPr fontId="5" type="noConversion"/>
  </si>
  <si>
    <t>전북</t>
    <phoneticPr fontId="5" type="noConversion"/>
  </si>
  <si>
    <t>전남</t>
    <phoneticPr fontId="5" type="noConversion"/>
  </si>
  <si>
    <t>SeoulGyungi</t>
    <phoneticPr fontId="5" type="noConversion"/>
  </si>
  <si>
    <t>GangWonEast</t>
    <phoneticPr fontId="5" type="noConversion"/>
  </si>
  <si>
    <t>GangWonWest</t>
    <phoneticPr fontId="5" type="noConversion"/>
  </si>
  <si>
    <t>ChungBook</t>
    <phoneticPr fontId="5" type="noConversion"/>
  </si>
  <si>
    <t>ChungNam</t>
    <phoneticPr fontId="5" type="noConversion"/>
  </si>
  <si>
    <t>GyungBook</t>
    <phoneticPr fontId="5" type="noConversion"/>
  </si>
  <si>
    <t>GyungNam</t>
    <phoneticPr fontId="5" type="noConversion"/>
  </si>
  <si>
    <t>JeonBook</t>
    <phoneticPr fontId="5" type="noConversion"/>
  </si>
  <si>
    <t>JeonNam</t>
    <phoneticPr fontId="5" type="noConversion"/>
  </si>
  <si>
    <t>Jejudo</t>
    <phoneticPr fontId="5" type="noConversion"/>
  </si>
  <si>
    <t>JangSoo</t>
    <phoneticPr fontId="5" type="noConversion"/>
  </si>
  <si>
    <t>JeonKook</t>
    <phoneticPr fontId="5" type="noConversion"/>
  </si>
  <si>
    <t>받아올지역</t>
    <phoneticPr fontId="5" type="noConversion"/>
  </si>
  <si>
    <t>대전,  보령,  부여,  서산,  천안, 금산,  청주,  보은, 제천, 추풍령</t>
    <phoneticPr fontId="5" type="noConversion"/>
  </si>
  <si>
    <t>지역</t>
  </si>
  <si>
    <t>충남 Data, -- 2024-12-28 오전 10:06:56</t>
    <phoneticPr fontId="5" type="noConversion"/>
  </si>
  <si>
    <t>30년 충북데이터, 2024-12-28 오전 10:07:11</t>
    <phoneticPr fontId="5" type="noConversion"/>
  </si>
  <si>
    <t>경북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</si>
</sst>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3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5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0" borderId="0" xfId="0" applyFont="1"/>
    <xf numFmtId="0" fontId="18" fillId="6" borderId="4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184" fontId="18" fillId="6" borderId="22" xfId="17" applyNumberFormat="1" applyFont="1" applyFill="1" applyBorder="1" applyAlignment="1">
      <alignment horizontal="center" vertical="center"/>
    </xf>
    <xf numFmtId="184" fontId="18" fillId="6" borderId="23" xfId="17" applyNumberFormat="1" applyFont="1" applyFill="1" applyBorder="1" applyAlignment="1">
      <alignment horizontal="center" vertical="center"/>
    </xf>
    <xf numFmtId="184" fontId="18" fillId="6" borderId="24" xfId="17" applyNumberFormat="1" applyFont="1" applyFill="1" applyBorder="1" applyAlignment="1">
      <alignment horizontal="center" vertical="center"/>
    </xf>
    <xf numFmtId="184" fontId="18" fillId="6" borderId="25" xfId="17" applyNumberFormat="1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42"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0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0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0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0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16</xdr:row>
          <xdr:rowOff>104775</xdr:rowOff>
        </xdr:from>
        <xdr:to>
          <xdr:col>19</xdr:col>
          <xdr:colOff>238125</xdr:colOff>
          <xdr:row>17</xdr:row>
          <xdr:rowOff>228600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0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18</xdr:row>
          <xdr:rowOff>38100</xdr:rowOff>
        </xdr:from>
        <xdr:to>
          <xdr:col>19</xdr:col>
          <xdr:colOff>238125</xdr:colOff>
          <xdr:row>19</xdr:row>
          <xdr:rowOff>161925</xdr:rowOff>
        </xdr:to>
        <xdr:sp macro="" textlink="">
          <xdr:nvSpPr>
            <xdr:cNvPr id="59434" name="CommandButton_DeleteIgnoreError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00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41"/>
    <tableColumn id="4" xr3:uid="{3FABA01C-AB4B-48AC-BDB1-16BF1034D0DF}" name="name" dataDxfId="40"/>
    <tableColumn id="3" xr3:uid="{A5F66352-D28A-4CF0-B250-A489700B8D54}" name="Code" dataDxfId="39"/>
    <tableColumn id="2" xr3:uid="{09B4436B-841C-4B9C-8162-E947F4575E48}" name="aCode" dataDxfId="38"/>
    <tableColumn id="5" xr3:uid="{C31DCB80-AB53-4D9B-9C64-E7F32BEF140C}" name="switch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6"/>
    <tableColumn id="4" xr3:uid="{B62D6831-87BE-4F65-B7F1-BD0B146AF49F}" name="name" dataDxfId="35"/>
    <tableColumn id="3" xr3:uid="{658D7C19-D0E8-42F4-ABCB-2387237F828A}" name="Code" dataDxfId="34"/>
    <tableColumn id="2" xr3:uid="{989EB4D9-50A5-4C55-9B67-E92A0A209FA0}" name="aCode" dataDxfId="33"/>
    <tableColumn id="5" xr3:uid="{AECDD82A-ACE1-4B11-8AC5-F6E8FEEF4153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31"/>
    <tableColumn id="4" xr3:uid="{017C91F5-4BF0-4180-8133-652E08E84954}" name="name" dataDxfId="30"/>
    <tableColumn id="3" xr3:uid="{EC253443-ACAA-4D84-A256-070B355AA943}" name="Code" dataDxfId="29"/>
    <tableColumn id="2" xr3:uid="{80669424-532F-4472-8AC0-B591D616F4FF}" name="aCode" dataDxfId="28"/>
    <tableColumn id="5" xr3:uid="{3E99FA54-F62F-4943-96D0-A92D6B1BF889}" name="switch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6"/>
    <tableColumn id="4" xr3:uid="{9687561B-6A34-4432-917E-5BE8286748FA}" name="name" dataDxfId="25"/>
    <tableColumn id="3" xr3:uid="{2D753499-917F-4411-A14D-2196A2F1D788}" name="Code" dataDxfId="24"/>
    <tableColumn id="2" xr3:uid="{F72F6AA5-B461-4032-B5C7-926520FCFE1E}" name="aCode" dataDxfId="23"/>
    <tableColumn id="5" xr3:uid="{2BB69875-ADCC-49C7-B005-BDD03F21A48A}" name="switc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21"/>
    <tableColumn id="4" xr3:uid="{81223094-743C-484F-BD6C-C0070968E015}" name="name" dataDxfId="20"/>
    <tableColumn id="3" xr3:uid="{02B114B2-31A2-45E0-95CB-D7B5B59158D4}" name="Code" dataDxfId="19"/>
    <tableColumn id="2" xr3:uid="{25F1EE2B-22EC-4D69-8CEF-1F35F419008D}" name="aCode" dataDxfId="18"/>
    <tableColumn id="5" xr3:uid="{98CAFCC6-1A44-428B-AD18-F0F5163D8036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6"/>
    <tableColumn id="4" xr3:uid="{946138E4-408B-41AA-9EFE-0179ACDBA91C}" name="name" dataDxfId="15"/>
    <tableColumn id="3" xr3:uid="{4CD67D66-5E03-4217-ADBB-EDB24CF7D896}" name="Code" dataDxfId="14"/>
    <tableColumn id="2" xr3:uid="{951E4035-1C41-41A8-8801-D5CE38818C67}" name="aCode" dataDxfId="13"/>
    <tableColumn id="5" xr3:uid="{3153C0DB-1764-4890-BEFB-6C5DD9BCE384}" name="switch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8" totalsRowShown="0">
  <autoFilter ref="S1:T8" xr:uid="{097FB628-A468-4790-BE49-C390973AF997}"/>
  <tableColumns count="2">
    <tableColumn id="1" xr3:uid="{0575700F-3FE0-4DCD-8453-4F22777BC083}" name="Area" dataDxfId="11"/>
    <tableColumn id="3" xr3:uid="{4DB9070B-5067-4035-BDC5-48A6AFBB7D85}" name="Code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71E385-93A8-45CA-B845-AC3433FB9565}" name="Table7" displayName="Table7" ref="M33:Q44" totalsRowShown="0" headerRowDxfId="9" dataDxfId="8">
  <autoFilter ref="M33:Q44" xr:uid="{9771E385-93A8-45CA-B845-AC3433FB9565}"/>
  <tableColumns count="5">
    <tableColumn id="1" xr3:uid="{29BE8570-6216-4076-9F0F-B5284C690868}" name="Area" dataDxfId="7"/>
    <tableColumn id="2" xr3:uid="{5AC73682-397A-4138-BD34-87C975232E09}" name="name" dataDxfId="6"/>
    <tableColumn id="3" xr3:uid="{46BB35DF-F469-4375-9F7A-4FFB7B188F12}" name="Code" dataDxfId="5"/>
    <tableColumn id="4" xr3:uid="{E35B9A01-5926-40CF-9233-5620A06B36D0}" name="aCode" dataDxfId="4"/>
    <tableColumn id="5" xr3:uid="{2B733A94-81C4-4BC6-9829-02EB7451105B}" name="switch" dataDxf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3C562-BC12-4964-9534-076F3D6E9801}" name="tblAREAREF" displayName="tblAREAREF" ref="B1:C116" totalsRowShown="0" dataDxfId="2">
  <autoFilter ref="B1:C116" xr:uid="{46F3C562-BC12-4964-9534-076F3D6E9801}"/>
  <tableColumns count="2">
    <tableColumn id="1" xr3:uid="{74A799AF-73D4-449B-9B8A-8BA97282C3E8}" name="Area" dataDxfId="1"/>
    <tableColumn id="2" xr3:uid="{BD99703A-9EA6-44B4-B7B1-BACE943CB781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BC182-3AAD-4CEE-B284-21B4D6FA08E5}">
  <sheetPr codeName="Sheet14">
    <tabColor rgb="FF808080"/>
  </sheetPr>
  <dimension ref="A2:Q983"/>
  <sheetViews>
    <sheetView zoomScaleNormal="100" workbookViewId="0">
      <selection activeCell="X18" sqref="X18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282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1994</v>
      </c>
      <c r="C6" s="9">
        <v>15.8</v>
      </c>
      <c r="D6" s="9">
        <v>9.8000000000000007</v>
      </c>
      <c r="E6" s="9">
        <v>50.5</v>
      </c>
      <c r="F6" s="9">
        <v>32.200000000000003</v>
      </c>
      <c r="G6" s="9">
        <v>130</v>
      </c>
      <c r="H6" s="9">
        <v>152.4</v>
      </c>
      <c r="I6" s="9">
        <v>111.5</v>
      </c>
      <c r="J6" s="10">
        <v>330.7</v>
      </c>
      <c r="K6" s="9">
        <v>45.2</v>
      </c>
      <c r="L6" s="9">
        <v>170.5</v>
      </c>
      <c r="M6" s="9">
        <v>21.3</v>
      </c>
      <c r="N6" s="11">
        <v>24.5</v>
      </c>
      <c r="O6" s="12">
        <f t="shared" ref="O6:O35" si="0">ROUND(SUM(C6:N6),1)</f>
        <v>1094.4000000000001</v>
      </c>
      <c r="P6" s="13">
        <f>ROUND(O6/12,1)</f>
        <v>91.2</v>
      </c>
      <c r="Q6" s="14"/>
    </row>
    <row r="7" spans="2:17" ht="21.95" customHeight="1">
      <c r="B7" s="15">
        <v>1995</v>
      </c>
      <c r="C7" s="16">
        <v>20.6</v>
      </c>
      <c r="D7" s="16">
        <v>13.4</v>
      </c>
      <c r="E7" s="16">
        <v>30.7</v>
      </c>
      <c r="F7" s="16">
        <v>57.6</v>
      </c>
      <c r="G7" s="16">
        <v>51.9</v>
      </c>
      <c r="H7" s="16">
        <v>30.8</v>
      </c>
      <c r="I7" s="16">
        <v>156.69999999999999</v>
      </c>
      <c r="J7" s="17">
        <v>898</v>
      </c>
      <c r="K7" s="16">
        <v>42.7</v>
      </c>
      <c r="L7" s="16">
        <v>22.6</v>
      </c>
      <c r="M7" s="16">
        <v>31.8</v>
      </c>
      <c r="N7" s="18">
        <v>9.4</v>
      </c>
      <c r="O7" s="12">
        <f t="shared" si="0"/>
        <v>1366.2</v>
      </c>
      <c r="P7" s="19">
        <f t="shared" ref="P7:P35" si="1">ROUND(O7/12,1)</f>
        <v>113.9</v>
      </c>
      <c r="Q7" s="14"/>
    </row>
    <row r="8" spans="2:17" ht="21.95" customHeight="1">
      <c r="B8" s="15">
        <v>1996</v>
      </c>
      <c r="C8" s="16">
        <v>28.8</v>
      </c>
      <c r="D8" s="16">
        <v>5.7</v>
      </c>
      <c r="E8" s="16">
        <v>117.7</v>
      </c>
      <c r="F8" s="16">
        <v>44.8</v>
      </c>
      <c r="G8" s="16">
        <v>26.4</v>
      </c>
      <c r="H8" s="16">
        <v>297.2</v>
      </c>
      <c r="I8" s="16">
        <v>186.4</v>
      </c>
      <c r="J8" s="16">
        <v>86.4</v>
      </c>
      <c r="K8" s="16">
        <v>11.4</v>
      </c>
      <c r="L8" s="16">
        <v>93.4</v>
      </c>
      <c r="M8" s="16">
        <v>76.7</v>
      </c>
      <c r="N8" s="18">
        <v>34.200000000000003</v>
      </c>
      <c r="O8" s="12">
        <f t="shared" si="0"/>
        <v>1009.1</v>
      </c>
      <c r="P8" s="19">
        <f t="shared" si="1"/>
        <v>84.1</v>
      </c>
      <c r="Q8" s="14"/>
    </row>
    <row r="9" spans="2:17" ht="21.95" customHeight="1">
      <c r="B9" s="15">
        <v>1997</v>
      </c>
      <c r="C9" s="16">
        <v>15.3</v>
      </c>
      <c r="D9" s="16">
        <v>43.6</v>
      </c>
      <c r="E9" s="16">
        <v>33.6</v>
      </c>
      <c r="F9" s="16">
        <v>64.3</v>
      </c>
      <c r="G9" s="16">
        <v>209.4</v>
      </c>
      <c r="H9" s="16">
        <v>228.6</v>
      </c>
      <c r="I9" s="16">
        <v>361.2</v>
      </c>
      <c r="J9" s="16">
        <v>196.7</v>
      </c>
      <c r="K9" s="16">
        <v>33.4</v>
      </c>
      <c r="L9" s="16">
        <v>11.7</v>
      </c>
      <c r="M9" s="16">
        <v>168.6</v>
      </c>
      <c r="N9" s="18">
        <v>41.3</v>
      </c>
      <c r="O9" s="12">
        <f t="shared" si="0"/>
        <v>1407.7</v>
      </c>
      <c r="P9" s="19">
        <f t="shared" si="1"/>
        <v>117.3</v>
      </c>
      <c r="Q9" s="14"/>
    </row>
    <row r="10" spans="2:17" ht="21.95" customHeight="1">
      <c r="B10" s="15">
        <v>1998</v>
      </c>
      <c r="C10" s="16">
        <v>33.9</v>
      </c>
      <c r="D10" s="16">
        <v>44.6</v>
      </c>
      <c r="E10" s="16">
        <v>33.1</v>
      </c>
      <c r="F10" s="16">
        <v>159.4</v>
      </c>
      <c r="G10" s="16">
        <v>101.9</v>
      </c>
      <c r="H10" s="16">
        <v>262.60000000000002</v>
      </c>
      <c r="I10" s="16">
        <v>268.5</v>
      </c>
      <c r="J10" s="16">
        <v>442.6</v>
      </c>
      <c r="K10" s="16">
        <v>230.3</v>
      </c>
      <c r="L10" s="16">
        <v>52.3</v>
      </c>
      <c r="M10" s="16">
        <v>46</v>
      </c>
      <c r="N10" s="18">
        <v>6.4</v>
      </c>
      <c r="O10" s="12">
        <f t="shared" si="0"/>
        <v>1681.6</v>
      </c>
      <c r="P10" s="19">
        <f t="shared" si="1"/>
        <v>140.1</v>
      </c>
      <c r="Q10" s="14"/>
    </row>
    <row r="11" spans="2:17" ht="21.95" customHeight="1">
      <c r="B11" s="15">
        <v>1999</v>
      </c>
      <c r="C11" s="16">
        <v>5.5</v>
      </c>
      <c r="D11" s="16">
        <v>10.6</v>
      </c>
      <c r="E11" s="16">
        <v>65.2</v>
      </c>
      <c r="F11" s="16">
        <v>90.2</v>
      </c>
      <c r="G11" s="16">
        <v>134</v>
      </c>
      <c r="H11" s="16">
        <v>172.5</v>
      </c>
      <c r="I11" s="16">
        <v>135.1</v>
      </c>
      <c r="J11" s="16">
        <v>255.6</v>
      </c>
      <c r="K11" s="16">
        <v>373</v>
      </c>
      <c r="L11" s="16">
        <v>166</v>
      </c>
      <c r="M11" s="16">
        <v>22</v>
      </c>
      <c r="N11" s="18">
        <v>17.8</v>
      </c>
      <c r="O11" s="12">
        <f t="shared" si="0"/>
        <v>1447.5</v>
      </c>
      <c r="P11" s="19">
        <f t="shared" si="1"/>
        <v>120.6</v>
      </c>
      <c r="Q11" s="14"/>
    </row>
    <row r="12" spans="2:17" ht="21.95" customHeight="1">
      <c r="B12" s="15">
        <v>2000</v>
      </c>
      <c r="C12" s="16">
        <v>47</v>
      </c>
      <c r="D12" s="16">
        <v>2.8</v>
      </c>
      <c r="E12" s="16">
        <v>11.3</v>
      </c>
      <c r="F12" s="16">
        <v>49</v>
      </c>
      <c r="G12" s="16">
        <v>44.1</v>
      </c>
      <c r="H12" s="16">
        <v>207.6</v>
      </c>
      <c r="I12" s="16">
        <v>178.3</v>
      </c>
      <c r="J12" s="16">
        <v>572.1</v>
      </c>
      <c r="K12" s="16">
        <v>257.60000000000002</v>
      </c>
      <c r="L12" s="16">
        <v>37.200000000000003</v>
      </c>
      <c r="M12" s="16">
        <v>33.6</v>
      </c>
      <c r="N12" s="18">
        <v>19.899999999999999</v>
      </c>
      <c r="O12" s="12">
        <f t="shared" si="0"/>
        <v>1460.5</v>
      </c>
      <c r="P12" s="19">
        <f t="shared" si="1"/>
        <v>121.7</v>
      </c>
    </row>
    <row r="13" spans="2:17" ht="21.95" customHeight="1">
      <c r="B13" s="15">
        <v>2001</v>
      </c>
      <c r="C13" s="16">
        <v>62.4</v>
      </c>
      <c r="D13" s="16">
        <v>55.3</v>
      </c>
      <c r="E13" s="16">
        <v>14.4</v>
      </c>
      <c r="F13" s="16">
        <v>22.2</v>
      </c>
      <c r="G13" s="16">
        <v>19.2</v>
      </c>
      <c r="H13" s="16">
        <v>180.2</v>
      </c>
      <c r="I13" s="16">
        <v>257.10000000000002</v>
      </c>
      <c r="J13" s="16">
        <v>128.4</v>
      </c>
      <c r="K13" s="16">
        <v>26.9</v>
      </c>
      <c r="L13" s="16">
        <v>73.7</v>
      </c>
      <c r="M13" s="16">
        <v>10</v>
      </c>
      <c r="N13" s="18">
        <v>22.3</v>
      </c>
      <c r="O13" s="12">
        <f t="shared" si="0"/>
        <v>872.1</v>
      </c>
      <c r="P13" s="19">
        <f t="shared" si="1"/>
        <v>72.7</v>
      </c>
    </row>
    <row r="14" spans="2:17" ht="21.95" customHeight="1">
      <c r="B14" s="15">
        <v>2002</v>
      </c>
      <c r="C14" s="16">
        <v>52.5</v>
      </c>
      <c r="D14" s="16">
        <v>6.4</v>
      </c>
      <c r="E14" s="16">
        <v>34.299999999999997</v>
      </c>
      <c r="F14" s="16">
        <v>153.69999999999999</v>
      </c>
      <c r="G14" s="16">
        <v>144.69999999999999</v>
      </c>
      <c r="H14" s="16">
        <v>62.9</v>
      </c>
      <c r="I14" s="16">
        <v>218.1</v>
      </c>
      <c r="J14" s="16">
        <v>459.2</v>
      </c>
      <c r="K14" s="16">
        <v>59.5</v>
      </c>
      <c r="L14" s="16">
        <v>87.6</v>
      </c>
      <c r="M14" s="16">
        <v>38.799999999999997</v>
      </c>
      <c r="N14" s="18">
        <v>45.9</v>
      </c>
      <c r="O14" s="12">
        <f t="shared" si="0"/>
        <v>1363.6</v>
      </c>
      <c r="P14" s="19">
        <f t="shared" si="1"/>
        <v>113.6</v>
      </c>
    </row>
    <row r="15" spans="2:17" ht="21.95" customHeight="1">
      <c r="B15" s="15">
        <v>2003</v>
      </c>
      <c r="C15" s="16">
        <v>23.4</v>
      </c>
      <c r="D15" s="16">
        <v>50.5</v>
      </c>
      <c r="E15" s="16">
        <v>39.200000000000003</v>
      </c>
      <c r="F15" s="16">
        <v>186.4</v>
      </c>
      <c r="G15" s="16">
        <v>119.7</v>
      </c>
      <c r="H15" s="16">
        <v>183.9</v>
      </c>
      <c r="I15" s="16">
        <v>436.5</v>
      </c>
      <c r="J15" s="16">
        <v>277</v>
      </c>
      <c r="K15" s="16">
        <v>190.7</v>
      </c>
      <c r="L15" s="16">
        <v>24</v>
      </c>
      <c r="M15" s="16">
        <v>43.6</v>
      </c>
      <c r="N15" s="18">
        <v>15.6</v>
      </c>
      <c r="O15" s="12">
        <f t="shared" si="0"/>
        <v>1590.5</v>
      </c>
      <c r="P15" s="19">
        <f t="shared" si="1"/>
        <v>132.5</v>
      </c>
    </row>
    <row r="16" spans="2:17" ht="21.95" customHeight="1">
      <c r="B16" s="15">
        <v>2004</v>
      </c>
      <c r="C16" s="16">
        <v>19</v>
      </c>
      <c r="D16" s="16">
        <v>25.9</v>
      </c>
      <c r="E16" s="16">
        <v>35.799999999999997</v>
      </c>
      <c r="F16" s="16">
        <v>70.900000000000006</v>
      </c>
      <c r="G16" s="16">
        <v>114.6</v>
      </c>
      <c r="H16" s="16">
        <v>278.39999999999998</v>
      </c>
      <c r="I16" s="16">
        <v>330.5</v>
      </c>
      <c r="J16" s="16">
        <v>220.8</v>
      </c>
      <c r="K16" s="16">
        <v>193.8</v>
      </c>
      <c r="L16" s="16">
        <v>2.8</v>
      </c>
      <c r="M16" s="16">
        <v>54.7</v>
      </c>
      <c r="N16" s="18">
        <v>36.299999999999997</v>
      </c>
      <c r="O16" s="12">
        <f t="shared" si="0"/>
        <v>1383.5</v>
      </c>
      <c r="P16" s="19">
        <f t="shared" si="1"/>
        <v>115.3</v>
      </c>
    </row>
    <row r="17" spans="2:16" ht="21.95" customHeight="1">
      <c r="B17" s="15">
        <v>2005</v>
      </c>
      <c r="C17" s="16">
        <v>6.9</v>
      </c>
      <c r="D17" s="16">
        <v>34.5</v>
      </c>
      <c r="E17" s="16">
        <v>36.1</v>
      </c>
      <c r="F17" s="16">
        <v>62.2</v>
      </c>
      <c r="G17" s="16">
        <v>56.7</v>
      </c>
      <c r="H17" s="16">
        <v>172.6</v>
      </c>
      <c r="I17" s="16">
        <v>364.1</v>
      </c>
      <c r="J17" s="16">
        <v>306.5</v>
      </c>
      <c r="K17" s="16">
        <v>246.4</v>
      </c>
      <c r="L17" s="16">
        <v>26.4</v>
      </c>
      <c r="M17" s="16">
        <v>22.5</v>
      </c>
      <c r="N17" s="18">
        <v>27.4</v>
      </c>
      <c r="O17" s="12">
        <f t="shared" si="0"/>
        <v>1362.3</v>
      </c>
      <c r="P17" s="19">
        <f t="shared" si="1"/>
        <v>113.5</v>
      </c>
    </row>
    <row r="18" spans="2:16" ht="21.95" customHeight="1">
      <c r="B18" s="15">
        <v>2006</v>
      </c>
      <c r="C18" s="16">
        <v>28</v>
      </c>
      <c r="D18" s="16">
        <v>26.8</v>
      </c>
      <c r="E18" s="16">
        <v>7.6</v>
      </c>
      <c r="F18" s="16">
        <v>89.7</v>
      </c>
      <c r="G18" s="16">
        <v>96.4</v>
      </c>
      <c r="H18" s="16">
        <v>129.1</v>
      </c>
      <c r="I18" s="16">
        <v>507</v>
      </c>
      <c r="J18" s="16">
        <v>68.900000000000006</v>
      </c>
      <c r="K18" s="16">
        <v>26.8</v>
      </c>
      <c r="L18" s="16">
        <v>25.1</v>
      </c>
      <c r="M18" s="16">
        <v>59</v>
      </c>
      <c r="N18" s="18">
        <v>23.7</v>
      </c>
      <c r="O18" s="12">
        <f t="shared" si="0"/>
        <v>1088.0999999999999</v>
      </c>
      <c r="P18" s="19">
        <f t="shared" si="1"/>
        <v>90.7</v>
      </c>
    </row>
    <row r="19" spans="2:16" ht="21.95" customHeight="1">
      <c r="B19" s="15">
        <v>2007</v>
      </c>
      <c r="C19" s="16">
        <v>16.3</v>
      </c>
      <c r="D19" s="16">
        <v>38.799999999999997</v>
      </c>
      <c r="E19" s="16">
        <v>125.1</v>
      </c>
      <c r="F19" s="16">
        <v>29.7</v>
      </c>
      <c r="G19" s="16">
        <v>104.3</v>
      </c>
      <c r="H19" s="16">
        <v>119.2</v>
      </c>
      <c r="I19" s="16">
        <v>244.9</v>
      </c>
      <c r="J19" s="16">
        <v>357.5</v>
      </c>
      <c r="K19" s="16">
        <v>388.8</v>
      </c>
      <c r="L19" s="16">
        <v>40.4</v>
      </c>
      <c r="M19" s="16">
        <v>14.8</v>
      </c>
      <c r="N19" s="18">
        <v>33.4</v>
      </c>
      <c r="O19" s="12">
        <f t="shared" si="0"/>
        <v>1513.2</v>
      </c>
      <c r="P19" s="19">
        <f t="shared" si="1"/>
        <v>126.1</v>
      </c>
    </row>
    <row r="20" spans="2:16" ht="21.95" customHeight="1">
      <c r="B20" s="15">
        <v>2008</v>
      </c>
      <c r="C20" s="16">
        <v>25.1</v>
      </c>
      <c r="D20" s="16">
        <v>9.1999999999999993</v>
      </c>
      <c r="E20" s="16">
        <v>37</v>
      </c>
      <c r="F20" s="16">
        <v>39.4</v>
      </c>
      <c r="G20" s="16">
        <v>73.2</v>
      </c>
      <c r="H20" s="16">
        <v>159.30000000000001</v>
      </c>
      <c r="I20" s="16">
        <v>255.2</v>
      </c>
      <c r="J20" s="16">
        <v>147.30000000000001</v>
      </c>
      <c r="K20" s="16">
        <v>56.7</v>
      </c>
      <c r="L20" s="16">
        <v>31.1</v>
      </c>
      <c r="M20" s="16">
        <v>23.6</v>
      </c>
      <c r="N20" s="18">
        <v>22.4</v>
      </c>
      <c r="O20" s="12">
        <f t="shared" si="0"/>
        <v>879.5</v>
      </c>
      <c r="P20" s="19">
        <f t="shared" si="1"/>
        <v>73.3</v>
      </c>
    </row>
    <row r="21" spans="2:16" ht="21.95" customHeight="1">
      <c r="B21" s="15">
        <v>2009</v>
      </c>
      <c r="C21" s="16">
        <v>14.2</v>
      </c>
      <c r="D21" s="16">
        <v>26.2</v>
      </c>
      <c r="E21" s="16">
        <v>56.1</v>
      </c>
      <c r="F21" s="16">
        <v>40.4</v>
      </c>
      <c r="G21" s="16">
        <v>128.19999999999999</v>
      </c>
      <c r="H21" s="16">
        <v>95</v>
      </c>
      <c r="I21" s="16">
        <v>389</v>
      </c>
      <c r="J21" s="16">
        <v>164.5</v>
      </c>
      <c r="K21" s="16">
        <v>31.5</v>
      </c>
      <c r="L21" s="16">
        <v>39.5</v>
      </c>
      <c r="M21" s="16">
        <v>47</v>
      </c>
      <c r="N21" s="18">
        <v>43.2</v>
      </c>
      <c r="O21" s="12">
        <f t="shared" si="0"/>
        <v>1074.8</v>
      </c>
      <c r="P21" s="19">
        <f t="shared" si="1"/>
        <v>89.6</v>
      </c>
    </row>
    <row r="22" spans="2:16" ht="21.95" customHeight="1">
      <c r="B22" s="15">
        <v>2010</v>
      </c>
      <c r="C22" s="16">
        <v>39.4</v>
      </c>
      <c r="D22" s="16">
        <v>69.3</v>
      </c>
      <c r="E22" s="16">
        <v>81.5</v>
      </c>
      <c r="F22" s="16">
        <v>63</v>
      </c>
      <c r="G22" s="16">
        <v>126</v>
      </c>
      <c r="H22" s="16">
        <v>58.3</v>
      </c>
      <c r="I22" s="16">
        <v>311</v>
      </c>
      <c r="J22" s="16">
        <v>504.5</v>
      </c>
      <c r="K22" s="16">
        <v>238.4</v>
      </c>
      <c r="L22" s="16">
        <v>21.1</v>
      </c>
      <c r="M22" s="16">
        <v>16.100000000000001</v>
      </c>
      <c r="N22" s="18">
        <v>32.299999999999997</v>
      </c>
      <c r="O22" s="12">
        <f t="shared" si="0"/>
        <v>1560.9</v>
      </c>
      <c r="P22" s="19">
        <f t="shared" si="1"/>
        <v>130.1</v>
      </c>
    </row>
    <row r="23" spans="2:16" ht="21.95" customHeight="1">
      <c r="B23" s="15">
        <v>2011</v>
      </c>
      <c r="C23" s="16">
        <v>6.7</v>
      </c>
      <c r="D23" s="16">
        <v>49.7</v>
      </c>
      <c r="E23" s="16">
        <v>23.3</v>
      </c>
      <c r="F23" s="16">
        <v>100.9</v>
      </c>
      <c r="G23" s="16">
        <v>113.7</v>
      </c>
      <c r="H23" s="16">
        <v>341.8</v>
      </c>
      <c r="I23" s="16">
        <v>639.1</v>
      </c>
      <c r="J23" s="16">
        <v>346</v>
      </c>
      <c r="K23" s="16">
        <v>91.3</v>
      </c>
      <c r="L23" s="16">
        <v>27.5</v>
      </c>
      <c r="M23" s="16">
        <v>71.099999999999994</v>
      </c>
      <c r="N23" s="18">
        <v>10.3</v>
      </c>
      <c r="O23" s="12">
        <f t="shared" si="0"/>
        <v>1821.4</v>
      </c>
      <c r="P23" s="19">
        <f t="shared" si="1"/>
        <v>151.80000000000001</v>
      </c>
    </row>
    <row r="24" spans="2:16" ht="21.95" customHeight="1">
      <c r="B24" s="15">
        <v>2012</v>
      </c>
      <c r="C24" s="16">
        <v>18.7</v>
      </c>
      <c r="D24" s="16">
        <v>3.6</v>
      </c>
      <c r="E24" s="16">
        <v>55.1</v>
      </c>
      <c r="F24" s="16">
        <v>89.8</v>
      </c>
      <c r="G24" s="16">
        <v>17.399999999999999</v>
      </c>
      <c r="H24" s="16">
        <v>86</v>
      </c>
      <c r="I24" s="16">
        <v>258.5</v>
      </c>
      <c r="J24" s="16">
        <v>530.5</v>
      </c>
      <c r="K24" s="16">
        <v>201</v>
      </c>
      <c r="L24" s="16">
        <v>72.400000000000006</v>
      </c>
      <c r="M24" s="16">
        <v>60.8</v>
      </c>
      <c r="N24" s="18">
        <v>61.9</v>
      </c>
      <c r="O24" s="12">
        <f t="shared" si="0"/>
        <v>1455.7</v>
      </c>
      <c r="P24" s="19">
        <f t="shared" si="1"/>
        <v>121.3</v>
      </c>
    </row>
    <row r="25" spans="2:16" ht="21.95" customHeight="1">
      <c r="B25" s="15">
        <v>2013</v>
      </c>
      <c r="C25" s="16">
        <v>35.200000000000003</v>
      </c>
      <c r="D25" s="16">
        <v>48.6</v>
      </c>
      <c r="E25" s="16">
        <v>53.8</v>
      </c>
      <c r="F25" s="16">
        <v>73.3</v>
      </c>
      <c r="G25" s="16">
        <v>118.7</v>
      </c>
      <c r="H25" s="16">
        <v>125.2</v>
      </c>
      <c r="I25" s="16">
        <v>249.4</v>
      </c>
      <c r="J25" s="16">
        <v>157.6</v>
      </c>
      <c r="K25" s="16">
        <v>170.1</v>
      </c>
      <c r="L25" s="16">
        <v>15.8</v>
      </c>
      <c r="M25" s="16">
        <v>67.5</v>
      </c>
      <c r="N25" s="18">
        <v>31.9</v>
      </c>
      <c r="O25" s="12">
        <f t="shared" si="0"/>
        <v>1147.0999999999999</v>
      </c>
      <c r="P25" s="19">
        <f t="shared" si="1"/>
        <v>95.6</v>
      </c>
    </row>
    <row r="26" spans="2:16" ht="21.95" customHeight="1">
      <c r="B26" s="15">
        <v>2014</v>
      </c>
      <c r="C26" s="16">
        <v>4.3</v>
      </c>
      <c r="D26" s="16">
        <v>14.1</v>
      </c>
      <c r="E26" s="16">
        <v>59.1</v>
      </c>
      <c r="F26" s="16">
        <v>80.099999999999994</v>
      </c>
      <c r="G26" s="16">
        <v>44.4</v>
      </c>
      <c r="H26" s="16">
        <v>78.5</v>
      </c>
      <c r="I26" s="16">
        <v>155</v>
      </c>
      <c r="J26" s="16">
        <v>256.2</v>
      </c>
      <c r="K26" s="16">
        <v>130.30000000000001</v>
      </c>
      <c r="L26" s="16">
        <v>140.9</v>
      </c>
      <c r="M26" s="16">
        <v>43.8</v>
      </c>
      <c r="N26" s="18">
        <v>54</v>
      </c>
      <c r="O26" s="12">
        <f t="shared" si="0"/>
        <v>1060.7</v>
      </c>
      <c r="P26" s="19">
        <f t="shared" si="1"/>
        <v>88.4</v>
      </c>
    </row>
    <row r="27" spans="2:16" ht="21.95" customHeight="1">
      <c r="B27" s="15">
        <v>2015</v>
      </c>
      <c r="C27" s="16">
        <v>27.3</v>
      </c>
      <c r="D27" s="16">
        <v>25.4</v>
      </c>
      <c r="E27" s="16">
        <v>32.799999999999997</v>
      </c>
      <c r="F27" s="16">
        <v>105.4</v>
      </c>
      <c r="G27" s="16">
        <v>38</v>
      </c>
      <c r="H27" s="16">
        <v>94.1</v>
      </c>
      <c r="I27" s="16">
        <v>134.4</v>
      </c>
      <c r="J27" s="16">
        <v>59.6</v>
      </c>
      <c r="K27" s="16">
        <v>19.600000000000001</v>
      </c>
      <c r="L27" s="16">
        <v>85.9</v>
      </c>
      <c r="M27" s="16">
        <v>136.1</v>
      </c>
      <c r="N27" s="18">
        <v>52.6</v>
      </c>
      <c r="O27" s="12">
        <f t="shared" si="0"/>
        <v>811.2</v>
      </c>
      <c r="P27" s="19">
        <f t="shared" si="1"/>
        <v>67.599999999999994</v>
      </c>
    </row>
    <row r="28" spans="2:16" ht="21.95" customHeight="1">
      <c r="B28" s="15">
        <v>2016</v>
      </c>
      <c r="C28" s="16">
        <v>11.1</v>
      </c>
      <c r="D28" s="16">
        <v>53</v>
      </c>
      <c r="E28" s="16">
        <v>26.6</v>
      </c>
      <c r="F28" s="16">
        <v>129.30000000000001</v>
      </c>
      <c r="G28" s="16">
        <v>119.9</v>
      </c>
      <c r="H28" s="16">
        <v>46.7</v>
      </c>
      <c r="I28" s="16">
        <v>315.8</v>
      </c>
      <c r="J28" s="16">
        <v>52</v>
      </c>
      <c r="K28" s="16">
        <v>95.2</v>
      </c>
      <c r="L28" s="16">
        <v>111</v>
      </c>
      <c r="M28" s="16">
        <v>21.4</v>
      </c>
      <c r="N28" s="18">
        <v>52.8</v>
      </c>
      <c r="O28" s="12">
        <f t="shared" si="0"/>
        <v>1034.8</v>
      </c>
      <c r="P28" s="19">
        <f t="shared" si="1"/>
        <v>86.2</v>
      </c>
    </row>
    <row r="29" spans="2:16" ht="21.95" customHeight="1">
      <c r="B29" s="15">
        <v>2017</v>
      </c>
      <c r="C29" s="16">
        <v>15.9</v>
      </c>
      <c r="D29" s="16">
        <v>35.4</v>
      </c>
      <c r="E29" s="16">
        <v>12.9</v>
      </c>
      <c r="F29" s="16">
        <v>58.8</v>
      </c>
      <c r="G29" s="16">
        <v>33.700000000000003</v>
      </c>
      <c r="H29" s="16">
        <v>31.9</v>
      </c>
      <c r="I29" s="16">
        <v>405.2</v>
      </c>
      <c r="J29" s="16">
        <v>262.7</v>
      </c>
      <c r="K29" s="16">
        <v>74.7</v>
      </c>
      <c r="L29" s="16">
        <v>30.6</v>
      </c>
      <c r="M29" s="16">
        <v>20.6</v>
      </c>
      <c r="N29" s="18">
        <v>31.7</v>
      </c>
      <c r="O29" s="12">
        <f t="shared" si="0"/>
        <v>1014.1</v>
      </c>
      <c r="P29" s="19">
        <f t="shared" si="1"/>
        <v>84.5</v>
      </c>
    </row>
    <row r="30" spans="2:16" ht="21.95" customHeight="1">
      <c r="B30" s="15">
        <v>2018</v>
      </c>
      <c r="C30" s="16">
        <v>20.100000000000001</v>
      </c>
      <c r="D30" s="16">
        <v>35.4</v>
      </c>
      <c r="E30" s="16">
        <v>84.3</v>
      </c>
      <c r="F30" s="16">
        <v>135.4</v>
      </c>
      <c r="G30" s="16">
        <v>112.3</v>
      </c>
      <c r="H30" s="16">
        <v>106.7</v>
      </c>
      <c r="I30" s="16">
        <v>208.7</v>
      </c>
      <c r="J30" s="16">
        <v>273.3</v>
      </c>
      <c r="K30" s="16">
        <v>119.8</v>
      </c>
      <c r="L30" s="16">
        <v>135.9</v>
      </c>
      <c r="M30" s="16">
        <v>56.1</v>
      </c>
      <c r="N30" s="18">
        <v>28.6</v>
      </c>
      <c r="O30" s="12">
        <f t="shared" si="0"/>
        <v>1316.6</v>
      </c>
      <c r="P30" s="19">
        <f t="shared" si="1"/>
        <v>109.7</v>
      </c>
    </row>
    <row r="31" spans="2:16" ht="21.95" customHeight="1">
      <c r="B31" s="15">
        <v>2019</v>
      </c>
      <c r="C31" s="16">
        <v>2.1</v>
      </c>
      <c r="D31" s="16">
        <v>30.5</v>
      </c>
      <c r="E31" s="16">
        <v>31.4</v>
      </c>
      <c r="F31" s="16">
        <v>65.3</v>
      </c>
      <c r="G31" s="16">
        <v>31</v>
      </c>
      <c r="H31" s="16">
        <v>71.599999999999994</v>
      </c>
      <c r="I31" s="16">
        <v>183.2</v>
      </c>
      <c r="J31" s="16">
        <v>110.2</v>
      </c>
      <c r="K31" s="16">
        <v>166.2</v>
      </c>
      <c r="L31" s="16">
        <v>86.3</v>
      </c>
      <c r="M31" s="16">
        <v>105.2</v>
      </c>
      <c r="N31" s="18">
        <v>29.7</v>
      </c>
      <c r="O31" s="12">
        <f t="shared" si="0"/>
        <v>912.7</v>
      </c>
      <c r="P31" s="19">
        <f t="shared" si="1"/>
        <v>76.099999999999994</v>
      </c>
    </row>
    <row r="32" spans="2:16" ht="21.95" customHeight="1">
      <c r="B32" s="15">
        <v>2020</v>
      </c>
      <c r="C32" s="16">
        <v>65.7</v>
      </c>
      <c r="D32" s="16">
        <v>79.7</v>
      </c>
      <c r="E32" s="16">
        <v>22</v>
      </c>
      <c r="F32" s="16">
        <v>20.6</v>
      </c>
      <c r="G32" s="16">
        <v>91.6</v>
      </c>
      <c r="H32" s="16">
        <v>170.1</v>
      </c>
      <c r="I32" s="16">
        <v>449.5</v>
      </c>
      <c r="J32" s="16">
        <v>384.3</v>
      </c>
      <c r="K32" s="16">
        <v>192</v>
      </c>
      <c r="L32" s="16">
        <v>9.9</v>
      </c>
      <c r="M32" s="16">
        <v>46.5</v>
      </c>
      <c r="N32" s="18">
        <v>6.8</v>
      </c>
      <c r="O32" s="12">
        <f t="shared" si="0"/>
        <v>1538.7</v>
      </c>
      <c r="P32" s="19">
        <f t="shared" si="1"/>
        <v>128.19999999999999</v>
      </c>
    </row>
    <row r="33" spans="2:16" ht="21.95" customHeight="1">
      <c r="B33" s="15">
        <v>2021</v>
      </c>
      <c r="C33" s="16">
        <v>25.7</v>
      </c>
      <c r="D33" s="16">
        <v>14.8</v>
      </c>
      <c r="E33" s="16">
        <v>90.5</v>
      </c>
      <c r="F33" s="16">
        <v>56.3</v>
      </c>
      <c r="G33" s="16">
        <v>135.30000000000001</v>
      </c>
      <c r="H33" s="16">
        <v>76.5</v>
      </c>
      <c r="I33" s="16">
        <v>168.5</v>
      </c>
      <c r="J33" s="16">
        <v>252.6</v>
      </c>
      <c r="K33" s="16">
        <v>195.5</v>
      </c>
      <c r="L33" s="16">
        <v>44.5</v>
      </c>
      <c r="M33" s="16">
        <v>79.599999999999994</v>
      </c>
      <c r="N33" s="18">
        <v>9.6999999999999993</v>
      </c>
      <c r="O33" s="12">
        <f t="shared" si="0"/>
        <v>1149.5</v>
      </c>
      <c r="P33" s="19">
        <f t="shared" si="1"/>
        <v>95.8</v>
      </c>
    </row>
    <row r="34" spans="2:16" ht="21.95" customHeight="1">
      <c r="B34" s="15">
        <v>2022</v>
      </c>
      <c r="C34" s="16">
        <v>4.4000000000000004</v>
      </c>
      <c r="D34" s="16">
        <v>3.6</v>
      </c>
      <c r="E34" s="16">
        <v>70.2</v>
      </c>
      <c r="F34" s="16">
        <v>55.7</v>
      </c>
      <c r="G34" s="16">
        <v>5.9</v>
      </c>
      <c r="H34" s="16">
        <v>188.6</v>
      </c>
      <c r="I34" s="16">
        <v>160.4</v>
      </c>
      <c r="J34" s="16">
        <v>475</v>
      </c>
      <c r="K34" s="16">
        <v>107.8</v>
      </c>
      <c r="L34" s="16">
        <v>103.8</v>
      </c>
      <c r="M34" s="16">
        <v>46</v>
      </c>
      <c r="N34" s="18">
        <v>20.9</v>
      </c>
      <c r="O34" s="12">
        <f t="shared" si="0"/>
        <v>1242.3</v>
      </c>
      <c r="P34" s="19">
        <f t="shared" si="1"/>
        <v>103.5</v>
      </c>
    </row>
    <row r="35" spans="2:16" ht="21.95" customHeight="1" thickBot="1">
      <c r="B35" s="33">
        <v>2023</v>
      </c>
      <c r="C35" s="34">
        <v>28.9</v>
      </c>
      <c r="D35" s="34">
        <v>3.7</v>
      </c>
      <c r="E35" s="34">
        <v>14.8</v>
      </c>
      <c r="F35" s="34">
        <v>48</v>
      </c>
      <c r="G35" s="34">
        <v>182.2</v>
      </c>
      <c r="H35" s="34">
        <v>146.5</v>
      </c>
      <c r="I35" s="34">
        <v>689.2</v>
      </c>
      <c r="J35" s="34">
        <v>234.3</v>
      </c>
      <c r="K35" s="34">
        <v>244.4</v>
      </c>
      <c r="L35" s="34">
        <v>21.7</v>
      </c>
      <c r="M35" s="34">
        <v>67.2</v>
      </c>
      <c r="N35" s="35">
        <v>113.8</v>
      </c>
      <c r="O35" s="36">
        <f t="shared" si="0"/>
        <v>1794.7</v>
      </c>
      <c r="P35" s="37">
        <f t="shared" si="1"/>
        <v>149.6</v>
      </c>
    </row>
    <row r="36" spans="2:16" ht="21.95" customHeight="1">
      <c r="B36" s="38" t="s">
        <v>13</v>
      </c>
      <c r="C36" s="39">
        <f>ROUND(MAX(C6:C35),1)</f>
        <v>65.7</v>
      </c>
      <c r="D36" s="39">
        <f t="shared" ref="D36:N36" si="2">ROUND(MAX(D6:D35),1)</f>
        <v>79.7</v>
      </c>
      <c r="E36" s="39">
        <f t="shared" si="2"/>
        <v>125.1</v>
      </c>
      <c r="F36" s="39">
        <f t="shared" si="2"/>
        <v>186.4</v>
      </c>
      <c r="G36" s="39">
        <f t="shared" si="2"/>
        <v>209.4</v>
      </c>
      <c r="H36" s="39">
        <f t="shared" si="2"/>
        <v>341.8</v>
      </c>
      <c r="I36" s="39">
        <f t="shared" si="2"/>
        <v>689.2</v>
      </c>
      <c r="J36" s="39">
        <f t="shared" si="2"/>
        <v>898</v>
      </c>
      <c r="K36" s="39">
        <f t="shared" si="2"/>
        <v>388.8</v>
      </c>
      <c r="L36" s="39">
        <f t="shared" si="2"/>
        <v>170.5</v>
      </c>
      <c r="M36" s="39">
        <f t="shared" si="2"/>
        <v>168.6</v>
      </c>
      <c r="N36" s="40">
        <f t="shared" si="2"/>
        <v>113.8</v>
      </c>
      <c r="O36" s="41">
        <f>ROUND(MAX(O6:O35),1)</f>
        <v>1821.4</v>
      </c>
      <c r="P36" s="42">
        <f>ROUND(MAX(P6:P35),1)</f>
        <v>151.80000000000001</v>
      </c>
    </row>
    <row r="37" spans="2:16" ht="21.95" customHeight="1">
      <c r="B37" s="43" t="s">
        <v>14</v>
      </c>
      <c r="C37" s="44">
        <f>ROUND(MIN(C6:C35),1)</f>
        <v>2.1</v>
      </c>
      <c r="D37" s="44">
        <f t="shared" ref="D37:N37" si="3">ROUND(MIN(D6:D35),1)</f>
        <v>2.8</v>
      </c>
      <c r="E37" s="44">
        <f t="shared" si="3"/>
        <v>7.6</v>
      </c>
      <c r="F37" s="44">
        <f t="shared" si="3"/>
        <v>20.6</v>
      </c>
      <c r="G37" s="44">
        <f t="shared" si="3"/>
        <v>5.9</v>
      </c>
      <c r="H37" s="44">
        <f t="shared" si="3"/>
        <v>30.8</v>
      </c>
      <c r="I37" s="44">
        <f t="shared" si="3"/>
        <v>111.5</v>
      </c>
      <c r="J37" s="44">
        <f t="shared" si="3"/>
        <v>52</v>
      </c>
      <c r="K37" s="44">
        <f t="shared" si="3"/>
        <v>11.4</v>
      </c>
      <c r="L37" s="44">
        <f t="shared" si="3"/>
        <v>2.8</v>
      </c>
      <c r="M37" s="44">
        <f t="shared" si="3"/>
        <v>10</v>
      </c>
      <c r="N37" s="19">
        <f t="shared" si="3"/>
        <v>6.4</v>
      </c>
      <c r="O37" s="45">
        <f>ROUND(MIN(O6:O35),1)</f>
        <v>811.2</v>
      </c>
      <c r="P37" s="46">
        <f>ROUND(MIN(P6:P35),1)</f>
        <v>67.599999999999994</v>
      </c>
    </row>
    <row r="38" spans="2:16" ht="21.95" customHeight="1" thickBot="1">
      <c r="B38" s="47" t="s">
        <v>18</v>
      </c>
      <c r="C38" s="48">
        <f>ROUND(AVERAGE(C6:C35),1)</f>
        <v>24</v>
      </c>
      <c r="D38" s="48">
        <f t="shared" ref="D38:P38" si="4">ROUND(AVERAGE(D6:D35),1)</f>
        <v>29</v>
      </c>
      <c r="E38" s="48">
        <f t="shared" si="4"/>
        <v>46.2</v>
      </c>
      <c r="F38" s="48">
        <f t="shared" si="4"/>
        <v>75.8</v>
      </c>
      <c r="G38" s="48">
        <f t="shared" si="4"/>
        <v>90.8</v>
      </c>
      <c r="H38" s="48">
        <f t="shared" si="4"/>
        <v>145.19999999999999</v>
      </c>
      <c r="I38" s="48">
        <f t="shared" si="4"/>
        <v>290.89999999999998</v>
      </c>
      <c r="J38" s="48">
        <f t="shared" si="4"/>
        <v>293.7</v>
      </c>
      <c r="K38" s="48">
        <f t="shared" si="4"/>
        <v>142</v>
      </c>
      <c r="L38" s="48">
        <f t="shared" si="4"/>
        <v>60.4</v>
      </c>
      <c r="M38" s="48">
        <f t="shared" si="4"/>
        <v>51.7</v>
      </c>
      <c r="N38" s="49">
        <f t="shared" si="4"/>
        <v>32</v>
      </c>
      <c r="O38" s="50">
        <f t="shared" si="4"/>
        <v>1281.8</v>
      </c>
      <c r="P38" s="51">
        <f t="shared" si="4"/>
        <v>106.8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2014</v>
      </c>
      <c r="C44" s="53">
        <f t="shared" ref="C44:N44" si="5">C26</f>
        <v>4.3</v>
      </c>
      <c r="D44" s="53">
        <f t="shared" si="5"/>
        <v>14.1</v>
      </c>
      <c r="E44" s="53">
        <f t="shared" si="5"/>
        <v>59.1</v>
      </c>
      <c r="F44" s="53">
        <f t="shared" si="5"/>
        <v>80.099999999999994</v>
      </c>
      <c r="G44" s="53">
        <f t="shared" si="5"/>
        <v>44.4</v>
      </c>
      <c r="H44" s="53">
        <f t="shared" si="5"/>
        <v>78.5</v>
      </c>
      <c r="I44" s="53">
        <f t="shared" si="5"/>
        <v>155</v>
      </c>
      <c r="J44" s="53">
        <f t="shared" si="5"/>
        <v>256.2</v>
      </c>
      <c r="K44" s="53">
        <f t="shared" si="5"/>
        <v>130.30000000000001</v>
      </c>
      <c r="L44" s="53">
        <f t="shared" si="5"/>
        <v>140.9</v>
      </c>
      <c r="M44" s="53">
        <f t="shared" si="5"/>
        <v>43.8</v>
      </c>
      <c r="N44" s="54">
        <f t="shared" si="5"/>
        <v>54</v>
      </c>
      <c r="O44" s="55">
        <f>ROUND(SUM(C44:N44),1)</f>
        <v>1060.7</v>
      </c>
      <c r="P44" s="46">
        <f>ROUND(O44/12,1)</f>
        <v>88.4</v>
      </c>
    </row>
    <row r="45" spans="2:16" ht="21.95" customHeight="1">
      <c r="B45" s="52">
        <f t="shared" ref="B45:N53" si="6">B27</f>
        <v>2015</v>
      </c>
      <c r="C45" s="53">
        <f t="shared" si="6"/>
        <v>27.3</v>
      </c>
      <c r="D45" s="53">
        <f t="shared" si="6"/>
        <v>25.4</v>
      </c>
      <c r="E45" s="53">
        <f t="shared" si="6"/>
        <v>32.799999999999997</v>
      </c>
      <c r="F45" s="53">
        <f t="shared" si="6"/>
        <v>105.4</v>
      </c>
      <c r="G45" s="53">
        <f t="shared" si="6"/>
        <v>38</v>
      </c>
      <c r="H45" s="53">
        <f t="shared" si="6"/>
        <v>94.1</v>
      </c>
      <c r="I45" s="53">
        <f t="shared" si="6"/>
        <v>134.4</v>
      </c>
      <c r="J45" s="53">
        <f t="shared" si="6"/>
        <v>59.6</v>
      </c>
      <c r="K45" s="53">
        <f t="shared" si="6"/>
        <v>19.600000000000001</v>
      </c>
      <c r="L45" s="53">
        <f t="shared" si="6"/>
        <v>85.9</v>
      </c>
      <c r="M45" s="53">
        <f t="shared" si="6"/>
        <v>136.1</v>
      </c>
      <c r="N45" s="54">
        <f t="shared" si="6"/>
        <v>52.6</v>
      </c>
      <c r="O45" s="55">
        <f t="shared" ref="O45:O53" si="7">ROUND(SUM(C45:N45),1)</f>
        <v>811.2</v>
      </c>
      <c r="P45" s="46">
        <f t="shared" ref="P45:P53" si="8">ROUND(O45/12,1)</f>
        <v>67.599999999999994</v>
      </c>
    </row>
    <row r="46" spans="2:16" ht="21.95" customHeight="1">
      <c r="B46" s="52">
        <f t="shared" si="6"/>
        <v>2016</v>
      </c>
      <c r="C46" s="53">
        <f t="shared" si="6"/>
        <v>11.1</v>
      </c>
      <c r="D46" s="53">
        <f t="shared" si="6"/>
        <v>53</v>
      </c>
      <c r="E46" s="53">
        <f t="shared" si="6"/>
        <v>26.6</v>
      </c>
      <c r="F46" s="53">
        <f t="shared" si="6"/>
        <v>129.30000000000001</v>
      </c>
      <c r="G46" s="53">
        <f t="shared" si="6"/>
        <v>119.9</v>
      </c>
      <c r="H46" s="53">
        <f t="shared" si="6"/>
        <v>46.7</v>
      </c>
      <c r="I46" s="53">
        <f t="shared" si="6"/>
        <v>315.8</v>
      </c>
      <c r="J46" s="53">
        <f t="shared" si="6"/>
        <v>52</v>
      </c>
      <c r="K46" s="53">
        <f t="shared" si="6"/>
        <v>95.2</v>
      </c>
      <c r="L46" s="53">
        <f t="shared" si="6"/>
        <v>111</v>
      </c>
      <c r="M46" s="53">
        <f t="shared" si="6"/>
        <v>21.4</v>
      </c>
      <c r="N46" s="54">
        <f t="shared" si="6"/>
        <v>52.8</v>
      </c>
      <c r="O46" s="55">
        <f t="shared" si="7"/>
        <v>1034.8</v>
      </c>
      <c r="P46" s="46">
        <f t="shared" si="8"/>
        <v>86.2</v>
      </c>
    </row>
    <row r="47" spans="2:16" ht="21.95" customHeight="1">
      <c r="B47" s="52">
        <f t="shared" si="6"/>
        <v>2017</v>
      </c>
      <c r="C47" s="53">
        <f t="shared" si="6"/>
        <v>15.9</v>
      </c>
      <c r="D47" s="53">
        <f t="shared" si="6"/>
        <v>35.4</v>
      </c>
      <c r="E47" s="53">
        <f t="shared" si="6"/>
        <v>12.9</v>
      </c>
      <c r="F47" s="53">
        <f t="shared" si="6"/>
        <v>58.8</v>
      </c>
      <c r="G47" s="53">
        <f t="shared" si="6"/>
        <v>33.700000000000003</v>
      </c>
      <c r="H47" s="53">
        <f t="shared" si="6"/>
        <v>31.9</v>
      </c>
      <c r="I47" s="53">
        <f t="shared" si="6"/>
        <v>405.2</v>
      </c>
      <c r="J47" s="53">
        <f t="shared" si="6"/>
        <v>262.7</v>
      </c>
      <c r="K47" s="53">
        <f t="shared" si="6"/>
        <v>74.7</v>
      </c>
      <c r="L47" s="53">
        <f t="shared" si="6"/>
        <v>30.6</v>
      </c>
      <c r="M47" s="53">
        <f t="shared" si="6"/>
        <v>20.6</v>
      </c>
      <c r="N47" s="54">
        <f t="shared" si="6"/>
        <v>31.7</v>
      </c>
      <c r="O47" s="55">
        <f>ROUND(SUM(C47:N47),1)</f>
        <v>1014.1</v>
      </c>
      <c r="P47" s="46">
        <f t="shared" si="8"/>
        <v>84.5</v>
      </c>
    </row>
    <row r="48" spans="2:16" ht="21.95" customHeight="1">
      <c r="B48" s="52">
        <f t="shared" si="6"/>
        <v>2018</v>
      </c>
      <c r="C48" s="53">
        <f t="shared" si="6"/>
        <v>20.100000000000001</v>
      </c>
      <c r="D48" s="53">
        <f t="shared" si="6"/>
        <v>35.4</v>
      </c>
      <c r="E48" s="53">
        <f t="shared" si="6"/>
        <v>84.3</v>
      </c>
      <c r="F48" s="53">
        <f t="shared" si="6"/>
        <v>135.4</v>
      </c>
      <c r="G48" s="53">
        <f t="shared" si="6"/>
        <v>112.3</v>
      </c>
      <c r="H48" s="53">
        <f t="shared" si="6"/>
        <v>106.7</v>
      </c>
      <c r="I48" s="53">
        <f t="shared" si="6"/>
        <v>208.7</v>
      </c>
      <c r="J48" s="53">
        <f t="shared" si="6"/>
        <v>273.3</v>
      </c>
      <c r="K48" s="53">
        <f t="shared" si="6"/>
        <v>119.8</v>
      </c>
      <c r="L48" s="53">
        <f t="shared" si="6"/>
        <v>135.9</v>
      </c>
      <c r="M48" s="53">
        <f t="shared" si="6"/>
        <v>56.1</v>
      </c>
      <c r="N48" s="54">
        <f t="shared" si="6"/>
        <v>28.6</v>
      </c>
      <c r="O48" s="55">
        <f t="shared" si="7"/>
        <v>1316.6</v>
      </c>
      <c r="P48" s="46">
        <f t="shared" si="8"/>
        <v>109.7</v>
      </c>
    </row>
    <row r="49" spans="2:16" ht="21.95" customHeight="1">
      <c r="B49" s="52">
        <f t="shared" si="6"/>
        <v>2019</v>
      </c>
      <c r="C49" s="53">
        <f t="shared" si="6"/>
        <v>2.1</v>
      </c>
      <c r="D49" s="53">
        <f t="shared" si="6"/>
        <v>30.5</v>
      </c>
      <c r="E49" s="53">
        <f t="shared" si="6"/>
        <v>31.4</v>
      </c>
      <c r="F49" s="53">
        <f t="shared" si="6"/>
        <v>65.3</v>
      </c>
      <c r="G49" s="53">
        <f t="shared" si="6"/>
        <v>31</v>
      </c>
      <c r="H49" s="53">
        <f t="shared" si="6"/>
        <v>71.599999999999994</v>
      </c>
      <c r="I49" s="53">
        <f t="shared" si="6"/>
        <v>183.2</v>
      </c>
      <c r="J49" s="53">
        <f t="shared" si="6"/>
        <v>110.2</v>
      </c>
      <c r="K49" s="53">
        <f t="shared" si="6"/>
        <v>166.2</v>
      </c>
      <c r="L49" s="53">
        <f t="shared" si="6"/>
        <v>86.3</v>
      </c>
      <c r="M49" s="53">
        <f t="shared" si="6"/>
        <v>105.2</v>
      </c>
      <c r="N49" s="54">
        <f t="shared" si="6"/>
        <v>29.7</v>
      </c>
      <c r="O49" s="55">
        <f t="shared" si="7"/>
        <v>912.7</v>
      </c>
      <c r="P49" s="46">
        <f t="shared" si="8"/>
        <v>76.099999999999994</v>
      </c>
    </row>
    <row r="50" spans="2:16" ht="21.95" customHeight="1">
      <c r="B50" s="52">
        <f t="shared" si="6"/>
        <v>2020</v>
      </c>
      <c r="C50" s="53">
        <f t="shared" si="6"/>
        <v>65.7</v>
      </c>
      <c r="D50" s="53">
        <f t="shared" si="6"/>
        <v>79.7</v>
      </c>
      <c r="E50" s="53">
        <f t="shared" si="6"/>
        <v>22</v>
      </c>
      <c r="F50" s="53">
        <f t="shared" si="6"/>
        <v>20.6</v>
      </c>
      <c r="G50" s="53">
        <f t="shared" si="6"/>
        <v>91.6</v>
      </c>
      <c r="H50" s="53">
        <f t="shared" si="6"/>
        <v>170.1</v>
      </c>
      <c r="I50" s="53">
        <f t="shared" si="6"/>
        <v>449.5</v>
      </c>
      <c r="J50" s="53">
        <f t="shared" si="6"/>
        <v>384.3</v>
      </c>
      <c r="K50" s="53">
        <f t="shared" si="6"/>
        <v>192</v>
      </c>
      <c r="L50" s="53">
        <f t="shared" si="6"/>
        <v>9.9</v>
      </c>
      <c r="M50" s="53">
        <f t="shared" si="6"/>
        <v>46.5</v>
      </c>
      <c r="N50" s="54">
        <f t="shared" si="6"/>
        <v>6.8</v>
      </c>
      <c r="O50" s="55">
        <f t="shared" si="7"/>
        <v>1538.7</v>
      </c>
      <c r="P50" s="46">
        <f t="shared" si="8"/>
        <v>128.19999999999999</v>
      </c>
    </row>
    <row r="51" spans="2:16" ht="21.95" customHeight="1">
      <c r="B51" s="52">
        <f t="shared" si="6"/>
        <v>2021</v>
      </c>
      <c r="C51" s="53">
        <f t="shared" si="6"/>
        <v>25.7</v>
      </c>
      <c r="D51" s="53">
        <f t="shared" si="6"/>
        <v>14.8</v>
      </c>
      <c r="E51" s="53">
        <f t="shared" si="6"/>
        <v>90.5</v>
      </c>
      <c r="F51" s="53">
        <f t="shared" si="6"/>
        <v>56.3</v>
      </c>
      <c r="G51" s="53">
        <f t="shared" si="6"/>
        <v>135.30000000000001</v>
      </c>
      <c r="H51" s="53">
        <f t="shared" si="6"/>
        <v>76.5</v>
      </c>
      <c r="I51" s="53">
        <f t="shared" si="6"/>
        <v>168.5</v>
      </c>
      <c r="J51" s="53">
        <f t="shared" si="6"/>
        <v>252.6</v>
      </c>
      <c r="K51" s="53">
        <f t="shared" si="6"/>
        <v>195.5</v>
      </c>
      <c r="L51" s="53">
        <f t="shared" si="6"/>
        <v>44.5</v>
      </c>
      <c r="M51" s="53">
        <f t="shared" si="6"/>
        <v>79.599999999999994</v>
      </c>
      <c r="N51" s="54">
        <f t="shared" si="6"/>
        <v>9.6999999999999993</v>
      </c>
      <c r="O51" s="55">
        <f t="shared" si="7"/>
        <v>1149.5</v>
      </c>
      <c r="P51" s="46">
        <f t="shared" si="8"/>
        <v>95.8</v>
      </c>
    </row>
    <row r="52" spans="2:16" ht="21.95" customHeight="1">
      <c r="B52" s="52">
        <f t="shared" si="6"/>
        <v>2022</v>
      </c>
      <c r="C52" s="53">
        <f t="shared" si="6"/>
        <v>4.4000000000000004</v>
      </c>
      <c r="D52" s="53">
        <f t="shared" si="6"/>
        <v>3.6</v>
      </c>
      <c r="E52" s="53">
        <f t="shared" si="6"/>
        <v>70.2</v>
      </c>
      <c r="F52" s="53">
        <f t="shared" si="6"/>
        <v>55.7</v>
      </c>
      <c r="G52" s="53">
        <f t="shared" si="6"/>
        <v>5.9</v>
      </c>
      <c r="H52" s="53">
        <f t="shared" si="6"/>
        <v>188.6</v>
      </c>
      <c r="I52" s="53">
        <f t="shared" si="6"/>
        <v>160.4</v>
      </c>
      <c r="J52" s="53">
        <f t="shared" si="6"/>
        <v>475</v>
      </c>
      <c r="K52" s="53">
        <f t="shared" si="6"/>
        <v>107.8</v>
      </c>
      <c r="L52" s="53">
        <f t="shared" si="6"/>
        <v>103.8</v>
      </c>
      <c r="M52" s="53">
        <f t="shared" si="6"/>
        <v>46</v>
      </c>
      <c r="N52" s="54">
        <f t="shared" si="6"/>
        <v>20.9</v>
      </c>
      <c r="O52" s="55">
        <f t="shared" si="7"/>
        <v>1242.3</v>
      </c>
      <c r="P52" s="46">
        <f t="shared" si="8"/>
        <v>103.5</v>
      </c>
    </row>
    <row r="53" spans="2:16" ht="21.95" customHeight="1" thickBot="1">
      <c r="B53" s="56">
        <f t="shared" si="6"/>
        <v>2023</v>
      </c>
      <c r="C53" s="57">
        <f t="shared" si="6"/>
        <v>28.9</v>
      </c>
      <c r="D53" s="57">
        <f t="shared" si="6"/>
        <v>3.7</v>
      </c>
      <c r="E53" s="57">
        <f t="shared" si="6"/>
        <v>14.8</v>
      </c>
      <c r="F53" s="57">
        <f t="shared" si="6"/>
        <v>48</v>
      </c>
      <c r="G53" s="57">
        <f t="shared" si="6"/>
        <v>182.2</v>
      </c>
      <c r="H53" s="57">
        <f t="shared" si="6"/>
        <v>146.5</v>
      </c>
      <c r="I53" s="57">
        <f t="shared" si="6"/>
        <v>689.2</v>
      </c>
      <c r="J53" s="57">
        <f t="shared" si="6"/>
        <v>234.3</v>
      </c>
      <c r="K53" s="57">
        <f t="shared" si="6"/>
        <v>244.4</v>
      </c>
      <c r="L53" s="57">
        <f t="shared" si="6"/>
        <v>21.7</v>
      </c>
      <c r="M53" s="57">
        <f t="shared" si="6"/>
        <v>67.2</v>
      </c>
      <c r="N53" s="58">
        <f t="shared" si="6"/>
        <v>113.8</v>
      </c>
      <c r="O53" s="59">
        <f t="shared" si="7"/>
        <v>1794.7</v>
      </c>
      <c r="P53" s="51">
        <f t="shared" si="8"/>
        <v>149.6</v>
      </c>
    </row>
    <row r="54" spans="2:16" ht="21.95" customHeight="1">
      <c r="B54" s="60" t="s">
        <v>19</v>
      </c>
      <c r="C54" s="61">
        <f>MAX(C44:C53)</f>
        <v>65.7</v>
      </c>
      <c r="D54" s="61">
        <f t="shared" ref="D54:P54" si="9">MAX(D44:D53)</f>
        <v>79.7</v>
      </c>
      <c r="E54" s="61">
        <f t="shared" si="9"/>
        <v>90.5</v>
      </c>
      <c r="F54" s="61">
        <f t="shared" si="9"/>
        <v>135.4</v>
      </c>
      <c r="G54" s="61">
        <f t="shared" si="9"/>
        <v>182.2</v>
      </c>
      <c r="H54" s="61">
        <f t="shared" si="9"/>
        <v>188.6</v>
      </c>
      <c r="I54" s="61">
        <f t="shared" si="9"/>
        <v>689.2</v>
      </c>
      <c r="J54" s="61">
        <f t="shared" si="9"/>
        <v>475</v>
      </c>
      <c r="K54" s="61">
        <f t="shared" si="9"/>
        <v>244.4</v>
      </c>
      <c r="L54" s="61">
        <f t="shared" si="9"/>
        <v>140.9</v>
      </c>
      <c r="M54" s="61">
        <f t="shared" si="9"/>
        <v>136.1</v>
      </c>
      <c r="N54" s="62">
        <f t="shared" si="9"/>
        <v>113.8</v>
      </c>
      <c r="O54" s="63">
        <f t="shared" si="9"/>
        <v>1794.7</v>
      </c>
      <c r="P54" s="62">
        <f t="shared" si="9"/>
        <v>149.6</v>
      </c>
    </row>
    <row r="55" spans="2:16" ht="21.95" customHeight="1">
      <c r="B55" s="64" t="s">
        <v>20</v>
      </c>
      <c r="C55" s="65">
        <f>MIN(C44:C53)</f>
        <v>2.1</v>
      </c>
      <c r="D55" s="65">
        <f t="shared" ref="D55:P55" si="10">MIN(D44:D53)</f>
        <v>3.6</v>
      </c>
      <c r="E55" s="65">
        <f t="shared" si="10"/>
        <v>12.9</v>
      </c>
      <c r="F55" s="65">
        <f t="shared" si="10"/>
        <v>20.6</v>
      </c>
      <c r="G55" s="65">
        <f t="shared" si="10"/>
        <v>5.9</v>
      </c>
      <c r="H55" s="65">
        <f t="shared" si="10"/>
        <v>31.9</v>
      </c>
      <c r="I55" s="65">
        <f t="shared" si="10"/>
        <v>134.4</v>
      </c>
      <c r="J55" s="65">
        <f t="shared" si="10"/>
        <v>52</v>
      </c>
      <c r="K55" s="65">
        <f t="shared" si="10"/>
        <v>19.600000000000001</v>
      </c>
      <c r="L55" s="65">
        <f t="shared" si="10"/>
        <v>9.9</v>
      </c>
      <c r="M55" s="65">
        <f t="shared" si="10"/>
        <v>20.6</v>
      </c>
      <c r="N55" s="46">
        <f t="shared" si="10"/>
        <v>6.8</v>
      </c>
      <c r="O55" s="55">
        <f>MIN(O44:O53)</f>
        <v>811.2</v>
      </c>
      <c r="P55" s="46">
        <f t="shared" si="10"/>
        <v>67.599999999999994</v>
      </c>
    </row>
    <row r="56" spans="2:16" ht="21.95" customHeight="1" thickBot="1">
      <c r="B56" s="66" t="s">
        <v>7</v>
      </c>
      <c r="C56" s="67">
        <f>ROUND(AVERAGE(C44:C53),1)</f>
        <v>20.6</v>
      </c>
      <c r="D56" s="67">
        <f t="shared" ref="D56:N56" si="11">ROUND(AVERAGE(D44:D53),1)</f>
        <v>29.6</v>
      </c>
      <c r="E56" s="67">
        <f t="shared" si="11"/>
        <v>44.5</v>
      </c>
      <c r="F56" s="67">
        <f t="shared" si="11"/>
        <v>75.5</v>
      </c>
      <c r="G56" s="67">
        <f t="shared" si="11"/>
        <v>79.400000000000006</v>
      </c>
      <c r="H56" s="67">
        <f t="shared" si="11"/>
        <v>101.1</v>
      </c>
      <c r="I56" s="67">
        <f t="shared" si="11"/>
        <v>287</v>
      </c>
      <c r="J56" s="67">
        <f t="shared" si="11"/>
        <v>236</v>
      </c>
      <c r="K56" s="67">
        <f t="shared" si="11"/>
        <v>134.6</v>
      </c>
      <c r="L56" s="67">
        <f t="shared" si="11"/>
        <v>77.099999999999994</v>
      </c>
      <c r="M56" s="67">
        <f t="shared" si="11"/>
        <v>62.3</v>
      </c>
      <c r="N56" s="51">
        <f t="shared" si="11"/>
        <v>40.1</v>
      </c>
      <c r="O56" s="59">
        <f>ROUND(AVERAGE(O44:O53),1)</f>
        <v>1187.5</v>
      </c>
      <c r="P56" s="51">
        <f>ROUND(AVERAGE(P44:P53),1)</f>
        <v>99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AD4" sqref="AD4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9.33203125" style="3" customWidth="1"/>
    <col min="20" max="16384" width="8.88671875" style="3"/>
  </cols>
  <sheetData>
    <row r="2" spans="2:21" ht="20.25">
      <c r="B2" s="2" t="s">
        <v>283</v>
      </c>
    </row>
    <row r="3" spans="2:21" ht="24.75" customHeight="1">
      <c r="R3" s="5"/>
    </row>
    <row r="4" spans="2:21" ht="21.75" customHeight="1" thickBot="1"/>
    <row r="5" spans="2:21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  <c r="S5" s="81" t="s">
        <v>279</v>
      </c>
      <c r="T5" s="82" t="s">
        <v>280</v>
      </c>
      <c r="U5" s="7"/>
    </row>
    <row r="6" spans="2:21" ht="21.95" customHeight="1" thickBot="1">
      <c r="B6" s="8">
        <v>1994</v>
      </c>
      <c r="C6" s="9">
        <v>14.8</v>
      </c>
      <c r="D6" s="9">
        <v>12.7</v>
      </c>
      <c r="E6" s="9">
        <v>46.6</v>
      </c>
      <c r="F6" s="9">
        <v>29</v>
      </c>
      <c r="G6" s="9">
        <v>109.7</v>
      </c>
      <c r="H6" s="9">
        <v>148.9</v>
      </c>
      <c r="I6" s="9">
        <v>138.19999999999999</v>
      </c>
      <c r="J6" s="10">
        <v>219.1</v>
      </c>
      <c r="K6" s="9">
        <v>34.4</v>
      </c>
      <c r="L6" s="9">
        <v>148.19999999999999</v>
      </c>
      <c r="M6" s="9">
        <v>24.6</v>
      </c>
      <c r="N6" s="11">
        <v>14.1</v>
      </c>
      <c r="O6" s="12">
        <f t="shared" ref="O6:O35" si="0">ROUND(SUM(C6:N6),1)</f>
        <v>940.3</v>
      </c>
      <c r="P6" s="13">
        <f>ROUND(O6/12,1)</f>
        <v>78.400000000000006</v>
      </c>
      <c r="Q6" s="14"/>
    </row>
    <row r="7" spans="2:21" ht="21.95" customHeight="1">
      <c r="B7" s="15">
        <v>1995</v>
      </c>
      <c r="C7" s="16">
        <v>17.3</v>
      </c>
      <c r="D7" s="16">
        <v>12.3</v>
      </c>
      <c r="E7" s="16">
        <v>44.9</v>
      </c>
      <c r="F7" s="16">
        <v>63</v>
      </c>
      <c r="G7" s="16">
        <v>57.1</v>
      </c>
      <c r="H7" s="16">
        <v>48.2</v>
      </c>
      <c r="I7" s="16">
        <v>189</v>
      </c>
      <c r="J7" s="17">
        <v>639.6</v>
      </c>
      <c r="K7" s="16">
        <v>42.9</v>
      </c>
      <c r="L7" s="16">
        <v>31.3</v>
      </c>
      <c r="M7" s="16">
        <v>30.9</v>
      </c>
      <c r="N7" s="18">
        <v>5</v>
      </c>
      <c r="O7" s="12">
        <f t="shared" si="0"/>
        <v>1181.5</v>
      </c>
      <c r="P7" s="19">
        <f t="shared" ref="P7:P35" si="1">ROUND(O7/12,1)</f>
        <v>98.5</v>
      </c>
      <c r="Q7" s="14"/>
      <c r="R7" s="79" t="s">
        <v>41</v>
      </c>
      <c r="S7" s="80" t="s">
        <v>40</v>
      </c>
      <c r="T7" s="6"/>
    </row>
    <row r="8" spans="2:21" ht="21.95" customHeight="1">
      <c r="B8" s="15">
        <v>1996</v>
      </c>
      <c r="C8" s="16">
        <v>24.7</v>
      </c>
      <c r="D8" s="16">
        <v>5.0999999999999996</v>
      </c>
      <c r="E8" s="16">
        <v>107</v>
      </c>
      <c r="F8" s="16">
        <v>32.9</v>
      </c>
      <c r="G8" s="16">
        <v>47.9</v>
      </c>
      <c r="H8" s="16">
        <v>319.8</v>
      </c>
      <c r="I8" s="16">
        <v>204.2</v>
      </c>
      <c r="J8" s="16">
        <v>109.3</v>
      </c>
      <c r="K8" s="16">
        <v>20.3</v>
      </c>
      <c r="L8" s="16">
        <v>77.7</v>
      </c>
      <c r="M8" s="16">
        <v>66.3</v>
      </c>
      <c r="N8" s="18">
        <v>22.9</v>
      </c>
      <c r="O8" s="12">
        <f t="shared" si="0"/>
        <v>1038.0999999999999</v>
      </c>
      <c r="P8" s="19">
        <f t="shared" si="1"/>
        <v>86.5</v>
      </c>
      <c r="Q8" s="14"/>
      <c r="R8" s="20" t="s">
        <v>281</v>
      </c>
      <c r="S8" s="21" t="s">
        <v>284</v>
      </c>
    </row>
    <row r="9" spans="2:21" ht="21.95" customHeight="1" thickBot="1">
      <c r="B9" s="15">
        <v>1997</v>
      </c>
      <c r="C9" s="16">
        <v>12.9</v>
      </c>
      <c r="D9" s="16">
        <v>43.8</v>
      </c>
      <c r="E9" s="16">
        <v>30.3</v>
      </c>
      <c r="F9" s="16">
        <v>55.6</v>
      </c>
      <c r="G9" s="16">
        <v>192.2</v>
      </c>
      <c r="H9" s="16">
        <v>198.1</v>
      </c>
      <c r="I9" s="16">
        <v>369.3</v>
      </c>
      <c r="J9" s="16">
        <v>241.3</v>
      </c>
      <c r="K9" s="16">
        <v>54.3</v>
      </c>
      <c r="L9" s="16">
        <v>9.6</v>
      </c>
      <c r="M9" s="16">
        <v>151.69999999999999</v>
      </c>
      <c r="N9" s="18">
        <v>43</v>
      </c>
      <c r="O9" s="12">
        <f t="shared" si="0"/>
        <v>1402.1</v>
      </c>
      <c r="P9" s="19">
        <f t="shared" si="1"/>
        <v>116.8</v>
      </c>
      <c r="Q9" s="14"/>
      <c r="R9" s="70" t="str">
        <f>VLOOKUP(R8, tblLocation[], 2, FALSE)</f>
        <v>Table7</v>
      </c>
      <c r="S9" s="22">
        <f ca="1">IFERROR(VLOOKUP(S8, INDIRECT($R$9), 3,0), "지역설정")</f>
        <v>0</v>
      </c>
    </row>
    <row r="10" spans="2:21" ht="21.95" customHeight="1" thickBot="1">
      <c r="B10" s="15">
        <v>1998</v>
      </c>
      <c r="C10" s="16">
        <v>22</v>
      </c>
      <c r="D10" s="16">
        <v>33.4</v>
      </c>
      <c r="E10" s="16">
        <v>28.1</v>
      </c>
      <c r="F10" s="16">
        <v>166.2</v>
      </c>
      <c r="G10" s="16">
        <v>96.3</v>
      </c>
      <c r="H10" s="16">
        <v>231.5</v>
      </c>
      <c r="I10" s="16">
        <v>274.7</v>
      </c>
      <c r="J10" s="16">
        <v>567.4</v>
      </c>
      <c r="K10" s="16">
        <v>205.3</v>
      </c>
      <c r="L10" s="16">
        <v>62.8</v>
      </c>
      <c r="M10" s="16">
        <v>31.9</v>
      </c>
      <c r="N10" s="18">
        <v>4.9000000000000004</v>
      </c>
      <c r="O10" s="12">
        <f t="shared" si="0"/>
        <v>1724.5</v>
      </c>
      <c r="P10" s="19">
        <f t="shared" si="1"/>
        <v>143.69999999999999</v>
      </c>
      <c r="Q10" s="14"/>
      <c r="S10" s="23">
        <f ca="1">IFERROR(VLOOKUP(S8, INDIRECT($R$9), 5,0),"지역설정")</f>
        <v>2</v>
      </c>
    </row>
    <row r="11" spans="2:21" ht="21.95" customHeight="1" thickBot="1">
      <c r="B11" s="15">
        <v>1999</v>
      </c>
      <c r="C11" s="16">
        <v>2.7</v>
      </c>
      <c r="D11" s="16">
        <v>8.6999999999999993</v>
      </c>
      <c r="E11" s="16">
        <v>69.900000000000006</v>
      </c>
      <c r="F11" s="16">
        <v>103.8</v>
      </c>
      <c r="G11" s="16">
        <v>106.9</v>
      </c>
      <c r="H11" s="16">
        <v>175.2</v>
      </c>
      <c r="I11" s="16">
        <v>154.1</v>
      </c>
      <c r="J11" s="16">
        <v>252.4</v>
      </c>
      <c r="K11" s="16">
        <v>291</v>
      </c>
      <c r="L11" s="16">
        <v>162.19999999999999</v>
      </c>
      <c r="M11" s="16">
        <v>17.7</v>
      </c>
      <c r="N11" s="18">
        <v>12.6</v>
      </c>
      <c r="O11" s="12">
        <f t="shared" si="0"/>
        <v>1357.2</v>
      </c>
      <c r="P11" s="19">
        <f t="shared" si="1"/>
        <v>113.1</v>
      </c>
      <c r="Q11" s="14"/>
      <c r="S11" s="69" t="str">
        <f ca="1">IFERROR(UPPER(VLOOKUP(S8, INDIRECT($R$9), 2,0)), "지역설정")</f>
        <v>GYUNGBOOK</v>
      </c>
    </row>
    <row r="12" spans="2:21" ht="21.95" customHeight="1">
      <c r="B12" s="15">
        <v>2000</v>
      </c>
      <c r="C12" s="16">
        <v>35.6</v>
      </c>
      <c r="D12" s="16">
        <v>3.5</v>
      </c>
      <c r="E12" s="16">
        <v>18.2</v>
      </c>
      <c r="F12" s="16">
        <v>50.3</v>
      </c>
      <c r="G12" s="16">
        <v>52.2</v>
      </c>
      <c r="H12" s="16">
        <v>195.6</v>
      </c>
      <c r="I12" s="16">
        <v>293.7</v>
      </c>
      <c r="J12" s="16">
        <v>329.1</v>
      </c>
      <c r="K12" s="16">
        <v>250.1</v>
      </c>
      <c r="L12" s="16">
        <v>27.9</v>
      </c>
      <c r="M12" s="16">
        <v>40.1</v>
      </c>
      <c r="N12" s="18">
        <v>16.5</v>
      </c>
      <c r="O12" s="12">
        <f t="shared" si="0"/>
        <v>1312.8</v>
      </c>
      <c r="P12" s="19">
        <f t="shared" si="1"/>
        <v>109.4</v>
      </c>
    </row>
    <row r="13" spans="2:21" ht="21.95" customHeight="1" thickBot="1">
      <c r="B13" s="15">
        <v>2001</v>
      </c>
      <c r="C13" s="16">
        <v>50.1</v>
      </c>
      <c r="D13" s="16">
        <v>56.1</v>
      </c>
      <c r="E13" s="16">
        <v>13.1</v>
      </c>
      <c r="F13" s="16">
        <v>14.8</v>
      </c>
      <c r="G13" s="16">
        <v>20.2</v>
      </c>
      <c r="H13" s="16">
        <v>237.3</v>
      </c>
      <c r="I13" s="16">
        <v>173.2</v>
      </c>
      <c r="J13" s="16">
        <v>94.9</v>
      </c>
      <c r="K13" s="16">
        <v>46.7</v>
      </c>
      <c r="L13" s="16">
        <v>89.4</v>
      </c>
      <c r="M13" s="16">
        <v>7.4</v>
      </c>
      <c r="N13" s="18">
        <v>19.5</v>
      </c>
      <c r="O13" s="12">
        <f t="shared" si="0"/>
        <v>822.7</v>
      </c>
      <c r="P13" s="19">
        <f t="shared" si="1"/>
        <v>68.599999999999994</v>
      </c>
    </row>
    <row r="14" spans="2:21" ht="21.95" customHeight="1">
      <c r="B14" s="15">
        <v>2002</v>
      </c>
      <c r="C14" s="16">
        <v>65.5</v>
      </c>
      <c r="D14" s="16">
        <v>8</v>
      </c>
      <c r="E14" s="16">
        <v>34.799999999999997</v>
      </c>
      <c r="F14" s="16">
        <v>174.3</v>
      </c>
      <c r="G14" s="16">
        <v>112.6</v>
      </c>
      <c r="H14" s="16">
        <v>61.3</v>
      </c>
      <c r="I14" s="16">
        <v>190.4</v>
      </c>
      <c r="J14" s="16">
        <v>537.4</v>
      </c>
      <c r="K14" s="16">
        <v>82.5</v>
      </c>
      <c r="L14" s="16">
        <v>46</v>
      </c>
      <c r="M14" s="16">
        <v>19.600000000000001</v>
      </c>
      <c r="N14" s="18">
        <v>49.3</v>
      </c>
      <c r="O14" s="12">
        <f t="shared" si="0"/>
        <v>1381.7</v>
      </c>
      <c r="P14" s="19">
        <f t="shared" si="1"/>
        <v>115.1</v>
      </c>
      <c r="R14" s="24" t="s">
        <v>21</v>
      </c>
      <c r="S14" s="25" t="s">
        <v>22</v>
      </c>
      <c r="T14" s="26"/>
    </row>
    <row r="15" spans="2:21" ht="21.95" customHeight="1">
      <c r="B15" s="15">
        <v>2003</v>
      </c>
      <c r="C15" s="16">
        <v>17.8</v>
      </c>
      <c r="D15" s="16">
        <v>53.9</v>
      </c>
      <c r="E15" s="16">
        <v>44</v>
      </c>
      <c r="F15" s="16">
        <v>193.5</v>
      </c>
      <c r="G15" s="16">
        <v>150.19999999999999</v>
      </c>
      <c r="H15" s="16">
        <v>183</v>
      </c>
      <c r="I15" s="16">
        <v>549.9</v>
      </c>
      <c r="J15" s="16">
        <v>320.10000000000002</v>
      </c>
      <c r="K15" s="16">
        <v>241.9</v>
      </c>
      <c r="L15" s="16">
        <v>28.3</v>
      </c>
      <c r="M15" s="16">
        <v>44.3</v>
      </c>
      <c r="N15" s="18">
        <v>16.5</v>
      </c>
      <c r="O15" s="12">
        <f t="shared" si="0"/>
        <v>1843.4</v>
      </c>
      <c r="P15" s="19">
        <f t="shared" si="1"/>
        <v>153.6</v>
      </c>
      <c r="R15" s="27" t="s">
        <v>23</v>
      </c>
      <c r="S15" s="28" t="s">
        <v>24</v>
      </c>
      <c r="T15" s="29"/>
    </row>
    <row r="16" spans="2:21" ht="21.95" customHeight="1" thickBot="1">
      <c r="B16" s="15">
        <v>2004</v>
      </c>
      <c r="C16" s="16">
        <v>14.8</v>
      </c>
      <c r="D16" s="16">
        <v>33.1</v>
      </c>
      <c r="E16" s="16">
        <v>45.6</v>
      </c>
      <c r="F16" s="16">
        <v>72.5</v>
      </c>
      <c r="G16" s="16">
        <v>123.3</v>
      </c>
      <c r="H16" s="16">
        <v>348.3</v>
      </c>
      <c r="I16" s="16">
        <v>365.4</v>
      </c>
      <c r="J16" s="16">
        <v>256.89999999999998</v>
      </c>
      <c r="K16" s="16">
        <v>153.4</v>
      </c>
      <c r="L16" s="16">
        <v>3</v>
      </c>
      <c r="M16" s="16">
        <v>37.4</v>
      </c>
      <c r="N16" s="18">
        <v>32.9</v>
      </c>
      <c r="O16" s="12">
        <f t="shared" si="0"/>
        <v>1486.6</v>
      </c>
      <c r="P16" s="19">
        <f t="shared" si="1"/>
        <v>123.9</v>
      </c>
      <c r="R16" s="30" t="s">
        <v>25</v>
      </c>
      <c r="S16" s="31" t="s">
        <v>26</v>
      </c>
      <c r="T16" s="32"/>
    </row>
    <row r="17" spans="2:18" ht="21.95" customHeight="1">
      <c r="B17" s="15">
        <v>2005</v>
      </c>
      <c r="C17" s="16">
        <v>7.6</v>
      </c>
      <c r="D17" s="16">
        <v>21.9</v>
      </c>
      <c r="E17" s="16">
        <v>42.3</v>
      </c>
      <c r="F17" s="16">
        <v>59.4</v>
      </c>
      <c r="G17" s="16">
        <v>59.6</v>
      </c>
      <c r="H17" s="16">
        <v>171.9</v>
      </c>
      <c r="I17" s="16">
        <v>362.5</v>
      </c>
      <c r="J17" s="16">
        <v>344.8</v>
      </c>
      <c r="K17" s="16">
        <v>235.9</v>
      </c>
      <c r="L17" s="16">
        <v>39</v>
      </c>
      <c r="M17" s="16">
        <v>17.8</v>
      </c>
      <c r="N17" s="18">
        <v>11.8</v>
      </c>
      <c r="O17" s="12">
        <f t="shared" si="0"/>
        <v>1374.5</v>
      </c>
      <c r="P17" s="19">
        <f t="shared" si="1"/>
        <v>114.5</v>
      </c>
    </row>
    <row r="18" spans="2:18" ht="21.95" customHeight="1">
      <c r="B18" s="15">
        <v>2006</v>
      </c>
      <c r="C18" s="16">
        <v>23.2</v>
      </c>
      <c r="D18" s="16">
        <v>32.6</v>
      </c>
      <c r="E18" s="16">
        <v>10.199999999999999</v>
      </c>
      <c r="F18" s="16">
        <v>94.3</v>
      </c>
      <c r="G18" s="16">
        <v>108.6</v>
      </c>
      <c r="H18" s="16">
        <v>125.4</v>
      </c>
      <c r="I18" s="16">
        <v>707</v>
      </c>
      <c r="J18" s="16">
        <v>73.599999999999994</v>
      </c>
      <c r="K18" s="16">
        <v>27</v>
      </c>
      <c r="L18" s="16">
        <v>30.5</v>
      </c>
      <c r="M18" s="16">
        <v>66.900000000000006</v>
      </c>
      <c r="N18" s="18">
        <v>18.3</v>
      </c>
      <c r="O18" s="12">
        <f t="shared" si="0"/>
        <v>1317.6</v>
      </c>
      <c r="P18" s="19">
        <f t="shared" si="1"/>
        <v>109.8</v>
      </c>
    </row>
    <row r="19" spans="2:18" ht="21.95" customHeight="1">
      <c r="B19" s="15">
        <v>2007</v>
      </c>
      <c r="C19" s="16">
        <v>10.9</v>
      </c>
      <c r="D19" s="16">
        <v>38.9</v>
      </c>
      <c r="E19" s="16">
        <v>121.3</v>
      </c>
      <c r="F19" s="16">
        <v>29.9</v>
      </c>
      <c r="G19" s="16">
        <v>118.8</v>
      </c>
      <c r="H19" s="16">
        <v>124.8</v>
      </c>
      <c r="I19" s="16">
        <v>301.89999999999998</v>
      </c>
      <c r="J19" s="16">
        <v>429</v>
      </c>
      <c r="K19" s="16">
        <v>365.5</v>
      </c>
      <c r="L19" s="16">
        <v>33.6</v>
      </c>
      <c r="M19" s="16">
        <v>12.7</v>
      </c>
      <c r="N19" s="18">
        <v>23.9</v>
      </c>
      <c r="O19" s="12">
        <f t="shared" si="0"/>
        <v>1611.2</v>
      </c>
      <c r="P19" s="19">
        <f t="shared" si="1"/>
        <v>134.30000000000001</v>
      </c>
    </row>
    <row r="20" spans="2:18" ht="21.95" customHeight="1">
      <c r="B20" s="15">
        <v>2008</v>
      </c>
      <c r="C20" s="16">
        <v>34.1</v>
      </c>
      <c r="D20" s="16">
        <v>6.8</v>
      </c>
      <c r="E20" s="16">
        <v>37.4</v>
      </c>
      <c r="F20" s="16">
        <v>34.799999999999997</v>
      </c>
      <c r="G20" s="16">
        <v>64.900000000000006</v>
      </c>
      <c r="H20" s="16">
        <v>130.80000000000001</v>
      </c>
      <c r="I20" s="16">
        <v>234</v>
      </c>
      <c r="J20" s="16">
        <v>225.4</v>
      </c>
      <c r="K20" s="16">
        <v>66.8</v>
      </c>
      <c r="L20" s="16">
        <v>28.3</v>
      </c>
      <c r="M20" s="16">
        <v>11.8</v>
      </c>
      <c r="N20" s="18">
        <v>14.8</v>
      </c>
      <c r="O20" s="12">
        <f t="shared" si="0"/>
        <v>889.9</v>
      </c>
      <c r="P20" s="19">
        <f t="shared" si="1"/>
        <v>74.2</v>
      </c>
      <c r="R20" s="4"/>
    </row>
    <row r="21" spans="2:18" ht="21.95" customHeight="1">
      <c r="B21" s="15">
        <v>2009</v>
      </c>
      <c r="C21" s="16">
        <v>13.8</v>
      </c>
      <c r="D21" s="16">
        <v>24.8</v>
      </c>
      <c r="E21" s="16">
        <v>50.6</v>
      </c>
      <c r="F21" s="16">
        <v>35.5</v>
      </c>
      <c r="G21" s="16">
        <v>122.7</v>
      </c>
      <c r="H21" s="16">
        <v>115.9</v>
      </c>
      <c r="I21" s="16">
        <v>415.3</v>
      </c>
      <c r="J21" s="16">
        <v>155.6</v>
      </c>
      <c r="K21" s="16">
        <v>56.3</v>
      </c>
      <c r="L21" s="16">
        <v>31.2</v>
      </c>
      <c r="M21" s="16">
        <v>47.2</v>
      </c>
      <c r="N21" s="18">
        <v>36.299999999999997</v>
      </c>
      <c r="O21" s="12">
        <f t="shared" si="0"/>
        <v>1105.2</v>
      </c>
      <c r="P21" s="19">
        <f t="shared" si="1"/>
        <v>92.1</v>
      </c>
    </row>
    <row r="22" spans="2:18" ht="21.95" customHeight="1">
      <c r="B22" s="15">
        <v>2010</v>
      </c>
      <c r="C22" s="16">
        <v>38.4</v>
      </c>
      <c r="D22" s="16">
        <v>71.099999999999994</v>
      </c>
      <c r="E22" s="16">
        <v>97.2</v>
      </c>
      <c r="F22" s="16">
        <v>67.7</v>
      </c>
      <c r="G22" s="16">
        <v>112.9</v>
      </c>
      <c r="H22" s="16">
        <v>47.3</v>
      </c>
      <c r="I22" s="16">
        <v>201.4</v>
      </c>
      <c r="J22" s="16">
        <v>395</v>
      </c>
      <c r="K22" s="16">
        <v>277.8</v>
      </c>
      <c r="L22" s="16">
        <v>22.3</v>
      </c>
      <c r="M22" s="16">
        <v>15.6</v>
      </c>
      <c r="N22" s="18">
        <v>26.5</v>
      </c>
      <c r="O22" s="12">
        <f t="shared" si="0"/>
        <v>1373.2</v>
      </c>
      <c r="P22" s="19">
        <f t="shared" si="1"/>
        <v>114.4</v>
      </c>
    </row>
    <row r="23" spans="2:18" ht="21.95" customHeight="1">
      <c r="B23" s="15">
        <v>2011</v>
      </c>
      <c r="C23" s="16">
        <v>3.4</v>
      </c>
      <c r="D23" s="16">
        <v>45.7</v>
      </c>
      <c r="E23" s="16">
        <v>25.1</v>
      </c>
      <c r="F23" s="16">
        <v>122.8</v>
      </c>
      <c r="G23" s="16">
        <v>138.9</v>
      </c>
      <c r="H23" s="16">
        <v>354.8</v>
      </c>
      <c r="I23" s="16">
        <v>504.2</v>
      </c>
      <c r="J23" s="16">
        <v>338.8</v>
      </c>
      <c r="K23" s="16">
        <v>126.4</v>
      </c>
      <c r="L23" s="16">
        <v>51</v>
      </c>
      <c r="M23" s="16">
        <v>88.5</v>
      </c>
      <c r="N23" s="18">
        <v>12.8</v>
      </c>
      <c r="O23" s="12">
        <f t="shared" si="0"/>
        <v>1812.4</v>
      </c>
      <c r="P23" s="19">
        <f t="shared" si="1"/>
        <v>151</v>
      </c>
    </row>
    <row r="24" spans="2:18" ht="21.95" customHeight="1">
      <c r="B24" s="15">
        <v>2012</v>
      </c>
      <c r="C24" s="16">
        <v>17.399999999999999</v>
      </c>
      <c r="D24" s="16">
        <v>2.8</v>
      </c>
      <c r="E24" s="16">
        <v>80.3</v>
      </c>
      <c r="F24" s="16">
        <v>106.3</v>
      </c>
      <c r="G24" s="16">
        <v>37</v>
      </c>
      <c r="H24" s="16">
        <v>88.8</v>
      </c>
      <c r="I24" s="16">
        <v>281.39999999999998</v>
      </c>
      <c r="J24" s="16">
        <v>444.6</v>
      </c>
      <c r="K24" s="16">
        <v>202</v>
      </c>
      <c r="L24" s="16">
        <v>64.7</v>
      </c>
      <c r="M24" s="16">
        <v>60</v>
      </c>
      <c r="N24" s="18">
        <v>54</v>
      </c>
      <c r="O24" s="12">
        <f t="shared" si="0"/>
        <v>1439.3</v>
      </c>
      <c r="P24" s="19">
        <f t="shared" si="1"/>
        <v>119.9</v>
      </c>
    </row>
    <row r="25" spans="2:18" ht="21.95" customHeight="1">
      <c r="B25" s="15">
        <v>2013</v>
      </c>
      <c r="C25" s="16">
        <v>39.700000000000003</v>
      </c>
      <c r="D25" s="16">
        <v>41</v>
      </c>
      <c r="E25" s="16">
        <v>48.6</v>
      </c>
      <c r="F25" s="16">
        <v>81.7</v>
      </c>
      <c r="G25" s="16">
        <v>101.3</v>
      </c>
      <c r="H25" s="16">
        <v>163.80000000000001</v>
      </c>
      <c r="I25" s="16">
        <v>282</v>
      </c>
      <c r="J25" s="16">
        <v>169.6</v>
      </c>
      <c r="K25" s="16">
        <v>129</v>
      </c>
      <c r="L25" s="16">
        <v>28.5</v>
      </c>
      <c r="M25" s="16">
        <v>63.4</v>
      </c>
      <c r="N25" s="18">
        <v>32.700000000000003</v>
      </c>
      <c r="O25" s="12">
        <f t="shared" si="0"/>
        <v>1181.3</v>
      </c>
      <c r="P25" s="19">
        <f t="shared" si="1"/>
        <v>98.4</v>
      </c>
    </row>
    <row r="26" spans="2:18" ht="21.95" customHeight="1">
      <c r="B26" s="15">
        <v>2014</v>
      </c>
      <c r="C26" s="16">
        <v>7.8</v>
      </c>
      <c r="D26" s="16">
        <v>12.4</v>
      </c>
      <c r="E26" s="16">
        <v>65.400000000000006</v>
      </c>
      <c r="F26" s="16">
        <v>60.1</v>
      </c>
      <c r="G26" s="16">
        <v>37.6</v>
      </c>
      <c r="H26" s="16">
        <v>90.3</v>
      </c>
      <c r="I26" s="16">
        <v>119</v>
      </c>
      <c r="J26" s="16">
        <v>283.7</v>
      </c>
      <c r="K26" s="16">
        <v>118.5</v>
      </c>
      <c r="L26" s="16">
        <v>148.5</v>
      </c>
      <c r="M26" s="16">
        <v>42.7</v>
      </c>
      <c r="N26" s="18">
        <v>27.3</v>
      </c>
      <c r="O26" s="12">
        <f t="shared" si="0"/>
        <v>1013.3</v>
      </c>
      <c r="P26" s="19">
        <f t="shared" si="1"/>
        <v>84.4</v>
      </c>
    </row>
    <row r="27" spans="2:18" ht="21.95" customHeight="1">
      <c r="B27" s="15">
        <v>2015</v>
      </c>
      <c r="C27" s="16">
        <v>23.2</v>
      </c>
      <c r="D27" s="16">
        <v>30.2</v>
      </c>
      <c r="E27" s="16">
        <v>42.1</v>
      </c>
      <c r="F27" s="16">
        <v>96.4</v>
      </c>
      <c r="G27" s="16">
        <v>27.9</v>
      </c>
      <c r="H27" s="16">
        <v>79</v>
      </c>
      <c r="I27" s="16">
        <v>167.9</v>
      </c>
      <c r="J27" s="16">
        <v>73.2</v>
      </c>
      <c r="K27" s="16">
        <v>29.9</v>
      </c>
      <c r="L27" s="16">
        <v>80.599999999999994</v>
      </c>
      <c r="M27" s="16">
        <v>113.9</v>
      </c>
      <c r="N27" s="18">
        <v>37.4</v>
      </c>
      <c r="O27" s="12">
        <f t="shared" si="0"/>
        <v>801.7</v>
      </c>
      <c r="P27" s="19">
        <f t="shared" si="1"/>
        <v>66.8</v>
      </c>
    </row>
    <row r="28" spans="2:18" ht="21.95" customHeight="1">
      <c r="B28" s="15">
        <v>2016</v>
      </c>
      <c r="C28" s="16">
        <v>9.6999999999999993</v>
      </c>
      <c r="D28" s="16">
        <v>47.1</v>
      </c>
      <c r="E28" s="16">
        <v>34.4</v>
      </c>
      <c r="F28" s="16">
        <v>138.6</v>
      </c>
      <c r="G28" s="16">
        <v>78.900000000000006</v>
      </c>
      <c r="H28" s="16">
        <v>44.1</v>
      </c>
      <c r="I28" s="16">
        <v>384.8</v>
      </c>
      <c r="J28" s="16">
        <v>81.599999999999994</v>
      </c>
      <c r="K28" s="16">
        <v>115.5</v>
      </c>
      <c r="L28" s="16">
        <v>113.2</v>
      </c>
      <c r="M28" s="16">
        <v>28.1</v>
      </c>
      <c r="N28" s="18">
        <v>45.4</v>
      </c>
      <c r="O28" s="12">
        <f t="shared" si="0"/>
        <v>1121.4000000000001</v>
      </c>
      <c r="P28" s="19">
        <f t="shared" si="1"/>
        <v>93.5</v>
      </c>
    </row>
    <row r="29" spans="2:18" ht="21.95" customHeight="1">
      <c r="B29" s="15">
        <v>2017</v>
      </c>
      <c r="C29" s="16">
        <v>14.8</v>
      </c>
      <c r="D29" s="16">
        <v>40.1</v>
      </c>
      <c r="E29" s="16">
        <v>20.3</v>
      </c>
      <c r="F29" s="16">
        <v>64.599999999999994</v>
      </c>
      <c r="G29" s="16">
        <v>18.399999999999999</v>
      </c>
      <c r="H29" s="16">
        <v>58.8</v>
      </c>
      <c r="I29" s="16">
        <v>524.79999999999995</v>
      </c>
      <c r="J29" s="16">
        <v>253.6</v>
      </c>
      <c r="K29" s="16">
        <v>84</v>
      </c>
      <c r="L29" s="16">
        <v>30.6</v>
      </c>
      <c r="M29" s="16">
        <v>19.600000000000001</v>
      </c>
      <c r="N29" s="18">
        <v>24.7</v>
      </c>
      <c r="O29" s="12">
        <f t="shared" si="0"/>
        <v>1154.3</v>
      </c>
      <c r="P29" s="19">
        <f t="shared" si="1"/>
        <v>96.2</v>
      </c>
    </row>
    <row r="30" spans="2:18" ht="21.95" customHeight="1">
      <c r="B30" s="15">
        <v>2018</v>
      </c>
      <c r="C30" s="16">
        <v>19.7</v>
      </c>
      <c r="D30" s="16">
        <v>31.8</v>
      </c>
      <c r="E30" s="16">
        <v>91.2</v>
      </c>
      <c r="F30" s="16">
        <v>129.30000000000001</v>
      </c>
      <c r="G30" s="16">
        <v>112.4</v>
      </c>
      <c r="H30" s="16">
        <v>91.7</v>
      </c>
      <c r="I30" s="16">
        <v>208.8</v>
      </c>
      <c r="J30" s="16">
        <v>329.9</v>
      </c>
      <c r="K30" s="16">
        <v>154.1</v>
      </c>
      <c r="L30" s="16">
        <v>130.6</v>
      </c>
      <c r="M30" s="16">
        <v>45.7</v>
      </c>
      <c r="N30" s="18">
        <v>31.1</v>
      </c>
      <c r="O30" s="12">
        <f t="shared" si="0"/>
        <v>1376.3</v>
      </c>
      <c r="P30" s="19">
        <f t="shared" si="1"/>
        <v>114.7</v>
      </c>
    </row>
    <row r="31" spans="2:18" ht="21.95" customHeight="1">
      <c r="B31" s="15">
        <v>2019</v>
      </c>
      <c r="C31" s="16">
        <v>2.4</v>
      </c>
      <c r="D31" s="16">
        <v>30.6</v>
      </c>
      <c r="E31" s="16">
        <v>33.1</v>
      </c>
      <c r="F31" s="16">
        <v>77.900000000000006</v>
      </c>
      <c r="G31" s="16">
        <v>33.9</v>
      </c>
      <c r="H31" s="16">
        <v>90.7</v>
      </c>
      <c r="I31" s="16">
        <v>193.7</v>
      </c>
      <c r="J31" s="16">
        <v>132.6</v>
      </c>
      <c r="K31" s="16">
        <v>174.4</v>
      </c>
      <c r="L31" s="16">
        <v>98</v>
      </c>
      <c r="M31" s="16">
        <v>78.400000000000006</v>
      </c>
      <c r="N31" s="18">
        <v>24.3</v>
      </c>
      <c r="O31" s="12">
        <f t="shared" si="0"/>
        <v>970</v>
      </c>
      <c r="P31" s="19">
        <f t="shared" si="1"/>
        <v>80.8</v>
      </c>
    </row>
    <row r="32" spans="2:18" ht="21.95" customHeight="1">
      <c r="B32" s="15">
        <v>2020</v>
      </c>
      <c r="C32" s="16">
        <v>66.599999999999994</v>
      </c>
      <c r="D32" s="16">
        <v>66.2</v>
      </c>
      <c r="E32" s="16">
        <v>20.5</v>
      </c>
      <c r="F32" s="16">
        <v>29.2</v>
      </c>
      <c r="G32" s="16">
        <v>91.9</v>
      </c>
      <c r="H32" s="16">
        <v>138.1</v>
      </c>
      <c r="I32" s="16">
        <v>411.3</v>
      </c>
      <c r="J32" s="16">
        <v>499.7</v>
      </c>
      <c r="K32" s="16">
        <v>166</v>
      </c>
      <c r="L32" s="16">
        <v>7.4</v>
      </c>
      <c r="M32" s="16">
        <v>31.9</v>
      </c>
      <c r="N32" s="18">
        <v>7</v>
      </c>
      <c r="O32" s="12">
        <f t="shared" si="0"/>
        <v>1535.8</v>
      </c>
      <c r="P32" s="19">
        <f t="shared" si="1"/>
        <v>128</v>
      </c>
    </row>
    <row r="33" spans="2:16" ht="21.95" customHeight="1">
      <c r="B33" s="15">
        <v>2021</v>
      </c>
      <c r="C33" s="16">
        <v>16.5</v>
      </c>
      <c r="D33" s="16">
        <v>12.2</v>
      </c>
      <c r="E33" s="16">
        <v>86.8</v>
      </c>
      <c r="F33" s="16">
        <v>62</v>
      </c>
      <c r="G33" s="16">
        <v>158.6</v>
      </c>
      <c r="H33" s="16">
        <v>83</v>
      </c>
      <c r="I33" s="16">
        <v>210.6</v>
      </c>
      <c r="J33" s="16">
        <v>241.9</v>
      </c>
      <c r="K33" s="16">
        <v>191.6</v>
      </c>
      <c r="L33" s="16">
        <v>35.299999999999997</v>
      </c>
      <c r="M33" s="16">
        <v>47.8</v>
      </c>
      <c r="N33" s="18">
        <v>5.0999999999999996</v>
      </c>
      <c r="O33" s="12">
        <f t="shared" si="0"/>
        <v>1151.4000000000001</v>
      </c>
      <c r="P33" s="19">
        <f t="shared" si="1"/>
        <v>96</v>
      </c>
    </row>
    <row r="34" spans="2:16" ht="21.95" customHeight="1">
      <c r="B34" s="15">
        <v>2022</v>
      </c>
      <c r="C34" s="16">
        <v>2.8</v>
      </c>
      <c r="D34" s="16">
        <v>4</v>
      </c>
      <c r="E34" s="16">
        <v>79.3</v>
      </c>
      <c r="F34" s="16">
        <v>49.9</v>
      </c>
      <c r="G34" s="16">
        <v>7.1</v>
      </c>
      <c r="H34" s="16">
        <v>163.9</v>
      </c>
      <c r="I34" s="16">
        <v>236.5</v>
      </c>
      <c r="J34" s="16">
        <v>425.3</v>
      </c>
      <c r="K34" s="16">
        <v>100.1</v>
      </c>
      <c r="L34" s="16">
        <v>88.3</v>
      </c>
      <c r="M34" s="16">
        <v>55</v>
      </c>
      <c r="N34" s="18">
        <v>17.600000000000001</v>
      </c>
      <c r="O34" s="12">
        <f t="shared" si="0"/>
        <v>1229.8</v>
      </c>
      <c r="P34" s="19">
        <f t="shared" si="1"/>
        <v>102.5</v>
      </c>
    </row>
    <row r="35" spans="2:16" ht="21.95" customHeight="1" thickBot="1">
      <c r="B35" s="33">
        <v>2023</v>
      </c>
      <c r="C35" s="34">
        <v>26.9</v>
      </c>
      <c r="D35" s="34">
        <v>4.4000000000000004</v>
      </c>
      <c r="E35" s="34">
        <v>21.4</v>
      </c>
      <c r="F35" s="34">
        <v>41.3</v>
      </c>
      <c r="G35" s="34">
        <v>156.9</v>
      </c>
      <c r="H35" s="34">
        <v>199.1</v>
      </c>
      <c r="I35" s="34">
        <v>609</v>
      </c>
      <c r="J35" s="34">
        <v>263.5</v>
      </c>
      <c r="K35" s="34">
        <v>238.1</v>
      </c>
      <c r="L35" s="34">
        <v>21.8</v>
      </c>
      <c r="M35" s="34">
        <v>43.7</v>
      </c>
      <c r="N35" s="35">
        <v>104.9</v>
      </c>
      <c r="O35" s="36">
        <f t="shared" si="0"/>
        <v>1731</v>
      </c>
      <c r="P35" s="37">
        <f t="shared" si="1"/>
        <v>144.30000000000001</v>
      </c>
    </row>
    <row r="36" spans="2:16" ht="21.95" customHeight="1">
      <c r="B36" s="38" t="s">
        <v>13</v>
      </c>
      <c r="C36" s="39">
        <f>ROUND(MAX(C6:C35),1)</f>
        <v>66.599999999999994</v>
      </c>
      <c r="D36" s="39">
        <f t="shared" ref="D36:N36" si="2">ROUND(MAX(D6:D35),1)</f>
        <v>71.099999999999994</v>
      </c>
      <c r="E36" s="39">
        <f t="shared" si="2"/>
        <v>121.3</v>
      </c>
      <c r="F36" s="39">
        <f t="shared" si="2"/>
        <v>193.5</v>
      </c>
      <c r="G36" s="39">
        <f t="shared" si="2"/>
        <v>192.2</v>
      </c>
      <c r="H36" s="39">
        <f t="shared" si="2"/>
        <v>354.8</v>
      </c>
      <c r="I36" s="39">
        <f t="shared" si="2"/>
        <v>707</v>
      </c>
      <c r="J36" s="39">
        <f t="shared" si="2"/>
        <v>639.6</v>
      </c>
      <c r="K36" s="39">
        <f t="shared" si="2"/>
        <v>365.5</v>
      </c>
      <c r="L36" s="39">
        <f t="shared" si="2"/>
        <v>162.19999999999999</v>
      </c>
      <c r="M36" s="39">
        <f t="shared" si="2"/>
        <v>151.69999999999999</v>
      </c>
      <c r="N36" s="40">
        <f t="shared" si="2"/>
        <v>104.9</v>
      </c>
      <c r="O36" s="41">
        <f>ROUND(MAX(O6:O35),1)</f>
        <v>1843.4</v>
      </c>
      <c r="P36" s="42">
        <f>ROUND(MAX(P6:P35),1)</f>
        <v>153.6</v>
      </c>
    </row>
    <row r="37" spans="2:16" ht="21.95" customHeight="1">
      <c r="B37" s="43" t="s">
        <v>14</v>
      </c>
      <c r="C37" s="44">
        <f>ROUND(MIN(C6:C35),1)</f>
        <v>2.4</v>
      </c>
      <c r="D37" s="44">
        <f t="shared" ref="D37:N37" si="3">ROUND(MIN(D6:D35),1)</f>
        <v>2.8</v>
      </c>
      <c r="E37" s="44">
        <f t="shared" si="3"/>
        <v>10.199999999999999</v>
      </c>
      <c r="F37" s="44">
        <f t="shared" si="3"/>
        <v>14.8</v>
      </c>
      <c r="G37" s="44">
        <f t="shared" si="3"/>
        <v>7.1</v>
      </c>
      <c r="H37" s="44">
        <f t="shared" si="3"/>
        <v>44.1</v>
      </c>
      <c r="I37" s="44">
        <f t="shared" si="3"/>
        <v>119</v>
      </c>
      <c r="J37" s="44">
        <f t="shared" si="3"/>
        <v>73.2</v>
      </c>
      <c r="K37" s="44">
        <f t="shared" si="3"/>
        <v>20.3</v>
      </c>
      <c r="L37" s="44">
        <f t="shared" si="3"/>
        <v>3</v>
      </c>
      <c r="M37" s="44">
        <f t="shared" si="3"/>
        <v>7.4</v>
      </c>
      <c r="N37" s="19">
        <f t="shared" si="3"/>
        <v>4.9000000000000004</v>
      </c>
      <c r="O37" s="45">
        <f>ROUND(MIN(O6:O35),1)</f>
        <v>801.7</v>
      </c>
      <c r="P37" s="46">
        <f>ROUND(MIN(P6:P35),1)</f>
        <v>66.8</v>
      </c>
    </row>
    <row r="38" spans="2:16" ht="21.95" customHeight="1" thickBot="1">
      <c r="B38" s="47" t="s">
        <v>18</v>
      </c>
      <c r="C38" s="48">
        <f>ROUND(AVERAGE(C6:C35),1)</f>
        <v>21.9</v>
      </c>
      <c r="D38" s="48">
        <f t="shared" ref="D38:J38" si="4">ROUND(AVERAGE(D6:D35),1)</f>
        <v>27.8</v>
      </c>
      <c r="E38" s="48">
        <f t="shared" si="4"/>
        <v>49.7</v>
      </c>
      <c r="F38" s="48">
        <f t="shared" si="4"/>
        <v>77.900000000000006</v>
      </c>
      <c r="G38" s="48">
        <f t="shared" si="4"/>
        <v>88.6</v>
      </c>
      <c r="H38" s="48">
        <f t="shared" si="4"/>
        <v>150.30000000000001</v>
      </c>
      <c r="I38" s="48">
        <f t="shared" si="4"/>
        <v>308.60000000000002</v>
      </c>
      <c r="J38" s="48">
        <f t="shared" si="4"/>
        <v>291</v>
      </c>
      <c r="K38" s="48">
        <f t="shared" ref="K38:P38" si="5">ROUND(AVERAGE(K6:K35),1)</f>
        <v>142.69999999999999</v>
      </c>
      <c r="L38" s="48">
        <f t="shared" si="5"/>
        <v>59</v>
      </c>
      <c r="M38" s="48">
        <f t="shared" si="5"/>
        <v>45.4</v>
      </c>
      <c r="N38" s="49">
        <f t="shared" si="5"/>
        <v>26.4</v>
      </c>
      <c r="O38" s="50">
        <f t="shared" si="5"/>
        <v>1289.4000000000001</v>
      </c>
      <c r="P38" s="51">
        <f t="shared" si="5"/>
        <v>107.4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2014</v>
      </c>
      <c r="C44" s="53">
        <f t="shared" ref="C44:N44" si="6">C26</f>
        <v>7.8</v>
      </c>
      <c r="D44" s="53">
        <f t="shared" si="6"/>
        <v>12.4</v>
      </c>
      <c r="E44" s="53">
        <f t="shared" si="6"/>
        <v>65.400000000000006</v>
      </c>
      <c r="F44" s="53">
        <f t="shared" si="6"/>
        <v>60.1</v>
      </c>
      <c r="G44" s="53">
        <f t="shared" si="6"/>
        <v>37.6</v>
      </c>
      <c r="H44" s="53">
        <f t="shared" si="6"/>
        <v>90.3</v>
      </c>
      <c r="I44" s="53">
        <f t="shared" si="6"/>
        <v>119</v>
      </c>
      <c r="J44" s="53">
        <f t="shared" si="6"/>
        <v>283.7</v>
      </c>
      <c r="K44" s="53">
        <f t="shared" si="6"/>
        <v>118.5</v>
      </c>
      <c r="L44" s="53">
        <f t="shared" si="6"/>
        <v>148.5</v>
      </c>
      <c r="M44" s="53">
        <f t="shared" si="6"/>
        <v>42.7</v>
      </c>
      <c r="N44" s="54">
        <f t="shared" si="6"/>
        <v>27.3</v>
      </c>
      <c r="O44" s="55">
        <f>ROUND(SUM(C44:N44),1)</f>
        <v>1013.3</v>
      </c>
      <c r="P44" s="46">
        <f>ROUND(O44/12,1)</f>
        <v>84.4</v>
      </c>
    </row>
    <row r="45" spans="2:16" ht="21.95" customHeight="1">
      <c r="B45" s="52">
        <f t="shared" ref="B45:N45" si="7">B27</f>
        <v>2015</v>
      </c>
      <c r="C45" s="53">
        <f t="shared" si="7"/>
        <v>23.2</v>
      </c>
      <c r="D45" s="53">
        <f t="shared" si="7"/>
        <v>30.2</v>
      </c>
      <c r="E45" s="53">
        <f t="shared" si="7"/>
        <v>42.1</v>
      </c>
      <c r="F45" s="53">
        <f t="shared" si="7"/>
        <v>96.4</v>
      </c>
      <c r="G45" s="53">
        <f t="shared" si="7"/>
        <v>27.9</v>
      </c>
      <c r="H45" s="53">
        <f t="shared" si="7"/>
        <v>79</v>
      </c>
      <c r="I45" s="53">
        <f t="shared" si="7"/>
        <v>167.9</v>
      </c>
      <c r="J45" s="53">
        <f t="shared" si="7"/>
        <v>73.2</v>
      </c>
      <c r="K45" s="53">
        <f t="shared" si="7"/>
        <v>29.9</v>
      </c>
      <c r="L45" s="53">
        <f t="shared" si="7"/>
        <v>80.599999999999994</v>
      </c>
      <c r="M45" s="53">
        <f t="shared" si="7"/>
        <v>113.9</v>
      </c>
      <c r="N45" s="54">
        <f t="shared" si="7"/>
        <v>37.4</v>
      </c>
      <c r="O45" s="55">
        <f t="shared" ref="O45:O53" si="8">ROUND(SUM(C45:N45),1)</f>
        <v>801.7</v>
      </c>
      <c r="P45" s="46">
        <f t="shared" ref="P45:P53" si="9">ROUND(O45/12,1)</f>
        <v>66.8</v>
      </c>
    </row>
    <row r="46" spans="2:16" ht="21.95" customHeight="1">
      <c r="B46" s="52">
        <f t="shared" ref="B46:N46" si="10">B28</f>
        <v>2016</v>
      </c>
      <c r="C46" s="53">
        <f t="shared" si="10"/>
        <v>9.6999999999999993</v>
      </c>
      <c r="D46" s="53">
        <f t="shared" si="10"/>
        <v>47.1</v>
      </c>
      <c r="E46" s="53">
        <f t="shared" si="10"/>
        <v>34.4</v>
      </c>
      <c r="F46" s="53">
        <f t="shared" si="10"/>
        <v>138.6</v>
      </c>
      <c r="G46" s="53">
        <f t="shared" si="10"/>
        <v>78.900000000000006</v>
      </c>
      <c r="H46" s="53">
        <f t="shared" si="10"/>
        <v>44.1</v>
      </c>
      <c r="I46" s="53">
        <f t="shared" si="10"/>
        <v>384.8</v>
      </c>
      <c r="J46" s="53">
        <f t="shared" si="10"/>
        <v>81.599999999999994</v>
      </c>
      <c r="K46" s="53">
        <f t="shared" si="10"/>
        <v>115.5</v>
      </c>
      <c r="L46" s="53">
        <f t="shared" si="10"/>
        <v>113.2</v>
      </c>
      <c r="M46" s="53">
        <f t="shared" si="10"/>
        <v>28.1</v>
      </c>
      <c r="N46" s="54">
        <f t="shared" si="10"/>
        <v>45.4</v>
      </c>
      <c r="O46" s="55">
        <f t="shared" si="8"/>
        <v>1121.4000000000001</v>
      </c>
      <c r="P46" s="46">
        <f t="shared" si="9"/>
        <v>93.5</v>
      </c>
    </row>
    <row r="47" spans="2:16" ht="21.95" customHeight="1">
      <c r="B47" s="52">
        <f t="shared" ref="B47:N47" si="11">B29</f>
        <v>2017</v>
      </c>
      <c r="C47" s="53">
        <f t="shared" si="11"/>
        <v>14.8</v>
      </c>
      <c r="D47" s="53">
        <f t="shared" si="11"/>
        <v>40.1</v>
      </c>
      <c r="E47" s="53">
        <f t="shared" si="11"/>
        <v>20.3</v>
      </c>
      <c r="F47" s="53">
        <f t="shared" si="11"/>
        <v>64.599999999999994</v>
      </c>
      <c r="G47" s="53">
        <f t="shared" si="11"/>
        <v>18.399999999999999</v>
      </c>
      <c r="H47" s="53">
        <f t="shared" si="11"/>
        <v>58.8</v>
      </c>
      <c r="I47" s="53">
        <f t="shared" si="11"/>
        <v>524.79999999999995</v>
      </c>
      <c r="J47" s="53">
        <f t="shared" si="11"/>
        <v>253.6</v>
      </c>
      <c r="K47" s="53">
        <f t="shared" si="11"/>
        <v>84</v>
      </c>
      <c r="L47" s="53">
        <f t="shared" si="11"/>
        <v>30.6</v>
      </c>
      <c r="M47" s="53">
        <f t="shared" si="11"/>
        <v>19.600000000000001</v>
      </c>
      <c r="N47" s="54">
        <f t="shared" si="11"/>
        <v>24.7</v>
      </c>
      <c r="O47" s="55">
        <f>ROUND(SUM(C47:N47),1)</f>
        <v>1154.3</v>
      </c>
      <c r="P47" s="46">
        <f t="shared" si="9"/>
        <v>96.2</v>
      </c>
    </row>
    <row r="48" spans="2:16" ht="21.95" customHeight="1">
      <c r="B48" s="52">
        <f t="shared" ref="B48:N48" si="12">B30</f>
        <v>2018</v>
      </c>
      <c r="C48" s="53">
        <f t="shared" si="12"/>
        <v>19.7</v>
      </c>
      <c r="D48" s="53">
        <f t="shared" si="12"/>
        <v>31.8</v>
      </c>
      <c r="E48" s="53">
        <f t="shared" si="12"/>
        <v>91.2</v>
      </c>
      <c r="F48" s="53">
        <f t="shared" si="12"/>
        <v>129.30000000000001</v>
      </c>
      <c r="G48" s="53">
        <f t="shared" si="12"/>
        <v>112.4</v>
      </c>
      <c r="H48" s="53">
        <f t="shared" si="12"/>
        <v>91.7</v>
      </c>
      <c r="I48" s="53">
        <f t="shared" si="12"/>
        <v>208.8</v>
      </c>
      <c r="J48" s="53">
        <f t="shared" si="12"/>
        <v>329.9</v>
      </c>
      <c r="K48" s="53">
        <f t="shared" si="12"/>
        <v>154.1</v>
      </c>
      <c r="L48" s="53">
        <f t="shared" si="12"/>
        <v>130.6</v>
      </c>
      <c r="M48" s="53">
        <f t="shared" si="12"/>
        <v>45.7</v>
      </c>
      <c r="N48" s="54">
        <f t="shared" si="12"/>
        <v>31.1</v>
      </c>
      <c r="O48" s="55">
        <f t="shared" si="8"/>
        <v>1376.3</v>
      </c>
      <c r="P48" s="46">
        <f t="shared" si="9"/>
        <v>114.7</v>
      </c>
    </row>
    <row r="49" spans="2:16" ht="21.95" customHeight="1">
      <c r="B49" s="52">
        <f t="shared" ref="B49:N49" si="13">B31</f>
        <v>2019</v>
      </c>
      <c r="C49" s="53">
        <f t="shared" si="13"/>
        <v>2.4</v>
      </c>
      <c r="D49" s="53">
        <f t="shared" si="13"/>
        <v>30.6</v>
      </c>
      <c r="E49" s="53">
        <f t="shared" si="13"/>
        <v>33.1</v>
      </c>
      <c r="F49" s="53">
        <f t="shared" si="13"/>
        <v>77.900000000000006</v>
      </c>
      <c r="G49" s="53">
        <f t="shared" si="13"/>
        <v>33.9</v>
      </c>
      <c r="H49" s="53">
        <f t="shared" si="13"/>
        <v>90.7</v>
      </c>
      <c r="I49" s="53">
        <f t="shared" si="13"/>
        <v>193.7</v>
      </c>
      <c r="J49" s="53">
        <f t="shared" si="13"/>
        <v>132.6</v>
      </c>
      <c r="K49" s="53">
        <f t="shared" si="13"/>
        <v>174.4</v>
      </c>
      <c r="L49" s="53">
        <f t="shared" si="13"/>
        <v>98</v>
      </c>
      <c r="M49" s="53">
        <f t="shared" si="13"/>
        <v>78.400000000000006</v>
      </c>
      <c r="N49" s="54">
        <f t="shared" si="13"/>
        <v>24.3</v>
      </c>
      <c r="O49" s="55">
        <f t="shared" si="8"/>
        <v>970</v>
      </c>
      <c r="P49" s="46">
        <f t="shared" si="9"/>
        <v>80.8</v>
      </c>
    </row>
    <row r="50" spans="2:16" ht="21.95" customHeight="1">
      <c r="B50" s="52">
        <f t="shared" ref="B50:N50" si="14">B32</f>
        <v>2020</v>
      </c>
      <c r="C50" s="53">
        <f t="shared" si="14"/>
        <v>66.599999999999994</v>
      </c>
      <c r="D50" s="53">
        <f t="shared" si="14"/>
        <v>66.2</v>
      </c>
      <c r="E50" s="53">
        <f t="shared" si="14"/>
        <v>20.5</v>
      </c>
      <c r="F50" s="53">
        <f t="shared" si="14"/>
        <v>29.2</v>
      </c>
      <c r="G50" s="53">
        <f t="shared" si="14"/>
        <v>91.9</v>
      </c>
      <c r="H50" s="53">
        <f t="shared" si="14"/>
        <v>138.1</v>
      </c>
      <c r="I50" s="53">
        <f t="shared" si="14"/>
        <v>411.3</v>
      </c>
      <c r="J50" s="53">
        <f t="shared" si="14"/>
        <v>499.7</v>
      </c>
      <c r="K50" s="53">
        <f t="shared" si="14"/>
        <v>166</v>
      </c>
      <c r="L50" s="53">
        <f t="shared" si="14"/>
        <v>7.4</v>
      </c>
      <c r="M50" s="53">
        <f t="shared" si="14"/>
        <v>31.9</v>
      </c>
      <c r="N50" s="54">
        <f t="shared" si="14"/>
        <v>7</v>
      </c>
      <c r="O50" s="55">
        <f t="shared" si="8"/>
        <v>1535.8</v>
      </c>
      <c r="P50" s="46">
        <f t="shared" si="9"/>
        <v>128</v>
      </c>
    </row>
    <row r="51" spans="2:16" ht="21.95" customHeight="1">
      <c r="B51" s="52">
        <f t="shared" ref="B51:N51" si="15">B33</f>
        <v>2021</v>
      </c>
      <c r="C51" s="53">
        <f t="shared" si="15"/>
        <v>16.5</v>
      </c>
      <c r="D51" s="53">
        <f t="shared" si="15"/>
        <v>12.2</v>
      </c>
      <c r="E51" s="53">
        <f t="shared" si="15"/>
        <v>86.8</v>
      </c>
      <c r="F51" s="53">
        <f t="shared" si="15"/>
        <v>62</v>
      </c>
      <c r="G51" s="53">
        <f t="shared" si="15"/>
        <v>158.6</v>
      </c>
      <c r="H51" s="53">
        <f t="shared" si="15"/>
        <v>83</v>
      </c>
      <c r="I51" s="53">
        <f t="shared" si="15"/>
        <v>210.6</v>
      </c>
      <c r="J51" s="53">
        <f t="shared" si="15"/>
        <v>241.9</v>
      </c>
      <c r="K51" s="53">
        <f t="shared" si="15"/>
        <v>191.6</v>
      </c>
      <c r="L51" s="53">
        <f t="shared" si="15"/>
        <v>35.299999999999997</v>
      </c>
      <c r="M51" s="53">
        <f t="shared" si="15"/>
        <v>47.8</v>
      </c>
      <c r="N51" s="54">
        <f t="shared" si="15"/>
        <v>5.0999999999999996</v>
      </c>
      <c r="O51" s="55">
        <f t="shared" si="8"/>
        <v>1151.4000000000001</v>
      </c>
      <c r="P51" s="46">
        <f t="shared" si="9"/>
        <v>96</v>
      </c>
    </row>
    <row r="52" spans="2:16" ht="21.95" customHeight="1">
      <c r="B52" s="52">
        <f t="shared" ref="B52:N52" si="16">B34</f>
        <v>2022</v>
      </c>
      <c r="C52" s="53">
        <f t="shared" si="16"/>
        <v>2.8</v>
      </c>
      <c r="D52" s="53">
        <f t="shared" si="16"/>
        <v>4</v>
      </c>
      <c r="E52" s="53">
        <f t="shared" si="16"/>
        <v>79.3</v>
      </c>
      <c r="F52" s="53">
        <f t="shared" si="16"/>
        <v>49.9</v>
      </c>
      <c r="G52" s="53">
        <f t="shared" si="16"/>
        <v>7.1</v>
      </c>
      <c r="H52" s="53">
        <f t="shared" si="16"/>
        <v>163.9</v>
      </c>
      <c r="I52" s="53">
        <f t="shared" si="16"/>
        <v>236.5</v>
      </c>
      <c r="J52" s="53">
        <f t="shared" si="16"/>
        <v>425.3</v>
      </c>
      <c r="K52" s="53">
        <f t="shared" si="16"/>
        <v>100.1</v>
      </c>
      <c r="L52" s="53">
        <f t="shared" si="16"/>
        <v>88.3</v>
      </c>
      <c r="M52" s="53">
        <f t="shared" si="16"/>
        <v>55</v>
      </c>
      <c r="N52" s="54">
        <f t="shared" si="16"/>
        <v>17.600000000000001</v>
      </c>
      <c r="O52" s="55">
        <f t="shared" si="8"/>
        <v>1229.8</v>
      </c>
      <c r="P52" s="46">
        <f t="shared" si="9"/>
        <v>102.5</v>
      </c>
    </row>
    <row r="53" spans="2:16" ht="21.95" customHeight="1" thickBot="1">
      <c r="B53" s="56">
        <f t="shared" ref="B53:N53" si="17">B35</f>
        <v>2023</v>
      </c>
      <c r="C53" s="57">
        <f t="shared" si="17"/>
        <v>26.9</v>
      </c>
      <c r="D53" s="57">
        <f t="shared" si="17"/>
        <v>4.4000000000000004</v>
      </c>
      <c r="E53" s="57">
        <f t="shared" si="17"/>
        <v>21.4</v>
      </c>
      <c r="F53" s="57">
        <f t="shared" si="17"/>
        <v>41.3</v>
      </c>
      <c r="G53" s="57">
        <f t="shared" si="17"/>
        <v>156.9</v>
      </c>
      <c r="H53" s="57">
        <f t="shared" si="17"/>
        <v>199.1</v>
      </c>
      <c r="I53" s="57">
        <f t="shared" si="17"/>
        <v>609</v>
      </c>
      <c r="J53" s="57">
        <f t="shared" si="17"/>
        <v>263.5</v>
      </c>
      <c r="K53" s="57">
        <f t="shared" si="17"/>
        <v>238.1</v>
      </c>
      <c r="L53" s="57">
        <f t="shared" si="17"/>
        <v>21.8</v>
      </c>
      <c r="M53" s="57">
        <f t="shared" si="17"/>
        <v>43.7</v>
      </c>
      <c r="N53" s="58">
        <f t="shared" si="17"/>
        <v>104.9</v>
      </c>
      <c r="O53" s="59">
        <f t="shared" si="8"/>
        <v>1731</v>
      </c>
      <c r="P53" s="51">
        <f t="shared" si="9"/>
        <v>144.30000000000001</v>
      </c>
    </row>
    <row r="54" spans="2:16" ht="21.95" customHeight="1">
      <c r="B54" s="60" t="s">
        <v>19</v>
      </c>
      <c r="C54" s="61">
        <f>MAX(C44:C53)</f>
        <v>66.599999999999994</v>
      </c>
      <c r="D54" s="61">
        <f t="shared" ref="D54:P54" si="18">MAX(D44:D53)</f>
        <v>66.2</v>
      </c>
      <c r="E54" s="61">
        <f t="shared" si="18"/>
        <v>91.2</v>
      </c>
      <c r="F54" s="61">
        <f t="shared" si="18"/>
        <v>138.6</v>
      </c>
      <c r="G54" s="61">
        <f t="shared" si="18"/>
        <v>158.6</v>
      </c>
      <c r="H54" s="61">
        <f t="shared" si="18"/>
        <v>199.1</v>
      </c>
      <c r="I54" s="61">
        <f t="shared" si="18"/>
        <v>609</v>
      </c>
      <c r="J54" s="61">
        <f t="shared" si="18"/>
        <v>499.7</v>
      </c>
      <c r="K54" s="61">
        <f t="shared" si="18"/>
        <v>238.1</v>
      </c>
      <c r="L54" s="61">
        <f t="shared" si="18"/>
        <v>148.5</v>
      </c>
      <c r="M54" s="61">
        <f t="shared" si="18"/>
        <v>113.9</v>
      </c>
      <c r="N54" s="62">
        <f t="shared" si="18"/>
        <v>104.9</v>
      </c>
      <c r="O54" s="63">
        <f t="shared" si="18"/>
        <v>1731</v>
      </c>
      <c r="P54" s="62">
        <f t="shared" si="18"/>
        <v>144.30000000000001</v>
      </c>
    </row>
    <row r="55" spans="2:16" ht="21.95" customHeight="1">
      <c r="B55" s="64" t="s">
        <v>20</v>
      </c>
      <c r="C55" s="65">
        <f>MIN(C44:C53)</f>
        <v>2.4</v>
      </c>
      <c r="D55" s="65">
        <f t="shared" ref="D55:P55" si="19">MIN(D44:D53)</f>
        <v>4</v>
      </c>
      <c r="E55" s="65">
        <f t="shared" si="19"/>
        <v>20.3</v>
      </c>
      <c r="F55" s="65">
        <f t="shared" si="19"/>
        <v>29.2</v>
      </c>
      <c r="G55" s="65">
        <f t="shared" si="19"/>
        <v>7.1</v>
      </c>
      <c r="H55" s="65">
        <f t="shared" si="19"/>
        <v>44.1</v>
      </c>
      <c r="I55" s="65">
        <f t="shared" si="19"/>
        <v>119</v>
      </c>
      <c r="J55" s="65">
        <f t="shared" si="19"/>
        <v>73.2</v>
      </c>
      <c r="K55" s="65">
        <f t="shared" si="19"/>
        <v>29.9</v>
      </c>
      <c r="L55" s="65">
        <f t="shared" si="19"/>
        <v>7.4</v>
      </c>
      <c r="M55" s="65">
        <f t="shared" si="19"/>
        <v>19.600000000000001</v>
      </c>
      <c r="N55" s="46">
        <f t="shared" si="19"/>
        <v>5.0999999999999996</v>
      </c>
      <c r="O55" s="55">
        <f>MIN(O44:O53)</f>
        <v>801.7</v>
      </c>
      <c r="P55" s="46">
        <f t="shared" si="19"/>
        <v>66.8</v>
      </c>
    </row>
    <row r="56" spans="2:16" ht="21.95" customHeight="1" thickBot="1">
      <c r="B56" s="66" t="s">
        <v>7</v>
      </c>
      <c r="C56" s="67">
        <f>ROUND(AVERAGE(C44:C53),1)</f>
        <v>19</v>
      </c>
      <c r="D56" s="67">
        <f t="shared" ref="D56:N56" si="20">ROUND(AVERAGE(D44:D53),1)</f>
        <v>27.9</v>
      </c>
      <c r="E56" s="67">
        <f t="shared" si="20"/>
        <v>49.5</v>
      </c>
      <c r="F56" s="67">
        <f t="shared" si="20"/>
        <v>74.900000000000006</v>
      </c>
      <c r="G56" s="67">
        <f t="shared" si="20"/>
        <v>72.400000000000006</v>
      </c>
      <c r="H56" s="67">
        <f t="shared" si="20"/>
        <v>103.9</v>
      </c>
      <c r="I56" s="67">
        <f t="shared" si="20"/>
        <v>306.60000000000002</v>
      </c>
      <c r="J56" s="67">
        <f t="shared" si="20"/>
        <v>258.5</v>
      </c>
      <c r="K56" s="67">
        <f t="shared" si="20"/>
        <v>137.19999999999999</v>
      </c>
      <c r="L56" s="67">
        <f t="shared" si="20"/>
        <v>75.400000000000006</v>
      </c>
      <c r="M56" s="67">
        <f t="shared" si="20"/>
        <v>50.7</v>
      </c>
      <c r="N56" s="51">
        <f t="shared" si="20"/>
        <v>32.5</v>
      </c>
      <c r="O56" s="59">
        <f>ROUND(AVERAGE(O44:O53),1)</f>
        <v>1208.5</v>
      </c>
      <c r="P56" s="51">
        <f>ROUND(AVERAGE(P44:P53),1)</f>
        <v>100.7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_GetWeatherData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_GetWeatherData"/>
      </mc:Fallback>
    </mc:AlternateContent>
    <mc:AlternateContent xmlns:mc="http://schemas.openxmlformats.org/markup-compatibility/2006">
      <mc:Choice Requires="x14">
        <control shapeId="59398" r:id="rId6" name="CommandButton_Clear30Year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_Clear30Year"/>
      </mc:Fallback>
    </mc:AlternateContent>
    <mc:AlternateContent xmlns:mc="http://schemas.openxmlformats.org/markup-compatibility/2006">
      <mc:Choice Requires="x14">
        <control shapeId="59415" r:id="rId8" name="CommandButton_BackUP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_BackUP"/>
      </mc:Fallback>
    </mc:AlternateContent>
    <mc:AlternateContent xmlns:mc="http://schemas.openxmlformats.org/markup-compatibility/2006">
      <mc:Choice Requires="x14">
        <control shapeId="59430" r:id="rId10" name="CommandButton_LoadDataFromArray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_LoadDataFromArray"/>
      </mc:Fallback>
    </mc:AlternateContent>
    <mc:AlternateContent xmlns:mc="http://schemas.openxmlformats.org/markup-compatibility/2006">
      <mc:Choice Requires="x14">
        <control shapeId="59432" r:id="rId12" name="CommandButton_AnnualReset">
          <controlPr defaultSize="0" autoLine="0" r:id="rId13">
            <anchor moveWithCells="1">
              <from>
                <xdr:col>17</xdr:col>
                <xdr:colOff>200025</xdr:colOff>
                <xdr:row>16</xdr:row>
                <xdr:rowOff>104775</xdr:rowOff>
              </from>
              <to>
                <xdr:col>19</xdr:col>
                <xdr:colOff>238125</xdr:colOff>
                <xdr:row>17</xdr:row>
                <xdr:rowOff>228600</xdr:rowOff>
              </to>
            </anchor>
          </controlPr>
        </control>
      </mc:Choice>
      <mc:Fallback>
        <control shapeId="59432" r:id="rId12" name="CommandButton_AnnualReset"/>
      </mc:Fallback>
    </mc:AlternateContent>
    <mc:AlternateContent xmlns:mc="http://schemas.openxmlformats.org/markup-compatibility/2006">
      <mc:Choice Requires="x14">
        <control shapeId="59434" r:id="rId14" name="CommandButton_DeleteIgnoreError">
          <controlPr defaultSize="0" autoLine="0" r:id="rId15">
            <anchor moveWithCells="1">
              <from>
                <xdr:col>17</xdr:col>
                <xdr:colOff>200025</xdr:colOff>
                <xdr:row>18</xdr:row>
                <xdr:rowOff>38100</xdr:rowOff>
              </from>
              <to>
                <xdr:col>19</xdr:col>
                <xdr:colOff>238125</xdr:colOff>
                <xdr:row>19</xdr:row>
                <xdr:rowOff>161925</xdr:rowOff>
              </to>
            </anchor>
          </controlPr>
        </control>
      </mc:Choice>
      <mc:Fallback>
        <control shapeId="59434" r:id="rId14" name="CommandButton_DeleteIgnoreErro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N18" sqref="N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.44140625" style="1" customWidth="1"/>
    <col min="16" max="16" width="8.33203125" style="1" customWidth="1"/>
    <col min="17" max="17" width="7.44140625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  <c r="S8" s="1" t="s">
        <v>256</v>
      </c>
      <c r="T8" s="1" t="s">
        <v>257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277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7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  <c r="M33" s="1" t="s">
        <v>30</v>
      </c>
      <c r="N33" s="1" t="s">
        <v>148</v>
      </c>
      <c r="O33" s="1" t="s">
        <v>31</v>
      </c>
      <c r="P33" s="1" t="s">
        <v>254</v>
      </c>
      <c r="Q33" s="1" t="s">
        <v>255</v>
      </c>
    </row>
    <row r="34" spans="1:17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  <c r="M34" s="1" t="s">
        <v>258</v>
      </c>
      <c r="N34" s="1" t="s">
        <v>278</v>
      </c>
      <c r="P34" s="1">
        <v>3</v>
      </c>
      <c r="Q34" s="1">
        <v>2</v>
      </c>
    </row>
    <row r="35" spans="1:17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  <c r="M35" s="1" t="s">
        <v>32</v>
      </c>
      <c r="N35" s="1" t="s">
        <v>267</v>
      </c>
      <c r="P35" s="1">
        <v>4</v>
      </c>
      <c r="Q35" s="1">
        <v>2</v>
      </c>
    </row>
    <row r="36" spans="1:17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  <c r="M36" s="1" t="s">
        <v>259</v>
      </c>
      <c r="N36" s="1" t="s">
        <v>268</v>
      </c>
      <c r="P36" s="1">
        <v>5</v>
      </c>
      <c r="Q36" s="1">
        <v>2</v>
      </c>
    </row>
    <row r="37" spans="1:17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  <c r="M37" s="1" t="s">
        <v>260</v>
      </c>
      <c r="N37" s="1" t="s">
        <v>269</v>
      </c>
      <c r="P37" s="1">
        <v>6</v>
      </c>
      <c r="Q37" s="1">
        <v>2</v>
      </c>
    </row>
    <row r="38" spans="1:17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  <c r="M38" s="1" t="s">
        <v>261</v>
      </c>
      <c r="N38" s="1" t="s">
        <v>270</v>
      </c>
      <c r="P38" s="1">
        <v>7</v>
      </c>
      <c r="Q38" s="1">
        <v>2</v>
      </c>
    </row>
    <row r="39" spans="1:17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  <c r="M39" s="1" t="s">
        <v>262</v>
      </c>
      <c r="N39" s="1" t="s">
        <v>271</v>
      </c>
      <c r="P39" s="1">
        <v>8</v>
      </c>
      <c r="Q39" s="1">
        <v>2</v>
      </c>
    </row>
    <row r="40" spans="1:17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  <c r="M40" s="1" t="s">
        <v>263</v>
      </c>
      <c r="N40" s="1" t="s">
        <v>272</v>
      </c>
      <c r="P40" s="1">
        <v>9</v>
      </c>
      <c r="Q40" s="1">
        <v>2</v>
      </c>
    </row>
    <row r="41" spans="1:17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  <c r="M41" s="1" t="s">
        <v>264</v>
      </c>
      <c r="N41" s="1" t="s">
        <v>273</v>
      </c>
      <c r="P41" s="1">
        <v>10</v>
      </c>
      <c r="Q41" s="1">
        <v>2</v>
      </c>
    </row>
    <row r="42" spans="1:17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  <c r="M42" s="1" t="s">
        <v>265</v>
      </c>
      <c r="N42" s="1" t="s">
        <v>274</v>
      </c>
      <c r="P42" s="1">
        <v>11</v>
      </c>
      <c r="Q42" s="1">
        <v>2</v>
      </c>
    </row>
    <row r="43" spans="1:17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  <c r="M43" s="1" t="s">
        <v>266</v>
      </c>
      <c r="N43" s="1" t="s">
        <v>275</v>
      </c>
      <c r="P43" s="1">
        <v>12</v>
      </c>
      <c r="Q43" s="1">
        <v>2</v>
      </c>
    </row>
    <row r="44" spans="1:17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  <c r="M44" s="1" t="s">
        <v>143</v>
      </c>
      <c r="N44" s="1" t="s">
        <v>276</v>
      </c>
      <c r="P44" s="1">
        <v>13</v>
      </c>
      <c r="Q44" s="1">
        <v>2</v>
      </c>
    </row>
    <row r="45" spans="1:17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7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7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7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16"/>
  <sheetViews>
    <sheetView topLeftCell="A45" workbookViewId="0">
      <selection activeCell="D10" sqref="D10"/>
    </sheetView>
  </sheetViews>
  <sheetFormatPr defaultRowHeight="13.5"/>
  <cols>
    <col min="2" max="2" width="9.44140625" customWidth="1"/>
    <col min="3" max="3" width="17.5546875" customWidth="1"/>
  </cols>
  <sheetData>
    <row r="1" spans="2:3">
      <c r="B1" t="s">
        <v>30</v>
      </c>
      <c r="C1" t="s">
        <v>148</v>
      </c>
    </row>
    <row r="2" spans="2:3" ht="16.5">
      <c r="B2" s="71" t="s">
        <v>42</v>
      </c>
      <c r="C2" s="71" t="s">
        <v>204</v>
      </c>
    </row>
    <row r="3" spans="2:3" ht="16.5">
      <c r="B3" s="71" t="s">
        <v>43</v>
      </c>
      <c r="C3" s="71" t="s">
        <v>150</v>
      </c>
    </row>
    <row r="4" spans="2:3" ht="16.5">
      <c r="B4" s="71" t="s">
        <v>44</v>
      </c>
      <c r="C4" s="71" t="s">
        <v>205</v>
      </c>
    </row>
    <row r="5" spans="2:3" ht="16.5">
      <c r="B5" s="71" t="s">
        <v>45</v>
      </c>
      <c r="C5" s="71" t="s">
        <v>206</v>
      </c>
    </row>
    <row r="6" spans="2:3" ht="16.5">
      <c r="B6" s="71" t="s">
        <v>46</v>
      </c>
      <c r="C6" s="71" t="s">
        <v>207</v>
      </c>
    </row>
    <row r="7" spans="2:3" ht="16.5">
      <c r="B7" s="71" t="s">
        <v>47</v>
      </c>
      <c r="C7" s="71" t="s">
        <v>208</v>
      </c>
    </row>
    <row r="8" spans="2:3" ht="16.5">
      <c r="B8" s="71" t="s">
        <v>48</v>
      </c>
      <c r="C8" s="71" t="s">
        <v>209</v>
      </c>
    </row>
    <row r="9" spans="2:3" ht="16.5">
      <c r="B9" s="71" t="s">
        <v>49</v>
      </c>
      <c r="C9" s="71" t="s">
        <v>210</v>
      </c>
    </row>
    <row r="10" spans="2:3" ht="16.5">
      <c r="B10" s="71" t="s">
        <v>50</v>
      </c>
      <c r="C10" s="71" t="s">
        <v>211</v>
      </c>
    </row>
    <row r="11" spans="2:3" ht="16.5">
      <c r="B11" s="71" t="s">
        <v>51</v>
      </c>
      <c r="C11" s="71" t="s">
        <v>212</v>
      </c>
    </row>
    <row r="12" spans="2:3" ht="16.5">
      <c r="B12" s="71" t="s">
        <v>52</v>
      </c>
      <c r="C12" s="71" t="s">
        <v>190</v>
      </c>
    </row>
    <row r="13" spans="2:3" ht="16.5">
      <c r="B13" s="71" t="s">
        <v>53</v>
      </c>
      <c r="C13" s="71" t="s">
        <v>191</v>
      </c>
    </row>
    <row r="14" spans="2:3" ht="16.5">
      <c r="B14" s="71" t="s">
        <v>54</v>
      </c>
      <c r="C14" s="71" t="s">
        <v>192</v>
      </c>
    </row>
    <row r="15" spans="2:3" ht="16.5">
      <c r="B15" s="71" t="s">
        <v>55</v>
      </c>
      <c r="C15" s="71" t="s">
        <v>193</v>
      </c>
    </row>
    <row r="16" spans="2:3" ht="16.5">
      <c r="B16" s="71" t="s">
        <v>56</v>
      </c>
      <c r="C16" s="71" t="s">
        <v>194</v>
      </c>
    </row>
    <row r="17" spans="2:3" ht="16.5">
      <c r="B17" s="71" t="s">
        <v>57</v>
      </c>
      <c r="C17" s="71" t="s">
        <v>149</v>
      </c>
    </row>
    <row r="18" spans="2:3" ht="16.5">
      <c r="B18" s="71" t="s">
        <v>58</v>
      </c>
      <c r="C18" s="71" t="s">
        <v>195</v>
      </c>
    </row>
    <row r="19" spans="2:3" ht="16.5">
      <c r="B19" s="71" t="s">
        <v>59</v>
      </c>
      <c r="C19" s="71" t="s">
        <v>196</v>
      </c>
    </row>
    <row r="20" spans="2:3" ht="16.5">
      <c r="B20" s="71" t="s">
        <v>60</v>
      </c>
      <c r="C20" s="71" t="s">
        <v>197</v>
      </c>
    </row>
    <row r="21" spans="2:3" ht="16.5">
      <c r="B21" s="71" t="s">
        <v>61</v>
      </c>
      <c r="C21" s="71" t="s">
        <v>198</v>
      </c>
    </row>
    <row r="22" spans="2:3" ht="16.5">
      <c r="B22" s="71" t="s">
        <v>62</v>
      </c>
      <c r="C22" s="71" t="s">
        <v>199</v>
      </c>
    </row>
    <row r="23" spans="2:3" ht="16.5">
      <c r="B23" s="71" t="s">
        <v>63</v>
      </c>
      <c r="C23" s="71" t="s">
        <v>200</v>
      </c>
    </row>
    <row r="24" spans="2:3" ht="16.5">
      <c r="B24" s="71" t="s">
        <v>64</v>
      </c>
      <c r="C24" s="71" t="s">
        <v>201</v>
      </c>
    </row>
    <row r="25" spans="2:3" ht="16.5">
      <c r="B25" s="71" t="s">
        <v>65</v>
      </c>
      <c r="C25" s="71" t="s">
        <v>202</v>
      </c>
    </row>
    <row r="26" spans="2:3" ht="16.5">
      <c r="B26" s="71" t="s">
        <v>66</v>
      </c>
      <c r="C26" s="71" t="s">
        <v>203</v>
      </c>
    </row>
    <row r="27" spans="2:3" ht="16.5">
      <c r="B27" s="71" t="s">
        <v>67</v>
      </c>
      <c r="C27" s="71" t="s">
        <v>178</v>
      </c>
    </row>
    <row r="28" spans="2:3" ht="16.5">
      <c r="B28" s="71" t="s">
        <v>252</v>
      </c>
      <c r="C28" s="71" t="s">
        <v>253</v>
      </c>
    </row>
    <row r="29" spans="2:3" ht="16.5">
      <c r="B29" s="71" t="s">
        <v>68</v>
      </c>
      <c r="C29" s="71" t="s">
        <v>179</v>
      </c>
    </row>
    <row r="30" spans="2:3" ht="16.5">
      <c r="B30" s="71" t="s">
        <v>69</v>
      </c>
      <c r="C30" s="71" t="s">
        <v>180</v>
      </c>
    </row>
    <row r="31" spans="2:3" ht="16.5">
      <c r="B31" s="71" t="s">
        <v>70</v>
      </c>
      <c r="C31" s="71" t="s">
        <v>181</v>
      </c>
    </row>
    <row r="32" spans="2:3" ht="16.5">
      <c r="B32" s="71" t="s">
        <v>71</v>
      </c>
      <c r="C32" s="71" t="s">
        <v>182</v>
      </c>
    </row>
    <row r="33" spans="2:3" ht="16.5">
      <c r="B33" s="71" t="s">
        <v>72</v>
      </c>
      <c r="C33" s="71" t="s">
        <v>183</v>
      </c>
    </row>
    <row r="34" spans="2:3" ht="16.5">
      <c r="B34" s="71" t="s">
        <v>73</v>
      </c>
      <c r="C34" s="71" t="s">
        <v>184</v>
      </c>
    </row>
    <row r="35" spans="2:3" ht="16.5">
      <c r="B35" s="71" t="s">
        <v>74</v>
      </c>
      <c r="C35" s="71" t="s">
        <v>251</v>
      </c>
    </row>
    <row r="36" spans="2:3" ht="16.5">
      <c r="B36" s="71" t="s">
        <v>75</v>
      </c>
      <c r="C36" s="71" t="s">
        <v>185</v>
      </c>
    </row>
    <row r="37" spans="2:3" ht="16.5">
      <c r="B37" s="71" t="s">
        <v>76</v>
      </c>
      <c r="C37" s="71" t="s">
        <v>186</v>
      </c>
    </row>
    <row r="38" spans="2:3" ht="16.5">
      <c r="B38" s="71" t="s">
        <v>77</v>
      </c>
      <c r="C38" s="71" t="s">
        <v>187</v>
      </c>
    </row>
    <row r="39" spans="2:3" ht="16.5">
      <c r="B39" s="71" t="s">
        <v>78</v>
      </c>
      <c r="C39" s="71" t="s">
        <v>188</v>
      </c>
    </row>
    <row r="40" spans="2:3" ht="16.5">
      <c r="B40" s="71" t="s">
        <v>79</v>
      </c>
      <c r="C40" s="71" t="s">
        <v>189</v>
      </c>
    </row>
    <row r="41" spans="2:3" ht="16.5">
      <c r="B41" s="71" t="s">
        <v>80</v>
      </c>
      <c r="C41" s="71" t="s">
        <v>177</v>
      </c>
    </row>
    <row r="42" spans="2:3" ht="16.5">
      <c r="B42" s="71" t="s">
        <v>81</v>
      </c>
      <c r="C42" s="71" t="s">
        <v>176</v>
      </c>
    </row>
    <row r="43" spans="2:3" ht="16.5">
      <c r="B43" s="71" t="s">
        <v>82</v>
      </c>
      <c r="C43" s="71" t="s">
        <v>175</v>
      </c>
    </row>
    <row r="44" spans="2:3" ht="16.5">
      <c r="B44" s="71" t="s">
        <v>83</v>
      </c>
      <c r="C44" s="71" t="s">
        <v>174</v>
      </c>
    </row>
    <row r="45" spans="2:3" ht="16.5">
      <c r="B45" s="71" t="s">
        <v>84</v>
      </c>
      <c r="C45" s="71" t="s">
        <v>173</v>
      </c>
    </row>
    <row r="46" spans="2:3" ht="16.5">
      <c r="B46" s="71" t="s">
        <v>85</v>
      </c>
      <c r="C46" s="71" t="s">
        <v>172</v>
      </c>
    </row>
    <row r="47" spans="2:3" ht="16.5">
      <c r="B47" s="71" t="s">
        <v>86</v>
      </c>
      <c r="C47" s="71" t="s">
        <v>171</v>
      </c>
    </row>
    <row r="48" spans="2:3" ht="16.5">
      <c r="B48" s="71" t="s">
        <v>87</v>
      </c>
      <c r="C48" s="71" t="s">
        <v>170</v>
      </c>
    </row>
    <row r="49" spans="2:3" ht="16.5">
      <c r="B49" s="71" t="s">
        <v>88</v>
      </c>
      <c r="C49" s="71" t="s">
        <v>169</v>
      </c>
    </row>
    <row r="50" spans="2:3" ht="16.5">
      <c r="B50" s="71" t="s">
        <v>89</v>
      </c>
      <c r="C50" s="71" t="s">
        <v>168</v>
      </c>
    </row>
    <row r="51" spans="2:3" ht="16.5">
      <c r="B51" s="71" t="s">
        <v>90</v>
      </c>
      <c r="C51" s="71" t="s">
        <v>151</v>
      </c>
    </row>
    <row r="52" spans="2:3" ht="16.5">
      <c r="B52" s="71" t="s">
        <v>91</v>
      </c>
      <c r="C52" s="71" t="s">
        <v>152</v>
      </c>
    </row>
    <row r="53" spans="2:3" ht="16.5">
      <c r="B53" s="71" t="s">
        <v>92</v>
      </c>
      <c r="C53" s="71" t="s">
        <v>153</v>
      </c>
    </row>
    <row r="54" spans="2:3" ht="16.5">
      <c r="B54" s="71" t="s">
        <v>93</v>
      </c>
      <c r="C54" s="71" t="s">
        <v>154</v>
      </c>
    </row>
    <row r="55" spans="2:3" ht="16.5">
      <c r="B55" s="71" t="s">
        <v>94</v>
      </c>
      <c r="C55" s="71" t="s">
        <v>165</v>
      </c>
    </row>
    <row r="56" spans="2:3" ht="16.5">
      <c r="B56" s="71" t="s">
        <v>95</v>
      </c>
      <c r="C56" s="71" t="s">
        <v>166</v>
      </c>
    </row>
    <row r="57" spans="2:3" ht="16.5">
      <c r="B57" s="71" t="s">
        <v>96</v>
      </c>
      <c r="C57" s="71" t="s">
        <v>167</v>
      </c>
    </row>
    <row r="58" spans="2:3" ht="16.5">
      <c r="B58" s="71" t="s">
        <v>97</v>
      </c>
      <c r="C58" s="71" t="s">
        <v>155</v>
      </c>
    </row>
    <row r="59" spans="2:3" ht="16.5">
      <c r="B59" s="71" t="s">
        <v>98</v>
      </c>
      <c r="C59" s="71" t="s">
        <v>156</v>
      </c>
    </row>
    <row r="60" spans="2:3" ht="16.5">
      <c r="B60" s="71" t="s">
        <v>99</v>
      </c>
      <c r="C60" s="71" t="s">
        <v>157</v>
      </c>
    </row>
    <row r="61" spans="2:3" ht="16.5">
      <c r="B61" s="71" t="s">
        <v>100</v>
      </c>
      <c r="C61" s="71" t="s">
        <v>158</v>
      </c>
    </row>
    <row r="62" spans="2:3" ht="16.5">
      <c r="B62" s="71" t="s">
        <v>101</v>
      </c>
      <c r="C62" s="71" t="s">
        <v>159</v>
      </c>
    </row>
    <row r="63" spans="2:3" ht="16.5">
      <c r="B63" s="71" t="s">
        <v>102</v>
      </c>
      <c r="C63" s="71" t="s">
        <v>160</v>
      </c>
    </row>
    <row r="64" spans="2:3" ht="16.5">
      <c r="B64" s="71" t="s">
        <v>103</v>
      </c>
      <c r="C64" s="71" t="s">
        <v>161</v>
      </c>
    </row>
    <row r="65" spans="2:3" ht="16.5">
      <c r="B65" s="71" t="s">
        <v>104</v>
      </c>
      <c r="C65" s="71" t="s">
        <v>162</v>
      </c>
    </row>
    <row r="66" spans="2:3" ht="16.5">
      <c r="B66" s="71" t="s">
        <v>105</v>
      </c>
      <c r="C66" s="71" t="s">
        <v>163</v>
      </c>
    </row>
    <row r="67" spans="2:3" ht="16.5">
      <c r="B67" s="71" t="s">
        <v>106</v>
      </c>
      <c r="C67" s="71" t="s">
        <v>164</v>
      </c>
    </row>
    <row r="68" spans="2:3" ht="16.5">
      <c r="B68" s="71" t="s">
        <v>107</v>
      </c>
      <c r="C68" s="71" t="s">
        <v>213</v>
      </c>
    </row>
    <row r="69" spans="2:3" ht="16.5">
      <c r="B69" s="71" t="s">
        <v>108</v>
      </c>
      <c r="C69" s="71" t="s">
        <v>214</v>
      </c>
    </row>
    <row r="70" spans="2:3" ht="16.5">
      <c r="B70" s="71" t="s">
        <v>109</v>
      </c>
      <c r="C70" s="71" t="s">
        <v>215</v>
      </c>
    </row>
    <row r="71" spans="2:3" ht="16.5">
      <c r="B71" s="71" t="s">
        <v>110</v>
      </c>
      <c r="C71" s="71" t="s">
        <v>216</v>
      </c>
    </row>
    <row r="72" spans="2:3" ht="16.5">
      <c r="B72" s="71" t="s">
        <v>111</v>
      </c>
      <c r="C72" s="71" t="s">
        <v>217</v>
      </c>
    </row>
    <row r="73" spans="2:3" ht="16.5">
      <c r="B73" s="71" t="s">
        <v>112</v>
      </c>
      <c r="C73" s="71" t="s">
        <v>218</v>
      </c>
    </row>
    <row r="74" spans="2:3" ht="16.5">
      <c r="B74" s="71" t="s">
        <v>113</v>
      </c>
      <c r="C74" s="71" t="s">
        <v>219</v>
      </c>
    </row>
    <row r="75" spans="2:3" ht="16.5">
      <c r="B75" s="71" t="s">
        <v>114</v>
      </c>
      <c r="C75" s="71" t="s">
        <v>220</v>
      </c>
    </row>
    <row r="76" spans="2:3" ht="16.5">
      <c r="B76" s="71" t="s">
        <v>115</v>
      </c>
      <c r="C76" s="71" t="s">
        <v>221</v>
      </c>
    </row>
    <row r="77" spans="2:3" ht="16.5">
      <c r="B77" s="71" t="s">
        <v>116</v>
      </c>
      <c r="C77" s="71" t="s">
        <v>222</v>
      </c>
    </row>
    <row r="78" spans="2:3" ht="16.5">
      <c r="B78" s="71" t="s">
        <v>117</v>
      </c>
      <c r="C78" s="71" t="s">
        <v>223</v>
      </c>
    </row>
    <row r="79" spans="2:3" ht="16.5">
      <c r="B79" s="71" t="s">
        <v>118</v>
      </c>
      <c r="C79" s="71" t="s">
        <v>225</v>
      </c>
    </row>
    <row r="80" spans="2:3" ht="16.5">
      <c r="B80" s="71" t="s">
        <v>119</v>
      </c>
      <c r="C80" s="71" t="s">
        <v>224</v>
      </c>
    </row>
    <row r="81" spans="2:3" ht="16.5">
      <c r="B81" s="71" t="s">
        <v>120</v>
      </c>
      <c r="C81" s="71" t="s">
        <v>226</v>
      </c>
    </row>
    <row r="82" spans="2:3" ht="16.5">
      <c r="B82" s="71" t="s">
        <v>121</v>
      </c>
      <c r="C82" s="71" t="s">
        <v>227</v>
      </c>
    </row>
    <row r="83" spans="2:3" ht="16.5">
      <c r="B83" s="71" t="s">
        <v>122</v>
      </c>
      <c r="C83" s="71" t="s">
        <v>228</v>
      </c>
    </row>
    <row r="84" spans="2:3" ht="16.5">
      <c r="B84" s="71" t="s">
        <v>123</v>
      </c>
      <c r="C84" s="71" t="s">
        <v>229</v>
      </c>
    </row>
    <row r="85" spans="2:3" ht="16.5">
      <c r="B85" s="71" t="s">
        <v>124</v>
      </c>
      <c r="C85" s="71" t="s">
        <v>230</v>
      </c>
    </row>
    <row r="86" spans="2:3" ht="16.5">
      <c r="B86" s="71" t="s">
        <v>125</v>
      </c>
      <c r="C86" s="71" t="s">
        <v>231</v>
      </c>
    </row>
    <row r="87" spans="2:3" ht="16.5">
      <c r="B87" s="71" t="s">
        <v>126</v>
      </c>
      <c r="C87" s="71" t="s">
        <v>232</v>
      </c>
    </row>
    <row r="88" spans="2:3" ht="16.5">
      <c r="B88" s="71" t="s">
        <v>127</v>
      </c>
      <c r="C88" s="71" t="s">
        <v>233</v>
      </c>
    </row>
    <row r="89" spans="2:3" ht="16.5">
      <c r="B89" s="71" t="s">
        <v>128</v>
      </c>
      <c r="C89" s="71" t="s">
        <v>234</v>
      </c>
    </row>
    <row r="90" spans="2:3" ht="16.5">
      <c r="B90" s="71" t="s">
        <v>129</v>
      </c>
      <c r="C90" s="71" t="s">
        <v>235</v>
      </c>
    </row>
    <row r="91" spans="2:3" ht="16.5">
      <c r="B91" s="71" t="s">
        <v>130</v>
      </c>
      <c r="C91" s="71" t="s">
        <v>236</v>
      </c>
    </row>
    <row r="92" spans="2:3" ht="16.5">
      <c r="B92" s="71" t="s">
        <v>131</v>
      </c>
      <c r="C92" s="71" t="s">
        <v>237</v>
      </c>
    </row>
    <row r="93" spans="2:3" ht="16.5">
      <c r="B93" s="71" t="s">
        <v>132</v>
      </c>
      <c r="C93" s="71" t="s">
        <v>238</v>
      </c>
    </row>
    <row r="94" spans="2:3" ht="16.5">
      <c r="B94" s="71" t="s">
        <v>133</v>
      </c>
      <c r="C94" s="71" t="s">
        <v>239</v>
      </c>
    </row>
    <row r="95" spans="2:3" ht="16.5">
      <c r="B95" s="71" t="s">
        <v>134</v>
      </c>
      <c r="C95" s="71" t="s">
        <v>240</v>
      </c>
    </row>
    <row r="96" spans="2:3" ht="16.5">
      <c r="B96" s="71" t="s">
        <v>135</v>
      </c>
      <c r="C96" s="71" t="s">
        <v>241</v>
      </c>
    </row>
    <row r="97" spans="2:3" ht="16.5">
      <c r="B97" s="71" t="s">
        <v>136</v>
      </c>
      <c r="C97" s="71" t="s">
        <v>242</v>
      </c>
    </row>
    <row r="98" spans="2:3" ht="16.5">
      <c r="B98" s="71" t="s">
        <v>137</v>
      </c>
      <c r="C98" s="71" t="s">
        <v>243</v>
      </c>
    </row>
    <row r="99" spans="2:3" ht="16.5">
      <c r="B99" s="71" t="s">
        <v>138</v>
      </c>
      <c r="C99" s="71" t="s">
        <v>244</v>
      </c>
    </row>
    <row r="100" spans="2:3" ht="16.5">
      <c r="B100" s="71" t="s">
        <v>139</v>
      </c>
      <c r="C100" s="71" t="s">
        <v>245</v>
      </c>
    </row>
    <row r="101" spans="2:3" ht="16.5">
      <c r="B101" s="71" t="s">
        <v>140</v>
      </c>
      <c r="C101" s="71" t="s">
        <v>246</v>
      </c>
    </row>
    <row r="102" spans="2:3" ht="16.5">
      <c r="B102" s="71" t="s">
        <v>141</v>
      </c>
      <c r="C102" s="71" t="s">
        <v>247</v>
      </c>
    </row>
    <row r="103" spans="2:3" ht="16.5">
      <c r="B103" s="71" t="s">
        <v>141</v>
      </c>
      <c r="C103" s="71" t="s">
        <v>248</v>
      </c>
    </row>
    <row r="104" spans="2:3" ht="16.5">
      <c r="B104" s="71" t="s">
        <v>142</v>
      </c>
      <c r="C104" s="71" t="s">
        <v>249</v>
      </c>
    </row>
    <row r="105" spans="2:3" ht="16.5">
      <c r="B105" s="71" t="s">
        <v>143</v>
      </c>
      <c r="C105" s="71" t="s">
        <v>250</v>
      </c>
    </row>
    <row r="106" spans="2:3" ht="16.5">
      <c r="B106" s="71" t="s">
        <v>258</v>
      </c>
      <c r="C106" s="71" t="s">
        <v>278</v>
      </c>
    </row>
    <row r="107" spans="2:3" ht="16.5">
      <c r="B107" s="71" t="s">
        <v>32</v>
      </c>
      <c r="C107" s="71" t="s">
        <v>267</v>
      </c>
    </row>
    <row r="108" spans="2:3" ht="16.5">
      <c r="B108" s="71" t="s">
        <v>259</v>
      </c>
      <c r="C108" s="71" t="s">
        <v>268</v>
      </c>
    </row>
    <row r="109" spans="2:3" ht="16.5">
      <c r="B109" s="71" t="s">
        <v>260</v>
      </c>
      <c r="C109" s="71" t="s">
        <v>269</v>
      </c>
    </row>
    <row r="110" spans="2:3" ht="16.5">
      <c r="B110" s="71" t="s">
        <v>261</v>
      </c>
      <c r="C110" s="71" t="s">
        <v>270</v>
      </c>
    </row>
    <row r="111" spans="2:3" ht="16.5">
      <c r="B111" s="71" t="s">
        <v>262</v>
      </c>
      <c r="C111" s="71" t="s">
        <v>271</v>
      </c>
    </row>
    <row r="112" spans="2:3" ht="16.5">
      <c r="B112" s="71" t="s">
        <v>263</v>
      </c>
      <c r="C112" s="71" t="s">
        <v>272</v>
      </c>
    </row>
    <row r="113" spans="2:3" ht="16.5">
      <c r="B113" s="71" t="s">
        <v>264</v>
      </c>
      <c r="C113" s="71" t="s">
        <v>273</v>
      </c>
    </row>
    <row r="114" spans="2:3" ht="16.5">
      <c r="B114" s="71" t="s">
        <v>265</v>
      </c>
      <c r="C114" s="71" t="s">
        <v>274</v>
      </c>
    </row>
    <row r="115" spans="2:3" ht="16.5">
      <c r="B115" s="71" t="s">
        <v>266</v>
      </c>
      <c r="C115" s="71" t="s">
        <v>275</v>
      </c>
    </row>
    <row r="116" spans="2:3" ht="16.5">
      <c r="B116" s="71" t="s">
        <v>143</v>
      </c>
      <c r="C116" s="71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</vt:i4>
      </vt:variant>
    </vt:vector>
  </HeadingPairs>
  <TitlesOfParts>
    <vt:vector size="6" baseType="lpstr">
      <vt:lpstr>충남</vt:lpstr>
      <vt:lpstr>main</vt:lpstr>
      <vt:lpstr>AREA</vt:lpstr>
      <vt:lpstr>AREAREF</vt:lpstr>
      <vt:lpstr>충남!CategoryA_Area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2024-12-28T01:08:07Z</dcterms:modified>
</cp:coreProperties>
</file>