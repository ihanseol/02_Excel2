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76F4CE0D-F3D6-4E47-9A62-EFAAF636353F}" xr6:coauthVersionLast="47" xr6:coauthVersionMax="47" xr10:uidLastSave="{00000000-0000-0000-0000-000000000000}"/>
  <bookViews>
    <workbookView xWindow="3360" yWindow="870" windowWidth="32775" windowHeight="19455" tabRatio="526" xr2:uid="{00000000-000D-0000-FFFF-FFFF00000000}"/>
  </bookViews>
  <sheets>
    <sheet name="main" sheetId="103" r:id="rId1"/>
    <sheet name="AREA" sheetId="143" state="hidden" r:id="rId2"/>
    <sheet name="AREAREF" sheetId="167" state="hidden" r:id="rId3"/>
  </sheets>
  <functionGroups builtInGroupCount="19"/>
  <definedNames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9" i="103" l="1"/>
  <c r="S10" i="103"/>
  <c r="S9" i="103"/>
  <c r="S11" i="103"/>
  <c r="C38" i="103" l="1"/>
  <c r="N38" i="103"/>
  <c r="M38" i="103"/>
  <c r="L38" i="103"/>
  <c r="K38" i="103"/>
  <c r="B45" i="103" l="1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N56" i="103" l="1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5" authorId="0" shapeId="0" xr:uid="{77A85C08-3CF6-4350-95A4-EBAA37B47517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충청도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지역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대전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보령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부여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서산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천안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금산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>청주</t>
        </r>
        <r>
          <rPr>
            <b/>
            <sz val="9"/>
            <color indexed="81"/>
            <rFont val="Tahoma"/>
            <family val="2"/>
          </rPr>
          <t xml:space="preserve">,  </t>
        </r>
        <r>
          <rPr>
            <b/>
            <sz val="9"/>
            <color indexed="81"/>
            <rFont val="돋움"/>
            <family val="3"/>
            <charset val="129"/>
          </rPr>
          <t xml:space="preserve">보은
지열공
서울
</t>
        </r>
      </text>
    </commen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  <comment ref="S11" authorId="0" shapeId="0" xr:uid="{CCDCC8E2-B714-420B-9709-CB51093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=IFERROR(UPPER(VLOOKUP(T5, INDIRECT(S6), 2,0)), " </t>
        </r>
        <r>
          <rPr>
            <sz val="9"/>
            <color indexed="81"/>
            <rFont val="돋움"/>
            <family val="3"/>
            <charset val="129"/>
          </rPr>
          <t>지역설정</t>
        </r>
        <r>
          <rPr>
            <sz val="9"/>
            <color indexed="81"/>
            <rFont val="Tahoma"/>
            <family val="2"/>
          </rPr>
          <t>")</t>
        </r>
      </text>
    </comment>
  </commentList>
</comments>
</file>

<file path=xl/sharedStrings.xml><?xml version="1.0" encoding="utf-8"?>
<sst xmlns="http://schemas.openxmlformats.org/spreadsheetml/2006/main" count="877" uniqueCount="284">
  <si>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</si>
  <si>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</si>
  <si>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</si>
  <si>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</si>
  <si>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</si>
  <si>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</si>
  <si>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</si>
  <si>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</si>
  <si>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</si>
  <si>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</si>
  <si>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</si>
  <si>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</si>
  <si>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</si>
  <si>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</si>
  <si>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</si>
  <si>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</si>
  <si>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</si>
  <si>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</si>
  <si>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</si>
  <si>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</si>
  <si>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</si>
  <si>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</si>
  <si>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</si>
  <si>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</si>
  <si>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</si>
  <si>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</si>
  <si>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</si>
  <si>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</si>
  <si>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</si>
  <si>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</si>
  <si>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</si>
  <si>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</si>
  <si>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</si>
  <si>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</si>
  <si>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</si>
  <si>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</si>
  <si>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</si>
  <si>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</si>
  <si>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</si>
  <si>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</si>
  <si>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</si>
  <si>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</si>
  <si>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</si>
  <si>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</si>
  <si>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</si>
  <si>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</si>
  <si>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</si>
  <si>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</si>
  <si>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</si>
  <si>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</si>
  <si>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</si>
  <si>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</si>
  <si>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</si>
  <si>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</si>
  <si>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</si>
  <si>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</si>
  <si>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</si>
  <si>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</si>
  <si>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</si>
  <si>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</si>
  <si>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</si>
  <si>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</si>
  <si>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</si>
  <si>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</si>
  <si>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</si>
  <si>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</si>
  <si>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</si>
  <si>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</si>
  <si>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</si>
  <si>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</si>
  <si>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</si>
  <si>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</si>
  <si>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</si>
  <si>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</si>
  <si>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</si>
  <si>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</si>
  <si>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</si>
  <si>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</si>
  <si>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</si>
  <si>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</si>
  <si>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</si>
  <si>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</si>
  <si>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</si>
  <si>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</si>
  <si>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</si>
  <si>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</si>
  <si>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</si>
  <si>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</si>
  <si>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</si>
  <si>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</si>
  <si>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</si>
  <si>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</si>
  <si>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</si>
  <si>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</si>
  <si>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</si>
  <si>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</si>
  <si>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</si>
  <si>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</si>
  <si>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</si>
  <si>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</si>
  <si>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</si>
  <si>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</si>
  <si>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</si>
  <si>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</si>
  <si>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</si>
  <si>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</si>
  <si>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</si>
  <si>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</si>
  <si>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</si>
  <si>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</si>
  <si>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</si>
  <si>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</si>
  <si>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</si>
  <si>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</si>
  <si>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</si>
  <si>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</si>
  <si>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</si>
  <si>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</si>
  <si>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</si>
  <si>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</si>
  <si>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</si>
  <si>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</si>
  <si>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</si>
  <si>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</si>
  <si>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</si>
  <si>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</si>
  <si>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</si>
  <si>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</si>
  <si>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</si>
  <si>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</si>
  <si>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</si>
  <si>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</si>
  <si>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</si>
  <si>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</si>
  <si>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</si>
  <si>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</si>
  <si>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</si>
  <si>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</si>
  <si>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</si>
  <si>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</si>
  <si>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</si>
  <si>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</si>
  <si>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</si>
  <si>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</si>
  <si>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</si>
  <si>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</si>
  <si>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</si>
  <si>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</si>
  <si>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</si>
  <si>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</si>
  <si>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</si>
  <si>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</si>
  <si>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</si>
  <si>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</si>
  <si>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</si>
  <si>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</si>
  <si>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</si>
  <si>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</si>
  <si>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</si>
  <si>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</si>
  <si>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</si>
  <si>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</si>
  <si>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</si>
  <si>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</si>
  <si>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</si>
  <si>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</si>
  <si>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</si>
  <si>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</si>
  <si>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</si>
  <si>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</si>
  <si>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</si>
  <si>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</si>
  <si>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</si>
  <si>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</si>
  <si>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</si>
  <si>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</si>
  <si>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</si>
  <si>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</si>
  <si>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</si>
  <si>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</si>
  <si>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</si>
  <si>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</si>
  <si>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</si>
  <si>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</si>
  <si>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</si>
  <si>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</si>
  <si>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</si>
  <si>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</si>
  <si>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</si>
  <si>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</si>
  <si>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</si>
  <si>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</si>
  <si>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</si>
  <si>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</si>
  <si>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</si>
  <si>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</si>
  <si>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</si>
  <si>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</si>
  <si>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</si>
  <si>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</si>
  <si>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</si>
  <si>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</si>
  <si>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</si>
  <si>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</si>
  <si>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</si>
  <si>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</si>
  <si>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</si>
  <si>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</si>
  <si>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</si>
  <si>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</si>
  <si>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</si>
  <si>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</si>
  <si>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</si>
  <si>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</si>
  <si>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</si>
  <si>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</si>
  <si>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</si>
  <si>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</si>
  <si>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</si>
  <si>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</si>
  <si>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</si>
  <si>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</si>
  <si>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</si>
  <si>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</si>
  <si>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</si>
  <si>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</si>
  <si>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</si>
  <si>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</si>
  <si>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</si>
  <si>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</si>
  <si>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</si>
  <si>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</si>
  <si>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</si>
  <si>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</si>
  <si>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</si>
  <si>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</si>
  <si>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</si>
  <si>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</si>
  <si>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</si>
  <si>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</si>
  <si>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</si>
  <si>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</si>
  <si>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</si>
  <si>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</si>
  <si>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</si>
  <si>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</si>
  <si>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</si>
  <si>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</si>
  <si>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</si>
  <si>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</si>
  <si>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</si>
  <si>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</si>
  <si>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</si>
  <si>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</si>
  <si>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</si>
  <si>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</si>
  <si>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지역</t>
    <phoneticPr fontId="5" type="noConversion"/>
  </si>
  <si>
    <t>Table7</t>
    <phoneticPr fontId="5" type="noConversion"/>
  </si>
  <si>
    <t>전국</t>
    <phoneticPr fontId="5" type="noConversion"/>
  </si>
  <si>
    <t>강원영동</t>
    <phoneticPr fontId="5" type="noConversion"/>
  </si>
  <si>
    <t>강원영서</t>
    <phoneticPr fontId="5" type="noConversion"/>
  </si>
  <si>
    <t>충북</t>
    <phoneticPr fontId="5" type="noConversion"/>
  </si>
  <si>
    <t>충남</t>
    <phoneticPr fontId="5" type="noConversion"/>
  </si>
  <si>
    <t>경북</t>
    <phoneticPr fontId="5" type="noConversion"/>
  </si>
  <si>
    <t>경남</t>
    <phoneticPr fontId="5" type="noConversion"/>
  </si>
  <si>
    <t>전북</t>
    <phoneticPr fontId="5" type="noConversion"/>
  </si>
  <si>
    <t>전남</t>
    <phoneticPr fontId="5" type="noConversion"/>
  </si>
  <si>
    <t>SeoulGyungi</t>
    <phoneticPr fontId="5" type="noConversion"/>
  </si>
  <si>
    <t>GangWonEast</t>
    <phoneticPr fontId="5" type="noConversion"/>
  </si>
  <si>
    <t>GangWonWest</t>
    <phoneticPr fontId="5" type="noConversion"/>
  </si>
  <si>
    <t>ChungBook</t>
    <phoneticPr fontId="5" type="noConversion"/>
  </si>
  <si>
    <t>ChungNam</t>
    <phoneticPr fontId="5" type="noConversion"/>
  </si>
  <si>
    <t>GyungBook</t>
    <phoneticPr fontId="5" type="noConversion"/>
  </si>
  <si>
    <t>GyungNam</t>
    <phoneticPr fontId="5" type="noConversion"/>
  </si>
  <si>
    <t>JeonBook</t>
    <phoneticPr fontId="5" type="noConversion"/>
  </si>
  <si>
    <t>JeonNam</t>
    <phoneticPr fontId="5" type="noConversion"/>
  </si>
  <si>
    <t>Jejudo</t>
    <phoneticPr fontId="5" type="noConversion"/>
  </si>
  <si>
    <t>JangSoo</t>
    <phoneticPr fontId="5" type="noConversion"/>
  </si>
  <si>
    <t>JeonKook</t>
    <phoneticPr fontId="5" type="noConversion"/>
  </si>
  <si>
    <t>받아올지역</t>
    <phoneticPr fontId="5" type="noConversion"/>
  </si>
  <si>
    <t>충청도</t>
  </si>
  <si>
    <t>대전,  보령,  부여,  서산,  천안, 금산,  청주,  보은</t>
  </si>
  <si>
    <t>충주</t>
  </si>
  <si>
    <t>30년 충주데이터, 2024-12-26 오후 12:01:16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</si>
</sst>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3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3" borderId="43" xfId="0" applyFont="1" applyFill="1" applyBorder="1" applyAlignment="1">
      <alignment horizontal="center" vertical="center"/>
    </xf>
    <xf numFmtId="0" fontId="18" fillId="4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5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0" borderId="0" xfId="0" applyFont="1"/>
    <xf numFmtId="0" fontId="18" fillId="6" borderId="4" xfId="0" applyFont="1" applyFill="1" applyBorder="1" applyAlignment="1">
      <alignment horizontal="center" vertical="center"/>
    </xf>
    <xf numFmtId="0" fontId="18" fillId="6" borderId="5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184" fontId="18" fillId="6" borderId="22" xfId="17" applyNumberFormat="1" applyFont="1" applyFill="1" applyBorder="1" applyAlignment="1">
      <alignment horizontal="center" vertical="center"/>
    </xf>
    <xf numFmtId="184" fontId="18" fillId="6" borderId="23" xfId="17" applyNumberFormat="1" applyFont="1" applyFill="1" applyBorder="1" applyAlignment="1">
      <alignment horizontal="center" vertical="center"/>
    </xf>
    <xf numFmtId="184" fontId="18" fillId="6" borderId="24" xfId="17" applyNumberFormat="1" applyFont="1" applyFill="1" applyBorder="1" applyAlignment="1">
      <alignment horizontal="center" vertical="center"/>
    </xf>
    <xf numFmtId="184" fontId="18" fillId="6" borderId="25" xfId="17" applyNumberFormat="1" applyFont="1" applyFill="1" applyBorder="1" applyAlignment="1">
      <alignment horizontal="center" vertical="center"/>
    </xf>
    <xf numFmtId="0" fontId="21" fillId="7" borderId="38" xfId="0" applyFont="1" applyFill="1" applyBorder="1" applyAlignment="1">
      <alignment horizontal="center" vertical="center"/>
    </xf>
    <xf numFmtId="0" fontId="21" fillId="7" borderId="41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42"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_Clear30Year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0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_GetWeatherData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0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_BackUP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0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_LoadDataFromArray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0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16</xdr:row>
          <xdr:rowOff>104775</xdr:rowOff>
        </xdr:from>
        <xdr:to>
          <xdr:col>19</xdr:col>
          <xdr:colOff>238125</xdr:colOff>
          <xdr:row>17</xdr:row>
          <xdr:rowOff>228600</xdr:rowOff>
        </xdr:to>
        <xdr:sp macro="" textlink="">
          <xdr:nvSpPr>
            <xdr:cNvPr id="59432" name="CommandButton_AnnualReset" hidden="1">
              <a:extLst>
                <a:ext uri="{63B3BB69-23CF-44E3-9099-C40C66FF867C}">
                  <a14:compatExt spid="_x0000_s59432"/>
                </a:ext>
                <a:ext uri="{FF2B5EF4-FFF2-40B4-BE49-F238E27FC236}">
                  <a16:creationId xmlns:a16="http://schemas.microsoft.com/office/drawing/2014/main" id="{00000000-0008-0000-0000-00002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200025</xdr:colOff>
          <xdr:row>18</xdr:row>
          <xdr:rowOff>38100</xdr:rowOff>
        </xdr:from>
        <xdr:to>
          <xdr:col>19</xdr:col>
          <xdr:colOff>238125</xdr:colOff>
          <xdr:row>19</xdr:row>
          <xdr:rowOff>161925</xdr:rowOff>
        </xdr:to>
        <xdr:sp macro="" textlink="">
          <xdr:nvSpPr>
            <xdr:cNvPr id="59434" name="CommandButton_DeleteIgnoreError" hidden="1">
              <a:extLst>
                <a:ext uri="{63B3BB69-23CF-44E3-9099-C40C66FF867C}">
                  <a14:compatExt spid="_x0000_s59434"/>
                </a:ext>
                <a:ext uri="{FF2B5EF4-FFF2-40B4-BE49-F238E27FC236}">
                  <a16:creationId xmlns:a16="http://schemas.microsoft.com/office/drawing/2014/main" id="{00000000-0008-0000-0000-00002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41"/>
    <tableColumn id="4" xr3:uid="{3FABA01C-AB4B-48AC-BDB1-16BF1034D0DF}" name="name" dataDxfId="40"/>
    <tableColumn id="3" xr3:uid="{A5F66352-D28A-4CF0-B250-A489700B8D54}" name="Code" dataDxfId="39"/>
    <tableColumn id="2" xr3:uid="{09B4436B-841C-4B9C-8162-E947F4575E48}" name="aCode" dataDxfId="38"/>
    <tableColumn id="5" xr3:uid="{C31DCB80-AB53-4D9B-9C64-E7F32BEF140C}" name="switch" dataDxfId="3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6"/>
    <tableColumn id="4" xr3:uid="{B62D6831-87BE-4F65-B7F1-BD0B146AF49F}" name="name" dataDxfId="35"/>
    <tableColumn id="3" xr3:uid="{658D7C19-D0E8-42F4-ABCB-2387237F828A}" name="Code" dataDxfId="34"/>
    <tableColumn id="2" xr3:uid="{989EB4D9-50A5-4C55-9B67-E92A0A209FA0}" name="aCode" dataDxfId="33"/>
    <tableColumn id="5" xr3:uid="{AECDD82A-ACE1-4B11-8AC5-F6E8FEEF4153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31"/>
    <tableColumn id="4" xr3:uid="{017C91F5-4BF0-4180-8133-652E08E84954}" name="name" dataDxfId="30"/>
    <tableColumn id="3" xr3:uid="{EC253443-ACAA-4D84-A256-070B355AA943}" name="Code" dataDxfId="29"/>
    <tableColumn id="2" xr3:uid="{80669424-532F-4472-8AC0-B591D616F4FF}" name="aCode" dataDxfId="28"/>
    <tableColumn id="5" xr3:uid="{3E99FA54-F62F-4943-96D0-A92D6B1BF889}" name="switch" dataDxfId="2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6"/>
    <tableColumn id="4" xr3:uid="{9687561B-6A34-4432-917E-5BE8286748FA}" name="name" dataDxfId="25"/>
    <tableColumn id="3" xr3:uid="{2D753499-917F-4411-A14D-2196A2F1D788}" name="Code" dataDxfId="24"/>
    <tableColumn id="2" xr3:uid="{F72F6AA5-B461-4032-B5C7-926520FCFE1E}" name="aCode" dataDxfId="23"/>
    <tableColumn id="5" xr3:uid="{2BB69875-ADCC-49C7-B005-BDD03F21A48A}" name="switch" dataDxfId="2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21"/>
    <tableColumn id="4" xr3:uid="{81223094-743C-484F-BD6C-C0070968E015}" name="name" dataDxfId="20"/>
    <tableColumn id="3" xr3:uid="{02B114B2-31A2-45E0-95CB-D7B5B59158D4}" name="Code" dataDxfId="19"/>
    <tableColumn id="2" xr3:uid="{25F1EE2B-22EC-4D69-8CEF-1F35F419008D}" name="aCode" dataDxfId="18"/>
    <tableColumn id="5" xr3:uid="{98CAFCC6-1A44-428B-AD18-F0F5163D8036}" name="switch" dataDxfId="1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6"/>
    <tableColumn id="4" xr3:uid="{946138E4-408B-41AA-9EFE-0179ACDBA91C}" name="name" dataDxfId="15"/>
    <tableColumn id="3" xr3:uid="{4CD67D66-5E03-4217-ADBB-EDB24CF7D896}" name="Code" dataDxfId="14"/>
    <tableColumn id="2" xr3:uid="{951E4035-1C41-41A8-8801-D5CE38818C67}" name="aCode" dataDxfId="13"/>
    <tableColumn id="5" xr3:uid="{3153C0DB-1764-4890-BEFB-6C5DD9BCE384}" name="switch" dataDxfId="1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8" totalsRowShown="0">
  <autoFilter ref="S1:T8" xr:uid="{097FB628-A468-4790-BE49-C390973AF997}"/>
  <tableColumns count="2">
    <tableColumn id="1" xr3:uid="{0575700F-3FE0-4DCD-8453-4F22777BC083}" name="Area" dataDxfId="11"/>
    <tableColumn id="3" xr3:uid="{4DB9070B-5067-4035-BDC5-48A6AFBB7D85}" name="Code" dataDxfId="10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71E385-93A8-45CA-B845-AC3433FB9565}" name="Table7" displayName="Table7" ref="M33:Q44" totalsRowShown="0" headerRowDxfId="9" dataDxfId="8">
  <autoFilter ref="M33:Q44" xr:uid="{9771E385-93A8-45CA-B845-AC3433FB9565}"/>
  <tableColumns count="5">
    <tableColumn id="1" xr3:uid="{29BE8570-6216-4076-9F0F-B5284C690868}" name="Area" dataDxfId="7"/>
    <tableColumn id="2" xr3:uid="{5AC73682-397A-4138-BD34-87C975232E09}" name="name" dataDxfId="6"/>
    <tableColumn id="3" xr3:uid="{46BB35DF-F469-4375-9F7A-4FFB7B188F12}" name="Code" dataDxfId="5"/>
    <tableColumn id="4" xr3:uid="{E35B9A01-5926-40CF-9233-5620A06B36D0}" name="aCode" dataDxfId="4"/>
    <tableColumn id="5" xr3:uid="{2B733A94-81C4-4BC6-9829-02EB7451105B}" name="switch" dataDxfId="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6F3C562-BC12-4964-9534-076F3D6E9801}" name="tblAREAREF" displayName="tblAREAREF" ref="B1:C116" totalsRowShown="0" dataDxfId="2">
  <autoFilter ref="B1:C116" xr:uid="{46F3C562-BC12-4964-9534-076F3D6E9801}"/>
  <tableColumns count="2">
    <tableColumn id="1" xr3:uid="{74A799AF-73D4-449B-9B8A-8BA97282C3E8}" name="Area" dataDxfId="1"/>
    <tableColumn id="2" xr3:uid="{BD99703A-9EA6-44B4-B7B1-BACE943CB781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V983"/>
  <sheetViews>
    <sheetView tabSelected="1" zoomScaleNormal="100" workbookViewId="0">
      <selection activeCell="X19" sqref="X19"/>
    </sheetView>
  </sheetViews>
  <sheetFormatPr defaultRowHeight="16.5"/>
  <cols>
    <col min="1" max="1" width="8.88671875" style="3"/>
    <col min="2" max="2" width="5.88671875" style="4" customWidth="1"/>
    <col min="3" max="14" width="7.218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9.33203125" style="3" customWidth="1"/>
    <col min="20" max="16384" width="8.88671875" style="3"/>
  </cols>
  <sheetData>
    <row r="2" spans="2:22" ht="20.25">
      <c r="B2" s="2" t="s">
        <v>283</v>
      </c>
    </row>
    <row r="3" spans="2:22" ht="24.75" customHeight="1">
      <c r="R3" s="5"/>
    </row>
    <row r="4" spans="2:22" ht="21.75" customHeight="1" thickBot="1"/>
    <row r="5" spans="2:22" s="6" customFormat="1" ht="29.25" customHeight="1">
      <c r="B5" s="72" t="s">
        <v>15</v>
      </c>
      <c r="C5" s="73" t="s">
        <v>8</v>
      </c>
      <c r="D5" s="73" t="s">
        <v>9</v>
      </c>
      <c r="E5" s="73" t="s">
        <v>10</v>
      </c>
      <c r="F5" s="73" t="s">
        <v>11</v>
      </c>
      <c r="G5" s="73" t="s">
        <v>12</v>
      </c>
      <c r="H5" s="73" t="s">
        <v>0</v>
      </c>
      <c r="I5" s="73" t="s">
        <v>1</v>
      </c>
      <c r="J5" s="73" t="s">
        <v>2</v>
      </c>
      <c r="K5" s="73" t="s">
        <v>3</v>
      </c>
      <c r="L5" s="73" t="s">
        <v>4</v>
      </c>
      <c r="M5" s="73" t="s">
        <v>5</v>
      </c>
      <c r="N5" s="74" t="s">
        <v>6</v>
      </c>
      <c r="O5" s="72" t="s">
        <v>17</v>
      </c>
      <c r="P5" s="74" t="s">
        <v>18</v>
      </c>
      <c r="S5" s="81" t="s">
        <v>279</v>
      </c>
      <c r="U5" s="7"/>
      <c r="V5" s="82" t="s">
        <v>281</v>
      </c>
    </row>
    <row r="6" spans="2:22" ht="21.95" customHeight="1" thickBot="1">
      <c r="B6" s="8">
        <v>1994</v>
      </c>
      <c r="C6" s="9">
        <v>8.6</v>
      </c>
      <c r="D6" s="9">
        <v>6.3</v>
      </c>
      <c r="E6" s="9">
        <v>51.7</v>
      </c>
      <c r="F6" s="9">
        <v>15.2</v>
      </c>
      <c r="G6" s="9">
        <v>90</v>
      </c>
      <c r="H6" s="9">
        <v>291.5</v>
      </c>
      <c r="I6" s="9">
        <v>108.2</v>
      </c>
      <c r="J6" s="10">
        <v>294.7</v>
      </c>
      <c r="K6" s="9">
        <v>79.5</v>
      </c>
      <c r="L6" s="9">
        <v>144.5</v>
      </c>
      <c r="M6" s="9">
        <v>15.5</v>
      </c>
      <c r="N6" s="11">
        <v>12.7</v>
      </c>
      <c r="O6" s="12">
        <f t="shared" ref="O6:O35" si="0">ROUND(SUM(C6:N6),1)</f>
        <v>1118.4000000000001</v>
      </c>
      <c r="P6" s="13">
        <f>ROUND(O6/12,1)</f>
        <v>93.2</v>
      </c>
      <c r="Q6" s="14"/>
    </row>
    <row r="7" spans="2:22" ht="21.95" customHeight="1">
      <c r="B7" s="15">
        <v>1995</v>
      </c>
      <c r="C7" s="16">
        <v>11.9</v>
      </c>
      <c r="D7" s="16">
        <v>6.8</v>
      </c>
      <c r="E7" s="16">
        <v>29.3</v>
      </c>
      <c r="F7" s="16">
        <v>46.2</v>
      </c>
      <c r="G7" s="16">
        <v>45.5</v>
      </c>
      <c r="H7" s="16">
        <v>19</v>
      </c>
      <c r="I7" s="16">
        <v>290.8</v>
      </c>
      <c r="J7" s="17">
        <v>802</v>
      </c>
      <c r="K7" s="16">
        <v>16</v>
      </c>
      <c r="L7" s="16">
        <v>23</v>
      </c>
      <c r="M7" s="16">
        <v>23.9</v>
      </c>
      <c r="N7" s="18">
        <v>4.2</v>
      </c>
      <c r="O7" s="12">
        <f t="shared" si="0"/>
        <v>1318.6</v>
      </c>
      <c r="P7" s="19">
        <f t="shared" ref="P7:P35" si="1">ROUND(O7/12,1)</f>
        <v>109.9</v>
      </c>
      <c r="Q7" s="14"/>
      <c r="R7" s="79" t="s">
        <v>41</v>
      </c>
      <c r="S7" s="80" t="s">
        <v>40</v>
      </c>
      <c r="T7" s="6"/>
    </row>
    <row r="8" spans="2:22" ht="21.95" customHeight="1">
      <c r="B8" s="15">
        <v>1996</v>
      </c>
      <c r="C8" s="16">
        <v>27.8</v>
      </c>
      <c r="D8" s="16">
        <v>1.6</v>
      </c>
      <c r="E8" s="16">
        <v>101.7</v>
      </c>
      <c r="F8" s="16">
        <v>36.5</v>
      </c>
      <c r="G8" s="16">
        <v>29.1</v>
      </c>
      <c r="H8" s="16">
        <v>203.5</v>
      </c>
      <c r="I8" s="16">
        <v>207</v>
      </c>
      <c r="J8" s="16">
        <v>126</v>
      </c>
      <c r="K8" s="16">
        <v>26.5</v>
      </c>
      <c r="L8" s="16">
        <v>83</v>
      </c>
      <c r="M8" s="16">
        <v>74.099999999999994</v>
      </c>
      <c r="N8" s="18">
        <v>22.2</v>
      </c>
      <c r="O8" s="12">
        <f t="shared" si="0"/>
        <v>939</v>
      </c>
      <c r="P8" s="19">
        <f t="shared" si="1"/>
        <v>78.3</v>
      </c>
      <c r="Q8" s="14"/>
      <c r="R8" s="20" t="s">
        <v>280</v>
      </c>
      <c r="S8" s="21" t="s">
        <v>282</v>
      </c>
    </row>
    <row r="9" spans="2:22" ht="21.95" customHeight="1" thickBot="1">
      <c r="B9" s="15">
        <v>1997</v>
      </c>
      <c r="C9" s="16">
        <v>5</v>
      </c>
      <c r="D9" s="16">
        <v>44.3</v>
      </c>
      <c r="E9" s="16">
        <v>23.2</v>
      </c>
      <c r="F9" s="16">
        <v>60</v>
      </c>
      <c r="G9" s="16">
        <v>193.5</v>
      </c>
      <c r="H9" s="16">
        <v>147.80000000000001</v>
      </c>
      <c r="I9" s="16">
        <v>308</v>
      </c>
      <c r="J9" s="16">
        <v>179.9</v>
      </c>
      <c r="K9" s="16">
        <v>52.5</v>
      </c>
      <c r="L9" s="16">
        <v>35.6</v>
      </c>
      <c r="M9" s="16">
        <v>128.5</v>
      </c>
      <c r="N9" s="18">
        <v>41.4</v>
      </c>
      <c r="O9" s="12">
        <f t="shared" si="0"/>
        <v>1219.7</v>
      </c>
      <c r="P9" s="19">
        <f t="shared" si="1"/>
        <v>101.6</v>
      </c>
      <c r="Q9" s="14"/>
      <c r="R9" s="70" t="str">
        <f>VLOOKUP(R8, tblLocation[], 2, FALSE)</f>
        <v>Table3</v>
      </c>
      <c r="S9" s="22">
        <f ca="1">IFERROR(VLOOKUP(S8, INDIRECT($R$9), 3,0), "지역설정")</f>
        <v>127</v>
      </c>
    </row>
    <row r="10" spans="2:22" ht="21.95" customHeight="1" thickBot="1">
      <c r="B10" s="15">
        <v>1998</v>
      </c>
      <c r="C10" s="16">
        <v>22.5</v>
      </c>
      <c r="D10" s="16">
        <v>26.4</v>
      </c>
      <c r="E10" s="16">
        <v>33.799999999999997</v>
      </c>
      <c r="F10" s="16">
        <v>145.30000000000001</v>
      </c>
      <c r="G10" s="16">
        <v>90</v>
      </c>
      <c r="H10" s="16">
        <v>217.7</v>
      </c>
      <c r="I10" s="16">
        <v>286.60000000000002</v>
      </c>
      <c r="J10" s="16">
        <v>541.70000000000005</v>
      </c>
      <c r="K10" s="16">
        <v>183</v>
      </c>
      <c r="L10" s="16">
        <v>64.5</v>
      </c>
      <c r="M10" s="16">
        <v>38.5</v>
      </c>
      <c r="N10" s="18">
        <v>2.5</v>
      </c>
      <c r="O10" s="12">
        <f t="shared" si="0"/>
        <v>1652.5</v>
      </c>
      <c r="P10" s="19">
        <f t="shared" si="1"/>
        <v>137.69999999999999</v>
      </c>
      <c r="Q10" s="14"/>
      <c r="S10" s="23">
        <f ca="1">IFERROR(VLOOKUP(S8, INDIRECT($R$9), 5,0),"지역설정")</f>
        <v>55</v>
      </c>
    </row>
    <row r="11" spans="2:22" ht="21.95" customHeight="1" thickBot="1">
      <c r="B11" s="15">
        <v>1999</v>
      </c>
      <c r="C11" s="16">
        <v>3.1</v>
      </c>
      <c r="D11" s="16">
        <v>1.9</v>
      </c>
      <c r="E11" s="16">
        <v>54.2</v>
      </c>
      <c r="F11" s="16">
        <v>96</v>
      </c>
      <c r="G11" s="16">
        <v>103.2</v>
      </c>
      <c r="H11" s="16">
        <v>168.5</v>
      </c>
      <c r="I11" s="16">
        <v>112.7</v>
      </c>
      <c r="J11" s="16">
        <v>299.60000000000002</v>
      </c>
      <c r="K11" s="16">
        <v>239.6</v>
      </c>
      <c r="L11" s="16">
        <v>195.1</v>
      </c>
      <c r="M11" s="16">
        <v>34.5</v>
      </c>
      <c r="N11" s="18">
        <v>7</v>
      </c>
      <c r="O11" s="12">
        <f t="shared" si="0"/>
        <v>1315.4</v>
      </c>
      <c r="P11" s="19">
        <f t="shared" si="1"/>
        <v>109.6</v>
      </c>
      <c r="Q11" s="14"/>
      <c r="S11" s="69" t="str">
        <f ca="1">IFERROR(UPPER(VLOOKUP(S8, INDIRECT($R$9), 2,0)), "지역설정")</f>
        <v>CHUNGJU</v>
      </c>
    </row>
    <row r="12" spans="2:22" ht="21.95" customHeight="1">
      <c r="B12" s="15">
        <v>2000</v>
      </c>
      <c r="C12" s="16">
        <v>47.5</v>
      </c>
      <c r="D12" s="16">
        <v>3.3</v>
      </c>
      <c r="E12" s="16">
        <v>14.5</v>
      </c>
      <c r="F12" s="16">
        <v>42.5</v>
      </c>
      <c r="G12" s="16">
        <v>54</v>
      </c>
      <c r="H12" s="16">
        <v>248.5</v>
      </c>
      <c r="I12" s="16">
        <v>259.5</v>
      </c>
      <c r="J12" s="16">
        <v>260.5</v>
      </c>
      <c r="K12" s="16">
        <v>260.8</v>
      </c>
      <c r="L12" s="16">
        <v>25.5</v>
      </c>
      <c r="M12" s="16">
        <v>35.5</v>
      </c>
      <c r="N12" s="18">
        <v>17.5</v>
      </c>
      <c r="O12" s="12">
        <f t="shared" si="0"/>
        <v>1269.5999999999999</v>
      </c>
      <c r="P12" s="19">
        <f t="shared" si="1"/>
        <v>105.8</v>
      </c>
    </row>
    <row r="13" spans="2:22" ht="21.95" customHeight="1" thickBot="1">
      <c r="B13" s="15">
        <v>2001</v>
      </c>
      <c r="C13" s="16">
        <v>47</v>
      </c>
      <c r="D13" s="16">
        <v>52.2</v>
      </c>
      <c r="E13" s="16">
        <v>8.3000000000000007</v>
      </c>
      <c r="F13" s="16">
        <v>12</v>
      </c>
      <c r="G13" s="16">
        <v>4.5999999999999996</v>
      </c>
      <c r="H13" s="16">
        <v>238.9</v>
      </c>
      <c r="I13" s="16">
        <v>241.6</v>
      </c>
      <c r="J13" s="16">
        <v>82.6</v>
      </c>
      <c r="K13" s="16">
        <v>13.8</v>
      </c>
      <c r="L13" s="16">
        <v>82.1</v>
      </c>
      <c r="M13" s="16">
        <v>4.4000000000000004</v>
      </c>
      <c r="N13" s="18">
        <v>10.6</v>
      </c>
      <c r="O13" s="12">
        <f t="shared" si="0"/>
        <v>798.1</v>
      </c>
      <c r="P13" s="19">
        <f t="shared" si="1"/>
        <v>66.5</v>
      </c>
    </row>
    <row r="14" spans="2:22" ht="21.95" customHeight="1">
      <c r="B14" s="15">
        <v>2002</v>
      </c>
      <c r="C14" s="16">
        <v>49.6</v>
      </c>
      <c r="D14" s="16">
        <v>4.2</v>
      </c>
      <c r="E14" s="16">
        <v>28.5</v>
      </c>
      <c r="F14" s="16">
        <v>151.19999999999999</v>
      </c>
      <c r="G14" s="16">
        <v>105</v>
      </c>
      <c r="H14" s="16">
        <v>74.7</v>
      </c>
      <c r="I14" s="16">
        <v>190.2</v>
      </c>
      <c r="J14" s="16">
        <v>653</v>
      </c>
      <c r="K14" s="16">
        <v>92.6</v>
      </c>
      <c r="L14" s="16">
        <v>52.2</v>
      </c>
      <c r="M14" s="16">
        <v>9.8000000000000007</v>
      </c>
      <c r="N14" s="18">
        <v>58.6</v>
      </c>
      <c r="O14" s="12">
        <f t="shared" si="0"/>
        <v>1469.6</v>
      </c>
      <c r="P14" s="19">
        <f t="shared" si="1"/>
        <v>122.5</v>
      </c>
      <c r="R14" s="24" t="s">
        <v>21</v>
      </c>
      <c r="S14" s="25" t="s">
        <v>22</v>
      </c>
      <c r="T14" s="26"/>
    </row>
    <row r="15" spans="2:22" ht="21.95" customHeight="1">
      <c r="B15" s="15">
        <v>2003</v>
      </c>
      <c r="C15" s="16">
        <v>17.2</v>
      </c>
      <c r="D15" s="16">
        <v>59.2</v>
      </c>
      <c r="E15" s="16">
        <v>58.2</v>
      </c>
      <c r="F15" s="16">
        <v>170.8</v>
      </c>
      <c r="G15" s="16">
        <v>117.8</v>
      </c>
      <c r="H15" s="16">
        <v>152.1</v>
      </c>
      <c r="I15" s="16">
        <v>382.8</v>
      </c>
      <c r="J15" s="16">
        <v>314.7</v>
      </c>
      <c r="K15" s="16">
        <v>268.10000000000002</v>
      </c>
      <c r="L15" s="16">
        <v>27.5</v>
      </c>
      <c r="M15" s="16">
        <v>55</v>
      </c>
      <c r="N15" s="18">
        <v>17.8</v>
      </c>
      <c r="O15" s="12">
        <f t="shared" si="0"/>
        <v>1641.2</v>
      </c>
      <c r="P15" s="19">
        <f t="shared" si="1"/>
        <v>136.80000000000001</v>
      </c>
      <c r="R15" s="27" t="s">
        <v>23</v>
      </c>
      <c r="S15" s="28" t="s">
        <v>24</v>
      </c>
      <c r="T15" s="29"/>
    </row>
    <row r="16" spans="2:22" ht="21.95" customHeight="1" thickBot="1">
      <c r="B16" s="15">
        <v>2004</v>
      </c>
      <c r="C16" s="16">
        <v>16.600000000000001</v>
      </c>
      <c r="D16" s="16">
        <v>32</v>
      </c>
      <c r="E16" s="16">
        <v>29.4</v>
      </c>
      <c r="F16" s="16">
        <v>81</v>
      </c>
      <c r="G16" s="16">
        <v>124.9</v>
      </c>
      <c r="H16" s="16">
        <v>335</v>
      </c>
      <c r="I16" s="16">
        <v>410.7</v>
      </c>
      <c r="J16" s="16">
        <v>192.2</v>
      </c>
      <c r="K16" s="16">
        <v>144.1</v>
      </c>
      <c r="L16" s="16">
        <v>1.4</v>
      </c>
      <c r="M16" s="16">
        <v>32.5</v>
      </c>
      <c r="N16" s="18">
        <v>25.4</v>
      </c>
      <c r="O16" s="12">
        <f t="shared" si="0"/>
        <v>1425.2</v>
      </c>
      <c r="P16" s="19">
        <f t="shared" si="1"/>
        <v>118.8</v>
      </c>
      <c r="R16" s="30" t="s">
        <v>25</v>
      </c>
      <c r="S16" s="31" t="s">
        <v>26</v>
      </c>
      <c r="T16" s="32"/>
    </row>
    <row r="17" spans="2:18" ht="21.95" customHeight="1">
      <c r="B17" s="15">
        <v>2005</v>
      </c>
      <c r="C17" s="16">
        <v>2.8</v>
      </c>
      <c r="D17" s="16">
        <v>20.8</v>
      </c>
      <c r="E17" s="16">
        <v>43.1</v>
      </c>
      <c r="F17" s="16">
        <v>63.1</v>
      </c>
      <c r="G17" s="16">
        <v>53.9</v>
      </c>
      <c r="H17" s="16">
        <v>178.7</v>
      </c>
      <c r="I17" s="16">
        <v>381.6</v>
      </c>
      <c r="J17" s="16">
        <v>226.1</v>
      </c>
      <c r="K17" s="16">
        <v>320</v>
      </c>
      <c r="L17" s="16">
        <v>63.4</v>
      </c>
      <c r="M17" s="16">
        <v>15.7</v>
      </c>
      <c r="N17" s="18">
        <v>11.7</v>
      </c>
      <c r="O17" s="12">
        <f t="shared" si="0"/>
        <v>1380.9</v>
      </c>
      <c r="P17" s="19">
        <f t="shared" si="1"/>
        <v>115.1</v>
      </c>
    </row>
    <row r="18" spans="2:18" ht="21.95" customHeight="1">
      <c r="B18" s="15">
        <v>2006</v>
      </c>
      <c r="C18" s="16">
        <v>27.1</v>
      </c>
      <c r="D18" s="16">
        <v>34.9</v>
      </c>
      <c r="E18" s="16">
        <v>5.9</v>
      </c>
      <c r="F18" s="16">
        <v>91.8</v>
      </c>
      <c r="G18" s="16">
        <v>95.1</v>
      </c>
      <c r="H18" s="16">
        <v>128.5</v>
      </c>
      <c r="I18" s="16">
        <v>666.9</v>
      </c>
      <c r="J18" s="16">
        <v>71.5</v>
      </c>
      <c r="K18" s="16">
        <v>21.7</v>
      </c>
      <c r="L18" s="16">
        <v>23.1</v>
      </c>
      <c r="M18" s="16">
        <v>53.1</v>
      </c>
      <c r="N18" s="18">
        <v>14.3</v>
      </c>
      <c r="O18" s="12">
        <f t="shared" si="0"/>
        <v>1233.9000000000001</v>
      </c>
      <c r="P18" s="19">
        <f t="shared" si="1"/>
        <v>102.8</v>
      </c>
    </row>
    <row r="19" spans="2:18" ht="21.95" customHeight="1">
      <c r="B19" s="15">
        <v>2007</v>
      </c>
      <c r="C19" s="16">
        <v>5.5</v>
      </c>
      <c r="D19" s="16">
        <v>38.5</v>
      </c>
      <c r="E19" s="16">
        <v>112.7</v>
      </c>
      <c r="F19" s="16">
        <v>18.3</v>
      </c>
      <c r="G19" s="16">
        <v>116.5</v>
      </c>
      <c r="H19" s="16">
        <v>90.1</v>
      </c>
      <c r="I19" s="16">
        <v>282.7</v>
      </c>
      <c r="J19" s="16">
        <v>366</v>
      </c>
      <c r="K19" s="16">
        <v>332.7</v>
      </c>
      <c r="L19" s="16">
        <v>32.799999999999997</v>
      </c>
      <c r="M19" s="16">
        <v>22</v>
      </c>
      <c r="N19" s="18">
        <v>21.4</v>
      </c>
      <c r="O19" s="12">
        <f t="shared" si="0"/>
        <v>1439.2</v>
      </c>
      <c r="P19" s="19">
        <f t="shared" si="1"/>
        <v>119.9</v>
      </c>
    </row>
    <row r="20" spans="2:18" ht="21.95" customHeight="1">
      <c r="B20" s="15">
        <v>2008</v>
      </c>
      <c r="C20" s="16">
        <v>29.3</v>
      </c>
      <c r="D20" s="16">
        <v>8.1999999999999993</v>
      </c>
      <c r="E20" s="16">
        <v>43.1</v>
      </c>
      <c r="F20" s="16">
        <v>31.5</v>
      </c>
      <c r="G20" s="16">
        <v>70.900000000000006</v>
      </c>
      <c r="H20" s="16">
        <v>78.099999999999994</v>
      </c>
      <c r="I20" s="16">
        <v>319.8</v>
      </c>
      <c r="J20" s="16">
        <v>192.5</v>
      </c>
      <c r="K20" s="16">
        <v>71.099999999999994</v>
      </c>
      <c r="L20" s="16">
        <v>16</v>
      </c>
      <c r="M20" s="16">
        <v>10.3</v>
      </c>
      <c r="N20" s="18">
        <v>11.7</v>
      </c>
      <c r="O20" s="12">
        <f t="shared" si="0"/>
        <v>882.5</v>
      </c>
      <c r="P20" s="19">
        <f t="shared" si="1"/>
        <v>73.5</v>
      </c>
      <c r="R20" s="4"/>
    </row>
    <row r="21" spans="2:18" ht="21.95" customHeight="1">
      <c r="B21" s="15">
        <v>2009</v>
      </c>
      <c r="C21" s="16">
        <v>16.7</v>
      </c>
      <c r="D21" s="16">
        <v>15.8</v>
      </c>
      <c r="E21" s="16">
        <v>52</v>
      </c>
      <c r="F21" s="16">
        <v>30.7</v>
      </c>
      <c r="G21" s="16">
        <v>97.1</v>
      </c>
      <c r="H21" s="16">
        <v>89.5</v>
      </c>
      <c r="I21" s="16">
        <v>316.2</v>
      </c>
      <c r="J21" s="16">
        <v>142.5</v>
      </c>
      <c r="K21" s="16">
        <v>70.599999999999994</v>
      </c>
      <c r="L21" s="16">
        <v>45</v>
      </c>
      <c r="M21" s="16">
        <v>31.2</v>
      </c>
      <c r="N21" s="18">
        <v>29.5</v>
      </c>
      <c r="O21" s="12">
        <f t="shared" si="0"/>
        <v>936.8</v>
      </c>
      <c r="P21" s="19">
        <f t="shared" si="1"/>
        <v>78.099999999999994</v>
      </c>
    </row>
    <row r="22" spans="2:18" ht="21.95" customHeight="1">
      <c r="B22" s="15">
        <v>2010</v>
      </c>
      <c r="C22" s="16">
        <v>44.3</v>
      </c>
      <c r="D22" s="16">
        <v>70.8</v>
      </c>
      <c r="E22" s="16">
        <v>85.3</v>
      </c>
      <c r="F22" s="16">
        <v>69.5</v>
      </c>
      <c r="G22" s="16">
        <v>97</v>
      </c>
      <c r="H22" s="16">
        <v>50.6</v>
      </c>
      <c r="I22" s="16">
        <v>112.2</v>
      </c>
      <c r="J22" s="16">
        <v>345.1</v>
      </c>
      <c r="K22" s="16">
        <v>287.8</v>
      </c>
      <c r="L22" s="16">
        <v>21</v>
      </c>
      <c r="M22" s="16">
        <v>14.3</v>
      </c>
      <c r="N22" s="18">
        <v>14.4</v>
      </c>
      <c r="O22" s="12">
        <f t="shared" si="0"/>
        <v>1212.3</v>
      </c>
      <c r="P22" s="19">
        <f t="shared" si="1"/>
        <v>101</v>
      </c>
    </row>
    <row r="23" spans="2:18" ht="21.95" customHeight="1">
      <c r="B23" s="15">
        <v>2011</v>
      </c>
      <c r="C23" s="16">
        <v>2.7</v>
      </c>
      <c r="D23" s="16">
        <v>45.9</v>
      </c>
      <c r="E23" s="16">
        <v>30.6</v>
      </c>
      <c r="F23" s="16">
        <v>157.80000000000001</v>
      </c>
      <c r="G23" s="16">
        <v>187.7</v>
      </c>
      <c r="H23" s="16">
        <v>452.6</v>
      </c>
      <c r="I23" s="16">
        <v>603.9</v>
      </c>
      <c r="J23" s="16">
        <v>289.39999999999998</v>
      </c>
      <c r="K23" s="16">
        <v>158.6</v>
      </c>
      <c r="L23" s="16">
        <v>61.5</v>
      </c>
      <c r="M23" s="16">
        <v>67</v>
      </c>
      <c r="N23" s="18">
        <v>15.6</v>
      </c>
      <c r="O23" s="12">
        <f t="shared" si="0"/>
        <v>2073.3000000000002</v>
      </c>
      <c r="P23" s="19">
        <f t="shared" si="1"/>
        <v>172.8</v>
      </c>
    </row>
    <row r="24" spans="2:18" ht="21.95" customHeight="1">
      <c r="B24" s="15">
        <v>2012</v>
      </c>
      <c r="C24" s="16">
        <v>9.6</v>
      </c>
      <c r="D24" s="16">
        <v>1.7</v>
      </c>
      <c r="E24" s="16">
        <v>66.400000000000006</v>
      </c>
      <c r="F24" s="16">
        <v>84.5</v>
      </c>
      <c r="G24" s="16">
        <v>61</v>
      </c>
      <c r="H24" s="16">
        <v>58.8</v>
      </c>
      <c r="I24" s="16">
        <v>265.7</v>
      </c>
      <c r="J24" s="16">
        <v>403.3</v>
      </c>
      <c r="K24" s="16">
        <v>177.2</v>
      </c>
      <c r="L24" s="16">
        <v>62</v>
      </c>
      <c r="M24" s="16">
        <v>48</v>
      </c>
      <c r="N24" s="18">
        <v>52.1</v>
      </c>
      <c r="O24" s="12">
        <f t="shared" si="0"/>
        <v>1290.3</v>
      </c>
      <c r="P24" s="19">
        <f t="shared" si="1"/>
        <v>107.5</v>
      </c>
    </row>
    <row r="25" spans="2:18" ht="21.95" customHeight="1">
      <c r="B25" s="15">
        <v>2013</v>
      </c>
      <c r="C25" s="16">
        <v>40.5</v>
      </c>
      <c r="D25" s="16">
        <v>36.9</v>
      </c>
      <c r="E25" s="16">
        <v>48</v>
      </c>
      <c r="F25" s="16">
        <v>84.7</v>
      </c>
      <c r="G25" s="16">
        <v>92.5</v>
      </c>
      <c r="H25" s="16">
        <v>126.6</v>
      </c>
      <c r="I25" s="16">
        <v>240.7</v>
      </c>
      <c r="J25" s="16">
        <v>222.2</v>
      </c>
      <c r="K25" s="16">
        <v>122.2</v>
      </c>
      <c r="L25" s="16">
        <v>12.1</v>
      </c>
      <c r="M25" s="16">
        <v>44</v>
      </c>
      <c r="N25" s="18">
        <v>32.200000000000003</v>
      </c>
      <c r="O25" s="12">
        <f t="shared" si="0"/>
        <v>1102.5999999999999</v>
      </c>
      <c r="P25" s="19">
        <f t="shared" si="1"/>
        <v>91.9</v>
      </c>
    </row>
    <row r="26" spans="2:18" ht="21.95" customHeight="1">
      <c r="B26" s="15">
        <v>2014</v>
      </c>
      <c r="C26" s="16">
        <v>14</v>
      </c>
      <c r="D26" s="16">
        <v>18.899999999999999</v>
      </c>
      <c r="E26" s="16">
        <v>37.700000000000003</v>
      </c>
      <c r="F26" s="16">
        <v>39.6</v>
      </c>
      <c r="G26" s="16">
        <v>26.3</v>
      </c>
      <c r="H26" s="16">
        <v>63.3</v>
      </c>
      <c r="I26" s="16">
        <v>92.6</v>
      </c>
      <c r="J26" s="16">
        <v>284.3</v>
      </c>
      <c r="K26" s="16">
        <v>122.7</v>
      </c>
      <c r="L26" s="16">
        <v>153.80000000000001</v>
      </c>
      <c r="M26" s="16">
        <v>23.5</v>
      </c>
      <c r="N26" s="18">
        <v>22.9</v>
      </c>
      <c r="O26" s="12">
        <f t="shared" si="0"/>
        <v>899.6</v>
      </c>
      <c r="P26" s="19">
        <f t="shared" si="1"/>
        <v>75</v>
      </c>
    </row>
    <row r="27" spans="2:18" ht="21.95" customHeight="1">
      <c r="B27" s="15">
        <v>2015</v>
      </c>
      <c r="C27" s="16">
        <v>15.6</v>
      </c>
      <c r="D27" s="16">
        <v>22.8</v>
      </c>
      <c r="E27" s="16">
        <v>31.7</v>
      </c>
      <c r="F27" s="16">
        <v>88.9</v>
      </c>
      <c r="G27" s="16">
        <v>23</v>
      </c>
      <c r="H27" s="16">
        <v>75</v>
      </c>
      <c r="I27" s="16">
        <v>181.6</v>
      </c>
      <c r="J27" s="16">
        <v>71.8</v>
      </c>
      <c r="K27" s="16">
        <v>33.799999999999997</v>
      </c>
      <c r="L27" s="16">
        <v>60.2</v>
      </c>
      <c r="M27" s="16">
        <v>89.9</v>
      </c>
      <c r="N27" s="18">
        <v>37.5</v>
      </c>
      <c r="O27" s="12">
        <f t="shared" si="0"/>
        <v>731.8</v>
      </c>
      <c r="P27" s="19">
        <f t="shared" si="1"/>
        <v>61</v>
      </c>
    </row>
    <row r="28" spans="2:18" ht="21.95" customHeight="1">
      <c r="B28" s="15">
        <v>2016</v>
      </c>
      <c r="C28" s="16">
        <v>1.8</v>
      </c>
      <c r="D28" s="16">
        <v>50.1</v>
      </c>
      <c r="E28" s="16">
        <v>11.9</v>
      </c>
      <c r="F28" s="16">
        <v>97.3</v>
      </c>
      <c r="G28" s="16">
        <v>70</v>
      </c>
      <c r="H28" s="16">
        <v>38.9</v>
      </c>
      <c r="I28" s="16">
        <v>374.4</v>
      </c>
      <c r="J28" s="16">
        <v>44</v>
      </c>
      <c r="K28" s="16">
        <v>60.8</v>
      </c>
      <c r="L28" s="16">
        <v>102.6</v>
      </c>
      <c r="M28" s="16">
        <v>22.9</v>
      </c>
      <c r="N28" s="18">
        <v>42.4</v>
      </c>
      <c r="O28" s="12">
        <f t="shared" si="0"/>
        <v>917.1</v>
      </c>
      <c r="P28" s="19">
        <f t="shared" si="1"/>
        <v>76.400000000000006</v>
      </c>
    </row>
    <row r="29" spans="2:18" ht="21.95" customHeight="1">
      <c r="B29" s="15">
        <v>2017</v>
      </c>
      <c r="C29" s="16">
        <v>18</v>
      </c>
      <c r="D29" s="16">
        <v>36.200000000000003</v>
      </c>
      <c r="E29" s="16">
        <v>22.5</v>
      </c>
      <c r="F29" s="16">
        <v>71.400000000000006</v>
      </c>
      <c r="G29" s="16">
        <v>32.200000000000003</v>
      </c>
      <c r="H29" s="16">
        <v>43.7</v>
      </c>
      <c r="I29" s="16">
        <v>464.3</v>
      </c>
      <c r="J29" s="16">
        <v>257.89999999999998</v>
      </c>
      <c r="K29" s="16">
        <v>62.4</v>
      </c>
      <c r="L29" s="16">
        <v>21.2</v>
      </c>
      <c r="M29" s="16">
        <v>17.600000000000001</v>
      </c>
      <c r="N29" s="18">
        <v>25.5</v>
      </c>
      <c r="O29" s="12">
        <f t="shared" si="0"/>
        <v>1072.9000000000001</v>
      </c>
      <c r="P29" s="19">
        <f t="shared" si="1"/>
        <v>89.4</v>
      </c>
    </row>
    <row r="30" spans="2:18" ht="21.95" customHeight="1">
      <c r="B30" s="15">
        <v>2018</v>
      </c>
      <c r="C30" s="16">
        <v>14.3</v>
      </c>
      <c r="D30" s="16">
        <v>35.799999999999997</v>
      </c>
      <c r="E30" s="16">
        <v>75.099999999999994</v>
      </c>
      <c r="F30" s="16">
        <v>107.9</v>
      </c>
      <c r="G30" s="16">
        <v>180</v>
      </c>
      <c r="H30" s="16">
        <v>63.7</v>
      </c>
      <c r="I30" s="16">
        <v>149.1</v>
      </c>
      <c r="J30" s="16">
        <v>353.3</v>
      </c>
      <c r="K30" s="16">
        <v>184.9</v>
      </c>
      <c r="L30" s="16">
        <v>96</v>
      </c>
      <c r="M30" s="16">
        <v>50</v>
      </c>
      <c r="N30" s="18">
        <v>39</v>
      </c>
      <c r="O30" s="12">
        <f t="shared" si="0"/>
        <v>1349.1</v>
      </c>
      <c r="P30" s="19">
        <f t="shared" si="1"/>
        <v>112.4</v>
      </c>
    </row>
    <row r="31" spans="2:18" ht="21.95" customHeight="1">
      <c r="B31" s="15">
        <v>2019</v>
      </c>
      <c r="C31" s="16">
        <v>4.0999999999999996</v>
      </c>
      <c r="D31" s="16">
        <v>29</v>
      </c>
      <c r="E31" s="16">
        <v>27.9</v>
      </c>
      <c r="F31" s="16">
        <v>58.5</v>
      </c>
      <c r="G31" s="16">
        <v>15.4</v>
      </c>
      <c r="H31" s="16">
        <v>59.6</v>
      </c>
      <c r="I31" s="16">
        <v>161.4</v>
      </c>
      <c r="J31" s="16">
        <v>102.6</v>
      </c>
      <c r="K31" s="16">
        <v>165.9</v>
      </c>
      <c r="L31" s="16">
        <v>59</v>
      </c>
      <c r="M31" s="16">
        <v>84.6</v>
      </c>
      <c r="N31" s="18">
        <v>27.5</v>
      </c>
      <c r="O31" s="12">
        <f t="shared" si="0"/>
        <v>795.5</v>
      </c>
      <c r="P31" s="19">
        <f t="shared" si="1"/>
        <v>66.3</v>
      </c>
    </row>
    <row r="32" spans="2:18" ht="21.95" customHeight="1">
      <c r="B32" s="15">
        <v>2020</v>
      </c>
      <c r="C32" s="16">
        <v>60.2</v>
      </c>
      <c r="D32" s="16">
        <v>61.9</v>
      </c>
      <c r="E32" s="16">
        <v>20.7</v>
      </c>
      <c r="F32" s="16">
        <v>25.9</v>
      </c>
      <c r="G32" s="16">
        <v>109.7</v>
      </c>
      <c r="H32" s="16">
        <v>112.1</v>
      </c>
      <c r="I32" s="16">
        <v>352.2</v>
      </c>
      <c r="J32" s="16">
        <v>505.6</v>
      </c>
      <c r="K32" s="16">
        <v>146.4</v>
      </c>
      <c r="L32" s="16">
        <v>10.7</v>
      </c>
      <c r="M32" s="16">
        <v>30</v>
      </c>
      <c r="N32" s="18">
        <v>11.1</v>
      </c>
      <c r="O32" s="12">
        <f t="shared" si="0"/>
        <v>1446.5</v>
      </c>
      <c r="P32" s="19">
        <f t="shared" si="1"/>
        <v>120.5</v>
      </c>
    </row>
    <row r="33" spans="2:16" ht="21.95" customHeight="1">
      <c r="B33" s="15">
        <v>2021</v>
      </c>
      <c r="C33" s="16">
        <v>13.6</v>
      </c>
      <c r="D33" s="16">
        <v>12.3</v>
      </c>
      <c r="E33" s="16">
        <v>80.5</v>
      </c>
      <c r="F33" s="16">
        <v>63.4</v>
      </c>
      <c r="G33" s="16">
        <v>178.4</v>
      </c>
      <c r="H33" s="16">
        <v>130.4</v>
      </c>
      <c r="I33" s="16">
        <v>310.7</v>
      </c>
      <c r="J33" s="16">
        <v>239.9</v>
      </c>
      <c r="K33" s="16">
        <v>240.3</v>
      </c>
      <c r="L33" s="16">
        <v>45.5</v>
      </c>
      <c r="M33" s="16">
        <v>44.9</v>
      </c>
      <c r="N33" s="18">
        <v>5.6</v>
      </c>
      <c r="O33" s="12">
        <f t="shared" si="0"/>
        <v>1365.5</v>
      </c>
      <c r="P33" s="19">
        <f t="shared" si="1"/>
        <v>113.8</v>
      </c>
    </row>
    <row r="34" spans="2:16" ht="21.95" customHeight="1">
      <c r="B34" s="15">
        <v>2022</v>
      </c>
      <c r="C34" s="16">
        <v>2</v>
      </c>
      <c r="D34" s="16">
        <v>4.3</v>
      </c>
      <c r="E34" s="16">
        <v>79.900000000000006</v>
      </c>
      <c r="F34" s="16">
        <v>45.8</v>
      </c>
      <c r="G34" s="16">
        <v>8.6</v>
      </c>
      <c r="H34" s="16">
        <v>219</v>
      </c>
      <c r="I34" s="16">
        <v>350.5</v>
      </c>
      <c r="J34" s="16">
        <v>457.3</v>
      </c>
      <c r="K34" s="16">
        <v>102</v>
      </c>
      <c r="L34" s="16">
        <v>96.5</v>
      </c>
      <c r="M34" s="16">
        <v>79.5</v>
      </c>
      <c r="N34" s="18">
        <v>18.8</v>
      </c>
      <c r="O34" s="12">
        <f t="shared" si="0"/>
        <v>1464.2</v>
      </c>
      <c r="P34" s="19">
        <f t="shared" si="1"/>
        <v>122</v>
      </c>
    </row>
    <row r="35" spans="2:16" ht="21.95" customHeight="1" thickBot="1">
      <c r="B35" s="33">
        <v>2023</v>
      </c>
      <c r="C35" s="34">
        <v>23</v>
      </c>
      <c r="D35" s="34">
        <v>3.3</v>
      </c>
      <c r="E35" s="34">
        <v>16.7</v>
      </c>
      <c r="F35" s="34">
        <v>32.1</v>
      </c>
      <c r="G35" s="34">
        <v>123.8</v>
      </c>
      <c r="H35" s="34">
        <v>239.6</v>
      </c>
      <c r="I35" s="34">
        <v>554.20000000000005</v>
      </c>
      <c r="J35" s="34">
        <v>248</v>
      </c>
      <c r="K35" s="34">
        <v>242.5</v>
      </c>
      <c r="L35" s="34">
        <v>31.3</v>
      </c>
      <c r="M35" s="34">
        <v>50.8</v>
      </c>
      <c r="N35" s="35">
        <v>96.3</v>
      </c>
      <c r="O35" s="36">
        <f t="shared" si="0"/>
        <v>1661.6</v>
      </c>
      <c r="P35" s="37">
        <f t="shared" si="1"/>
        <v>138.5</v>
      </c>
    </row>
    <row r="36" spans="2:16" ht="21.95" customHeight="1">
      <c r="B36" s="38" t="s">
        <v>13</v>
      </c>
      <c r="C36" s="39">
        <f>ROUND(MAX(C6:C35),1)</f>
        <v>60.2</v>
      </c>
      <c r="D36" s="39">
        <f t="shared" ref="D36:N36" si="2">ROUND(MAX(D6:D35),1)</f>
        <v>70.8</v>
      </c>
      <c r="E36" s="39">
        <f t="shared" si="2"/>
        <v>112.7</v>
      </c>
      <c r="F36" s="39">
        <f t="shared" si="2"/>
        <v>170.8</v>
      </c>
      <c r="G36" s="39">
        <f t="shared" si="2"/>
        <v>193.5</v>
      </c>
      <c r="H36" s="39">
        <f t="shared" si="2"/>
        <v>452.6</v>
      </c>
      <c r="I36" s="39">
        <f t="shared" si="2"/>
        <v>666.9</v>
      </c>
      <c r="J36" s="39">
        <f t="shared" si="2"/>
        <v>802</v>
      </c>
      <c r="K36" s="39">
        <f t="shared" si="2"/>
        <v>332.7</v>
      </c>
      <c r="L36" s="39">
        <f t="shared" si="2"/>
        <v>195.1</v>
      </c>
      <c r="M36" s="39">
        <f t="shared" si="2"/>
        <v>128.5</v>
      </c>
      <c r="N36" s="40">
        <f t="shared" si="2"/>
        <v>96.3</v>
      </c>
      <c r="O36" s="41">
        <f>ROUND(MAX(O6:O35),1)</f>
        <v>2073.3000000000002</v>
      </c>
      <c r="P36" s="42">
        <f>ROUND(MAX(P6:P35),1)</f>
        <v>172.8</v>
      </c>
    </row>
    <row r="37" spans="2:16" ht="21.95" customHeight="1">
      <c r="B37" s="43" t="s">
        <v>14</v>
      </c>
      <c r="C37" s="44">
        <f>ROUND(MIN(C6:C35),1)</f>
        <v>1.8</v>
      </c>
      <c r="D37" s="44">
        <f t="shared" ref="D37:N37" si="3">ROUND(MIN(D6:D35),1)</f>
        <v>1.6</v>
      </c>
      <c r="E37" s="44">
        <f t="shared" si="3"/>
        <v>5.9</v>
      </c>
      <c r="F37" s="44">
        <f t="shared" si="3"/>
        <v>12</v>
      </c>
      <c r="G37" s="44">
        <f t="shared" si="3"/>
        <v>4.5999999999999996</v>
      </c>
      <c r="H37" s="44">
        <f t="shared" si="3"/>
        <v>19</v>
      </c>
      <c r="I37" s="44">
        <f t="shared" si="3"/>
        <v>92.6</v>
      </c>
      <c r="J37" s="44">
        <f t="shared" si="3"/>
        <v>44</v>
      </c>
      <c r="K37" s="44">
        <f t="shared" si="3"/>
        <v>13.8</v>
      </c>
      <c r="L37" s="44">
        <f t="shared" si="3"/>
        <v>1.4</v>
      </c>
      <c r="M37" s="44">
        <f t="shared" si="3"/>
        <v>4.4000000000000004</v>
      </c>
      <c r="N37" s="19">
        <f t="shared" si="3"/>
        <v>2.5</v>
      </c>
      <c r="O37" s="45">
        <f>ROUND(MIN(O6:O35),1)</f>
        <v>731.8</v>
      </c>
      <c r="P37" s="46">
        <f>ROUND(MIN(P6:P35),1)</f>
        <v>61</v>
      </c>
    </row>
    <row r="38" spans="2:16" ht="21.95" customHeight="1" thickBot="1">
      <c r="B38" s="47" t="s">
        <v>18</v>
      </c>
      <c r="C38" s="48">
        <f>ROUND(AVERAGE(C6:C35),1)</f>
        <v>20.100000000000001</v>
      </c>
      <c r="D38" s="48">
        <f t="shared" ref="D38:J38" si="4">ROUND(AVERAGE(D6:D35),1)</f>
        <v>26.2</v>
      </c>
      <c r="E38" s="48">
        <f t="shared" si="4"/>
        <v>44.2</v>
      </c>
      <c r="F38" s="48">
        <f t="shared" si="4"/>
        <v>70.599999999999994</v>
      </c>
      <c r="G38" s="48">
        <f t="shared" si="4"/>
        <v>86.6</v>
      </c>
      <c r="H38" s="48">
        <f t="shared" si="4"/>
        <v>146.5</v>
      </c>
      <c r="I38" s="48">
        <f t="shared" si="4"/>
        <v>299.3</v>
      </c>
      <c r="J38" s="48">
        <f t="shared" si="4"/>
        <v>285.7</v>
      </c>
      <c r="K38" s="48">
        <f t="shared" ref="K38:P38" si="5">ROUND(AVERAGE(K6:K35),1)</f>
        <v>143.30000000000001</v>
      </c>
      <c r="L38" s="48">
        <f t="shared" si="5"/>
        <v>58.3</v>
      </c>
      <c r="M38" s="48">
        <f t="shared" si="5"/>
        <v>41.7</v>
      </c>
      <c r="N38" s="49">
        <f t="shared" si="5"/>
        <v>25</v>
      </c>
      <c r="O38" s="50">
        <f t="shared" si="5"/>
        <v>1247.4000000000001</v>
      </c>
      <c r="P38" s="51">
        <f t="shared" si="5"/>
        <v>104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30.75" customHeight="1">
      <c r="B43" s="75" t="s">
        <v>15</v>
      </c>
      <c r="C43" s="76" t="s">
        <v>8</v>
      </c>
      <c r="D43" s="76" t="s">
        <v>9</v>
      </c>
      <c r="E43" s="76" t="s">
        <v>10</v>
      </c>
      <c r="F43" s="76" t="s">
        <v>11</v>
      </c>
      <c r="G43" s="76" t="s">
        <v>12</v>
      </c>
      <c r="H43" s="76" t="s">
        <v>0</v>
      </c>
      <c r="I43" s="76" t="s">
        <v>1</v>
      </c>
      <c r="J43" s="76" t="s">
        <v>2</v>
      </c>
      <c r="K43" s="76" t="s">
        <v>3</v>
      </c>
      <c r="L43" s="76" t="s">
        <v>4</v>
      </c>
      <c r="M43" s="76" t="s">
        <v>5</v>
      </c>
      <c r="N43" s="77" t="s">
        <v>6</v>
      </c>
      <c r="O43" s="78" t="s">
        <v>16</v>
      </c>
      <c r="P43" s="77" t="s">
        <v>7</v>
      </c>
    </row>
    <row r="44" spans="2:16" ht="21.95" customHeight="1">
      <c r="B44" s="52">
        <f>B26</f>
        <v>2014</v>
      </c>
      <c r="C44" s="53">
        <f t="shared" ref="C44:N44" si="6">C26</f>
        <v>14</v>
      </c>
      <c r="D44" s="53">
        <f t="shared" si="6"/>
        <v>18.899999999999999</v>
      </c>
      <c r="E44" s="53">
        <f t="shared" si="6"/>
        <v>37.700000000000003</v>
      </c>
      <c r="F44" s="53">
        <f t="shared" si="6"/>
        <v>39.6</v>
      </c>
      <c r="G44" s="53">
        <f t="shared" si="6"/>
        <v>26.3</v>
      </c>
      <c r="H44" s="53">
        <f t="shared" si="6"/>
        <v>63.3</v>
      </c>
      <c r="I44" s="53">
        <f t="shared" si="6"/>
        <v>92.6</v>
      </c>
      <c r="J44" s="53">
        <f t="shared" si="6"/>
        <v>284.3</v>
      </c>
      <c r="K44" s="53">
        <f t="shared" si="6"/>
        <v>122.7</v>
      </c>
      <c r="L44" s="53">
        <f t="shared" si="6"/>
        <v>153.80000000000001</v>
      </c>
      <c r="M44" s="53">
        <f t="shared" si="6"/>
        <v>23.5</v>
      </c>
      <c r="N44" s="54">
        <f t="shared" si="6"/>
        <v>22.9</v>
      </c>
      <c r="O44" s="55">
        <f>ROUND(SUM(C44:N44),1)</f>
        <v>899.6</v>
      </c>
      <c r="P44" s="46">
        <f>ROUND(O44/12,1)</f>
        <v>75</v>
      </c>
    </row>
    <row r="45" spans="2:16" ht="21.95" customHeight="1">
      <c r="B45" s="52">
        <f t="shared" ref="B45:N45" si="7">B27</f>
        <v>2015</v>
      </c>
      <c r="C45" s="53">
        <f t="shared" si="7"/>
        <v>15.6</v>
      </c>
      <c r="D45" s="53">
        <f t="shared" si="7"/>
        <v>22.8</v>
      </c>
      <c r="E45" s="53">
        <f t="shared" si="7"/>
        <v>31.7</v>
      </c>
      <c r="F45" s="53">
        <f t="shared" si="7"/>
        <v>88.9</v>
      </c>
      <c r="G45" s="53">
        <f t="shared" si="7"/>
        <v>23</v>
      </c>
      <c r="H45" s="53">
        <f t="shared" si="7"/>
        <v>75</v>
      </c>
      <c r="I45" s="53">
        <f t="shared" si="7"/>
        <v>181.6</v>
      </c>
      <c r="J45" s="53">
        <f t="shared" si="7"/>
        <v>71.8</v>
      </c>
      <c r="K45" s="53">
        <f t="shared" si="7"/>
        <v>33.799999999999997</v>
      </c>
      <c r="L45" s="53">
        <f t="shared" si="7"/>
        <v>60.2</v>
      </c>
      <c r="M45" s="53">
        <f t="shared" si="7"/>
        <v>89.9</v>
      </c>
      <c r="N45" s="54">
        <f t="shared" si="7"/>
        <v>37.5</v>
      </c>
      <c r="O45" s="55">
        <f t="shared" ref="O45:O53" si="8">ROUND(SUM(C45:N45),1)</f>
        <v>731.8</v>
      </c>
      <c r="P45" s="46">
        <f t="shared" ref="P45:P53" si="9">ROUND(O45/12,1)</f>
        <v>61</v>
      </c>
    </row>
    <row r="46" spans="2:16" ht="21.95" customHeight="1">
      <c r="B46" s="52">
        <f t="shared" ref="B46:N46" si="10">B28</f>
        <v>2016</v>
      </c>
      <c r="C46" s="53">
        <f t="shared" si="10"/>
        <v>1.8</v>
      </c>
      <c r="D46" s="53">
        <f t="shared" si="10"/>
        <v>50.1</v>
      </c>
      <c r="E46" s="53">
        <f t="shared" si="10"/>
        <v>11.9</v>
      </c>
      <c r="F46" s="53">
        <f t="shared" si="10"/>
        <v>97.3</v>
      </c>
      <c r="G46" s="53">
        <f t="shared" si="10"/>
        <v>70</v>
      </c>
      <c r="H46" s="53">
        <f t="shared" si="10"/>
        <v>38.9</v>
      </c>
      <c r="I46" s="53">
        <f t="shared" si="10"/>
        <v>374.4</v>
      </c>
      <c r="J46" s="53">
        <f t="shared" si="10"/>
        <v>44</v>
      </c>
      <c r="K46" s="53">
        <f t="shared" si="10"/>
        <v>60.8</v>
      </c>
      <c r="L46" s="53">
        <f t="shared" si="10"/>
        <v>102.6</v>
      </c>
      <c r="M46" s="53">
        <f t="shared" si="10"/>
        <v>22.9</v>
      </c>
      <c r="N46" s="54">
        <f t="shared" si="10"/>
        <v>42.4</v>
      </c>
      <c r="O46" s="55">
        <f t="shared" si="8"/>
        <v>917.1</v>
      </c>
      <c r="P46" s="46">
        <f t="shared" si="9"/>
        <v>76.400000000000006</v>
      </c>
    </row>
    <row r="47" spans="2:16" ht="21.95" customHeight="1">
      <c r="B47" s="52">
        <f t="shared" ref="B47:N47" si="11">B29</f>
        <v>2017</v>
      </c>
      <c r="C47" s="53">
        <f t="shared" si="11"/>
        <v>18</v>
      </c>
      <c r="D47" s="53">
        <f t="shared" si="11"/>
        <v>36.200000000000003</v>
      </c>
      <c r="E47" s="53">
        <f t="shared" si="11"/>
        <v>22.5</v>
      </c>
      <c r="F47" s="53">
        <f t="shared" si="11"/>
        <v>71.400000000000006</v>
      </c>
      <c r="G47" s="53">
        <f t="shared" si="11"/>
        <v>32.200000000000003</v>
      </c>
      <c r="H47" s="53">
        <f t="shared" si="11"/>
        <v>43.7</v>
      </c>
      <c r="I47" s="53">
        <f t="shared" si="11"/>
        <v>464.3</v>
      </c>
      <c r="J47" s="53">
        <f t="shared" si="11"/>
        <v>257.89999999999998</v>
      </c>
      <c r="K47" s="53">
        <f t="shared" si="11"/>
        <v>62.4</v>
      </c>
      <c r="L47" s="53">
        <f t="shared" si="11"/>
        <v>21.2</v>
      </c>
      <c r="M47" s="53">
        <f t="shared" si="11"/>
        <v>17.600000000000001</v>
      </c>
      <c r="N47" s="54">
        <f t="shared" si="11"/>
        <v>25.5</v>
      </c>
      <c r="O47" s="55">
        <f>ROUND(SUM(C47:N47),1)</f>
        <v>1072.9000000000001</v>
      </c>
      <c r="P47" s="46">
        <f t="shared" si="9"/>
        <v>89.4</v>
      </c>
    </row>
    <row r="48" spans="2:16" ht="21.95" customHeight="1">
      <c r="B48" s="52">
        <f t="shared" ref="B48:N48" si="12">B30</f>
        <v>2018</v>
      </c>
      <c r="C48" s="53">
        <f t="shared" si="12"/>
        <v>14.3</v>
      </c>
      <c r="D48" s="53">
        <f t="shared" si="12"/>
        <v>35.799999999999997</v>
      </c>
      <c r="E48" s="53">
        <f t="shared" si="12"/>
        <v>75.099999999999994</v>
      </c>
      <c r="F48" s="53">
        <f t="shared" si="12"/>
        <v>107.9</v>
      </c>
      <c r="G48" s="53">
        <f t="shared" si="12"/>
        <v>180</v>
      </c>
      <c r="H48" s="53">
        <f t="shared" si="12"/>
        <v>63.7</v>
      </c>
      <c r="I48" s="53">
        <f t="shared" si="12"/>
        <v>149.1</v>
      </c>
      <c r="J48" s="53">
        <f t="shared" si="12"/>
        <v>353.3</v>
      </c>
      <c r="K48" s="53">
        <f t="shared" si="12"/>
        <v>184.9</v>
      </c>
      <c r="L48" s="53">
        <f t="shared" si="12"/>
        <v>96</v>
      </c>
      <c r="M48" s="53">
        <f t="shared" si="12"/>
        <v>50</v>
      </c>
      <c r="N48" s="54">
        <f t="shared" si="12"/>
        <v>39</v>
      </c>
      <c r="O48" s="55">
        <f t="shared" si="8"/>
        <v>1349.1</v>
      </c>
      <c r="P48" s="46">
        <f t="shared" si="9"/>
        <v>112.4</v>
      </c>
    </row>
    <row r="49" spans="2:16" ht="21.95" customHeight="1">
      <c r="B49" s="52">
        <f t="shared" ref="B49:N49" si="13">B31</f>
        <v>2019</v>
      </c>
      <c r="C49" s="53">
        <f t="shared" si="13"/>
        <v>4.0999999999999996</v>
      </c>
      <c r="D49" s="53">
        <f t="shared" si="13"/>
        <v>29</v>
      </c>
      <c r="E49" s="53">
        <f t="shared" si="13"/>
        <v>27.9</v>
      </c>
      <c r="F49" s="53">
        <f t="shared" si="13"/>
        <v>58.5</v>
      </c>
      <c r="G49" s="53">
        <f t="shared" si="13"/>
        <v>15.4</v>
      </c>
      <c r="H49" s="53">
        <f t="shared" si="13"/>
        <v>59.6</v>
      </c>
      <c r="I49" s="53">
        <f t="shared" si="13"/>
        <v>161.4</v>
      </c>
      <c r="J49" s="53">
        <f t="shared" si="13"/>
        <v>102.6</v>
      </c>
      <c r="K49" s="53">
        <f t="shared" si="13"/>
        <v>165.9</v>
      </c>
      <c r="L49" s="53">
        <f t="shared" si="13"/>
        <v>59</v>
      </c>
      <c r="M49" s="53">
        <f t="shared" si="13"/>
        <v>84.6</v>
      </c>
      <c r="N49" s="54">
        <f t="shared" si="13"/>
        <v>27.5</v>
      </c>
      <c r="O49" s="55">
        <f t="shared" si="8"/>
        <v>795.5</v>
      </c>
      <c r="P49" s="46">
        <f t="shared" si="9"/>
        <v>66.3</v>
      </c>
    </row>
    <row r="50" spans="2:16" ht="21.95" customHeight="1">
      <c r="B50" s="52">
        <f t="shared" ref="B50:N50" si="14">B32</f>
        <v>2020</v>
      </c>
      <c r="C50" s="53">
        <f t="shared" si="14"/>
        <v>60.2</v>
      </c>
      <c r="D50" s="53">
        <f t="shared" si="14"/>
        <v>61.9</v>
      </c>
      <c r="E50" s="53">
        <f t="shared" si="14"/>
        <v>20.7</v>
      </c>
      <c r="F50" s="53">
        <f t="shared" si="14"/>
        <v>25.9</v>
      </c>
      <c r="G50" s="53">
        <f t="shared" si="14"/>
        <v>109.7</v>
      </c>
      <c r="H50" s="53">
        <f t="shared" si="14"/>
        <v>112.1</v>
      </c>
      <c r="I50" s="53">
        <f t="shared" si="14"/>
        <v>352.2</v>
      </c>
      <c r="J50" s="53">
        <f t="shared" si="14"/>
        <v>505.6</v>
      </c>
      <c r="K50" s="53">
        <f t="shared" si="14"/>
        <v>146.4</v>
      </c>
      <c r="L50" s="53">
        <f t="shared" si="14"/>
        <v>10.7</v>
      </c>
      <c r="M50" s="53">
        <f t="shared" si="14"/>
        <v>30</v>
      </c>
      <c r="N50" s="54">
        <f t="shared" si="14"/>
        <v>11.1</v>
      </c>
      <c r="O50" s="55">
        <f t="shared" si="8"/>
        <v>1446.5</v>
      </c>
      <c r="P50" s="46">
        <f t="shared" si="9"/>
        <v>120.5</v>
      </c>
    </row>
    <row r="51" spans="2:16" ht="21.95" customHeight="1">
      <c r="B51" s="52">
        <f t="shared" ref="B51:N51" si="15">B33</f>
        <v>2021</v>
      </c>
      <c r="C51" s="53">
        <f t="shared" si="15"/>
        <v>13.6</v>
      </c>
      <c r="D51" s="53">
        <f t="shared" si="15"/>
        <v>12.3</v>
      </c>
      <c r="E51" s="53">
        <f t="shared" si="15"/>
        <v>80.5</v>
      </c>
      <c r="F51" s="53">
        <f t="shared" si="15"/>
        <v>63.4</v>
      </c>
      <c r="G51" s="53">
        <f t="shared" si="15"/>
        <v>178.4</v>
      </c>
      <c r="H51" s="53">
        <f t="shared" si="15"/>
        <v>130.4</v>
      </c>
      <c r="I51" s="53">
        <f t="shared" si="15"/>
        <v>310.7</v>
      </c>
      <c r="J51" s="53">
        <f t="shared" si="15"/>
        <v>239.9</v>
      </c>
      <c r="K51" s="53">
        <f t="shared" si="15"/>
        <v>240.3</v>
      </c>
      <c r="L51" s="53">
        <f t="shared" si="15"/>
        <v>45.5</v>
      </c>
      <c r="M51" s="53">
        <f t="shared" si="15"/>
        <v>44.9</v>
      </c>
      <c r="N51" s="54">
        <f t="shared" si="15"/>
        <v>5.6</v>
      </c>
      <c r="O51" s="55">
        <f t="shared" si="8"/>
        <v>1365.5</v>
      </c>
      <c r="P51" s="46">
        <f t="shared" si="9"/>
        <v>113.8</v>
      </c>
    </row>
    <row r="52" spans="2:16" ht="21.95" customHeight="1">
      <c r="B52" s="52">
        <f t="shared" ref="B52:N52" si="16">B34</f>
        <v>2022</v>
      </c>
      <c r="C52" s="53">
        <f t="shared" si="16"/>
        <v>2</v>
      </c>
      <c r="D52" s="53">
        <f t="shared" si="16"/>
        <v>4.3</v>
      </c>
      <c r="E52" s="53">
        <f t="shared" si="16"/>
        <v>79.900000000000006</v>
      </c>
      <c r="F52" s="53">
        <f t="shared" si="16"/>
        <v>45.8</v>
      </c>
      <c r="G52" s="53">
        <f t="shared" si="16"/>
        <v>8.6</v>
      </c>
      <c r="H52" s="53">
        <f t="shared" si="16"/>
        <v>219</v>
      </c>
      <c r="I52" s="53">
        <f t="shared" si="16"/>
        <v>350.5</v>
      </c>
      <c r="J52" s="53">
        <f t="shared" si="16"/>
        <v>457.3</v>
      </c>
      <c r="K52" s="53">
        <f t="shared" si="16"/>
        <v>102</v>
      </c>
      <c r="L52" s="53">
        <f t="shared" si="16"/>
        <v>96.5</v>
      </c>
      <c r="M52" s="53">
        <f t="shared" si="16"/>
        <v>79.5</v>
      </c>
      <c r="N52" s="54">
        <f t="shared" si="16"/>
        <v>18.8</v>
      </c>
      <c r="O52" s="55">
        <f t="shared" si="8"/>
        <v>1464.2</v>
      </c>
      <c r="P52" s="46">
        <f t="shared" si="9"/>
        <v>122</v>
      </c>
    </row>
    <row r="53" spans="2:16" ht="21.95" customHeight="1" thickBot="1">
      <c r="B53" s="56">
        <f t="shared" ref="B53:N53" si="17">B35</f>
        <v>2023</v>
      </c>
      <c r="C53" s="57">
        <f t="shared" si="17"/>
        <v>23</v>
      </c>
      <c r="D53" s="57">
        <f t="shared" si="17"/>
        <v>3.3</v>
      </c>
      <c r="E53" s="57">
        <f t="shared" si="17"/>
        <v>16.7</v>
      </c>
      <c r="F53" s="57">
        <f t="shared" si="17"/>
        <v>32.1</v>
      </c>
      <c r="G53" s="57">
        <f t="shared" si="17"/>
        <v>123.8</v>
      </c>
      <c r="H53" s="57">
        <f t="shared" si="17"/>
        <v>239.6</v>
      </c>
      <c r="I53" s="57">
        <f t="shared" si="17"/>
        <v>554.20000000000005</v>
      </c>
      <c r="J53" s="57">
        <f t="shared" si="17"/>
        <v>248</v>
      </c>
      <c r="K53" s="57">
        <f t="shared" si="17"/>
        <v>242.5</v>
      </c>
      <c r="L53" s="57">
        <f t="shared" si="17"/>
        <v>31.3</v>
      </c>
      <c r="M53" s="57">
        <f t="shared" si="17"/>
        <v>50.8</v>
      </c>
      <c r="N53" s="58">
        <f t="shared" si="17"/>
        <v>96.3</v>
      </c>
      <c r="O53" s="59">
        <f t="shared" si="8"/>
        <v>1661.6</v>
      </c>
      <c r="P53" s="51">
        <f t="shared" si="9"/>
        <v>138.5</v>
      </c>
    </row>
    <row r="54" spans="2:16" ht="21.95" customHeight="1">
      <c r="B54" s="60" t="s">
        <v>19</v>
      </c>
      <c r="C54" s="61">
        <f>MAX(C44:C53)</f>
        <v>60.2</v>
      </c>
      <c r="D54" s="61">
        <f t="shared" ref="D54:P54" si="18">MAX(D44:D53)</f>
        <v>61.9</v>
      </c>
      <c r="E54" s="61">
        <f t="shared" si="18"/>
        <v>80.5</v>
      </c>
      <c r="F54" s="61">
        <f t="shared" si="18"/>
        <v>107.9</v>
      </c>
      <c r="G54" s="61">
        <f t="shared" si="18"/>
        <v>180</v>
      </c>
      <c r="H54" s="61">
        <f t="shared" si="18"/>
        <v>239.6</v>
      </c>
      <c r="I54" s="61">
        <f t="shared" si="18"/>
        <v>554.20000000000005</v>
      </c>
      <c r="J54" s="61">
        <f t="shared" si="18"/>
        <v>505.6</v>
      </c>
      <c r="K54" s="61">
        <f t="shared" si="18"/>
        <v>242.5</v>
      </c>
      <c r="L54" s="61">
        <f t="shared" si="18"/>
        <v>153.80000000000001</v>
      </c>
      <c r="M54" s="61">
        <f t="shared" si="18"/>
        <v>89.9</v>
      </c>
      <c r="N54" s="62">
        <f t="shared" si="18"/>
        <v>96.3</v>
      </c>
      <c r="O54" s="63">
        <f t="shared" si="18"/>
        <v>1661.6</v>
      </c>
      <c r="P54" s="62">
        <f t="shared" si="18"/>
        <v>138.5</v>
      </c>
    </row>
    <row r="55" spans="2:16" ht="21.95" customHeight="1">
      <c r="B55" s="64" t="s">
        <v>20</v>
      </c>
      <c r="C55" s="65">
        <f>MIN(C44:C53)</f>
        <v>1.8</v>
      </c>
      <c r="D55" s="65">
        <f t="shared" ref="D55:P55" si="19">MIN(D44:D53)</f>
        <v>3.3</v>
      </c>
      <c r="E55" s="65">
        <f t="shared" si="19"/>
        <v>11.9</v>
      </c>
      <c r="F55" s="65">
        <f t="shared" si="19"/>
        <v>25.9</v>
      </c>
      <c r="G55" s="65">
        <f t="shared" si="19"/>
        <v>8.6</v>
      </c>
      <c r="H55" s="65">
        <f t="shared" si="19"/>
        <v>38.9</v>
      </c>
      <c r="I55" s="65">
        <f t="shared" si="19"/>
        <v>92.6</v>
      </c>
      <c r="J55" s="65">
        <f t="shared" si="19"/>
        <v>44</v>
      </c>
      <c r="K55" s="65">
        <f t="shared" si="19"/>
        <v>33.799999999999997</v>
      </c>
      <c r="L55" s="65">
        <f t="shared" si="19"/>
        <v>10.7</v>
      </c>
      <c r="M55" s="65">
        <f t="shared" si="19"/>
        <v>17.600000000000001</v>
      </c>
      <c r="N55" s="46">
        <f t="shared" si="19"/>
        <v>5.6</v>
      </c>
      <c r="O55" s="55">
        <f>MIN(O44:O53)</f>
        <v>731.8</v>
      </c>
      <c r="P55" s="46">
        <f t="shared" si="19"/>
        <v>61</v>
      </c>
    </row>
    <row r="56" spans="2:16" ht="21.95" customHeight="1" thickBot="1">
      <c r="B56" s="66" t="s">
        <v>7</v>
      </c>
      <c r="C56" s="67">
        <f>ROUND(AVERAGE(C44:C53),1)</f>
        <v>16.7</v>
      </c>
      <c r="D56" s="67">
        <f t="shared" ref="D56:N56" si="20">ROUND(AVERAGE(D44:D53),1)</f>
        <v>27.5</v>
      </c>
      <c r="E56" s="67">
        <f t="shared" si="20"/>
        <v>40.5</v>
      </c>
      <c r="F56" s="67">
        <f t="shared" si="20"/>
        <v>63.1</v>
      </c>
      <c r="G56" s="67">
        <f t="shared" si="20"/>
        <v>76.7</v>
      </c>
      <c r="H56" s="67">
        <f t="shared" si="20"/>
        <v>104.5</v>
      </c>
      <c r="I56" s="67">
        <f t="shared" si="20"/>
        <v>299.10000000000002</v>
      </c>
      <c r="J56" s="67">
        <f t="shared" si="20"/>
        <v>256.5</v>
      </c>
      <c r="K56" s="67">
        <f t="shared" si="20"/>
        <v>136.19999999999999</v>
      </c>
      <c r="L56" s="67">
        <f t="shared" si="20"/>
        <v>67.7</v>
      </c>
      <c r="M56" s="67">
        <f t="shared" si="20"/>
        <v>49.4</v>
      </c>
      <c r="N56" s="51">
        <f t="shared" si="20"/>
        <v>32.700000000000003</v>
      </c>
      <c r="O56" s="59">
        <f>ROUND(AVERAGE(O44:O53),1)</f>
        <v>1170.4000000000001</v>
      </c>
      <c r="P56" s="51">
        <f>ROUND(AVERAGE(P44:P53),1)</f>
        <v>97.5</v>
      </c>
    </row>
    <row r="57" spans="2:16" ht="24" customHeight="1"/>
    <row r="85" s="68" customFormat="1"/>
    <row r="86" s="68" customFormat="1"/>
    <row r="87" s="68" customFormat="1"/>
    <row r="88" s="68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4" r:id="rId4" name="CommandButton_DeleteIgnoreError">
          <controlPr defaultSize="0" autoLine="0" r:id="rId5">
            <anchor moveWithCells="1">
              <from>
                <xdr:col>17</xdr:col>
                <xdr:colOff>200025</xdr:colOff>
                <xdr:row>18</xdr:row>
                <xdr:rowOff>38100</xdr:rowOff>
              </from>
              <to>
                <xdr:col>19</xdr:col>
                <xdr:colOff>238125</xdr:colOff>
                <xdr:row>19</xdr:row>
                <xdr:rowOff>161925</xdr:rowOff>
              </to>
            </anchor>
          </controlPr>
        </control>
      </mc:Choice>
      <mc:Fallback>
        <control shapeId="59434" r:id="rId4" name="CommandButton_DeleteIgnoreError"/>
      </mc:Fallback>
    </mc:AlternateContent>
    <mc:AlternateContent xmlns:mc="http://schemas.openxmlformats.org/markup-compatibility/2006">
      <mc:Choice Requires="x14">
        <control shapeId="59432" r:id="rId6" name="CommandButton_AnnualReset">
          <controlPr defaultSize="0" autoLine="0" r:id="rId7">
            <anchor moveWithCells="1">
              <from>
                <xdr:col>17</xdr:col>
                <xdr:colOff>200025</xdr:colOff>
                <xdr:row>16</xdr:row>
                <xdr:rowOff>104775</xdr:rowOff>
              </from>
              <to>
                <xdr:col>19</xdr:col>
                <xdr:colOff>238125</xdr:colOff>
                <xdr:row>17</xdr:row>
                <xdr:rowOff>228600</xdr:rowOff>
              </to>
            </anchor>
          </controlPr>
        </control>
      </mc:Choice>
      <mc:Fallback>
        <control shapeId="59432" r:id="rId6" name="CommandButton_AnnualReset"/>
      </mc:Fallback>
    </mc:AlternateContent>
    <mc:AlternateContent xmlns:mc="http://schemas.openxmlformats.org/markup-compatibility/2006">
      <mc:Choice Requires="x14">
        <control shapeId="59430" r:id="rId8" name="CommandButton_LoadDataFromArray">
          <controlPr defaultSize="0" autoLine="0" r:id="rId9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8" name="CommandButton_LoadDataFromArray"/>
      </mc:Fallback>
    </mc:AlternateContent>
    <mc:AlternateContent xmlns:mc="http://schemas.openxmlformats.org/markup-compatibility/2006">
      <mc:Choice Requires="x14">
        <control shapeId="59415" r:id="rId10" name="CommandButton_BackUP">
          <controlPr defaultSize="0" autoLine="0" r:id="rId11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10" name="CommandButton_BackUP"/>
      </mc:Fallback>
    </mc:AlternateContent>
    <mc:AlternateContent xmlns:mc="http://schemas.openxmlformats.org/markup-compatibility/2006">
      <mc:Choice Requires="x14">
        <control shapeId="59398" r:id="rId12" name="CommandButton_Clear30Year">
          <controlPr defaultSize="0" autoLine="0" r:id="rId13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12" name="CommandButton_Clear30Year"/>
      </mc:Fallback>
    </mc:AlternateContent>
    <mc:AlternateContent xmlns:mc="http://schemas.openxmlformats.org/markup-compatibility/2006">
      <mc:Choice Requires="x14">
        <control shapeId="59407" r:id="rId14" name="CommandButton_GetWeatherData">
          <controlPr defaultSize="0" autoLine="0" r:id="rId1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4" name="CommandButton_GetWeatherDa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N18" sqref="N18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5" width="6.44140625" style="1" customWidth="1"/>
    <col min="16" max="16" width="8.33203125" style="1" customWidth="1"/>
    <col min="17" max="17" width="7.44140625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40</v>
      </c>
      <c r="K2" s="1">
        <v>39</v>
      </c>
      <c r="M2" s="1" t="s">
        <v>67</v>
      </c>
      <c r="N2" s="1" t="s">
        <v>178</v>
      </c>
      <c r="O2" s="1">
        <v>226</v>
      </c>
      <c r="P2" s="1">
        <v>56</v>
      </c>
      <c r="Q2" s="1">
        <v>55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41</v>
      </c>
      <c r="K3" s="1">
        <v>39</v>
      </c>
      <c r="M3" s="1" t="s">
        <v>252</v>
      </c>
      <c r="N3" s="1" t="s">
        <v>253</v>
      </c>
      <c r="O3" s="1">
        <v>181</v>
      </c>
      <c r="P3" s="1">
        <v>57</v>
      </c>
      <c r="Q3" s="1">
        <v>55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24</v>
      </c>
      <c r="E4" s="1">
        <v>23</v>
      </c>
      <c r="G4" s="1" t="s">
        <v>54</v>
      </c>
      <c r="H4" s="1" t="s">
        <v>192</v>
      </c>
      <c r="I4" s="1">
        <v>106</v>
      </c>
      <c r="J4" s="1">
        <v>42</v>
      </c>
      <c r="K4" s="1">
        <v>39</v>
      </c>
      <c r="M4" s="1" t="s">
        <v>68</v>
      </c>
      <c r="N4" s="1" t="s">
        <v>179</v>
      </c>
      <c r="O4" s="1">
        <v>221</v>
      </c>
      <c r="P4" s="1">
        <v>58</v>
      </c>
      <c r="Q4" s="1">
        <v>55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25</v>
      </c>
      <c r="E5" s="1">
        <v>23</v>
      </c>
      <c r="G5" s="1" t="s">
        <v>55</v>
      </c>
      <c r="H5" s="1" t="s">
        <v>193</v>
      </c>
      <c r="I5" s="1">
        <v>104</v>
      </c>
      <c r="J5" s="1">
        <v>43</v>
      </c>
      <c r="K5" s="1">
        <v>39</v>
      </c>
      <c r="M5" s="1" t="s">
        <v>69</v>
      </c>
      <c r="N5" s="1" t="s">
        <v>180</v>
      </c>
      <c r="O5" s="1">
        <v>131</v>
      </c>
      <c r="P5" s="1">
        <v>59</v>
      </c>
      <c r="Q5" s="1">
        <v>55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26</v>
      </c>
      <c r="E6" s="1">
        <v>23</v>
      </c>
      <c r="G6" s="1" t="s">
        <v>56</v>
      </c>
      <c r="H6" s="1" t="s">
        <v>194</v>
      </c>
      <c r="I6" s="1">
        <v>93</v>
      </c>
      <c r="J6" s="1">
        <v>44</v>
      </c>
      <c r="K6" s="1">
        <v>39</v>
      </c>
      <c r="M6" s="1" t="s">
        <v>70</v>
      </c>
      <c r="N6" s="1" t="s">
        <v>181</v>
      </c>
      <c r="O6" s="1">
        <v>135</v>
      </c>
      <c r="P6" s="1">
        <v>60</v>
      </c>
      <c r="Q6" s="1">
        <v>55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34</v>
      </c>
      <c r="E7" s="1">
        <v>33</v>
      </c>
      <c r="G7" s="1" t="s">
        <v>57</v>
      </c>
      <c r="H7" s="1" t="s">
        <v>149</v>
      </c>
      <c r="I7" s="1">
        <v>214</v>
      </c>
      <c r="J7" s="1">
        <v>45</v>
      </c>
      <c r="K7" s="1">
        <v>39</v>
      </c>
      <c r="M7" s="1" t="s">
        <v>71</v>
      </c>
      <c r="N7" s="1" t="s">
        <v>182</v>
      </c>
      <c r="O7" s="1">
        <v>127</v>
      </c>
      <c r="P7" s="1">
        <v>61</v>
      </c>
      <c r="Q7" s="1">
        <v>55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35</v>
      </c>
      <c r="E8" s="1">
        <v>33</v>
      </c>
      <c r="G8" s="1" t="s">
        <v>58</v>
      </c>
      <c r="H8" s="1" t="s">
        <v>195</v>
      </c>
      <c r="I8" s="1">
        <v>90</v>
      </c>
      <c r="J8" s="1">
        <v>46</v>
      </c>
      <c r="K8" s="1">
        <v>39</v>
      </c>
      <c r="M8" s="1" t="s">
        <v>72</v>
      </c>
      <c r="N8" s="1" t="s">
        <v>183</v>
      </c>
      <c r="O8" s="1">
        <v>133</v>
      </c>
      <c r="P8" s="1">
        <v>30</v>
      </c>
      <c r="Q8" s="1">
        <v>29</v>
      </c>
      <c r="S8" s="1" t="s">
        <v>256</v>
      </c>
      <c r="T8" s="1" t="s">
        <v>257</v>
      </c>
    </row>
    <row r="9" spans="1:20">
      <c r="A9" s="1" t="s">
        <v>49</v>
      </c>
      <c r="B9" s="1" t="s">
        <v>210</v>
      </c>
      <c r="C9" s="1">
        <v>202</v>
      </c>
      <c r="D9" s="1">
        <v>36</v>
      </c>
      <c r="E9" s="1">
        <v>33</v>
      </c>
      <c r="G9" s="1" t="s">
        <v>59</v>
      </c>
      <c r="H9" s="1" t="s">
        <v>196</v>
      </c>
      <c r="I9" s="1">
        <v>121</v>
      </c>
      <c r="J9" s="1">
        <v>47</v>
      </c>
      <c r="K9" s="1">
        <v>39</v>
      </c>
      <c r="M9" s="1" t="s">
        <v>73</v>
      </c>
      <c r="N9" s="1" t="s">
        <v>184</v>
      </c>
      <c r="O9" s="1">
        <v>239</v>
      </c>
      <c r="P9" s="1">
        <v>135</v>
      </c>
      <c r="Q9" s="1">
        <v>134</v>
      </c>
    </row>
    <row r="10" spans="1:20">
      <c r="A10" s="1" t="s">
        <v>50</v>
      </c>
      <c r="B10" s="1" t="s">
        <v>211</v>
      </c>
      <c r="C10" s="1">
        <v>203</v>
      </c>
      <c r="D10" s="1">
        <v>37</v>
      </c>
      <c r="E10" s="1">
        <v>33</v>
      </c>
      <c r="G10" s="1" t="s">
        <v>60</v>
      </c>
      <c r="H10" s="1" t="s">
        <v>197</v>
      </c>
      <c r="I10" s="1">
        <v>114</v>
      </c>
      <c r="J10" s="1">
        <v>48</v>
      </c>
      <c r="K10" s="1">
        <v>39</v>
      </c>
      <c r="M10" s="1" t="s">
        <v>74</v>
      </c>
      <c r="N10" s="1" t="s">
        <v>251</v>
      </c>
      <c r="O10" s="1">
        <v>238</v>
      </c>
      <c r="P10" s="1">
        <v>63</v>
      </c>
      <c r="Q10" s="1">
        <v>62</v>
      </c>
    </row>
    <row r="11" spans="1:20">
      <c r="A11" s="1" t="s">
        <v>51</v>
      </c>
      <c r="B11" s="1" t="s">
        <v>212</v>
      </c>
      <c r="C11" s="1">
        <v>99</v>
      </c>
      <c r="D11" s="1">
        <v>38</v>
      </c>
      <c r="E11" s="1">
        <v>33</v>
      </c>
      <c r="G11" s="1" t="s">
        <v>61</v>
      </c>
      <c r="H11" s="1" t="s">
        <v>198</v>
      </c>
      <c r="I11" s="1">
        <v>211</v>
      </c>
      <c r="J11" s="1">
        <v>49</v>
      </c>
      <c r="K11" s="1">
        <v>39</v>
      </c>
      <c r="M11" s="1" t="s">
        <v>75</v>
      </c>
      <c r="N11" s="1" t="s">
        <v>185</v>
      </c>
      <c r="O11" s="1">
        <v>235</v>
      </c>
      <c r="P11" s="1">
        <v>64</v>
      </c>
      <c r="Q11" s="1">
        <v>62</v>
      </c>
    </row>
    <row r="12" spans="1:20">
      <c r="G12" s="1" t="s">
        <v>62</v>
      </c>
      <c r="H12" s="1" t="s">
        <v>199</v>
      </c>
      <c r="I12" s="1">
        <v>217</v>
      </c>
      <c r="J12" s="1">
        <v>50</v>
      </c>
      <c r="K12" s="1">
        <v>39</v>
      </c>
      <c r="M12" s="1" t="s">
        <v>76</v>
      </c>
      <c r="N12" s="1" t="s">
        <v>186</v>
      </c>
      <c r="O12" s="1">
        <v>236</v>
      </c>
      <c r="P12" s="1">
        <v>65</v>
      </c>
      <c r="Q12" s="1">
        <v>62</v>
      </c>
    </row>
    <row r="13" spans="1:20">
      <c r="G13" s="1" t="s">
        <v>63</v>
      </c>
      <c r="H13" s="1" t="s">
        <v>200</v>
      </c>
      <c r="I13" s="1">
        <v>95</v>
      </c>
      <c r="J13" s="1">
        <v>51</v>
      </c>
      <c r="K13" s="1">
        <v>39</v>
      </c>
      <c r="M13" s="1" t="s">
        <v>77</v>
      </c>
      <c r="N13" s="1" t="s">
        <v>187</v>
      </c>
      <c r="O13" s="1">
        <v>129</v>
      </c>
      <c r="P13" s="1">
        <v>66</v>
      </c>
      <c r="Q13" s="1">
        <v>62</v>
      </c>
    </row>
    <row r="14" spans="1:20">
      <c r="G14" s="1" t="s">
        <v>64</v>
      </c>
      <c r="H14" s="1" t="s">
        <v>201</v>
      </c>
      <c r="I14" s="1">
        <v>101</v>
      </c>
      <c r="J14" s="1">
        <v>52</v>
      </c>
      <c r="K14" s="1">
        <v>39</v>
      </c>
      <c r="M14" s="1" t="s">
        <v>78</v>
      </c>
      <c r="N14" s="1" t="s">
        <v>188</v>
      </c>
      <c r="O14" s="1">
        <v>232</v>
      </c>
      <c r="P14" s="1">
        <v>67</v>
      </c>
      <c r="Q14" s="1">
        <v>62</v>
      </c>
    </row>
    <row r="15" spans="1:20">
      <c r="G15" s="1" t="s">
        <v>65</v>
      </c>
      <c r="H15" s="1" t="s">
        <v>202</v>
      </c>
      <c r="I15" s="1">
        <v>216</v>
      </c>
      <c r="J15" s="1">
        <v>53</v>
      </c>
      <c r="K15" s="1">
        <v>39</v>
      </c>
      <c r="M15" s="1" t="s">
        <v>79</v>
      </c>
      <c r="N15" s="1" t="s">
        <v>189</v>
      </c>
      <c r="O15" s="1">
        <v>177</v>
      </c>
      <c r="P15" s="1">
        <v>68</v>
      </c>
      <c r="Q15" s="1">
        <v>62</v>
      </c>
    </row>
    <row r="16" spans="1:20">
      <c r="G16" s="1" t="s">
        <v>66</v>
      </c>
      <c r="H16" s="1" t="s">
        <v>203</v>
      </c>
      <c r="I16" s="1">
        <v>212</v>
      </c>
      <c r="J16" s="1">
        <v>54</v>
      </c>
      <c r="K16" s="1">
        <v>39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21</v>
      </c>
      <c r="K23" s="1">
        <v>20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70</v>
      </c>
      <c r="E24" s="1">
        <v>69</v>
      </c>
      <c r="G24" s="1" t="s">
        <v>108</v>
      </c>
      <c r="H24" s="1" t="s">
        <v>214</v>
      </c>
      <c r="I24" s="1">
        <v>176</v>
      </c>
      <c r="J24" s="1">
        <v>22</v>
      </c>
      <c r="K24" s="1">
        <v>20</v>
      </c>
      <c r="M24" s="1" t="s">
        <v>139</v>
      </c>
      <c r="N24" s="1" t="s">
        <v>245</v>
      </c>
      <c r="O24" s="1">
        <v>185</v>
      </c>
      <c r="P24" s="1">
        <v>128</v>
      </c>
      <c r="Q24" s="1">
        <v>127</v>
      </c>
    </row>
    <row r="25" spans="1:17">
      <c r="A25" s="1" t="s">
        <v>82</v>
      </c>
      <c r="B25" s="1" t="s">
        <v>175</v>
      </c>
      <c r="C25" s="1">
        <v>251</v>
      </c>
      <c r="D25" s="1">
        <v>71</v>
      </c>
      <c r="E25" s="1">
        <v>69</v>
      </c>
      <c r="G25" s="1" t="s">
        <v>109</v>
      </c>
      <c r="H25" s="1" t="s">
        <v>215</v>
      </c>
      <c r="I25" s="1">
        <v>152</v>
      </c>
      <c r="J25" s="1">
        <v>32</v>
      </c>
      <c r="K25" s="1">
        <v>31</v>
      </c>
      <c r="M25" s="1" t="s">
        <v>140</v>
      </c>
      <c r="N25" s="1" t="s">
        <v>246</v>
      </c>
      <c r="O25" s="1">
        <v>189</v>
      </c>
      <c r="P25" s="1">
        <v>129</v>
      </c>
      <c r="Q25" s="1">
        <v>127</v>
      </c>
    </row>
    <row r="26" spans="1:17">
      <c r="A26" s="1" t="s">
        <v>83</v>
      </c>
      <c r="B26" s="1" t="s">
        <v>174</v>
      </c>
      <c r="C26" s="1">
        <v>140</v>
      </c>
      <c r="D26" s="1">
        <v>72</v>
      </c>
      <c r="E26" s="1">
        <v>69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130</v>
      </c>
      <c r="Q26" s="1">
        <v>127</v>
      </c>
    </row>
    <row r="27" spans="1:17">
      <c r="A27" s="1" t="s">
        <v>84</v>
      </c>
      <c r="B27" s="1" t="s">
        <v>173</v>
      </c>
      <c r="C27" s="1">
        <v>247</v>
      </c>
      <c r="D27" s="1">
        <v>73</v>
      </c>
      <c r="E27" s="1">
        <v>69</v>
      </c>
      <c r="G27" s="1" t="s">
        <v>111</v>
      </c>
      <c r="H27" s="1" t="s">
        <v>217</v>
      </c>
      <c r="I27" s="1">
        <v>283</v>
      </c>
      <c r="J27" s="1">
        <v>98</v>
      </c>
      <c r="K27" s="1">
        <v>97</v>
      </c>
      <c r="M27" s="1" t="s">
        <v>141</v>
      </c>
      <c r="N27" s="1" t="s">
        <v>248</v>
      </c>
      <c r="O27" s="1">
        <v>187</v>
      </c>
      <c r="P27" s="1">
        <v>131</v>
      </c>
      <c r="Q27" s="1">
        <v>127</v>
      </c>
    </row>
    <row r="28" spans="1:17">
      <c r="A28" s="1" t="s">
        <v>85</v>
      </c>
      <c r="B28" s="1" t="s">
        <v>172</v>
      </c>
      <c r="C28" s="1">
        <v>243</v>
      </c>
      <c r="D28" s="1">
        <v>74</v>
      </c>
      <c r="E28" s="1">
        <v>69</v>
      </c>
      <c r="G28" s="1" t="s">
        <v>112</v>
      </c>
      <c r="H28" s="1" t="s">
        <v>218</v>
      </c>
      <c r="I28" s="1">
        <v>279</v>
      </c>
      <c r="J28" s="1">
        <v>99</v>
      </c>
      <c r="K28" s="1">
        <v>97</v>
      </c>
      <c r="M28" s="1" t="s">
        <v>142</v>
      </c>
      <c r="N28" s="1" t="s">
        <v>249</v>
      </c>
      <c r="O28" s="1">
        <v>265</v>
      </c>
      <c r="P28" s="1">
        <v>132</v>
      </c>
      <c r="Q28" s="1">
        <v>127</v>
      </c>
    </row>
    <row r="29" spans="1:17">
      <c r="A29" s="1" t="s">
        <v>86</v>
      </c>
      <c r="B29" s="1" t="s">
        <v>171</v>
      </c>
      <c r="C29" s="1">
        <v>254</v>
      </c>
      <c r="D29" s="1">
        <v>75</v>
      </c>
      <c r="E29" s="1">
        <v>69</v>
      </c>
      <c r="G29" s="1" t="s">
        <v>113</v>
      </c>
      <c r="H29" s="1" t="s">
        <v>219</v>
      </c>
      <c r="I29" s="1">
        <v>273</v>
      </c>
      <c r="J29" s="1">
        <v>100</v>
      </c>
      <c r="K29" s="1">
        <v>97</v>
      </c>
      <c r="M29" s="1" t="s">
        <v>143</v>
      </c>
      <c r="N29" s="1" t="s">
        <v>250</v>
      </c>
      <c r="O29" s="1">
        <v>184</v>
      </c>
      <c r="P29" s="1">
        <v>133</v>
      </c>
      <c r="Q29" s="1">
        <v>127</v>
      </c>
    </row>
    <row r="30" spans="1:17">
      <c r="A30" s="1" t="s">
        <v>87</v>
      </c>
      <c r="B30" s="1" t="s">
        <v>170</v>
      </c>
      <c r="C30" s="1">
        <v>244</v>
      </c>
      <c r="D30" s="1">
        <v>76</v>
      </c>
      <c r="E30" s="1">
        <v>69</v>
      </c>
      <c r="G30" s="1" t="s">
        <v>114</v>
      </c>
      <c r="H30" s="1" t="s">
        <v>220</v>
      </c>
      <c r="I30" s="1">
        <v>271</v>
      </c>
      <c r="J30" s="1">
        <v>101</v>
      </c>
      <c r="K30" s="1">
        <v>97</v>
      </c>
    </row>
    <row r="31" spans="1:17">
      <c r="A31" s="1" t="s">
        <v>88</v>
      </c>
      <c r="B31" s="1" t="s">
        <v>277</v>
      </c>
      <c r="C31" s="1">
        <v>248</v>
      </c>
      <c r="D31" s="1">
        <v>77</v>
      </c>
      <c r="E31" s="1">
        <v>69</v>
      </c>
      <c r="G31" s="1" t="s">
        <v>115</v>
      </c>
      <c r="H31" s="1" t="s">
        <v>221</v>
      </c>
      <c r="I31" s="1">
        <v>137</v>
      </c>
      <c r="J31" s="1">
        <v>102</v>
      </c>
      <c r="K31" s="1">
        <v>97</v>
      </c>
    </row>
    <row r="32" spans="1:17">
      <c r="A32" s="1" t="s">
        <v>89</v>
      </c>
      <c r="B32" s="1" t="s">
        <v>168</v>
      </c>
      <c r="C32" s="1">
        <v>146</v>
      </c>
      <c r="D32" s="1">
        <v>78</v>
      </c>
      <c r="E32" s="1">
        <v>69</v>
      </c>
      <c r="G32" s="1" t="s">
        <v>116</v>
      </c>
      <c r="H32" s="1" t="s">
        <v>222</v>
      </c>
      <c r="I32" s="1">
        <v>136</v>
      </c>
      <c r="J32" s="1">
        <v>103</v>
      </c>
      <c r="K32" s="1">
        <v>97</v>
      </c>
    </row>
    <row r="33" spans="1:17">
      <c r="A33" s="1" t="s">
        <v>90</v>
      </c>
      <c r="B33" s="1" t="s">
        <v>151</v>
      </c>
      <c r="C33" s="1">
        <v>245</v>
      </c>
      <c r="D33" s="1">
        <v>79</v>
      </c>
      <c r="E33" s="1">
        <v>69</v>
      </c>
      <c r="G33" s="1" t="s">
        <v>117</v>
      </c>
      <c r="H33" s="1" t="s">
        <v>223</v>
      </c>
      <c r="I33" s="1">
        <v>277</v>
      </c>
      <c r="J33" s="1">
        <v>104</v>
      </c>
      <c r="K33" s="1">
        <v>97</v>
      </c>
      <c r="M33" s="1" t="s">
        <v>30</v>
      </c>
      <c r="N33" s="1" t="s">
        <v>148</v>
      </c>
      <c r="O33" s="1" t="s">
        <v>31</v>
      </c>
      <c r="P33" s="1" t="s">
        <v>254</v>
      </c>
      <c r="Q33" s="1" t="s">
        <v>255</v>
      </c>
    </row>
    <row r="34" spans="1:17">
      <c r="A34" s="1" t="s">
        <v>91</v>
      </c>
      <c r="B34" s="1" t="s">
        <v>152</v>
      </c>
      <c r="C34" s="1">
        <v>259</v>
      </c>
      <c r="D34" s="1">
        <v>81</v>
      </c>
      <c r="E34" s="1">
        <v>80</v>
      </c>
      <c r="G34" s="1" t="s">
        <v>118</v>
      </c>
      <c r="H34" s="1" t="s">
        <v>225</v>
      </c>
      <c r="I34" s="1">
        <v>272</v>
      </c>
      <c r="J34" s="1">
        <v>105</v>
      </c>
      <c r="K34" s="1">
        <v>97</v>
      </c>
      <c r="M34" s="1" t="s">
        <v>258</v>
      </c>
      <c r="N34" s="1" t="s">
        <v>278</v>
      </c>
      <c r="P34" s="1">
        <v>3</v>
      </c>
      <c r="Q34" s="1">
        <v>2</v>
      </c>
    </row>
    <row r="35" spans="1:17">
      <c r="A35" s="1" t="s">
        <v>92</v>
      </c>
      <c r="B35" s="1" t="s">
        <v>153</v>
      </c>
      <c r="C35" s="1">
        <v>262</v>
      </c>
      <c r="D35" s="1">
        <v>82</v>
      </c>
      <c r="E35" s="1">
        <v>80</v>
      </c>
      <c r="G35" s="1" t="s">
        <v>119</v>
      </c>
      <c r="H35" s="1" t="s">
        <v>224</v>
      </c>
      <c r="I35" s="1">
        <v>281</v>
      </c>
      <c r="J35" s="1">
        <v>106</v>
      </c>
      <c r="K35" s="1">
        <v>97</v>
      </c>
      <c r="M35" s="1" t="s">
        <v>32</v>
      </c>
      <c r="N35" s="1" t="s">
        <v>267</v>
      </c>
      <c r="P35" s="1">
        <v>4</v>
      </c>
      <c r="Q35" s="1">
        <v>2</v>
      </c>
    </row>
    <row r="36" spans="1:17">
      <c r="A36" s="1" t="s">
        <v>93</v>
      </c>
      <c r="B36" s="1" t="s">
        <v>154</v>
      </c>
      <c r="C36" s="1">
        <v>266</v>
      </c>
      <c r="D36" s="1">
        <v>83</v>
      </c>
      <c r="E36" s="1">
        <v>80</v>
      </c>
      <c r="G36" s="1" t="s">
        <v>120</v>
      </c>
      <c r="H36" s="1" t="s">
        <v>226</v>
      </c>
      <c r="I36" s="1">
        <v>115</v>
      </c>
      <c r="J36" s="1">
        <v>107</v>
      </c>
      <c r="K36" s="1">
        <v>97</v>
      </c>
      <c r="M36" s="1" t="s">
        <v>259</v>
      </c>
      <c r="N36" s="1" t="s">
        <v>268</v>
      </c>
      <c r="P36" s="1">
        <v>5</v>
      </c>
      <c r="Q36" s="1">
        <v>2</v>
      </c>
    </row>
    <row r="37" spans="1:17">
      <c r="A37" s="1" t="s">
        <v>94</v>
      </c>
      <c r="B37" s="1" t="s">
        <v>165</v>
      </c>
      <c r="C37" s="1">
        <v>165</v>
      </c>
      <c r="D37" s="1">
        <v>84</v>
      </c>
      <c r="E37" s="1">
        <v>80</v>
      </c>
      <c r="G37" s="1" t="s">
        <v>121</v>
      </c>
      <c r="H37" s="1" t="s">
        <v>227</v>
      </c>
      <c r="I37" s="1">
        <v>130</v>
      </c>
      <c r="J37" s="1">
        <v>108</v>
      </c>
      <c r="K37" s="1">
        <v>97</v>
      </c>
      <c r="M37" s="1" t="s">
        <v>260</v>
      </c>
      <c r="N37" s="1" t="s">
        <v>269</v>
      </c>
      <c r="P37" s="1">
        <v>6</v>
      </c>
      <c r="Q37" s="1">
        <v>2</v>
      </c>
    </row>
    <row r="38" spans="1:17">
      <c r="A38" s="1" t="s">
        <v>95</v>
      </c>
      <c r="B38" s="1" t="s">
        <v>166</v>
      </c>
      <c r="C38" s="1">
        <v>164</v>
      </c>
      <c r="D38" s="1">
        <v>85</v>
      </c>
      <c r="E38" s="1">
        <v>80</v>
      </c>
      <c r="G38" s="1" t="s">
        <v>122</v>
      </c>
      <c r="H38" s="1" t="s">
        <v>228</v>
      </c>
      <c r="I38" s="1">
        <v>278</v>
      </c>
      <c r="J38" s="1">
        <v>109</v>
      </c>
      <c r="K38" s="1">
        <v>97</v>
      </c>
      <c r="M38" s="1" t="s">
        <v>261</v>
      </c>
      <c r="N38" s="1" t="s">
        <v>270</v>
      </c>
      <c r="P38" s="1">
        <v>7</v>
      </c>
      <c r="Q38" s="1">
        <v>2</v>
      </c>
    </row>
    <row r="39" spans="1:17">
      <c r="A39" s="1" t="s">
        <v>96</v>
      </c>
      <c r="B39" s="1" t="s">
        <v>167</v>
      </c>
      <c r="C39" s="1">
        <v>258</v>
      </c>
      <c r="D39" s="1">
        <v>86</v>
      </c>
      <c r="E39" s="1">
        <v>80</v>
      </c>
      <c r="G39" s="1" t="s">
        <v>123</v>
      </c>
      <c r="H39" s="1" t="s">
        <v>229</v>
      </c>
      <c r="I39" s="1">
        <v>276</v>
      </c>
      <c r="J39" s="1">
        <v>110</v>
      </c>
      <c r="K39" s="1">
        <v>97</v>
      </c>
      <c r="M39" s="1" t="s">
        <v>262</v>
      </c>
      <c r="N39" s="1" t="s">
        <v>271</v>
      </c>
      <c r="P39" s="1">
        <v>8</v>
      </c>
      <c r="Q39" s="1">
        <v>2</v>
      </c>
    </row>
    <row r="40" spans="1:17">
      <c r="A40" s="1" t="s">
        <v>97</v>
      </c>
      <c r="B40" s="1" t="s">
        <v>155</v>
      </c>
      <c r="C40" s="1">
        <v>174</v>
      </c>
      <c r="D40" s="1">
        <v>87</v>
      </c>
      <c r="E40" s="1">
        <v>80</v>
      </c>
      <c r="G40" s="1" t="s">
        <v>124</v>
      </c>
      <c r="H40" s="1" t="s">
        <v>230</v>
      </c>
      <c r="I40" s="1">
        <v>138</v>
      </c>
      <c r="J40" s="1">
        <v>111</v>
      </c>
      <c r="K40" s="1">
        <v>97</v>
      </c>
      <c r="M40" s="1" t="s">
        <v>263</v>
      </c>
      <c r="N40" s="1" t="s">
        <v>272</v>
      </c>
      <c r="P40" s="1">
        <v>9</v>
      </c>
      <c r="Q40" s="1">
        <v>2</v>
      </c>
    </row>
    <row r="41" spans="1:17">
      <c r="A41" s="1" t="s">
        <v>98</v>
      </c>
      <c r="B41" s="1" t="s">
        <v>156</v>
      </c>
      <c r="C41" s="1">
        <v>168</v>
      </c>
      <c r="D41" s="1">
        <v>88</v>
      </c>
      <c r="E41" s="1">
        <v>80</v>
      </c>
      <c r="G41" s="1" t="s">
        <v>125</v>
      </c>
      <c r="H41" s="1" t="s">
        <v>231</v>
      </c>
      <c r="I41" s="1">
        <v>294</v>
      </c>
      <c r="J41" s="1">
        <v>113</v>
      </c>
      <c r="K41" s="1">
        <v>112</v>
      </c>
      <c r="M41" s="1" t="s">
        <v>264</v>
      </c>
      <c r="N41" s="1" t="s">
        <v>273</v>
      </c>
      <c r="P41" s="1">
        <v>10</v>
      </c>
      <c r="Q41" s="1">
        <v>2</v>
      </c>
    </row>
    <row r="42" spans="1:17">
      <c r="A42" s="1" t="s">
        <v>99</v>
      </c>
      <c r="B42" s="1" t="s">
        <v>157</v>
      </c>
      <c r="C42" s="1">
        <v>252</v>
      </c>
      <c r="D42" s="1">
        <v>89</v>
      </c>
      <c r="E42" s="1">
        <v>80</v>
      </c>
      <c r="G42" s="1" t="s">
        <v>126</v>
      </c>
      <c r="H42" s="1" t="s">
        <v>232</v>
      </c>
      <c r="I42" s="1">
        <v>284</v>
      </c>
      <c r="J42" s="1">
        <v>114</v>
      </c>
      <c r="K42" s="1">
        <v>112</v>
      </c>
      <c r="M42" s="1" t="s">
        <v>265</v>
      </c>
      <c r="N42" s="1" t="s">
        <v>274</v>
      </c>
      <c r="P42" s="1">
        <v>11</v>
      </c>
      <c r="Q42" s="1">
        <v>2</v>
      </c>
    </row>
    <row r="43" spans="1:17">
      <c r="A43" s="1" t="s">
        <v>100</v>
      </c>
      <c r="B43" s="1" t="s">
        <v>158</v>
      </c>
      <c r="C43" s="1">
        <v>170</v>
      </c>
      <c r="D43" s="1">
        <v>90</v>
      </c>
      <c r="E43" s="1">
        <v>80</v>
      </c>
      <c r="G43" s="1" t="s">
        <v>127</v>
      </c>
      <c r="H43" s="1" t="s">
        <v>233</v>
      </c>
      <c r="I43" s="1">
        <v>253</v>
      </c>
      <c r="J43" s="1">
        <v>115</v>
      </c>
      <c r="K43" s="1">
        <v>112</v>
      </c>
      <c r="M43" s="1" t="s">
        <v>266</v>
      </c>
      <c r="N43" s="1" t="s">
        <v>275</v>
      </c>
      <c r="P43" s="1">
        <v>12</v>
      </c>
      <c r="Q43" s="1">
        <v>2</v>
      </c>
    </row>
    <row r="44" spans="1:17">
      <c r="A44" s="1" t="s">
        <v>101</v>
      </c>
      <c r="B44" s="1" t="s">
        <v>159</v>
      </c>
      <c r="C44" s="1">
        <v>260</v>
      </c>
      <c r="D44" s="1">
        <v>91</v>
      </c>
      <c r="E44" s="1">
        <v>80</v>
      </c>
      <c r="G44" s="1" t="s">
        <v>128</v>
      </c>
      <c r="H44" s="1" t="s">
        <v>234</v>
      </c>
      <c r="I44" s="1">
        <v>295</v>
      </c>
      <c r="J44" s="1">
        <v>116</v>
      </c>
      <c r="K44" s="1">
        <v>112</v>
      </c>
      <c r="M44" s="1" t="s">
        <v>143</v>
      </c>
      <c r="N44" s="1" t="s">
        <v>276</v>
      </c>
      <c r="P44" s="1">
        <v>13</v>
      </c>
      <c r="Q44" s="1">
        <v>2</v>
      </c>
    </row>
    <row r="45" spans="1:17">
      <c r="A45" s="1" t="s">
        <v>102</v>
      </c>
      <c r="B45" s="1" t="s">
        <v>160</v>
      </c>
      <c r="C45" s="1">
        <v>256</v>
      </c>
      <c r="D45" s="1">
        <v>92</v>
      </c>
      <c r="E45" s="1">
        <v>80</v>
      </c>
      <c r="G45" s="1" t="s">
        <v>129</v>
      </c>
      <c r="H45" s="1" t="s">
        <v>235</v>
      </c>
      <c r="I45" s="1">
        <v>288</v>
      </c>
      <c r="J45" s="1">
        <v>117</v>
      </c>
      <c r="K45" s="1">
        <v>112</v>
      </c>
    </row>
    <row r="46" spans="1:17">
      <c r="A46" s="1" t="s">
        <v>103</v>
      </c>
      <c r="B46" s="1" t="s">
        <v>161</v>
      </c>
      <c r="C46" s="1">
        <v>175</v>
      </c>
      <c r="D46" s="1">
        <v>93</v>
      </c>
      <c r="E46" s="1">
        <v>80</v>
      </c>
      <c r="G46" s="1" t="s">
        <v>130</v>
      </c>
      <c r="H46" s="1" t="s">
        <v>236</v>
      </c>
      <c r="I46" s="1">
        <v>255</v>
      </c>
      <c r="J46" s="1">
        <v>118</v>
      </c>
      <c r="K46" s="1">
        <v>112</v>
      </c>
    </row>
    <row r="47" spans="1:17">
      <c r="A47" s="1" t="s">
        <v>104</v>
      </c>
      <c r="B47" s="1" t="s">
        <v>162</v>
      </c>
      <c r="C47" s="1">
        <v>268</v>
      </c>
      <c r="D47" s="1">
        <v>94</v>
      </c>
      <c r="E47" s="1">
        <v>80</v>
      </c>
      <c r="G47" s="1" t="s">
        <v>131</v>
      </c>
      <c r="H47" s="1" t="s">
        <v>237</v>
      </c>
      <c r="I47" s="1">
        <v>289</v>
      </c>
      <c r="J47" s="1">
        <v>119</v>
      </c>
      <c r="K47" s="1">
        <v>112</v>
      </c>
    </row>
    <row r="48" spans="1:17">
      <c r="A48" s="1" t="s">
        <v>105</v>
      </c>
      <c r="B48" s="1" t="s">
        <v>163</v>
      </c>
      <c r="C48" s="1">
        <v>261</v>
      </c>
      <c r="D48" s="1">
        <v>95</v>
      </c>
      <c r="E48" s="1">
        <v>80</v>
      </c>
      <c r="G48" s="1" t="s">
        <v>132</v>
      </c>
      <c r="H48" s="1" t="s">
        <v>238</v>
      </c>
      <c r="I48" s="1">
        <v>257</v>
      </c>
      <c r="J48" s="1">
        <v>120</v>
      </c>
      <c r="K48" s="1">
        <v>112</v>
      </c>
    </row>
    <row r="49" spans="1:11">
      <c r="A49" s="1" t="s">
        <v>106</v>
      </c>
      <c r="B49" s="1" t="s">
        <v>164</v>
      </c>
      <c r="C49" s="1">
        <v>169</v>
      </c>
      <c r="D49" s="1">
        <v>96</v>
      </c>
      <c r="E49" s="1">
        <v>80</v>
      </c>
      <c r="G49" s="1" t="s">
        <v>133</v>
      </c>
      <c r="H49" s="1" t="s">
        <v>239</v>
      </c>
      <c r="I49" s="1">
        <v>263</v>
      </c>
      <c r="J49" s="1">
        <v>121</v>
      </c>
      <c r="K49" s="1">
        <v>112</v>
      </c>
    </row>
    <row r="50" spans="1:11">
      <c r="G50" s="1" t="s">
        <v>134</v>
      </c>
      <c r="H50" s="1" t="s">
        <v>240</v>
      </c>
      <c r="I50" s="1">
        <v>192</v>
      </c>
      <c r="J50" s="1">
        <v>122</v>
      </c>
      <c r="K50" s="1">
        <v>112</v>
      </c>
    </row>
    <row r="51" spans="1:11">
      <c r="G51" s="1" t="s">
        <v>135</v>
      </c>
      <c r="H51" s="1" t="s">
        <v>241</v>
      </c>
      <c r="I51" s="1">
        <v>155</v>
      </c>
      <c r="J51" s="1">
        <v>123</v>
      </c>
      <c r="K51" s="1">
        <v>112</v>
      </c>
    </row>
    <row r="52" spans="1:11">
      <c r="G52" s="1" t="s">
        <v>136</v>
      </c>
      <c r="H52" s="1" t="s">
        <v>242</v>
      </c>
      <c r="I52" s="1">
        <v>162</v>
      </c>
      <c r="J52" s="1">
        <v>124</v>
      </c>
      <c r="K52" s="1">
        <v>112</v>
      </c>
    </row>
    <row r="53" spans="1:11">
      <c r="G53" s="1" t="s">
        <v>137</v>
      </c>
      <c r="H53" s="1" t="s">
        <v>243</v>
      </c>
      <c r="I53" s="1">
        <v>264</v>
      </c>
      <c r="J53" s="1">
        <v>125</v>
      </c>
      <c r="K53" s="1">
        <v>112</v>
      </c>
    </row>
    <row r="54" spans="1:11">
      <c r="G54" s="1" t="s">
        <v>138</v>
      </c>
      <c r="H54" s="1" t="s">
        <v>244</v>
      </c>
      <c r="I54" s="1">
        <v>285</v>
      </c>
      <c r="J54" s="1">
        <v>126</v>
      </c>
      <c r="K54" s="1">
        <v>112</v>
      </c>
    </row>
  </sheetData>
  <phoneticPr fontId="5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16"/>
  <sheetViews>
    <sheetView topLeftCell="A45" workbookViewId="0">
      <selection activeCell="D10" sqref="D10"/>
    </sheetView>
  </sheetViews>
  <sheetFormatPr defaultRowHeight="13.5"/>
  <cols>
    <col min="2" max="2" width="9.44140625" customWidth="1"/>
    <col min="3" max="3" width="17.5546875" customWidth="1"/>
  </cols>
  <sheetData>
    <row r="1" spans="2:3">
      <c r="B1" t="s">
        <v>30</v>
      </c>
      <c r="C1" t="s">
        <v>148</v>
      </c>
    </row>
    <row r="2" spans="2:3" ht="16.5">
      <c r="B2" s="71" t="s">
        <v>42</v>
      </c>
      <c r="C2" s="71" t="s">
        <v>204</v>
      </c>
    </row>
    <row r="3" spans="2:3" ht="16.5">
      <c r="B3" s="71" t="s">
        <v>43</v>
      </c>
      <c r="C3" s="71" t="s">
        <v>150</v>
      </c>
    </row>
    <row r="4" spans="2:3" ht="16.5">
      <c r="B4" s="71" t="s">
        <v>44</v>
      </c>
      <c r="C4" s="71" t="s">
        <v>205</v>
      </c>
    </row>
    <row r="5" spans="2:3" ht="16.5">
      <c r="B5" s="71" t="s">
        <v>45</v>
      </c>
      <c r="C5" s="71" t="s">
        <v>206</v>
      </c>
    </row>
    <row r="6" spans="2:3" ht="16.5">
      <c r="B6" s="71" t="s">
        <v>46</v>
      </c>
      <c r="C6" s="71" t="s">
        <v>207</v>
      </c>
    </row>
    <row r="7" spans="2:3" ht="16.5">
      <c r="B7" s="71" t="s">
        <v>47</v>
      </c>
      <c r="C7" s="71" t="s">
        <v>208</v>
      </c>
    </row>
    <row r="8" spans="2:3" ht="16.5">
      <c r="B8" s="71" t="s">
        <v>48</v>
      </c>
      <c r="C8" s="71" t="s">
        <v>209</v>
      </c>
    </row>
    <row r="9" spans="2:3" ht="16.5">
      <c r="B9" s="71" t="s">
        <v>49</v>
      </c>
      <c r="C9" s="71" t="s">
        <v>210</v>
      </c>
    </row>
    <row r="10" spans="2:3" ht="16.5">
      <c r="B10" s="71" t="s">
        <v>50</v>
      </c>
      <c r="C10" s="71" t="s">
        <v>211</v>
      </c>
    </row>
    <row r="11" spans="2:3" ht="16.5">
      <c r="B11" s="71" t="s">
        <v>51</v>
      </c>
      <c r="C11" s="71" t="s">
        <v>212</v>
      </c>
    </row>
    <row r="12" spans="2:3" ht="16.5">
      <c r="B12" s="71" t="s">
        <v>52</v>
      </c>
      <c r="C12" s="71" t="s">
        <v>190</v>
      </c>
    </row>
    <row r="13" spans="2:3" ht="16.5">
      <c r="B13" s="71" t="s">
        <v>53</v>
      </c>
      <c r="C13" s="71" t="s">
        <v>191</v>
      </c>
    </row>
    <row r="14" spans="2:3" ht="16.5">
      <c r="B14" s="71" t="s">
        <v>54</v>
      </c>
      <c r="C14" s="71" t="s">
        <v>192</v>
      </c>
    </row>
    <row r="15" spans="2:3" ht="16.5">
      <c r="B15" s="71" t="s">
        <v>55</v>
      </c>
      <c r="C15" s="71" t="s">
        <v>193</v>
      </c>
    </row>
    <row r="16" spans="2:3" ht="16.5">
      <c r="B16" s="71" t="s">
        <v>56</v>
      </c>
      <c r="C16" s="71" t="s">
        <v>194</v>
      </c>
    </row>
    <row r="17" spans="2:3" ht="16.5">
      <c r="B17" s="71" t="s">
        <v>57</v>
      </c>
      <c r="C17" s="71" t="s">
        <v>149</v>
      </c>
    </row>
    <row r="18" spans="2:3" ht="16.5">
      <c r="B18" s="71" t="s">
        <v>58</v>
      </c>
      <c r="C18" s="71" t="s">
        <v>195</v>
      </c>
    </row>
    <row r="19" spans="2:3" ht="16.5">
      <c r="B19" s="71" t="s">
        <v>59</v>
      </c>
      <c r="C19" s="71" t="s">
        <v>196</v>
      </c>
    </row>
    <row r="20" spans="2:3" ht="16.5">
      <c r="B20" s="71" t="s">
        <v>60</v>
      </c>
      <c r="C20" s="71" t="s">
        <v>197</v>
      </c>
    </row>
    <row r="21" spans="2:3" ht="16.5">
      <c r="B21" s="71" t="s">
        <v>61</v>
      </c>
      <c r="C21" s="71" t="s">
        <v>198</v>
      </c>
    </row>
    <row r="22" spans="2:3" ht="16.5">
      <c r="B22" s="71" t="s">
        <v>62</v>
      </c>
      <c r="C22" s="71" t="s">
        <v>199</v>
      </c>
    </row>
    <row r="23" spans="2:3" ht="16.5">
      <c r="B23" s="71" t="s">
        <v>63</v>
      </c>
      <c r="C23" s="71" t="s">
        <v>200</v>
      </c>
    </row>
    <row r="24" spans="2:3" ht="16.5">
      <c r="B24" s="71" t="s">
        <v>64</v>
      </c>
      <c r="C24" s="71" t="s">
        <v>201</v>
      </c>
    </row>
    <row r="25" spans="2:3" ht="16.5">
      <c r="B25" s="71" t="s">
        <v>65</v>
      </c>
      <c r="C25" s="71" t="s">
        <v>202</v>
      </c>
    </row>
    <row r="26" spans="2:3" ht="16.5">
      <c r="B26" s="71" t="s">
        <v>66</v>
      </c>
      <c r="C26" s="71" t="s">
        <v>203</v>
      </c>
    </row>
    <row r="27" spans="2:3" ht="16.5">
      <c r="B27" s="71" t="s">
        <v>67</v>
      </c>
      <c r="C27" s="71" t="s">
        <v>178</v>
      </c>
    </row>
    <row r="28" spans="2:3" ht="16.5">
      <c r="B28" s="71" t="s">
        <v>252</v>
      </c>
      <c r="C28" s="71" t="s">
        <v>253</v>
      </c>
    </row>
    <row r="29" spans="2:3" ht="16.5">
      <c r="B29" s="71" t="s">
        <v>68</v>
      </c>
      <c r="C29" s="71" t="s">
        <v>179</v>
      </c>
    </row>
    <row r="30" spans="2:3" ht="16.5">
      <c r="B30" s="71" t="s">
        <v>69</v>
      </c>
      <c r="C30" s="71" t="s">
        <v>180</v>
      </c>
    </row>
    <row r="31" spans="2:3" ht="16.5">
      <c r="B31" s="71" t="s">
        <v>70</v>
      </c>
      <c r="C31" s="71" t="s">
        <v>181</v>
      </c>
    </row>
    <row r="32" spans="2:3" ht="16.5">
      <c r="B32" s="71" t="s">
        <v>71</v>
      </c>
      <c r="C32" s="71" t="s">
        <v>182</v>
      </c>
    </row>
    <row r="33" spans="2:3" ht="16.5">
      <c r="B33" s="71" t="s">
        <v>72</v>
      </c>
      <c r="C33" s="71" t="s">
        <v>183</v>
      </c>
    </row>
    <row r="34" spans="2:3" ht="16.5">
      <c r="B34" s="71" t="s">
        <v>73</v>
      </c>
      <c r="C34" s="71" t="s">
        <v>184</v>
      </c>
    </row>
    <row r="35" spans="2:3" ht="16.5">
      <c r="B35" s="71" t="s">
        <v>74</v>
      </c>
      <c r="C35" s="71" t="s">
        <v>251</v>
      </c>
    </row>
    <row r="36" spans="2:3" ht="16.5">
      <c r="B36" s="71" t="s">
        <v>75</v>
      </c>
      <c r="C36" s="71" t="s">
        <v>185</v>
      </c>
    </row>
    <row r="37" spans="2:3" ht="16.5">
      <c r="B37" s="71" t="s">
        <v>76</v>
      </c>
      <c r="C37" s="71" t="s">
        <v>186</v>
      </c>
    </row>
    <row r="38" spans="2:3" ht="16.5">
      <c r="B38" s="71" t="s">
        <v>77</v>
      </c>
      <c r="C38" s="71" t="s">
        <v>187</v>
      </c>
    </row>
    <row r="39" spans="2:3" ht="16.5">
      <c r="B39" s="71" t="s">
        <v>78</v>
      </c>
      <c r="C39" s="71" t="s">
        <v>188</v>
      </c>
    </row>
    <row r="40" spans="2:3" ht="16.5">
      <c r="B40" s="71" t="s">
        <v>79</v>
      </c>
      <c r="C40" s="71" t="s">
        <v>189</v>
      </c>
    </row>
    <row r="41" spans="2:3" ht="16.5">
      <c r="B41" s="71" t="s">
        <v>80</v>
      </c>
      <c r="C41" s="71" t="s">
        <v>177</v>
      </c>
    </row>
    <row r="42" spans="2:3" ht="16.5">
      <c r="B42" s="71" t="s">
        <v>81</v>
      </c>
      <c r="C42" s="71" t="s">
        <v>176</v>
      </c>
    </row>
    <row r="43" spans="2:3" ht="16.5">
      <c r="B43" s="71" t="s">
        <v>82</v>
      </c>
      <c r="C43" s="71" t="s">
        <v>175</v>
      </c>
    </row>
    <row r="44" spans="2:3" ht="16.5">
      <c r="B44" s="71" t="s">
        <v>83</v>
      </c>
      <c r="C44" s="71" t="s">
        <v>174</v>
      </c>
    </row>
    <row r="45" spans="2:3" ht="16.5">
      <c r="B45" s="71" t="s">
        <v>84</v>
      </c>
      <c r="C45" s="71" t="s">
        <v>173</v>
      </c>
    </row>
    <row r="46" spans="2:3" ht="16.5">
      <c r="B46" s="71" t="s">
        <v>85</v>
      </c>
      <c r="C46" s="71" t="s">
        <v>172</v>
      </c>
    </row>
    <row r="47" spans="2:3" ht="16.5">
      <c r="B47" s="71" t="s">
        <v>86</v>
      </c>
      <c r="C47" s="71" t="s">
        <v>171</v>
      </c>
    </row>
    <row r="48" spans="2:3" ht="16.5">
      <c r="B48" s="71" t="s">
        <v>87</v>
      </c>
      <c r="C48" s="71" t="s">
        <v>170</v>
      </c>
    </row>
    <row r="49" spans="2:3" ht="16.5">
      <c r="B49" s="71" t="s">
        <v>88</v>
      </c>
      <c r="C49" s="71" t="s">
        <v>169</v>
      </c>
    </row>
    <row r="50" spans="2:3" ht="16.5">
      <c r="B50" s="71" t="s">
        <v>89</v>
      </c>
      <c r="C50" s="71" t="s">
        <v>168</v>
      </c>
    </row>
    <row r="51" spans="2:3" ht="16.5">
      <c r="B51" s="71" t="s">
        <v>90</v>
      </c>
      <c r="C51" s="71" t="s">
        <v>151</v>
      </c>
    </row>
    <row r="52" spans="2:3" ht="16.5">
      <c r="B52" s="71" t="s">
        <v>91</v>
      </c>
      <c r="C52" s="71" t="s">
        <v>152</v>
      </c>
    </row>
    <row r="53" spans="2:3" ht="16.5">
      <c r="B53" s="71" t="s">
        <v>92</v>
      </c>
      <c r="C53" s="71" t="s">
        <v>153</v>
      </c>
    </row>
    <row r="54" spans="2:3" ht="16.5">
      <c r="B54" s="71" t="s">
        <v>93</v>
      </c>
      <c r="C54" s="71" t="s">
        <v>154</v>
      </c>
    </row>
    <row r="55" spans="2:3" ht="16.5">
      <c r="B55" s="71" t="s">
        <v>94</v>
      </c>
      <c r="C55" s="71" t="s">
        <v>165</v>
      </c>
    </row>
    <row r="56" spans="2:3" ht="16.5">
      <c r="B56" s="71" t="s">
        <v>95</v>
      </c>
      <c r="C56" s="71" t="s">
        <v>166</v>
      </c>
    </row>
    <row r="57" spans="2:3" ht="16.5">
      <c r="B57" s="71" t="s">
        <v>96</v>
      </c>
      <c r="C57" s="71" t="s">
        <v>167</v>
      </c>
    </row>
    <row r="58" spans="2:3" ht="16.5">
      <c r="B58" s="71" t="s">
        <v>97</v>
      </c>
      <c r="C58" s="71" t="s">
        <v>155</v>
      </c>
    </row>
    <row r="59" spans="2:3" ht="16.5">
      <c r="B59" s="71" t="s">
        <v>98</v>
      </c>
      <c r="C59" s="71" t="s">
        <v>156</v>
      </c>
    </row>
    <row r="60" spans="2:3" ht="16.5">
      <c r="B60" s="71" t="s">
        <v>99</v>
      </c>
      <c r="C60" s="71" t="s">
        <v>157</v>
      </c>
    </row>
    <row r="61" spans="2:3" ht="16.5">
      <c r="B61" s="71" t="s">
        <v>100</v>
      </c>
      <c r="C61" s="71" t="s">
        <v>158</v>
      </c>
    </row>
    <row r="62" spans="2:3" ht="16.5">
      <c r="B62" s="71" t="s">
        <v>101</v>
      </c>
      <c r="C62" s="71" t="s">
        <v>159</v>
      </c>
    </row>
    <row r="63" spans="2:3" ht="16.5">
      <c r="B63" s="71" t="s">
        <v>102</v>
      </c>
      <c r="C63" s="71" t="s">
        <v>160</v>
      </c>
    </row>
    <row r="64" spans="2:3" ht="16.5">
      <c r="B64" s="71" t="s">
        <v>103</v>
      </c>
      <c r="C64" s="71" t="s">
        <v>161</v>
      </c>
    </row>
    <row r="65" spans="2:3" ht="16.5">
      <c r="B65" s="71" t="s">
        <v>104</v>
      </c>
      <c r="C65" s="71" t="s">
        <v>162</v>
      </c>
    </row>
    <row r="66" spans="2:3" ht="16.5">
      <c r="B66" s="71" t="s">
        <v>105</v>
      </c>
      <c r="C66" s="71" t="s">
        <v>163</v>
      </c>
    </row>
    <row r="67" spans="2:3" ht="16.5">
      <c r="B67" s="71" t="s">
        <v>106</v>
      </c>
      <c r="C67" s="71" t="s">
        <v>164</v>
      </c>
    </row>
    <row r="68" spans="2:3" ht="16.5">
      <c r="B68" s="71" t="s">
        <v>107</v>
      </c>
      <c r="C68" s="71" t="s">
        <v>213</v>
      </c>
    </row>
    <row r="69" spans="2:3" ht="16.5">
      <c r="B69" s="71" t="s">
        <v>108</v>
      </c>
      <c r="C69" s="71" t="s">
        <v>214</v>
      </c>
    </row>
    <row r="70" spans="2:3" ht="16.5">
      <c r="B70" s="71" t="s">
        <v>109</v>
      </c>
      <c r="C70" s="71" t="s">
        <v>215</v>
      </c>
    </row>
    <row r="71" spans="2:3" ht="16.5">
      <c r="B71" s="71" t="s">
        <v>110</v>
      </c>
      <c r="C71" s="71" t="s">
        <v>216</v>
      </c>
    </row>
    <row r="72" spans="2:3" ht="16.5">
      <c r="B72" s="71" t="s">
        <v>111</v>
      </c>
      <c r="C72" s="71" t="s">
        <v>217</v>
      </c>
    </row>
    <row r="73" spans="2:3" ht="16.5">
      <c r="B73" s="71" t="s">
        <v>112</v>
      </c>
      <c r="C73" s="71" t="s">
        <v>218</v>
      </c>
    </row>
    <row r="74" spans="2:3" ht="16.5">
      <c r="B74" s="71" t="s">
        <v>113</v>
      </c>
      <c r="C74" s="71" t="s">
        <v>219</v>
      </c>
    </row>
    <row r="75" spans="2:3" ht="16.5">
      <c r="B75" s="71" t="s">
        <v>114</v>
      </c>
      <c r="C75" s="71" t="s">
        <v>220</v>
      </c>
    </row>
    <row r="76" spans="2:3" ht="16.5">
      <c r="B76" s="71" t="s">
        <v>115</v>
      </c>
      <c r="C76" s="71" t="s">
        <v>221</v>
      </c>
    </row>
    <row r="77" spans="2:3" ht="16.5">
      <c r="B77" s="71" t="s">
        <v>116</v>
      </c>
      <c r="C77" s="71" t="s">
        <v>222</v>
      </c>
    </row>
    <row r="78" spans="2:3" ht="16.5">
      <c r="B78" s="71" t="s">
        <v>117</v>
      </c>
      <c r="C78" s="71" t="s">
        <v>223</v>
      </c>
    </row>
    <row r="79" spans="2:3" ht="16.5">
      <c r="B79" s="71" t="s">
        <v>118</v>
      </c>
      <c r="C79" s="71" t="s">
        <v>225</v>
      </c>
    </row>
    <row r="80" spans="2:3" ht="16.5">
      <c r="B80" s="71" t="s">
        <v>119</v>
      </c>
      <c r="C80" s="71" t="s">
        <v>224</v>
      </c>
    </row>
    <row r="81" spans="2:3" ht="16.5">
      <c r="B81" s="71" t="s">
        <v>120</v>
      </c>
      <c r="C81" s="71" t="s">
        <v>226</v>
      </c>
    </row>
    <row r="82" spans="2:3" ht="16.5">
      <c r="B82" s="71" t="s">
        <v>121</v>
      </c>
      <c r="C82" s="71" t="s">
        <v>227</v>
      </c>
    </row>
    <row r="83" spans="2:3" ht="16.5">
      <c r="B83" s="71" t="s">
        <v>122</v>
      </c>
      <c r="C83" s="71" t="s">
        <v>228</v>
      </c>
    </row>
    <row r="84" spans="2:3" ht="16.5">
      <c r="B84" s="71" t="s">
        <v>123</v>
      </c>
      <c r="C84" s="71" t="s">
        <v>229</v>
      </c>
    </row>
    <row r="85" spans="2:3" ht="16.5">
      <c r="B85" s="71" t="s">
        <v>124</v>
      </c>
      <c r="C85" s="71" t="s">
        <v>230</v>
      </c>
    </row>
    <row r="86" spans="2:3" ht="16.5">
      <c r="B86" s="71" t="s">
        <v>125</v>
      </c>
      <c r="C86" s="71" t="s">
        <v>231</v>
      </c>
    </row>
    <row r="87" spans="2:3" ht="16.5">
      <c r="B87" s="71" t="s">
        <v>126</v>
      </c>
      <c r="C87" s="71" t="s">
        <v>232</v>
      </c>
    </row>
    <row r="88" spans="2:3" ht="16.5">
      <c r="B88" s="71" t="s">
        <v>127</v>
      </c>
      <c r="C88" s="71" t="s">
        <v>233</v>
      </c>
    </row>
    <row r="89" spans="2:3" ht="16.5">
      <c r="B89" s="71" t="s">
        <v>128</v>
      </c>
      <c r="C89" s="71" t="s">
        <v>234</v>
      </c>
    </row>
    <row r="90" spans="2:3" ht="16.5">
      <c r="B90" s="71" t="s">
        <v>129</v>
      </c>
      <c r="C90" s="71" t="s">
        <v>235</v>
      </c>
    </row>
    <row r="91" spans="2:3" ht="16.5">
      <c r="B91" s="71" t="s">
        <v>130</v>
      </c>
      <c r="C91" s="71" t="s">
        <v>236</v>
      </c>
    </row>
    <row r="92" spans="2:3" ht="16.5">
      <c r="B92" s="71" t="s">
        <v>131</v>
      </c>
      <c r="C92" s="71" t="s">
        <v>237</v>
      </c>
    </row>
    <row r="93" spans="2:3" ht="16.5">
      <c r="B93" s="71" t="s">
        <v>132</v>
      </c>
      <c r="C93" s="71" t="s">
        <v>238</v>
      </c>
    </row>
    <row r="94" spans="2:3" ht="16.5">
      <c r="B94" s="71" t="s">
        <v>133</v>
      </c>
      <c r="C94" s="71" t="s">
        <v>239</v>
      </c>
    </row>
    <row r="95" spans="2:3" ht="16.5">
      <c r="B95" s="71" t="s">
        <v>134</v>
      </c>
      <c r="C95" s="71" t="s">
        <v>240</v>
      </c>
    </row>
    <row r="96" spans="2:3" ht="16.5">
      <c r="B96" s="71" t="s">
        <v>135</v>
      </c>
      <c r="C96" s="71" t="s">
        <v>241</v>
      </c>
    </row>
    <row r="97" spans="2:3" ht="16.5">
      <c r="B97" s="71" t="s">
        <v>136</v>
      </c>
      <c r="C97" s="71" t="s">
        <v>242</v>
      </c>
    </row>
    <row r="98" spans="2:3" ht="16.5">
      <c r="B98" s="71" t="s">
        <v>137</v>
      </c>
      <c r="C98" s="71" t="s">
        <v>243</v>
      </c>
    </row>
    <row r="99" spans="2:3" ht="16.5">
      <c r="B99" s="71" t="s">
        <v>138</v>
      </c>
      <c r="C99" s="71" t="s">
        <v>244</v>
      </c>
    </row>
    <row r="100" spans="2:3" ht="16.5">
      <c r="B100" s="71" t="s">
        <v>139</v>
      </c>
      <c r="C100" s="71" t="s">
        <v>245</v>
      </c>
    </row>
    <row r="101" spans="2:3" ht="16.5">
      <c r="B101" s="71" t="s">
        <v>140</v>
      </c>
      <c r="C101" s="71" t="s">
        <v>246</v>
      </c>
    </row>
    <row r="102" spans="2:3" ht="16.5">
      <c r="B102" s="71" t="s">
        <v>141</v>
      </c>
      <c r="C102" s="71" t="s">
        <v>247</v>
      </c>
    </row>
    <row r="103" spans="2:3" ht="16.5">
      <c r="B103" s="71" t="s">
        <v>141</v>
      </c>
      <c r="C103" s="71" t="s">
        <v>248</v>
      </c>
    </row>
    <row r="104" spans="2:3" ht="16.5">
      <c r="B104" s="71" t="s">
        <v>142</v>
      </c>
      <c r="C104" s="71" t="s">
        <v>249</v>
      </c>
    </row>
    <row r="105" spans="2:3" ht="16.5">
      <c r="B105" s="71" t="s">
        <v>143</v>
      </c>
      <c r="C105" s="71" t="s">
        <v>250</v>
      </c>
    </row>
    <row r="106" spans="2:3" ht="16.5">
      <c r="B106" s="71" t="s">
        <v>258</v>
      </c>
      <c r="C106" s="71" t="s">
        <v>278</v>
      </c>
    </row>
    <row r="107" spans="2:3" ht="16.5">
      <c r="B107" s="71" t="s">
        <v>32</v>
      </c>
      <c r="C107" s="71" t="s">
        <v>267</v>
      </c>
    </row>
    <row r="108" spans="2:3" ht="16.5">
      <c r="B108" s="71" t="s">
        <v>259</v>
      </c>
      <c r="C108" s="71" t="s">
        <v>268</v>
      </c>
    </row>
    <row r="109" spans="2:3" ht="16.5">
      <c r="B109" s="71" t="s">
        <v>260</v>
      </c>
      <c r="C109" s="71" t="s">
        <v>269</v>
      </c>
    </row>
    <row r="110" spans="2:3" ht="16.5">
      <c r="B110" s="71" t="s">
        <v>261</v>
      </c>
      <c r="C110" s="71" t="s">
        <v>270</v>
      </c>
    </row>
    <row r="111" spans="2:3" ht="16.5">
      <c r="B111" s="71" t="s">
        <v>262</v>
      </c>
      <c r="C111" s="71" t="s">
        <v>271</v>
      </c>
    </row>
    <row r="112" spans="2:3" ht="16.5">
      <c r="B112" s="71" t="s">
        <v>263</v>
      </c>
      <c r="C112" s="71" t="s">
        <v>272</v>
      </c>
    </row>
    <row r="113" spans="2:3" ht="16.5">
      <c r="B113" s="71" t="s">
        <v>264</v>
      </c>
      <c r="C113" s="71" t="s">
        <v>273</v>
      </c>
    </row>
    <row r="114" spans="2:3" ht="16.5">
      <c r="B114" s="71" t="s">
        <v>265</v>
      </c>
      <c r="C114" s="71" t="s">
        <v>274</v>
      </c>
    </row>
    <row r="115" spans="2:3" ht="16.5">
      <c r="B115" s="71" t="s">
        <v>266</v>
      </c>
      <c r="C115" s="71" t="s">
        <v>275</v>
      </c>
    </row>
    <row r="116" spans="2:3" ht="16.5">
      <c r="B116" s="71" t="s">
        <v>143</v>
      </c>
      <c r="C116" s="71" t="s">
        <v>276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main</vt:lpstr>
      <vt:lpstr>AREA</vt:lpstr>
      <vt:lpstr>AREAREF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2024-12-26T03:03:04Z</dcterms:modified>
</cp:coreProperties>
</file>