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FE45EFD-1D01-4471-BFD9-0165CEFDAE43}" xr6:coauthVersionLast="47" xr6:coauthVersionMax="47" xr10:uidLastSave="{00000000-0000-0000-0000-000000000000}"/>
  <bookViews>
    <workbookView xWindow="39840" yWindow="405" windowWidth="32775" windowHeight="19455" tabRatio="526" activeTab="6" xr2:uid="{00000000-000D-0000-FFFF-FFFF00000000}"/>
  </bookViews>
  <sheets>
    <sheet name="천안" sheetId="170" r:id="rId1"/>
    <sheet name="대전" sheetId="169" r:id="rId2"/>
    <sheet name="서산" sheetId="164" r:id="rId3"/>
    <sheet name="부여" sheetId="163" r:id="rId4"/>
    <sheet name="보령" sheetId="162" r:id="rId5"/>
    <sheet name="금산" sheetId="161" r:id="rId6"/>
    <sheet name="main" sheetId="103" r:id="rId7"/>
    <sheet name="AREA" sheetId="143" r:id="rId8"/>
    <sheet name="AREAREF" sheetId="167" state="hidden" r:id="rId9"/>
  </sheets>
  <functionGroups builtInGroupCount="19"/>
  <definedNames>
    <definedName name="CategoryA_Area" localSheetId="5">tblLocation[Area]</definedName>
    <definedName name="CategoryA_Area" localSheetId="1">tblLocation[Area]</definedName>
    <definedName name="CategoryA_Area" localSheetId="4">tblLocation[Area]</definedName>
    <definedName name="CategoryA_Area" localSheetId="3">tblLocation[Area]</definedName>
    <definedName name="CategoryA_Area" localSheetId="2">tblLocation[Area]</definedName>
    <definedName name="CategoryA_Area" localSheetId="0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70" l="1"/>
  <c r="M53" i="170"/>
  <c r="L53" i="170"/>
  <c r="K53" i="170"/>
  <c r="J53" i="170"/>
  <c r="I53" i="170"/>
  <c r="H53" i="170"/>
  <c r="G53" i="170"/>
  <c r="F53" i="170"/>
  <c r="E53" i="170"/>
  <c r="D53" i="170"/>
  <c r="C53" i="170"/>
  <c r="B53" i="170"/>
  <c r="N52" i="170"/>
  <c r="M52" i="170"/>
  <c r="L52" i="170"/>
  <c r="K52" i="170"/>
  <c r="J52" i="170"/>
  <c r="I52" i="170"/>
  <c r="H52" i="170"/>
  <c r="G52" i="170"/>
  <c r="F52" i="170"/>
  <c r="E52" i="170"/>
  <c r="D52" i="170"/>
  <c r="C52" i="170"/>
  <c r="B52" i="170"/>
  <c r="N51" i="170"/>
  <c r="M51" i="170"/>
  <c r="L51" i="170"/>
  <c r="K51" i="170"/>
  <c r="J51" i="170"/>
  <c r="I51" i="170"/>
  <c r="H51" i="170"/>
  <c r="G51" i="170"/>
  <c r="F51" i="170"/>
  <c r="E51" i="170"/>
  <c r="D51" i="170"/>
  <c r="C51" i="170"/>
  <c r="B51" i="170"/>
  <c r="N50" i="170"/>
  <c r="M50" i="170"/>
  <c r="L50" i="170"/>
  <c r="K50" i="170"/>
  <c r="J50" i="170"/>
  <c r="I50" i="170"/>
  <c r="H50" i="170"/>
  <c r="O50" i="170" s="1"/>
  <c r="P50" i="170" s="1"/>
  <c r="G50" i="170"/>
  <c r="F50" i="170"/>
  <c r="E50" i="170"/>
  <c r="D50" i="170"/>
  <c r="C50" i="170"/>
  <c r="B50" i="170"/>
  <c r="N49" i="170"/>
  <c r="M49" i="170"/>
  <c r="L49" i="170"/>
  <c r="K49" i="170"/>
  <c r="J49" i="170"/>
  <c r="I49" i="170"/>
  <c r="H49" i="170"/>
  <c r="G49" i="170"/>
  <c r="F49" i="170"/>
  <c r="E49" i="170"/>
  <c r="D49" i="170"/>
  <c r="C49" i="170"/>
  <c r="B49" i="170"/>
  <c r="N48" i="170"/>
  <c r="M48" i="170"/>
  <c r="L48" i="170"/>
  <c r="K48" i="170"/>
  <c r="J48" i="170"/>
  <c r="I48" i="170"/>
  <c r="H48" i="170"/>
  <c r="G48" i="170"/>
  <c r="F48" i="170"/>
  <c r="E48" i="170"/>
  <c r="D48" i="170"/>
  <c r="C48" i="170"/>
  <c r="B48" i="170"/>
  <c r="N47" i="170"/>
  <c r="M47" i="170"/>
  <c r="L47" i="170"/>
  <c r="K47" i="170"/>
  <c r="J47" i="170"/>
  <c r="I47" i="170"/>
  <c r="H47" i="170"/>
  <c r="G47" i="170"/>
  <c r="F47" i="170"/>
  <c r="E47" i="170"/>
  <c r="D47" i="170"/>
  <c r="C47" i="170"/>
  <c r="B47" i="170"/>
  <c r="N46" i="170"/>
  <c r="M46" i="170"/>
  <c r="L46" i="170"/>
  <c r="K46" i="170"/>
  <c r="J46" i="170"/>
  <c r="I46" i="170"/>
  <c r="H46" i="170"/>
  <c r="G46" i="170"/>
  <c r="F46" i="170"/>
  <c r="E46" i="170"/>
  <c r="D46" i="170"/>
  <c r="C46" i="170"/>
  <c r="B46" i="170"/>
  <c r="N45" i="170"/>
  <c r="M45" i="170"/>
  <c r="L45" i="170"/>
  <c r="K45" i="170"/>
  <c r="J45" i="170"/>
  <c r="I45" i="170"/>
  <c r="H45" i="170"/>
  <c r="G45" i="170"/>
  <c r="F45" i="170"/>
  <c r="E45" i="170"/>
  <c r="D45" i="170"/>
  <c r="C45" i="170"/>
  <c r="B45" i="170"/>
  <c r="N44" i="170"/>
  <c r="M44" i="170"/>
  <c r="L44" i="170"/>
  <c r="K44" i="170"/>
  <c r="J44" i="170"/>
  <c r="I44" i="170"/>
  <c r="H44" i="170"/>
  <c r="G44" i="170"/>
  <c r="G55" i="170" s="1"/>
  <c r="F44" i="170"/>
  <c r="F55" i="170" s="1"/>
  <c r="E44" i="170"/>
  <c r="D44" i="170"/>
  <c r="C44" i="170"/>
  <c r="B44" i="170"/>
  <c r="N38" i="170"/>
  <c r="M38" i="170"/>
  <c r="L38" i="170"/>
  <c r="K38" i="170"/>
  <c r="J38" i="170"/>
  <c r="I38" i="170"/>
  <c r="H38" i="170"/>
  <c r="G38" i="170"/>
  <c r="F38" i="170"/>
  <c r="E38" i="170"/>
  <c r="D38" i="170"/>
  <c r="C38" i="170"/>
  <c r="N37" i="170"/>
  <c r="M37" i="170"/>
  <c r="L37" i="170"/>
  <c r="K37" i="170"/>
  <c r="J37" i="170"/>
  <c r="I37" i="170"/>
  <c r="H37" i="170"/>
  <c r="G37" i="170"/>
  <c r="F37" i="170"/>
  <c r="E37" i="170"/>
  <c r="D37" i="170"/>
  <c r="C37" i="170"/>
  <c r="N36" i="170"/>
  <c r="M36" i="170"/>
  <c r="L36" i="170"/>
  <c r="K36" i="170"/>
  <c r="J36" i="170"/>
  <c r="I36" i="170"/>
  <c r="H36" i="170"/>
  <c r="G36" i="170"/>
  <c r="F36" i="170"/>
  <c r="E36" i="170"/>
  <c r="D36" i="170"/>
  <c r="C36" i="170"/>
  <c r="O35" i="170"/>
  <c r="P35" i="170" s="1"/>
  <c r="O34" i="170"/>
  <c r="P34" i="170" s="1"/>
  <c r="O33" i="170"/>
  <c r="P33" i="170" s="1"/>
  <c r="O32" i="170"/>
  <c r="P32" i="170" s="1"/>
  <c r="O31" i="170"/>
  <c r="P31" i="170" s="1"/>
  <c r="O30" i="170"/>
  <c r="P30" i="170" s="1"/>
  <c r="O29" i="170"/>
  <c r="P29" i="170" s="1"/>
  <c r="O28" i="170"/>
  <c r="P28" i="170" s="1"/>
  <c r="O27" i="170"/>
  <c r="P27" i="170" s="1"/>
  <c r="O26" i="170"/>
  <c r="P26" i="170" s="1"/>
  <c r="O25" i="170"/>
  <c r="P25" i="170" s="1"/>
  <c r="O24" i="170"/>
  <c r="P24" i="170" s="1"/>
  <c r="O23" i="170"/>
  <c r="P23" i="170" s="1"/>
  <c r="O22" i="170"/>
  <c r="P22" i="170" s="1"/>
  <c r="O21" i="170"/>
  <c r="P21" i="170" s="1"/>
  <c r="O20" i="170"/>
  <c r="P20" i="170" s="1"/>
  <c r="O19" i="170"/>
  <c r="P19" i="170" s="1"/>
  <c r="O18" i="170"/>
  <c r="P18" i="170" s="1"/>
  <c r="O17" i="170"/>
  <c r="P17" i="170" s="1"/>
  <c r="O16" i="170"/>
  <c r="P16" i="170" s="1"/>
  <c r="O15" i="170"/>
  <c r="P15" i="170" s="1"/>
  <c r="O14" i="170"/>
  <c r="P14" i="170" s="1"/>
  <c r="O13" i="170"/>
  <c r="P13" i="170" s="1"/>
  <c r="O12" i="170"/>
  <c r="P12" i="170" s="1"/>
  <c r="O11" i="170"/>
  <c r="P11" i="170" s="1"/>
  <c r="O10" i="170"/>
  <c r="O9" i="170"/>
  <c r="P9" i="170" s="1"/>
  <c r="O8" i="170"/>
  <c r="P8" i="170" s="1"/>
  <c r="O7" i="170"/>
  <c r="P7" i="170" s="1"/>
  <c r="O6" i="170"/>
  <c r="N53" i="169"/>
  <c r="M53" i="169"/>
  <c r="L53" i="169"/>
  <c r="K53" i="169"/>
  <c r="J53" i="169"/>
  <c r="I53" i="169"/>
  <c r="H53" i="169"/>
  <c r="G53" i="169"/>
  <c r="F53" i="169"/>
  <c r="E53" i="169"/>
  <c r="D53" i="169"/>
  <c r="C53" i="169"/>
  <c r="B53" i="169"/>
  <c r="N52" i="169"/>
  <c r="M52" i="169"/>
  <c r="L52" i="169"/>
  <c r="K52" i="169"/>
  <c r="J52" i="169"/>
  <c r="I52" i="169"/>
  <c r="H52" i="169"/>
  <c r="G52" i="169"/>
  <c r="F52" i="169"/>
  <c r="E52" i="169"/>
  <c r="D52" i="169"/>
  <c r="C52" i="169"/>
  <c r="B52" i="169"/>
  <c r="N51" i="169"/>
  <c r="M51" i="169"/>
  <c r="L51" i="169"/>
  <c r="K51" i="169"/>
  <c r="J51" i="169"/>
  <c r="I51" i="169"/>
  <c r="H51" i="169"/>
  <c r="G51" i="169"/>
  <c r="F51" i="169"/>
  <c r="E51" i="169"/>
  <c r="D51" i="169"/>
  <c r="C51" i="169"/>
  <c r="B51" i="169"/>
  <c r="N50" i="169"/>
  <c r="M50" i="169"/>
  <c r="L50" i="169"/>
  <c r="K50" i="169"/>
  <c r="J50" i="169"/>
  <c r="I50" i="169"/>
  <c r="H50" i="169"/>
  <c r="O50" i="169" s="1"/>
  <c r="P50" i="169" s="1"/>
  <c r="G50" i="169"/>
  <c r="F50" i="169"/>
  <c r="E50" i="169"/>
  <c r="D50" i="169"/>
  <c r="C50" i="169"/>
  <c r="B50" i="169"/>
  <c r="N49" i="169"/>
  <c r="M49" i="169"/>
  <c r="L49" i="169"/>
  <c r="K49" i="169"/>
  <c r="J49" i="169"/>
  <c r="I49" i="169"/>
  <c r="H49" i="169"/>
  <c r="G49" i="169"/>
  <c r="F49" i="169"/>
  <c r="E49" i="169"/>
  <c r="D49" i="169"/>
  <c r="C49" i="169"/>
  <c r="B49" i="169"/>
  <c r="N48" i="169"/>
  <c r="M48" i="169"/>
  <c r="L48" i="169"/>
  <c r="K48" i="169"/>
  <c r="J48" i="169"/>
  <c r="I48" i="169"/>
  <c r="H48" i="169"/>
  <c r="G48" i="169"/>
  <c r="F48" i="169"/>
  <c r="E48" i="169"/>
  <c r="D48" i="169"/>
  <c r="C48" i="169"/>
  <c r="B48" i="169"/>
  <c r="N47" i="169"/>
  <c r="M47" i="169"/>
  <c r="L47" i="169"/>
  <c r="K47" i="169"/>
  <c r="J47" i="169"/>
  <c r="I47" i="169"/>
  <c r="H47" i="169"/>
  <c r="G47" i="169"/>
  <c r="F47" i="169"/>
  <c r="E47" i="169"/>
  <c r="D47" i="169"/>
  <c r="C47" i="169"/>
  <c r="B47" i="169"/>
  <c r="N46" i="169"/>
  <c r="M46" i="169"/>
  <c r="L46" i="169"/>
  <c r="K46" i="169"/>
  <c r="J46" i="169"/>
  <c r="I46" i="169"/>
  <c r="H46" i="169"/>
  <c r="G46" i="169"/>
  <c r="F46" i="169"/>
  <c r="E46" i="169"/>
  <c r="D46" i="169"/>
  <c r="C46" i="169"/>
  <c r="B46" i="169"/>
  <c r="N45" i="169"/>
  <c r="M45" i="169"/>
  <c r="L45" i="169"/>
  <c r="K45" i="169"/>
  <c r="J45" i="169"/>
  <c r="I45" i="169"/>
  <c r="H45" i="169"/>
  <c r="G45" i="169"/>
  <c r="F45" i="169"/>
  <c r="E45" i="169"/>
  <c r="D45" i="169"/>
  <c r="C45" i="169"/>
  <c r="B45" i="169"/>
  <c r="N44" i="169"/>
  <c r="M44" i="169"/>
  <c r="L44" i="169"/>
  <c r="K44" i="169"/>
  <c r="J44" i="169"/>
  <c r="I44" i="169"/>
  <c r="H44" i="169"/>
  <c r="G44" i="169"/>
  <c r="G54" i="169" s="1"/>
  <c r="F44" i="169"/>
  <c r="F54" i="169" s="1"/>
  <c r="E44" i="169"/>
  <c r="D44" i="169"/>
  <c r="C44" i="169"/>
  <c r="B44" i="169"/>
  <c r="N38" i="169"/>
  <c r="M38" i="169"/>
  <c r="L38" i="169"/>
  <c r="K38" i="169"/>
  <c r="J38" i="169"/>
  <c r="I38" i="169"/>
  <c r="H38" i="169"/>
  <c r="G38" i="169"/>
  <c r="F38" i="169"/>
  <c r="E38" i="169"/>
  <c r="D38" i="169"/>
  <c r="C38" i="169"/>
  <c r="N37" i="169"/>
  <c r="M37" i="169"/>
  <c r="L37" i="169"/>
  <c r="K37" i="169"/>
  <c r="J37" i="169"/>
  <c r="I37" i="169"/>
  <c r="H37" i="169"/>
  <c r="G37" i="169"/>
  <c r="F37" i="169"/>
  <c r="E37" i="169"/>
  <c r="D37" i="169"/>
  <c r="C37" i="169"/>
  <c r="N36" i="169"/>
  <c r="M36" i="169"/>
  <c r="L36" i="169"/>
  <c r="K36" i="169"/>
  <c r="J36" i="169"/>
  <c r="I36" i="169"/>
  <c r="H36" i="169"/>
  <c r="G36" i="169"/>
  <c r="F36" i="169"/>
  <c r="E36" i="169"/>
  <c r="D36" i="169"/>
  <c r="C36" i="169"/>
  <c r="O35" i="169"/>
  <c r="P35" i="169" s="1"/>
  <c r="O34" i="169"/>
  <c r="P34" i="169" s="1"/>
  <c r="O33" i="169"/>
  <c r="P33" i="169" s="1"/>
  <c r="O32" i="169"/>
  <c r="P32" i="169" s="1"/>
  <c r="O31" i="169"/>
  <c r="P31" i="169" s="1"/>
  <c r="O30" i="169"/>
  <c r="P30" i="169" s="1"/>
  <c r="O29" i="169"/>
  <c r="P29" i="169" s="1"/>
  <c r="O28" i="169"/>
  <c r="P28" i="169" s="1"/>
  <c r="O27" i="169"/>
  <c r="P27" i="169" s="1"/>
  <c r="O26" i="169"/>
  <c r="P26" i="169" s="1"/>
  <c r="O25" i="169"/>
  <c r="P25" i="169" s="1"/>
  <c r="O24" i="169"/>
  <c r="P24" i="169" s="1"/>
  <c r="O23" i="169"/>
  <c r="P23" i="169" s="1"/>
  <c r="O22" i="169"/>
  <c r="P22" i="169" s="1"/>
  <c r="O21" i="169"/>
  <c r="P21" i="169" s="1"/>
  <c r="O20" i="169"/>
  <c r="P20" i="169" s="1"/>
  <c r="O19" i="169"/>
  <c r="P19" i="169" s="1"/>
  <c r="O18" i="169"/>
  <c r="P18" i="169" s="1"/>
  <c r="O17" i="169"/>
  <c r="P17" i="169" s="1"/>
  <c r="O16" i="169"/>
  <c r="P16" i="169" s="1"/>
  <c r="O15" i="169"/>
  <c r="P15" i="169" s="1"/>
  <c r="O14" i="169"/>
  <c r="P14" i="169" s="1"/>
  <c r="O13" i="169"/>
  <c r="P13" i="169" s="1"/>
  <c r="O12" i="169"/>
  <c r="P12" i="169" s="1"/>
  <c r="O11" i="169"/>
  <c r="P11" i="169" s="1"/>
  <c r="O10" i="169"/>
  <c r="O9" i="169"/>
  <c r="P9" i="169" s="1"/>
  <c r="O8" i="169"/>
  <c r="P8" i="169" s="1"/>
  <c r="O7" i="169"/>
  <c r="P7" i="169" s="1"/>
  <c r="O6" i="169"/>
  <c r="O6" i="161"/>
  <c r="O7" i="161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P7" i="161"/>
  <c r="R9" i="103"/>
  <c r="S10" i="103"/>
  <c r="J54" i="170" l="1"/>
  <c r="O38" i="170"/>
  <c r="H55" i="170"/>
  <c r="O48" i="170"/>
  <c r="P48" i="170" s="1"/>
  <c r="L54" i="170"/>
  <c r="M55" i="170"/>
  <c r="N55" i="170"/>
  <c r="O45" i="170"/>
  <c r="P45" i="170" s="1"/>
  <c r="O53" i="170"/>
  <c r="P53" i="170" s="1"/>
  <c r="O52" i="170"/>
  <c r="P52" i="170" s="1"/>
  <c r="O36" i="170"/>
  <c r="C54" i="170"/>
  <c r="D56" i="170"/>
  <c r="O51" i="170"/>
  <c r="P51" i="170" s="1"/>
  <c r="M54" i="170"/>
  <c r="O49" i="170"/>
  <c r="P49" i="170" s="1"/>
  <c r="I54" i="170"/>
  <c r="K54" i="170"/>
  <c r="O47" i="170"/>
  <c r="P47" i="170" s="1"/>
  <c r="O46" i="170"/>
  <c r="P46" i="170" s="1"/>
  <c r="O37" i="170"/>
  <c r="E54" i="170"/>
  <c r="N54" i="170"/>
  <c r="J56" i="170"/>
  <c r="C56" i="170"/>
  <c r="D55" i="170"/>
  <c r="G56" i="170"/>
  <c r="P6" i="170"/>
  <c r="D54" i="170"/>
  <c r="I56" i="170"/>
  <c r="I55" i="170"/>
  <c r="H54" i="170"/>
  <c r="L56" i="170"/>
  <c r="K55" i="170"/>
  <c r="M56" i="170"/>
  <c r="G54" i="170"/>
  <c r="J55" i="170"/>
  <c r="O44" i="170"/>
  <c r="L55" i="170"/>
  <c r="N56" i="170"/>
  <c r="P10" i="170"/>
  <c r="C55" i="170"/>
  <c r="E55" i="170"/>
  <c r="H56" i="170"/>
  <c r="F54" i="170"/>
  <c r="K56" i="170"/>
  <c r="E56" i="170"/>
  <c r="F56" i="170"/>
  <c r="N55" i="169"/>
  <c r="O45" i="169"/>
  <c r="P45" i="169" s="1"/>
  <c r="O53" i="169"/>
  <c r="P53" i="169" s="1"/>
  <c r="O52" i="169"/>
  <c r="P52" i="169" s="1"/>
  <c r="H54" i="169"/>
  <c r="O49" i="169"/>
  <c r="P49" i="169" s="1"/>
  <c r="I54" i="169"/>
  <c r="J54" i="169"/>
  <c r="O48" i="169"/>
  <c r="P48" i="169" s="1"/>
  <c r="K54" i="169"/>
  <c r="L54" i="169"/>
  <c r="O47" i="169"/>
  <c r="P47" i="169" s="1"/>
  <c r="M56" i="169"/>
  <c r="O46" i="169"/>
  <c r="P46" i="169" s="1"/>
  <c r="O38" i="169"/>
  <c r="O44" i="169"/>
  <c r="O56" i="169" s="1"/>
  <c r="O36" i="169"/>
  <c r="D54" i="169"/>
  <c r="O51" i="169"/>
  <c r="P51" i="169" s="1"/>
  <c r="M54" i="169"/>
  <c r="E54" i="169"/>
  <c r="N54" i="169"/>
  <c r="O37" i="169"/>
  <c r="P10" i="169"/>
  <c r="C56" i="169"/>
  <c r="C55" i="169"/>
  <c r="F56" i="169"/>
  <c r="C54" i="169"/>
  <c r="G56" i="169"/>
  <c r="P6" i="169"/>
  <c r="H56" i="169"/>
  <c r="G55" i="169"/>
  <c r="H55" i="169"/>
  <c r="K56" i="169"/>
  <c r="L56" i="169"/>
  <c r="K55" i="169"/>
  <c r="M55" i="169"/>
  <c r="D56" i="169"/>
  <c r="E56" i="169"/>
  <c r="D55" i="169"/>
  <c r="E55" i="169"/>
  <c r="F55" i="169"/>
  <c r="I56" i="169"/>
  <c r="J56" i="169"/>
  <c r="I55" i="169"/>
  <c r="J55" i="169"/>
  <c r="L55" i="169"/>
  <c r="N56" i="169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38" i="103"/>
  <c r="N38" i="103"/>
  <c r="M38" i="103"/>
  <c r="L38" i="103"/>
  <c r="K38" i="103"/>
  <c r="S11" i="103"/>
  <c r="S9" i="103"/>
  <c r="P38" i="170" l="1"/>
  <c r="P36" i="170"/>
  <c r="P37" i="170"/>
  <c r="O56" i="170"/>
  <c r="P44" i="170"/>
  <c r="O54" i="170"/>
  <c r="O55" i="170"/>
  <c r="O55" i="169"/>
  <c r="P44" i="169"/>
  <c r="O54" i="169"/>
  <c r="P38" i="169"/>
  <c r="P36" i="169"/>
  <c r="P37" i="169"/>
  <c r="P56" i="169"/>
  <c r="P54" i="169"/>
  <c r="P55" i="169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70" l="1"/>
  <c r="P55" i="170"/>
  <c r="P54" i="170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<sst xmlns="http://schemas.openxmlformats.org/spreadsheetml/2006/main" count="2936" uniqueCount="265">
  <si>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</si>
  <si>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</si>
  <si>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</si>
  <si>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</si>
  <si>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</si>
  <si>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</si>
  <si>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</si>
  <si>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</si>
  <si>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</si>
  <si>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</si>
  <si>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</si>
  <si>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</si>
  <si>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</si>
  <si>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</si>
  <si>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</si>
  <si>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</si>
  <si>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</si>
  <si>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</si>
  <si>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</si>
  <si>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</si>
  <si>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</si>
  <si>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</si>
  <si>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</si>
  <si>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</si>
  <si>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</si>
  <si>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</si>
  <si>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</si>
  <si>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</si>
  <si>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</si>
  <si>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</si>
  <si>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</si>
  <si>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</si>
  <si>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</si>
  <si>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</si>
  <si>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</si>
  <si>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</si>
  <si>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</si>
  <si>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</si>
  <si>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</si>
  <si>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</si>
  <si>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</si>
  <si>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</si>
  <si>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</si>
  <si>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</si>
  <si>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</si>
  <si>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</si>
  <si>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</si>
  <si>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</si>
  <si>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</si>
  <si>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</si>
  <si>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</si>
  <si>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</si>
  <si>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</si>
  <si>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</si>
  <si>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</si>
  <si>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</si>
  <si>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</si>
  <si>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</si>
  <si>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</si>
  <si>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</si>
  <si>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</si>
  <si>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</si>
  <si>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</si>
  <si>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</si>
  <si>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</si>
  <si>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</si>
  <si>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</si>
  <si>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</si>
  <si>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</si>
  <si>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</si>
  <si>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</si>
  <si>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</si>
  <si>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</si>
  <si>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</si>
  <si>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</si>
  <si>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</si>
  <si>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</si>
  <si>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</si>
  <si>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</si>
  <si>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</si>
  <si>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</si>
  <si>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</si>
  <si>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</si>
  <si>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</si>
  <si>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</si>
  <si>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</si>
  <si>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</si>
  <si>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</si>
  <si>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</si>
  <si>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</si>
  <si>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</si>
  <si>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</si>
  <si>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</si>
  <si>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</si>
  <si>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</si>
  <si>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</si>
  <si>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</si>
  <si>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</si>
  <si>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</si>
  <si>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</si>
  <si>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</si>
  <si>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</si>
  <si>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</si>
  <si>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</si>
  <si>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</si>
  <si>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</si>
  <si>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</si>
  <si>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</si>
  <si>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</si>
  <si>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</si>
  <si>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</si>
  <si>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</si>
  <si>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</si>
  <si>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</si>
  <si>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</si>
  <si>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</si>
  <si>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</si>
  <si>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</si>
  <si>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</si>
  <si>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</si>
  <si>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</si>
  <si>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</si>
  <si>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</si>
  <si>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</si>
  <si>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</si>
  <si>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</si>
  <si>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</si>
  <si>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</si>
  <si>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</si>
  <si>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</si>
  <si>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</si>
  <si>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</si>
  <si>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</si>
  <si>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</si>
  <si>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</si>
  <si>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</si>
  <si>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</si>
  <si>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</si>
  <si>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</si>
  <si>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</si>
  <si>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</si>
  <si>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</si>
  <si>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</si>
  <si>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</si>
  <si>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</si>
  <si>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</si>
  <si>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</si>
  <si>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</si>
  <si>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</si>
  <si>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</si>
  <si>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</si>
  <si>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</si>
  <si>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</si>
  <si>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</si>
  <si>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</si>
  <si>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</si>
  <si>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</si>
  <si>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</si>
  <si>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</si>
  <si>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</si>
  <si>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</si>
  <si>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</si>
  <si>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</si>
  <si>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</si>
  <si>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</si>
  <si>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</si>
  <si>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</si>
  <si>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</si>
  <si>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</si>
  <si>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</si>
  <si>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</si>
  <si>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</si>
  <si>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</si>
  <si>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</si>
  <si>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</si>
  <si>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</si>
  <si>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</si>
  <si>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</si>
  <si>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</si>
  <si>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</si>
  <si>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</si>
  <si>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</si>
  <si>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</si>
  <si>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</si>
  <si>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</si>
  <si>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</si>
  <si>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</si>
  <si>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</si>
  <si>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</si>
  <si>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</si>
  <si>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</si>
  <si>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</si>
  <si>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</si>
  <si>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</si>
  <si>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</si>
  <si>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</si>
  <si>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</si>
  <si>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</si>
  <si>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</si>
  <si>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</si>
  <si>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</si>
  <si>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</si>
  <si>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</si>
  <si>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</si>
  <si>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</si>
  <si>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</si>
  <si>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</si>
  <si>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</si>
  <si>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</si>
  <si>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</si>
  <si>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</si>
  <si>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</si>
  <si>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</si>
  <si>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</si>
  <si>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</si>
  <si>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</si>
  <si>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</si>
  <si>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</si>
  <si>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</si>
  <si>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</si>
  <si>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</si>
  <si>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</si>
  <si>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</si>
  <si>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</si>
  <si>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</si>
  <si>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</si>
  <si>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</si>
  <si>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</si>
  <si>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</si>
  <si>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</si>
  <si>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</si>
  <si>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</si>
  <si>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</si>
  <si>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</si>
  <si>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</si>
  <si>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</si>
  <si>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</si>
  <si>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</si>
  <si>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</si>
  <si>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</si>
  <si>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</si>
  <si>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</si>
  <si>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</si>
  <si>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</si>
  <si>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</si>
  <si>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</si>
  <si>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</si>
  <si>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</si>
  <si>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</si>
  <si>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</si>
  <si>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</si>
  <si>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</si>
  <si>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</si>
  <si>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</si>
  <si>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</si>
  <si>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</si>
  <si>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</si>
  <si>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</si>
  <si>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</si>
  <si>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</si>
  <si>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대전 Data, -- 2024-12-22 오전 9:49:14</t>
    <phoneticPr fontId="5" type="noConversion"/>
  </si>
  <si>
    <t>천안 Data, -- 2024-12-22 오전 9:53:42</t>
    <phoneticPr fontId="5" type="noConversion"/>
  </si>
  <si>
    <t>경상도</t>
  </si>
  <si>
    <t>거창</t>
  </si>
  <si>
    <t>30년 거창데이터, 2024-12-22 오전 10:14:15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</si>
</sst>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8" borderId="44" xfId="0" applyFont="1" applyFill="1" applyBorder="1"/>
    <xf numFmtId="0" fontId="24" fillId="9" borderId="46" xfId="0" applyFont="1" applyFill="1" applyBorder="1"/>
    <xf numFmtId="0" fontId="24" fillId="10" borderId="46" xfId="0" applyFont="1" applyFill="1" applyBorder="1"/>
    <xf numFmtId="0" fontId="24" fillId="10" borderId="48" xfId="0" applyFont="1" applyFill="1" applyBorder="1"/>
    <xf numFmtId="0" fontId="24" fillId="9" borderId="48" xfId="0" applyFont="1" applyFill="1" applyBorder="1"/>
    <xf numFmtId="0" fontId="23" fillId="8" borderId="45" xfId="0" applyFont="1" applyFill="1" applyBorder="1"/>
    <xf numFmtId="0" fontId="24" fillId="9" borderId="47" xfId="0" applyFont="1" applyFill="1" applyBorder="1"/>
    <xf numFmtId="0" fontId="24" fillId="10" borderId="47" xfId="0" applyFont="1" applyFill="1" applyBorder="1"/>
    <xf numFmtId="0" fontId="24" fillId="10" borderId="49" xfId="0" applyFont="1" applyFill="1" applyBorder="1"/>
    <xf numFmtId="0" fontId="24" fillId="9" borderId="49" xfId="0" applyFont="1" applyFill="1" applyBorder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aj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7"/>
    <tableColumn id="4" xr3:uid="{3FABA01C-AB4B-48AC-BDB1-16BF1034D0DF}" name="name" dataDxfId="36"/>
    <tableColumn id="3" xr3:uid="{A5F66352-D28A-4CF0-B250-A489700B8D54}" name="Code" dataDxfId="35"/>
    <tableColumn id="2" xr3:uid="{09B4436B-841C-4B9C-8162-E947F4575E48}" name="aCode" dataDxfId="34"/>
    <tableColumn id="5" xr3:uid="{C31DCB80-AB53-4D9B-9C64-E7F32BEF140C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2"/>
    <tableColumn id="4" xr3:uid="{B62D6831-87BE-4F65-B7F1-BD0B146AF49F}" name="name" dataDxfId="31"/>
    <tableColumn id="3" xr3:uid="{658D7C19-D0E8-42F4-ABCB-2387237F828A}" name="Code" dataDxfId="30"/>
    <tableColumn id="2" xr3:uid="{989EB4D9-50A5-4C55-9B67-E92A0A209FA0}" name="aCode" dataDxfId="29"/>
    <tableColumn id="5" xr3:uid="{AECDD82A-ACE1-4B11-8AC5-F6E8FEEF4153}" name="switch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7"/>
    <tableColumn id="4" xr3:uid="{017C91F5-4BF0-4180-8133-652E08E84954}" name="name" dataDxfId="26"/>
    <tableColumn id="3" xr3:uid="{EC253443-ACAA-4D84-A256-070B355AA943}" name="Code" dataDxfId="25"/>
    <tableColumn id="2" xr3:uid="{80669424-532F-4472-8AC0-B591D616F4FF}" name="aCode" dataDxfId="24"/>
    <tableColumn id="5" xr3:uid="{3E99FA54-F62F-4943-96D0-A92D6B1BF889}" name="switch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2"/>
    <tableColumn id="4" xr3:uid="{9687561B-6A34-4432-917E-5BE8286748FA}" name="name" dataDxfId="21"/>
    <tableColumn id="3" xr3:uid="{2D753499-917F-4411-A14D-2196A2F1D788}" name="Code" dataDxfId="20"/>
    <tableColumn id="2" xr3:uid="{F72F6AA5-B461-4032-B5C7-926520FCFE1E}" name="aCode" dataDxfId="19"/>
    <tableColumn id="5" xr3:uid="{2BB69875-ADCC-49C7-B005-BDD03F21A48A}" name="switch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7"/>
    <tableColumn id="4" xr3:uid="{81223094-743C-484F-BD6C-C0070968E015}" name="name" dataDxfId="16"/>
    <tableColumn id="3" xr3:uid="{02B114B2-31A2-45E0-95CB-D7B5B59158D4}" name="Code" dataDxfId="15"/>
    <tableColumn id="2" xr3:uid="{25F1EE2B-22EC-4D69-8CEF-1F35F419008D}" name="aCode" dataDxfId="14"/>
    <tableColumn id="5" xr3:uid="{98CAFCC6-1A44-428B-AD18-F0F5163D8036}" name="switch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2"/>
    <tableColumn id="4" xr3:uid="{946138E4-408B-41AA-9EFE-0179ACDBA91C}" name="name" dataDxfId="11"/>
    <tableColumn id="3" xr3:uid="{4CD67D66-5E03-4217-ADBB-EDB24CF7D896}" name="Code" dataDxfId="10"/>
    <tableColumn id="2" xr3:uid="{951E4035-1C41-41A8-8801-D5CE38818C67}" name="aCode" dataDxfId="9"/>
    <tableColumn id="5" xr3:uid="{3153C0DB-1764-4890-BEFB-6C5DD9BCE384}" name="switch" dataDxf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7"/>
    <tableColumn id="3" xr3:uid="{4DB9070B-5067-4035-BDC5-48A6AFBB7D85}" name="Code" dataDxf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B6B9E16-3BEE-445D-8DF9-C6DF4B12B21F}" name="tblAREAREF" displayName="tblAREAREF" ref="B1:C105" totalsRowShown="0" headerRowDxfId="5" headerRowBorderDxfId="4" tableBorderDxfId="3" totalsRowBorderDxfId="2">
  <autoFilter ref="B1:C105" xr:uid="{1B6B9E16-3BEE-445D-8DF9-C6DF4B12B21F}"/>
  <tableColumns count="2">
    <tableColumn id="1" xr3:uid="{38CAC162-6209-4AC9-9794-855F18E5EEB7}" name="Area" dataDxfId="1"/>
    <tableColumn id="2" xr3:uid="{56518641-F89E-476A-9729-6BB245AA3E3A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72DA-AD4A-4606-BB11-5E48D0330F6F}">
  <sheetPr codeName="Sheet19">
    <tabColor rgb="FFFFC0CB"/>
  </sheetPr>
  <dimension ref="A2:Q983"/>
  <sheetViews>
    <sheetView zoomScaleNormal="100" workbookViewId="0">
      <selection activeCell="X19" sqref="X19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89.5</v>
      </c>
      <c r="O35" s="41">
        <f t="shared" si="0"/>
        <v>1502.5</v>
      </c>
      <c r="P35" s="42">
        <f t="shared" si="1"/>
        <v>125.2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89.5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27.9</v>
      </c>
      <c r="O38" s="55">
        <f t="shared" si="4"/>
        <v>1236.2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89.5</v>
      </c>
      <c r="O53" s="68">
        <f t="shared" si="7"/>
        <v>1502.5</v>
      </c>
      <c r="P53" s="56">
        <f t="shared" si="8"/>
        <v>125.2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89.5</v>
      </c>
      <c r="O54" s="72">
        <f t="shared" si="9"/>
        <v>1502.5</v>
      </c>
      <c r="P54" s="71">
        <f t="shared" si="9"/>
        <v>125.2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31.7</v>
      </c>
      <c r="O56" s="68">
        <f>ROUND(AVERAGE(O44:O53),1)</f>
        <v>1115.3</v>
      </c>
      <c r="P56" s="56">
        <f>ROUND(AVERAGE(P44:P53),1)</f>
        <v>93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62FAA-3029-4AC9-8D9E-8BA0E73FAD98}">
  <sheetPr codeName="Sheet14">
    <tabColor theme="1" tint="4.9989318521683403E-2"/>
  </sheetPr>
  <dimension ref="A2:Q983"/>
  <sheetViews>
    <sheetView zoomScaleNormal="100" workbookViewId="0">
      <selection activeCell="V20" sqref="V2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124.1</v>
      </c>
      <c r="O35" s="41">
        <f t="shared" si="0"/>
        <v>2042.5</v>
      </c>
      <c r="P35" s="42">
        <f t="shared" si="1"/>
        <v>170.2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124.1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124.1</v>
      </c>
      <c r="O53" s="68">
        <f t="shared" si="7"/>
        <v>2042.5</v>
      </c>
      <c r="P53" s="56">
        <f t="shared" si="8"/>
        <v>170.2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124.1</v>
      </c>
      <c r="O54" s="72">
        <f t="shared" si="9"/>
        <v>2042.5</v>
      </c>
      <c r="P54" s="71">
        <f t="shared" si="9"/>
        <v>170.2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37.299999999999997</v>
      </c>
      <c r="O56" s="68">
        <f>ROUND(AVERAGE(O44:O53),1)</f>
        <v>1279.2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2" sqref="V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zoomScaleNormal="100" workbookViewId="0">
      <selection activeCell="U18" sqref="U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zoomScaleNormal="100" workbookViewId="0">
      <selection activeCell="R27" sqref="R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zoomScaleNormal="100" workbookViewId="0">
      <selection activeCell="S22" sqref="S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264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19.7</v>
      </c>
      <c r="D6" s="12">
        <v>21.6</v>
      </c>
      <c r="E6" s="12">
        <v>34.6</v>
      </c>
      <c r="F6" s="12">
        <v>28</v>
      </c>
      <c r="G6" s="12">
        <v>119.5</v>
      </c>
      <c r="H6" s="12">
        <v>96</v>
      </c>
      <c r="I6" s="12">
        <v>8</v>
      </c>
      <c r="J6" s="13">
        <v>256.5</v>
      </c>
      <c r="K6" s="12">
        <v>18.5</v>
      </c>
      <c r="L6" s="12">
        <v>171.5</v>
      </c>
      <c r="M6" s="12">
        <v>27</v>
      </c>
      <c r="N6" s="14">
        <v>10.7</v>
      </c>
      <c r="O6" s="15">
        <f t="shared" ref="O6:O35" si="0">ROUND(SUM(C6:N6),1)</f>
        <v>811.6</v>
      </c>
      <c r="P6" s="16">
        <f>ROUND(O6/12,1)</f>
        <v>67.599999999999994</v>
      </c>
      <c r="Q6" s="17"/>
    </row>
    <row r="7" spans="2:21" ht="21.95" customHeight="1">
      <c r="B7" s="18">
        <v>1995</v>
      </c>
      <c r="C7" s="19">
        <v>36.6</v>
      </c>
      <c r="D7" s="19">
        <v>17.100000000000001</v>
      </c>
      <c r="E7" s="19">
        <v>60</v>
      </c>
      <c r="F7" s="19">
        <v>114.5</v>
      </c>
      <c r="G7" s="19">
        <v>38.5</v>
      </c>
      <c r="H7" s="19">
        <v>35</v>
      </c>
      <c r="I7" s="19">
        <v>173.5</v>
      </c>
      <c r="J7" s="20">
        <v>298</v>
      </c>
      <c r="K7" s="19">
        <v>27.5</v>
      </c>
      <c r="L7" s="19">
        <v>16.5</v>
      </c>
      <c r="M7" s="19">
        <v>6.5</v>
      </c>
      <c r="N7" s="21">
        <v>0.4</v>
      </c>
      <c r="O7" s="15">
        <f t="shared" si="0"/>
        <v>824.1</v>
      </c>
      <c r="P7" s="22">
        <f t="shared" ref="P7:P35" si="1">ROUND(O7/12,1)</f>
        <v>68.7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23</v>
      </c>
      <c r="D8" s="19">
        <v>0</v>
      </c>
      <c r="E8" s="19">
        <v>132</v>
      </c>
      <c r="F8" s="19">
        <v>64.5</v>
      </c>
      <c r="G8" s="19">
        <v>58</v>
      </c>
      <c r="H8" s="19">
        <v>339.5</v>
      </c>
      <c r="I8" s="19">
        <v>104.5</v>
      </c>
      <c r="J8" s="19">
        <v>57.5</v>
      </c>
      <c r="K8" s="19">
        <v>31</v>
      </c>
      <c r="L8" s="19">
        <v>38.5</v>
      </c>
      <c r="M8" s="19">
        <v>76</v>
      </c>
      <c r="N8" s="21">
        <v>19.899999999999999</v>
      </c>
      <c r="O8" s="15">
        <f t="shared" si="0"/>
        <v>944.4</v>
      </c>
      <c r="P8" s="22">
        <f t="shared" si="1"/>
        <v>78.7</v>
      </c>
      <c r="Q8" s="17"/>
      <c r="R8" s="25" t="s">
        <v>262</v>
      </c>
      <c r="S8" s="26" t="s">
        <v>263</v>
      </c>
    </row>
    <row r="9" spans="2:21" ht="21.95" customHeight="1" thickBot="1">
      <c r="B9" s="18">
        <v>1997</v>
      </c>
      <c r="C9" s="19">
        <v>9.8000000000000007</v>
      </c>
      <c r="D9" s="19">
        <v>25.5</v>
      </c>
      <c r="E9" s="19">
        <v>45.5</v>
      </c>
      <c r="F9" s="19">
        <v>65.5</v>
      </c>
      <c r="G9" s="19">
        <v>124</v>
      </c>
      <c r="H9" s="19">
        <v>258</v>
      </c>
      <c r="I9" s="19">
        <v>438.5</v>
      </c>
      <c r="J9" s="19">
        <v>190</v>
      </c>
      <c r="K9" s="19">
        <v>18</v>
      </c>
      <c r="L9" s="19">
        <v>4.5</v>
      </c>
      <c r="M9" s="19">
        <v>132.5</v>
      </c>
      <c r="N9" s="21">
        <v>51.9</v>
      </c>
      <c r="O9" s="15">
        <f t="shared" si="0"/>
        <v>1363.7</v>
      </c>
      <c r="P9" s="22">
        <f t="shared" si="1"/>
        <v>113.6</v>
      </c>
      <c r="Q9" s="17"/>
      <c r="R9" s="79" t="str">
        <f>VLOOKUP(R8, tblLocation[], 2, FALSE)</f>
        <v>Table5</v>
      </c>
      <c r="S9" s="27">
        <f ca="1">VLOOKUP(S8, INDIRECT($R$9), 3,0)</f>
        <v>284</v>
      </c>
    </row>
    <row r="10" spans="2:21" ht="21.95" customHeight="1" thickBot="1">
      <c r="B10" s="18">
        <v>1998</v>
      </c>
      <c r="C10" s="19">
        <v>39.799999999999997</v>
      </c>
      <c r="D10" s="19">
        <v>54.6</v>
      </c>
      <c r="E10" s="19">
        <v>39.5</v>
      </c>
      <c r="F10" s="19">
        <v>160</v>
      </c>
      <c r="G10" s="19">
        <v>111</v>
      </c>
      <c r="H10" s="19">
        <v>262</v>
      </c>
      <c r="I10" s="19">
        <v>142.5</v>
      </c>
      <c r="J10" s="19">
        <v>584.5</v>
      </c>
      <c r="K10" s="19">
        <v>330</v>
      </c>
      <c r="L10" s="19">
        <v>67.5</v>
      </c>
      <c r="M10" s="19">
        <v>9.5</v>
      </c>
      <c r="N10" s="21">
        <v>1.5</v>
      </c>
      <c r="O10" s="15">
        <f t="shared" si="0"/>
        <v>1802.4</v>
      </c>
      <c r="P10" s="22">
        <f t="shared" si="1"/>
        <v>150.19999999999999</v>
      </c>
      <c r="Q10" s="17"/>
      <c r="S10" s="28">
        <f ca="1">VLOOKUP(S8, INDIRECT($R$9), 5,0)</f>
        <v>112</v>
      </c>
    </row>
    <row r="11" spans="2:21" ht="21.95" customHeight="1" thickBot="1">
      <c r="B11" s="18">
        <v>1999</v>
      </c>
      <c r="C11" s="19">
        <v>22.2</v>
      </c>
      <c r="D11" s="19">
        <v>32.200000000000003</v>
      </c>
      <c r="E11" s="19">
        <v>86.5</v>
      </c>
      <c r="F11" s="19">
        <v>82</v>
      </c>
      <c r="G11" s="19">
        <v>115</v>
      </c>
      <c r="H11" s="19">
        <v>176</v>
      </c>
      <c r="I11" s="19">
        <v>275</v>
      </c>
      <c r="J11" s="19">
        <v>298.5</v>
      </c>
      <c r="K11" s="19">
        <v>356</v>
      </c>
      <c r="L11" s="19">
        <v>93</v>
      </c>
      <c r="M11" s="19">
        <v>14.1</v>
      </c>
      <c r="N11" s="21">
        <v>1.5</v>
      </c>
      <c r="O11" s="15">
        <f t="shared" si="0"/>
        <v>1552</v>
      </c>
      <c r="P11" s="22">
        <f t="shared" si="1"/>
        <v>129.30000000000001</v>
      </c>
      <c r="Q11" s="17"/>
      <c r="S11" s="78" t="str">
        <f ca="1">VLOOKUP(S8, INDIRECT($R$9), 2,0)</f>
        <v>GeoChang</v>
      </c>
    </row>
    <row r="12" spans="2:21" ht="21.95" customHeight="1">
      <c r="B12" s="18">
        <v>2000</v>
      </c>
      <c r="C12" s="19">
        <v>21.9</v>
      </c>
      <c r="D12" s="19">
        <v>0</v>
      </c>
      <c r="E12" s="19">
        <v>25.5</v>
      </c>
      <c r="F12" s="19">
        <v>21.5</v>
      </c>
      <c r="G12" s="19">
        <v>46</v>
      </c>
      <c r="H12" s="19">
        <v>288.5</v>
      </c>
      <c r="I12" s="19">
        <v>402.5</v>
      </c>
      <c r="J12" s="19">
        <v>335.5</v>
      </c>
      <c r="K12" s="19">
        <v>355</v>
      </c>
      <c r="L12" s="19">
        <v>38</v>
      </c>
      <c r="M12" s="19">
        <v>56</v>
      </c>
      <c r="N12" s="21">
        <v>5</v>
      </c>
      <c r="O12" s="15">
        <f t="shared" si="0"/>
        <v>1595.4</v>
      </c>
      <c r="P12" s="22">
        <f t="shared" si="1"/>
        <v>133</v>
      </c>
    </row>
    <row r="13" spans="2:21" ht="21.95" customHeight="1" thickBot="1">
      <c r="B13" s="18">
        <v>2001</v>
      </c>
      <c r="C13" s="19">
        <v>59.7</v>
      </c>
      <c r="D13" s="19">
        <v>77.5</v>
      </c>
      <c r="E13" s="19">
        <v>14</v>
      </c>
      <c r="F13" s="19">
        <v>33.5</v>
      </c>
      <c r="G13" s="19">
        <v>55</v>
      </c>
      <c r="H13" s="19">
        <v>321.5</v>
      </c>
      <c r="I13" s="19">
        <v>234.5</v>
      </c>
      <c r="J13" s="19">
        <v>86</v>
      </c>
      <c r="K13" s="19">
        <v>92</v>
      </c>
      <c r="L13" s="19">
        <v>108</v>
      </c>
      <c r="M13" s="19">
        <v>7.5</v>
      </c>
      <c r="N13" s="21">
        <v>35.5</v>
      </c>
      <c r="O13" s="15">
        <f t="shared" si="0"/>
        <v>1124.7</v>
      </c>
      <c r="P13" s="22">
        <f t="shared" si="1"/>
        <v>93.7</v>
      </c>
    </row>
    <row r="14" spans="2:21" ht="21.95" customHeight="1">
      <c r="B14" s="18">
        <v>2002</v>
      </c>
      <c r="C14" s="19">
        <v>63.6</v>
      </c>
      <c r="D14" s="19">
        <v>6</v>
      </c>
      <c r="E14" s="19">
        <v>56.5</v>
      </c>
      <c r="F14" s="19">
        <v>96.5</v>
      </c>
      <c r="G14" s="19">
        <v>137</v>
      </c>
      <c r="H14" s="19">
        <v>84</v>
      </c>
      <c r="I14" s="19">
        <v>262</v>
      </c>
      <c r="J14" s="19">
        <v>838</v>
      </c>
      <c r="K14" s="19">
        <v>123.5</v>
      </c>
      <c r="L14" s="19">
        <v>39.5</v>
      </c>
      <c r="M14" s="19">
        <v>13.5</v>
      </c>
      <c r="N14" s="21">
        <v>48.5</v>
      </c>
      <c r="O14" s="15">
        <f t="shared" si="0"/>
        <v>1768.6</v>
      </c>
      <c r="P14" s="22">
        <f t="shared" si="1"/>
        <v>147.4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30.3</v>
      </c>
      <c r="D15" s="19">
        <v>57</v>
      </c>
      <c r="E15" s="19">
        <v>45.5</v>
      </c>
      <c r="F15" s="19">
        <v>193</v>
      </c>
      <c r="G15" s="19">
        <v>205</v>
      </c>
      <c r="H15" s="19">
        <v>189.5</v>
      </c>
      <c r="I15" s="19">
        <v>637</v>
      </c>
      <c r="J15" s="19">
        <v>276</v>
      </c>
      <c r="K15" s="19">
        <v>240</v>
      </c>
      <c r="L15" s="19">
        <v>23</v>
      </c>
      <c r="M15" s="19">
        <v>41</v>
      </c>
      <c r="N15" s="21">
        <v>13.5</v>
      </c>
      <c r="O15" s="15">
        <f t="shared" si="0"/>
        <v>1950.8</v>
      </c>
      <c r="P15" s="22">
        <f t="shared" si="1"/>
        <v>162.6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2.2999999999999998</v>
      </c>
      <c r="D16" s="19">
        <v>34.5</v>
      </c>
      <c r="E16" s="19">
        <v>22</v>
      </c>
      <c r="F16" s="19">
        <v>89</v>
      </c>
      <c r="G16" s="19">
        <v>89</v>
      </c>
      <c r="H16" s="19">
        <v>260.5</v>
      </c>
      <c r="I16" s="19">
        <v>260</v>
      </c>
      <c r="J16" s="19">
        <v>493.5</v>
      </c>
      <c r="K16" s="19">
        <v>207.5</v>
      </c>
      <c r="L16" s="19">
        <v>4</v>
      </c>
      <c r="M16" s="19">
        <v>64</v>
      </c>
      <c r="N16" s="21">
        <v>21.5</v>
      </c>
      <c r="O16" s="15">
        <f t="shared" si="0"/>
        <v>1547.8</v>
      </c>
      <c r="P16" s="22">
        <f t="shared" si="1"/>
        <v>129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13.4</v>
      </c>
      <c r="D17" s="19">
        <v>39.5</v>
      </c>
      <c r="E17" s="19">
        <v>72.3</v>
      </c>
      <c r="F17" s="19">
        <v>66</v>
      </c>
      <c r="G17" s="19">
        <v>75</v>
      </c>
      <c r="H17" s="19">
        <v>157</v>
      </c>
      <c r="I17" s="19">
        <v>478.5</v>
      </c>
      <c r="J17" s="19">
        <v>248.5</v>
      </c>
      <c r="K17" s="19">
        <v>62</v>
      </c>
      <c r="L17" s="19">
        <v>5.5</v>
      </c>
      <c r="M17" s="19">
        <v>22</v>
      </c>
      <c r="N17" s="21">
        <v>5.2</v>
      </c>
      <c r="O17" s="15">
        <f t="shared" si="0"/>
        <v>1244.9000000000001</v>
      </c>
      <c r="P17" s="22">
        <f t="shared" si="1"/>
        <v>103.7</v>
      </c>
    </row>
    <row r="18" spans="2:18" ht="21.95" customHeight="1">
      <c r="B18" s="18">
        <v>2006</v>
      </c>
      <c r="C18" s="19">
        <v>23</v>
      </c>
      <c r="D18" s="19">
        <v>42</v>
      </c>
      <c r="E18" s="19">
        <v>6.6</v>
      </c>
      <c r="F18" s="19">
        <v>102</v>
      </c>
      <c r="G18" s="19">
        <v>177.5</v>
      </c>
      <c r="H18" s="19">
        <v>101.5</v>
      </c>
      <c r="I18" s="19">
        <v>659</v>
      </c>
      <c r="J18" s="19">
        <v>154</v>
      </c>
      <c r="K18" s="19">
        <v>50.5</v>
      </c>
      <c r="L18" s="19">
        <v>28.5</v>
      </c>
      <c r="M18" s="19">
        <v>46.5</v>
      </c>
      <c r="N18" s="21">
        <v>20.3</v>
      </c>
      <c r="O18" s="15">
        <f t="shared" si="0"/>
        <v>1411.4</v>
      </c>
      <c r="P18" s="22">
        <f t="shared" si="1"/>
        <v>117.6</v>
      </c>
    </row>
    <row r="19" spans="2:18" ht="21.95" customHeight="1">
      <c r="B19" s="18">
        <v>2007</v>
      </c>
      <c r="C19" s="19">
        <v>5</v>
      </c>
      <c r="D19" s="19">
        <v>53.5</v>
      </c>
      <c r="E19" s="19">
        <v>89.3</v>
      </c>
      <c r="F19" s="19">
        <v>54</v>
      </c>
      <c r="G19" s="19">
        <v>63.5</v>
      </c>
      <c r="H19" s="19">
        <v>109</v>
      </c>
      <c r="I19" s="19">
        <v>210</v>
      </c>
      <c r="J19" s="19">
        <v>429</v>
      </c>
      <c r="K19" s="19">
        <v>629</v>
      </c>
      <c r="L19" s="19">
        <v>55.5</v>
      </c>
      <c r="M19" s="19">
        <v>1.4</v>
      </c>
      <c r="N19" s="21">
        <v>29.8</v>
      </c>
      <c r="O19" s="15">
        <f t="shared" si="0"/>
        <v>1729</v>
      </c>
      <c r="P19" s="22">
        <f t="shared" si="1"/>
        <v>144.1</v>
      </c>
    </row>
    <row r="20" spans="2:18" ht="21.95" customHeight="1">
      <c r="B20" s="18">
        <v>2008</v>
      </c>
      <c r="C20" s="19">
        <v>51.8</v>
      </c>
      <c r="D20" s="19">
        <v>2.2000000000000002</v>
      </c>
      <c r="E20" s="19">
        <v>32.6</v>
      </c>
      <c r="F20" s="19">
        <v>43</v>
      </c>
      <c r="G20" s="19">
        <v>73.8</v>
      </c>
      <c r="H20" s="19">
        <v>209.8</v>
      </c>
      <c r="I20" s="19">
        <v>86.1</v>
      </c>
      <c r="J20" s="19">
        <v>57.7</v>
      </c>
      <c r="K20" s="19">
        <v>21.3</v>
      </c>
      <c r="L20" s="19">
        <v>20.100000000000001</v>
      </c>
      <c r="M20" s="19">
        <v>13.3</v>
      </c>
      <c r="N20" s="21">
        <v>4</v>
      </c>
      <c r="O20" s="15">
        <f t="shared" si="0"/>
        <v>615.70000000000005</v>
      </c>
      <c r="P20" s="22">
        <f t="shared" si="1"/>
        <v>51.3</v>
      </c>
      <c r="R20" s="4"/>
    </row>
    <row r="21" spans="2:18" ht="21.95" customHeight="1">
      <c r="B21" s="18">
        <v>2009</v>
      </c>
      <c r="C21" s="19">
        <v>8.5</v>
      </c>
      <c r="D21" s="19">
        <v>30.6</v>
      </c>
      <c r="E21" s="19">
        <v>36.299999999999997</v>
      </c>
      <c r="F21" s="19">
        <v>37.299999999999997</v>
      </c>
      <c r="G21" s="19">
        <v>134.30000000000001</v>
      </c>
      <c r="H21" s="19">
        <v>121.8</v>
      </c>
      <c r="I21" s="19">
        <v>433.7</v>
      </c>
      <c r="J21" s="19">
        <v>37.9</v>
      </c>
      <c r="K21" s="19">
        <v>44.6</v>
      </c>
      <c r="L21" s="19">
        <v>29.5</v>
      </c>
      <c r="M21" s="19">
        <v>30.6</v>
      </c>
      <c r="N21" s="21">
        <v>30.2</v>
      </c>
      <c r="O21" s="15">
        <f t="shared" si="0"/>
        <v>975.3</v>
      </c>
      <c r="P21" s="22">
        <f t="shared" si="1"/>
        <v>81.3</v>
      </c>
    </row>
    <row r="22" spans="2:18" ht="21.95" customHeight="1">
      <c r="B22" s="18">
        <v>2010</v>
      </c>
      <c r="C22" s="19">
        <v>15.9</v>
      </c>
      <c r="D22" s="19">
        <v>95.4</v>
      </c>
      <c r="E22" s="19">
        <v>69.8</v>
      </c>
      <c r="F22" s="19">
        <v>85.1</v>
      </c>
      <c r="G22" s="19">
        <v>117.5</v>
      </c>
      <c r="H22" s="19">
        <v>18.3</v>
      </c>
      <c r="I22" s="19">
        <v>292.39999999999998</v>
      </c>
      <c r="J22" s="19">
        <v>475.8</v>
      </c>
      <c r="K22" s="19">
        <v>279.8</v>
      </c>
      <c r="L22" s="19">
        <v>63.3</v>
      </c>
      <c r="M22" s="19">
        <v>4.8</v>
      </c>
      <c r="N22" s="21">
        <v>30.4</v>
      </c>
      <c r="O22" s="15">
        <f t="shared" si="0"/>
        <v>1548.5</v>
      </c>
      <c r="P22" s="22">
        <f t="shared" si="1"/>
        <v>129</v>
      </c>
    </row>
    <row r="23" spans="2:18" ht="21.95" customHeight="1">
      <c r="B23" s="18">
        <v>2011</v>
      </c>
      <c r="C23" s="19">
        <v>0.5</v>
      </c>
      <c r="D23" s="19">
        <v>51.8</v>
      </c>
      <c r="E23" s="19">
        <v>21.5</v>
      </c>
      <c r="F23" s="19">
        <v>105.6</v>
      </c>
      <c r="G23" s="19">
        <v>111.9</v>
      </c>
      <c r="H23" s="19">
        <v>189.9</v>
      </c>
      <c r="I23" s="19">
        <v>365.1</v>
      </c>
      <c r="J23" s="19">
        <v>271.39999999999998</v>
      </c>
      <c r="K23" s="19">
        <v>19.2</v>
      </c>
      <c r="L23" s="19">
        <v>51.5</v>
      </c>
      <c r="M23" s="19">
        <v>125.7</v>
      </c>
      <c r="N23" s="21">
        <v>7.2</v>
      </c>
      <c r="O23" s="15">
        <f t="shared" si="0"/>
        <v>1321.3</v>
      </c>
      <c r="P23" s="22">
        <f t="shared" si="1"/>
        <v>110.1</v>
      </c>
    </row>
    <row r="24" spans="2:18" ht="21.95" customHeight="1">
      <c r="B24" s="18">
        <v>2012</v>
      </c>
      <c r="C24" s="19">
        <v>12.1</v>
      </c>
      <c r="D24" s="19">
        <v>5.5</v>
      </c>
      <c r="E24" s="19">
        <v>90.1</v>
      </c>
      <c r="F24" s="19">
        <v>94.2</v>
      </c>
      <c r="G24" s="19">
        <v>44</v>
      </c>
      <c r="H24" s="19">
        <v>87.3</v>
      </c>
      <c r="I24" s="19">
        <v>261</v>
      </c>
      <c r="J24" s="19">
        <v>450.3</v>
      </c>
      <c r="K24" s="19">
        <v>350.8</v>
      </c>
      <c r="L24" s="19">
        <v>44.4</v>
      </c>
      <c r="M24" s="19">
        <v>46.1</v>
      </c>
      <c r="N24" s="21">
        <v>53</v>
      </c>
      <c r="O24" s="15">
        <f t="shared" si="0"/>
        <v>1538.8</v>
      </c>
      <c r="P24" s="22">
        <f t="shared" si="1"/>
        <v>128.19999999999999</v>
      </c>
    </row>
    <row r="25" spans="2:18" ht="21.95" customHeight="1">
      <c r="B25" s="18">
        <v>2013</v>
      </c>
      <c r="C25" s="19">
        <v>22.3</v>
      </c>
      <c r="D25" s="19">
        <v>40.700000000000003</v>
      </c>
      <c r="E25" s="19">
        <v>51.1</v>
      </c>
      <c r="F25" s="19">
        <v>64.2</v>
      </c>
      <c r="G25" s="19">
        <v>99.5</v>
      </c>
      <c r="H25" s="19">
        <v>36</v>
      </c>
      <c r="I25" s="19">
        <v>285</v>
      </c>
      <c r="J25" s="19">
        <v>214.5</v>
      </c>
      <c r="K25" s="19">
        <v>158.69999999999999</v>
      </c>
      <c r="L25" s="19">
        <v>56</v>
      </c>
      <c r="M25" s="19">
        <v>44.7</v>
      </c>
      <c r="N25" s="21">
        <v>13.1</v>
      </c>
      <c r="O25" s="15">
        <f t="shared" si="0"/>
        <v>1085.8</v>
      </c>
      <c r="P25" s="22">
        <f t="shared" si="1"/>
        <v>90.5</v>
      </c>
    </row>
    <row r="26" spans="2:18" ht="21.95" customHeight="1">
      <c r="B26" s="18">
        <v>2014</v>
      </c>
      <c r="C26" s="19">
        <v>4.5</v>
      </c>
      <c r="D26" s="19">
        <v>6.8</v>
      </c>
      <c r="E26" s="19">
        <v>83.2</v>
      </c>
      <c r="F26" s="19">
        <v>109.8</v>
      </c>
      <c r="G26" s="19">
        <v>26.1</v>
      </c>
      <c r="H26" s="19">
        <v>64.3</v>
      </c>
      <c r="I26" s="19">
        <v>170.9</v>
      </c>
      <c r="J26" s="19">
        <v>457.1</v>
      </c>
      <c r="K26" s="19">
        <v>126</v>
      </c>
      <c r="L26" s="19">
        <v>110.7</v>
      </c>
      <c r="M26" s="19">
        <v>69.400000000000006</v>
      </c>
      <c r="N26" s="21">
        <v>13.6</v>
      </c>
      <c r="O26" s="15">
        <f t="shared" si="0"/>
        <v>1242.4000000000001</v>
      </c>
      <c r="P26" s="22">
        <f t="shared" si="1"/>
        <v>103.5</v>
      </c>
    </row>
    <row r="27" spans="2:18" ht="21.95" customHeight="1">
      <c r="B27" s="18">
        <v>2015</v>
      </c>
      <c r="C27" s="19">
        <v>21.8</v>
      </c>
      <c r="D27" s="19">
        <v>21.6</v>
      </c>
      <c r="E27" s="19">
        <v>52</v>
      </c>
      <c r="F27" s="19">
        <v>114</v>
      </c>
      <c r="G27" s="19">
        <v>53</v>
      </c>
      <c r="H27" s="19">
        <v>115.1</v>
      </c>
      <c r="I27" s="19">
        <v>248.6</v>
      </c>
      <c r="J27" s="19">
        <v>134.19999999999999</v>
      </c>
      <c r="K27" s="19">
        <v>42.6</v>
      </c>
      <c r="L27" s="19">
        <v>72.5</v>
      </c>
      <c r="M27" s="19">
        <v>104.8</v>
      </c>
      <c r="N27" s="21">
        <v>51</v>
      </c>
      <c r="O27" s="15">
        <f t="shared" si="0"/>
        <v>1031.2</v>
      </c>
      <c r="P27" s="22">
        <f t="shared" si="1"/>
        <v>85.9</v>
      </c>
    </row>
    <row r="28" spans="2:18" ht="21.95" customHeight="1">
      <c r="B28" s="18">
        <v>2016</v>
      </c>
      <c r="C28" s="19">
        <v>20.7</v>
      </c>
      <c r="D28" s="19">
        <v>40.4</v>
      </c>
      <c r="E28" s="19">
        <v>59.2</v>
      </c>
      <c r="F28" s="19">
        <v>171.6</v>
      </c>
      <c r="G28" s="19">
        <v>61.2</v>
      </c>
      <c r="H28" s="19">
        <v>46.1</v>
      </c>
      <c r="I28" s="19">
        <v>285.3</v>
      </c>
      <c r="J28" s="19">
        <v>80.3</v>
      </c>
      <c r="K28" s="19">
        <v>258</v>
      </c>
      <c r="L28" s="19">
        <v>160</v>
      </c>
      <c r="M28" s="19">
        <v>9.1999999999999993</v>
      </c>
      <c r="N28" s="21">
        <v>37.799999999999997</v>
      </c>
      <c r="O28" s="15">
        <f t="shared" si="0"/>
        <v>1229.8</v>
      </c>
      <c r="P28" s="22">
        <f t="shared" si="1"/>
        <v>102.5</v>
      </c>
    </row>
    <row r="29" spans="2:18" ht="21.95" customHeight="1">
      <c r="B29" s="18">
        <v>2017</v>
      </c>
      <c r="C29" s="19">
        <v>0.7</v>
      </c>
      <c r="D29" s="19">
        <v>36.799999999999997</v>
      </c>
      <c r="E29" s="19">
        <v>40.200000000000003</v>
      </c>
      <c r="F29" s="19">
        <v>51.9</v>
      </c>
      <c r="G29" s="19">
        <v>25.5</v>
      </c>
      <c r="H29" s="19">
        <v>56.3</v>
      </c>
      <c r="I29" s="19">
        <v>147.4</v>
      </c>
      <c r="J29" s="19">
        <v>159.19999999999999</v>
      </c>
      <c r="K29" s="19">
        <v>148.19999999999999</v>
      </c>
      <c r="L29" s="19">
        <v>99.9</v>
      </c>
      <c r="M29" s="19">
        <v>1.8</v>
      </c>
      <c r="N29" s="21">
        <v>14.9</v>
      </c>
      <c r="O29" s="15">
        <f t="shared" si="0"/>
        <v>782.8</v>
      </c>
      <c r="P29" s="22">
        <f t="shared" si="1"/>
        <v>65.2</v>
      </c>
    </row>
    <row r="30" spans="2:18" ht="21.95" customHeight="1">
      <c r="B30" s="18">
        <v>2018</v>
      </c>
      <c r="C30" s="19">
        <v>18.8</v>
      </c>
      <c r="D30" s="19">
        <v>28.2</v>
      </c>
      <c r="E30" s="19">
        <v>113.7</v>
      </c>
      <c r="F30" s="19">
        <v>122.5</v>
      </c>
      <c r="G30" s="19">
        <v>89.5</v>
      </c>
      <c r="H30" s="19">
        <v>129.6</v>
      </c>
      <c r="I30" s="19">
        <v>95</v>
      </c>
      <c r="J30" s="19">
        <v>273.60000000000002</v>
      </c>
      <c r="K30" s="19">
        <v>140.19999999999999</v>
      </c>
      <c r="L30" s="19">
        <v>160.30000000000001</v>
      </c>
      <c r="M30" s="19">
        <v>24.8</v>
      </c>
      <c r="N30" s="21">
        <v>19.399999999999999</v>
      </c>
      <c r="O30" s="15">
        <f t="shared" si="0"/>
        <v>1215.5999999999999</v>
      </c>
      <c r="P30" s="22">
        <f t="shared" si="1"/>
        <v>101.3</v>
      </c>
    </row>
    <row r="31" spans="2:18" ht="21.95" customHeight="1">
      <c r="B31" s="18">
        <v>2019</v>
      </c>
      <c r="C31" s="19">
        <v>13.1</v>
      </c>
      <c r="D31" s="19">
        <v>29.5</v>
      </c>
      <c r="E31" s="19">
        <v>36</v>
      </c>
      <c r="F31" s="19">
        <v>103</v>
      </c>
      <c r="G31" s="19">
        <v>69</v>
      </c>
      <c r="H31" s="19">
        <v>147.5</v>
      </c>
      <c r="I31" s="19">
        <v>226.7</v>
      </c>
      <c r="J31" s="19">
        <v>92.3</v>
      </c>
      <c r="K31" s="19">
        <v>301.3</v>
      </c>
      <c r="L31" s="19">
        <v>167.1</v>
      </c>
      <c r="M31" s="19">
        <v>22.3</v>
      </c>
      <c r="N31" s="21">
        <v>24.6</v>
      </c>
      <c r="O31" s="15">
        <f t="shared" si="0"/>
        <v>1232.4000000000001</v>
      </c>
      <c r="P31" s="22">
        <f t="shared" si="1"/>
        <v>102.7</v>
      </c>
    </row>
    <row r="32" spans="2:18" ht="21.95" customHeight="1">
      <c r="B32" s="18">
        <v>2020</v>
      </c>
      <c r="C32" s="19">
        <v>85.5</v>
      </c>
      <c r="D32" s="19">
        <v>47.8</v>
      </c>
      <c r="E32" s="19">
        <v>28.3</v>
      </c>
      <c r="F32" s="19">
        <v>48.3</v>
      </c>
      <c r="G32" s="19">
        <v>75.7</v>
      </c>
      <c r="H32" s="19">
        <v>181.4</v>
      </c>
      <c r="I32" s="19">
        <v>591.6</v>
      </c>
      <c r="J32" s="19">
        <v>467</v>
      </c>
      <c r="K32" s="19">
        <v>160.69999999999999</v>
      </c>
      <c r="L32" s="19">
        <v>11.9</v>
      </c>
      <c r="M32" s="19">
        <v>24.9</v>
      </c>
      <c r="N32" s="21">
        <v>3.6</v>
      </c>
      <c r="O32" s="15">
        <f t="shared" si="0"/>
        <v>1726.7</v>
      </c>
      <c r="P32" s="22">
        <f t="shared" si="1"/>
        <v>143.9</v>
      </c>
    </row>
    <row r="33" spans="2:16" ht="21.95" customHeight="1">
      <c r="B33" s="18">
        <v>2021</v>
      </c>
      <c r="C33" s="19">
        <v>12.5</v>
      </c>
      <c r="D33" s="19">
        <v>26.3</v>
      </c>
      <c r="E33" s="19">
        <v>82.5</v>
      </c>
      <c r="F33" s="19">
        <v>49.2</v>
      </c>
      <c r="G33" s="19">
        <v>102.5</v>
      </c>
      <c r="H33" s="19">
        <v>82.1</v>
      </c>
      <c r="I33" s="19">
        <v>211.3</v>
      </c>
      <c r="J33" s="19">
        <v>328.4</v>
      </c>
      <c r="K33" s="19">
        <v>91.9</v>
      </c>
      <c r="L33" s="19">
        <v>54.6</v>
      </c>
      <c r="M33" s="19">
        <v>38.9</v>
      </c>
      <c r="N33" s="21">
        <v>0</v>
      </c>
      <c r="O33" s="15">
        <f t="shared" si="0"/>
        <v>1080.2</v>
      </c>
      <c r="P33" s="22">
        <f t="shared" si="1"/>
        <v>90</v>
      </c>
    </row>
    <row r="34" spans="2:16" ht="21.95" customHeight="1">
      <c r="B34" s="18">
        <v>2022</v>
      </c>
      <c r="C34" s="19">
        <v>0</v>
      </c>
      <c r="D34" s="19">
        <v>0.8</v>
      </c>
      <c r="E34" s="19">
        <v>65.5</v>
      </c>
      <c r="F34" s="19">
        <v>44</v>
      </c>
      <c r="G34" s="19">
        <v>0</v>
      </c>
      <c r="H34" s="19">
        <v>63.2</v>
      </c>
      <c r="I34" s="19">
        <v>128.69999999999999</v>
      </c>
      <c r="J34" s="19">
        <v>120.2</v>
      </c>
      <c r="K34" s="19">
        <v>126.2</v>
      </c>
      <c r="L34" s="19">
        <v>22.5</v>
      </c>
      <c r="M34" s="19">
        <v>61.8</v>
      </c>
      <c r="N34" s="21">
        <v>5.9</v>
      </c>
      <c r="O34" s="15">
        <f t="shared" si="0"/>
        <v>638.79999999999995</v>
      </c>
      <c r="P34" s="22">
        <f t="shared" si="1"/>
        <v>53.2</v>
      </c>
    </row>
    <row r="35" spans="2:16" ht="21.95" customHeight="1" thickBot="1">
      <c r="B35" s="38">
        <v>2023</v>
      </c>
      <c r="C35" s="39">
        <v>26.7</v>
      </c>
      <c r="D35" s="39">
        <v>11.1</v>
      </c>
      <c r="E35" s="39">
        <v>30.5</v>
      </c>
      <c r="F35" s="39">
        <v>47.9</v>
      </c>
      <c r="G35" s="39">
        <v>211.3</v>
      </c>
      <c r="H35" s="39">
        <v>180.2</v>
      </c>
      <c r="I35" s="39">
        <v>482.1</v>
      </c>
      <c r="J35" s="39">
        <v>334.8</v>
      </c>
      <c r="K35" s="39">
        <v>125.6</v>
      </c>
      <c r="L35" s="39">
        <v>9.5</v>
      </c>
      <c r="M35" s="39">
        <v>44.2</v>
      </c>
      <c r="N35" s="40">
        <v>121.5</v>
      </c>
      <c r="O35" s="41">
        <f t="shared" si="0"/>
        <v>1625.4</v>
      </c>
      <c r="P35" s="42">
        <f t="shared" si="1"/>
        <v>135.5</v>
      </c>
    </row>
    <row r="36" spans="2:16" ht="21.95" customHeight="1">
      <c r="B36" s="43" t="s">
        <v>13</v>
      </c>
      <c r="C36" s="44">
        <f>ROUND(MAX(C6:C35),1)</f>
        <v>85.5</v>
      </c>
      <c r="D36" s="44">
        <f t="shared" ref="D36:N36" si="2">ROUND(MAX(D6:D35),1)</f>
        <v>95.4</v>
      </c>
      <c r="E36" s="44">
        <f t="shared" si="2"/>
        <v>132</v>
      </c>
      <c r="F36" s="44">
        <f t="shared" si="2"/>
        <v>193</v>
      </c>
      <c r="G36" s="44">
        <f t="shared" si="2"/>
        <v>211.3</v>
      </c>
      <c r="H36" s="44">
        <f t="shared" si="2"/>
        <v>339.5</v>
      </c>
      <c r="I36" s="44">
        <f t="shared" si="2"/>
        <v>659</v>
      </c>
      <c r="J36" s="44">
        <f t="shared" si="2"/>
        <v>838</v>
      </c>
      <c r="K36" s="44">
        <f t="shared" si="2"/>
        <v>629</v>
      </c>
      <c r="L36" s="44">
        <f t="shared" si="2"/>
        <v>171.5</v>
      </c>
      <c r="M36" s="44">
        <f t="shared" si="2"/>
        <v>132.5</v>
      </c>
      <c r="N36" s="45">
        <f t="shared" si="2"/>
        <v>121.5</v>
      </c>
      <c r="O36" s="46">
        <f>ROUND(MAX(O6:O35),1)</f>
        <v>1950.8</v>
      </c>
      <c r="P36" s="47">
        <f>ROUND(MAX(P6:P35),1)</f>
        <v>162.6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</v>
      </c>
      <c r="E37" s="49">
        <f t="shared" si="3"/>
        <v>6.6</v>
      </c>
      <c r="F37" s="49">
        <f t="shared" si="3"/>
        <v>21.5</v>
      </c>
      <c r="G37" s="49">
        <f t="shared" si="3"/>
        <v>0</v>
      </c>
      <c r="H37" s="49">
        <f t="shared" si="3"/>
        <v>18.3</v>
      </c>
      <c r="I37" s="49">
        <f t="shared" si="3"/>
        <v>8</v>
      </c>
      <c r="J37" s="49">
        <f t="shared" si="3"/>
        <v>37.9</v>
      </c>
      <c r="K37" s="49">
        <f t="shared" si="3"/>
        <v>18</v>
      </c>
      <c r="L37" s="49">
        <f t="shared" si="3"/>
        <v>4</v>
      </c>
      <c r="M37" s="49">
        <f t="shared" si="3"/>
        <v>1.4</v>
      </c>
      <c r="N37" s="22">
        <f t="shared" si="3"/>
        <v>0</v>
      </c>
      <c r="O37" s="50">
        <f>ROUND(MIN(O6:O35),1)</f>
        <v>615.70000000000005</v>
      </c>
      <c r="P37" s="51">
        <f>ROUND(MIN(P6:P35),1)</f>
        <v>51.3</v>
      </c>
    </row>
    <row r="38" spans="2:16" ht="21.95" customHeight="1" thickBot="1">
      <c r="B38" s="52" t="s">
        <v>18</v>
      </c>
      <c r="C38" s="53">
        <f>ROUND(AVERAGE(C6:C35),1)</f>
        <v>22.9</v>
      </c>
      <c r="D38" s="53">
        <f t="shared" ref="D38:J38" si="4">ROUND(AVERAGE(D6:D35),1)</f>
        <v>31.2</v>
      </c>
      <c r="E38" s="53">
        <f t="shared" si="4"/>
        <v>54.1</v>
      </c>
      <c r="F38" s="53">
        <f t="shared" si="4"/>
        <v>82.1</v>
      </c>
      <c r="G38" s="53">
        <f t="shared" si="4"/>
        <v>90.3</v>
      </c>
      <c r="H38" s="53">
        <f t="shared" si="4"/>
        <v>146.9</v>
      </c>
      <c r="I38" s="53">
        <f t="shared" si="4"/>
        <v>286.5</v>
      </c>
      <c r="J38" s="53">
        <f t="shared" si="4"/>
        <v>283.3</v>
      </c>
      <c r="K38" s="53">
        <f t="shared" ref="K38:P38" si="5">ROUND(AVERAGE(K6:K35),1)</f>
        <v>164.5</v>
      </c>
      <c r="L38" s="53">
        <f t="shared" si="5"/>
        <v>60.9</v>
      </c>
      <c r="M38" s="53">
        <f t="shared" si="5"/>
        <v>39.5</v>
      </c>
      <c r="N38" s="54">
        <f t="shared" si="5"/>
        <v>23.2</v>
      </c>
      <c r="O38" s="55">
        <f t="shared" si="5"/>
        <v>1285.4000000000001</v>
      </c>
      <c r="P38" s="56">
        <f t="shared" si="5"/>
        <v>107.1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4.5</v>
      </c>
      <c r="D44" s="62">
        <f t="shared" si="6"/>
        <v>6.8</v>
      </c>
      <c r="E44" s="62">
        <f t="shared" si="6"/>
        <v>83.2</v>
      </c>
      <c r="F44" s="62">
        <f t="shared" si="6"/>
        <v>109.8</v>
      </c>
      <c r="G44" s="62">
        <f t="shared" si="6"/>
        <v>26.1</v>
      </c>
      <c r="H44" s="62">
        <f t="shared" si="6"/>
        <v>64.3</v>
      </c>
      <c r="I44" s="62">
        <f t="shared" si="6"/>
        <v>170.9</v>
      </c>
      <c r="J44" s="62">
        <f t="shared" si="6"/>
        <v>457.1</v>
      </c>
      <c r="K44" s="62">
        <f t="shared" si="6"/>
        <v>126</v>
      </c>
      <c r="L44" s="62">
        <f t="shared" si="6"/>
        <v>110.7</v>
      </c>
      <c r="M44" s="62">
        <f t="shared" si="6"/>
        <v>69.400000000000006</v>
      </c>
      <c r="N44" s="63">
        <f t="shared" si="6"/>
        <v>13.6</v>
      </c>
      <c r="O44" s="64">
        <f>ROUND(SUM(C44:N44),1)</f>
        <v>1242.4000000000001</v>
      </c>
      <c r="P44" s="51">
        <f>ROUND(O44/12,1)</f>
        <v>103.5</v>
      </c>
    </row>
    <row r="45" spans="2:16" ht="21.95" customHeight="1">
      <c r="B45" s="61">
        <f t="shared" ref="B45:N45" si="7">B27</f>
        <v>2015</v>
      </c>
      <c r="C45" s="62">
        <f t="shared" si="7"/>
        <v>21.8</v>
      </c>
      <c r="D45" s="62">
        <f t="shared" si="7"/>
        <v>21.6</v>
      </c>
      <c r="E45" s="62">
        <f t="shared" si="7"/>
        <v>52</v>
      </c>
      <c r="F45" s="62">
        <f t="shared" si="7"/>
        <v>114</v>
      </c>
      <c r="G45" s="62">
        <f t="shared" si="7"/>
        <v>53</v>
      </c>
      <c r="H45" s="62">
        <f t="shared" si="7"/>
        <v>115.1</v>
      </c>
      <c r="I45" s="62">
        <f t="shared" si="7"/>
        <v>248.6</v>
      </c>
      <c r="J45" s="62">
        <f t="shared" si="7"/>
        <v>134.19999999999999</v>
      </c>
      <c r="K45" s="62">
        <f t="shared" si="7"/>
        <v>42.6</v>
      </c>
      <c r="L45" s="62">
        <f t="shared" si="7"/>
        <v>72.5</v>
      </c>
      <c r="M45" s="62">
        <f t="shared" si="7"/>
        <v>104.8</v>
      </c>
      <c r="N45" s="63">
        <f t="shared" si="7"/>
        <v>51</v>
      </c>
      <c r="O45" s="64">
        <f t="shared" ref="O45:O53" si="8">ROUND(SUM(C45:N45),1)</f>
        <v>1031.2</v>
      </c>
      <c r="P45" s="51">
        <f t="shared" ref="P45:P53" si="9">ROUND(O45/12,1)</f>
        <v>85.9</v>
      </c>
    </row>
    <row r="46" spans="2:16" ht="21.95" customHeight="1">
      <c r="B46" s="61">
        <f t="shared" ref="B46:N46" si="10">B28</f>
        <v>2016</v>
      </c>
      <c r="C46" s="62">
        <f t="shared" si="10"/>
        <v>20.7</v>
      </c>
      <c r="D46" s="62">
        <f t="shared" si="10"/>
        <v>40.4</v>
      </c>
      <c r="E46" s="62">
        <f t="shared" si="10"/>
        <v>59.2</v>
      </c>
      <c r="F46" s="62">
        <f t="shared" si="10"/>
        <v>171.6</v>
      </c>
      <c r="G46" s="62">
        <f t="shared" si="10"/>
        <v>61.2</v>
      </c>
      <c r="H46" s="62">
        <f t="shared" si="10"/>
        <v>46.1</v>
      </c>
      <c r="I46" s="62">
        <f t="shared" si="10"/>
        <v>285.3</v>
      </c>
      <c r="J46" s="62">
        <f t="shared" si="10"/>
        <v>80.3</v>
      </c>
      <c r="K46" s="62">
        <f t="shared" si="10"/>
        <v>258</v>
      </c>
      <c r="L46" s="62">
        <f t="shared" si="10"/>
        <v>160</v>
      </c>
      <c r="M46" s="62">
        <f t="shared" si="10"/>
        <v>9.1999999999999993</v>
      </c>
      <c r="N46" s="63">
        <f t="shared" si="10"/>
        <v>37.799999999999997</v>
      </c>
      <c r="O46" s="64">
        <f t="shared" si="8"/>
        <v>1229.8</v>
      </c>
      <c r="P46" s="51">
        <f t="shared" si="9"/>
        <v>102.5</v>
      </c>
    </row>
    <row r="47" spans="2:16" ht="21.95" customHeight="1">
      <c r="B47" s="61">
        <f t="shared" ref="B47:N47" si="11">B29</f>
        <v>2017</v>
      </c>
      <c r="C47" s="62">
        <f t="shared" si="11"/>
        <v>0.7</v>
      </c>
      <c r="D47" s="62">
        <f t="shared" si="11"/>
        <v>36.799999999999997</v>
      </c>
      <c r="E47" s="62">
        <f t="shared" si="11"/>
        <v>40.200000000000003</v>
      </c>
      <c r="F47" s="62">
        <f t="shared" si="11"/>
        <v>51.9</v>
      </c>
      <c r="G47" s="62">
        <f t="shared" si="11"/>
        <v>25.5</v>
      </c>
      <c r="H47" s="62">
        <f t="shared" si="11"/>
        <v>56.3</v>
      </c>
      <c r="I47" s="62">
        <f t="shared" si="11"/>
        <v>147.4</v>
      </c>
      <c r="J47" s="62">
        <f t="shared" si="11"/>
        <v>159.19999999999999</v>
      </c>
      <c r="K47" s="62">
        <f t="shared" si="11"/>
        <v>148.19999999999999</v>
      </c>
      <c r="L47" s="62">
        <f t="shared" si="11"/>
        <v>99.9</v>
      </c>
      <c r="M47" s="62">
        <f t="shared" si="11"/>
        <v>1.8</v>
      </c>
      <c r="N47" s="63">
        <f t="shared" si="11"/>
        <v>14.9</v>
      </c>
      <c r="O47" s="64">
        <f>ROUND(SUM(C47:N47),1)</f>
        <v>782.8</v>
      </c>
      <c r="P47" s="51">
        <f t="shared" si="9"/>
        <v>65.2</v>
      </c>
    </row>
    <row r="48" spans="2:16" ht="21.95" customHeight="1">
      <c r="B48" s="61">
        <f t="shared" ref="B48:N48" si="12">B30</f>
        <v>2018</v>
      </c>
      <c r="C48" s="62">
        <f t="shared" si="12"/>
        <v>18.8</v>
      </c>
      <c r="D48" s="62">
        <f t="shared" si="12"/>
        <v>28.2</v>
      </c>
      <c r="E48" s="62">
        <f t="shared" si="12"/>
        <v>113.7</v>
      </c>
      <c r="F48" s="62">
        <f t="shared" si="12"/>
        <v>122.5</v>
      </c>
      <c r="G48" s="62">
        <f t="shared" si="12"/>
        <v>89.5</v>
      </c>
      <c r="H48" s="62">
        <f t="shared" si="12"/>
        <v>129.6</v>
      </c>
      <c r="I48" s="62">
        <f t="shared" si="12"/>
        <v>95</v>
      </c>
      <c r="J48" s="62">
        <f t="shared" si="12"/>
        <v>273.60000000000002</v>
      </c>
      <c r="K48" s="62">
        <f t="shared" si="12"/>
        <v>140.19999999999999</v>
      </c>
      <c r="L48" s="62">
        <f t="shared" si="12"/>
        <v>160.30000000000001</v>
      </c>
      <c r="M48" s="62">
        <f t="shared" si="12"/>
        <v>24.8</v>
      </c>
      <c r="N48" s="63">
        <f t="shared" si="12"/>
        <v>19.399999999999999</v>
      </c>
      <c r="O48" s="64">
        <f t="shared" si="8"/>
        <v>1215.5999999999999</v>
      </c>
      <c r="P48" s="51">
        <f t="shared" si="9"/>
        <v>101.3</v>
      </c>
    </row>
    <row r="49" spans="2:16" ht="21.95" customHeight="1">
      <c r="B49" s="61">
        <f t="shared" ref="B49:N49" si="13">B31</f>
        <v>2019</v>
      </c>
      <c r="C49" s="62">
        <f t="shared" si="13"/>
        <v>13.1</v>
      </c>
      <c r="D49" s="62">
        <f t="shared" si="13"/>
        <v>29.5</v>
      </c>
      <c r="E49" s="62">
        <f t="shared" si="13"/>
        <v>36</v>
      </c>
      <c r="F49" s="62">
        <f t="shared" si="13"/>
        <v>103</v>
      </c>
      <c r="G49" s="62">
        <f t="shared" si="13"/>
        <v>69</v>
      </c>
      <c r="H49" s="62">
        <f t="shared" si="13"/>
        <v>147.5</v>
      </c>
      <c r="I49" s="62">
        <f t="shared" si="13"/>
        <v>226.7</v>
      </c>
      <c r="J49" s="62">
        <f t="shared" si="13"/>
        <v>92.3</v>
      </c>
      <c r="K49" s="62">
        <f t="shared" si="13"/>
        <v>301.3</v>
      </c>
      <c r="L49" s="62">
        <f t="shared" si="13"/>
        <v>167.1</v>
      </c>
      <c r="M49" s="62">
        <f t="shared" si="13"/>
        <v>22.3</v>
      </c>
      <c r="N49" s="63">
        <f t="shared" si="13"/>
        <v>24.6</v>
      </c>
      <c r="O49" s="64">
        <f t="shared" si="8"/>
        <v>1232.4000000000001</v>
      </c>
      <c r="P49" s="51">
        <f t="shared" si="9"/>
        <v>102.7</v>
      </c>
    </row>
    <row r="50" spans="2:16" ht="21.95" customHeight="1">
      <c r="B50" s="61">
        <f t="shared" ref="B50:N50" si="14">B32</f>
        <v>2020</v>
      </c>
      <c r="C50" s="62">
        <f t="shared" si="14"/>
        <v>85.5</v>
      </c>
      <c r="D50" s="62">
        <f t="shared" si="14"/>
        <v>47.8</v>
      </c>
      <c r="E50" s="62">
        <f t="shared" si="14"/>
        <v>28.3</v>
      </c>
      <c r="F50" s="62">
        <f t="shared" si="14"/>
        <v>48.3</v>
      </c>
      <c r="G50" s="62">
        <f t="shared" si="14"/>
        <v>75.7</v>
      </c>
      <c r="H50" s="62">
        <f t="shared" si="14"/>
        <v>181.4</v>
      </c>
      <c r="I50" s="62">
        <f t="shared" si="14"/>
        <v>591.6</v>
      </c>
      <c r="J50" s="62">
        <f t="shared" si="14"/>
        <v>467</v>
      </c>
      <c r="K50" s="62">
        <f t="shared" si="14"/>
        <v>160.69999999999999</v>
      </c>
      <c r="L50" s="62">
        <f t="shared" si="14"/>
        <v>11.9</v>
      </c>
      <c r="M50" s="62">
        <f t="shared" si="14"/>
        <v>24.9</v>
      </c>
      <c r="N50" s="63">
        <f t="shared" si="14"/>
        <v>3.6</v>
      </c>
      <c r="O50" s="64">
        <f t="shared" si="8"/>
        <v>1726.7</v>
      </c>
      <c r="P50" s="51">
        <f t="shared" si="9"/>
        <v>143.9</v>
      </c>
    </row>
    <row r="51" spans="2:16" ht="21.95" customHeight="1">
      <c r="B51" s="61">
        <f t="shared" ref="B51:N51" si="15">B33</f>
        <v>2021</v>
      </c>
      <c r="C51" s="62">
        <f t="shared" si="15"/>
        <v>12.5</v>
      </c>
      <c r="D51" s="62">
        <f t="shared" si="15"/>
        <v>26.3</v>
      </c>
      <c r="E51" s="62">
        <f t="shared" si="15"/>
        <v>82.5</v>
      </c>
      <c r="F51" s="62">
        <f t="shared" si="15"/>
        <v>49.2</v>
      </c>
      <c r="G51" s="62">
        <f t="shared" si="15"/>
        <v>102.5</v>
      </c>
      <c r="H51" s="62">
        <f t="shared" si="15"/>
        <v>82.1</v>
      </c>
      <c r="I51" s="62">
        <f t="shared" si="15"/>
        <v>211.3</v>
      </c>
      <c r="J51" s="62">
        <f t="shared" si="15"/>
        <v>328.4</v>
      </c>
      <c r="K51" s="62">
        <f t="shared" si="15"/>
        <v>91.9</v>
      </c>
      <c r="L51" s="62">
        <f t="shared" si="15"/>
        <v>54.6</v>
      </c>
      <c r="M51" s="62">
        <f t="shared" si="15"/>
        <v>38.9</v>
      </c>
      <c r="N51" s="63">
        <f t="shared" si="15"/>
        <v>0</v>
      </c>
      <c r="O51" s="64">
        <f t="shared" si="8"/>
        <v>1080.2</v>
      </c>
      <c r="P51" s="51">
        <f t="shared" si="9"/>
        <v>90</v>
      </c>
    </row>
    <row r="52" spans="2:16" ht="21.95" customHeight="1">
      <c r="B52" s="61">
        <f t="shared" ref="B52:N52" si="16">B34</f>
        <v>2022</v>
      </c>
      <c r="C52" s="62">
        <f t="shared" si="16"/>
        <v>0</v>
      </c>
      <c r="D52" s="62">
        <f t="shared" si="16"/>
        <v>0.8</v>
      </c>
      <c r="E52" s="62">
        <f t="shared" si="16"/>
        <v>65.5</v>
      </c>
      <c r="F52" s="62">
        <f t="shared" si="16"/>
        <v>44</v>
      </c>
      <c r="G52" s="62">
        <f t="shared" si="16"/>
        <v>0</v>
      </c>
      <c r="H52" s="62">
        <f t="shared" si="16"/>
        <v>63.2</v>
      </c>
      <c r="I52" s="62">
        <f t="shared" si="16"/>
        <v>128.69999999999999</v>
      </c>
      <c r="J52" s="62">
        <f t="shared" si="16"/>
        <v>120.2</v>
      </c>
      <c r="K52" s="62">
        <f t="shared" si="16"/>
        <v>126.2</v>
      </c>
      <c r="L52" s="62">
        <f t="shared" si="16"/>
        <v>22.5</v>
      </c>
      <c r="M52" s="62">
        <f t="shared" si="16"/>
        <v>61.8</v>
      </c>
      <c r="N52" s="63">
        <f t="shared" si="16"/>
        <v>5.9</v>
      </c>
      <c r="O52" s="64">
        <f t="shared" si="8"/>
        <v>638.79999999999995</v>
      </c>
      <c r="P52" s="51">
        <f t="shared" si="9"/>
        <v>53.2</v>
      </c>
    </row>
    <row r="53" spans="2:16" ht="21.95" customHeight="1" thickBot="1">
      <c r="B53" s="65">
        <f t="shared" ref="B53:N53" si="17">B35</f>
        <v>2023</v>
      </c>
      <c r="C53" s="66">
        <f t="shared" si="17"/>
        <v>26.7</v>
      </c>
      <c r="D53" s="66">
        <f t="shared" si="17"/>
        <v>11.1</v>
      </c>
      <c r="E53" s="66">
        <f t="shared" si="17"/>
        <v>30.5</v>
      </c>
      <c r="F53" s="66">
        <f t="shared" si="17"/>
        <v>47.9</v>
      </c>
      <c r="G53" s="66">
        <f t="shared" si="17"/>
        <v>211.3</v>
      </c>
      <c r="H53" s="66">
        <f t="shared" si="17"/>
        <v>180.2</v>
      </c>
      <c r="I53" s="66">
        <f t="shared" si="17"/>
        <v>482.1</v>
      </c>
      <c r="J53" s="66">
        <f t="shared" si="17"/>
        <v>334.8</v>
      </c>
      <c r="K53" s="66">
        <f t="shared" si="17"/>
        <v>125.6</v>
      </c>
      <c r="L53" s="66">
        <f t="shared" si="17"/>
        <v>9.5</v>
      </c>
      <c r="M53" s="66">
        <f t="shared" si="17"/>
        <v>44.2</v>
      </c>
      <c r="N53" s="67">
        <f t="shared" si="17"/>
        <v>121.5</v>
      </c>
      <c r="O53" s="68">
        <f t="shared" si="8"/>
        <v>1625.4</v>
      </c>
      <c r="P53" s="56">
        <f t="shared" si="9"/>
        <v>135.5</v>
      </c>
    </row>
    <row r="54" spans="2:16" ht="21.95" customHeight="1">
      <c r="B54" s="69" t="s">
        <v>19</v>
      </c>
      <c r="C54" s="70">
        <f>MAX(C44:C53)</f>
        <v>85.5</v>
      </c>
      <c r="D54" s="70">
        <f t="shared" ref="D54:P54" si="18">MAX(D44:D53)</f>
        <v>47.8</v>
      </c>
      <c r="E54" s="70">
        <f t="shared" si="18"/>
        <v>113.7</v>
      </c>
      <c r="F54" s="70">
        <f t="shared" si="18"/>
        <v>171.6</v>
      </c>
      <c r="G54" s="70">
        <f t="shared" si="18"/>
        <v>211.3</v>
      </c>
      <c r="H54" s="70">
        <f t="shared" si="18"/>
        <v>181.4</v>
      </c>
      <c r="I54" s="70">
        <f t="shared" si="18"/>
        <v>591.6</v>
      </c>
      <c r="J54" s="70">
        <f t="shared" si="18"/>
        <v>467</v>
      </c>
      <c r="K54" s="70">
        <f t="shared" si="18"/>
        <v>301.3</v>
      </c>
      <c r="L54" s="70">
        <f t="shared" si="18"/>
        <v>167.1</v>
      </c>
      <c r="M54" s="70">
        <f t="shared" si="18"/>
        <v>104.8</v>
      </c>
      <c r="N54" s="71">
        <f t="shared" si="18"/>
        <v>121.5</v>
      </c>
      <c r="O54" s="72">
        <f t="shared" si="18"/>
        <v>1726.7</v>
      </c>
      <c r="P54" s="71">
        <f t="shared" si="18"/>
        <v>143.9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0.8</v>
      </c>
      <c r="E55" s="74">
        <f t="shared" si="19"/>
        <v>28.3</v>
      </c>
      <c r="F55" s="74">
        <f t="shared" si="19"/>
        <v>44</v>
      </c>
      <c r="G55" s="74">
        <f t="shared" si="19"/>
        <v>0</v>
      </c>
      <c r="H55" s="74">
        <f t="shared" si="19"/>
        <v>46.1</v>
      </c>
      <c r="I55" s="74">
        <f t="shared" si="19"/>
        <v>95</v>
      </c>
      <c r="J55" s="74">
        <f t="shared" si="19"/>
        <v>80.3</v>
      </c>
      <c r="K55" s="74">
        <f t="shared" si="19"/>
        <v>42.6</v>
      </c>
      <c r="L55" s="74">
        <f t="shared" si="19"/>
        <v>9.5</v>
      </c>
      <c r="M55" s="74">
        <f t="shared" si="19"/>
        <v>1.8</v>
      </c>
      <c r="N55" s="51">
        <f t="shared" si="19"/>
        <v>0</v>
      </c>
      <c r="O55" s="64">
        <f>MIN(O44:O53)</f>
        <v>638.79999999999995</v>
      </c>
      <c r="P55" s="51">
        <f t="shared" si="19"/>
        <v>53.2</v>
      </c>
    </row>
    <row r="56" spans="2:16" ht="21.95" customHeight="1" thickBot="1">
      <c r="B56" s="75" t="s">
        <v>7</v>
      </c>
      <c r="C56" s="76">
        <f>ROUND(AVERAGE(C44:C53),1)</f>
        <v>20.399999999999999</v>
      </c>
      <c r="D56" s="76">
        <f t="shared" ref="D56:N56" si="20">ROUND(AVERAGE(D44:D53),1)</f>
        <v>24.9</v>
      </c>
      <c r="E56" s="76">
        <f t="shared" si="20"/>
        <v>59.1</v>
      </c>
      <c r="F56" s="76">
        <f t="shared" si="20"/>
        <v>86.2</v>
      </c>
      <c r="G56" s="76">
        <f t="shared" si="20"/>
        <v>71.400000000000006</v>
      </c>
      <c r="H56" s="76">
        <f t="shared" si="20"/>
        <v>106.6</v>
      </c>
      <c r="I56" s="76">
        <f t="shared" si="20"/>
        <v>258.8</v>
      </c>
      <c r="J56" s="76">
        <f t="shared" si="20"/>
        <v>244.7</v>
      </c>
      <c r="K56" s="76">
        <f t="shared" si="20"/>
        <v>152.1</v>
      </c>
      <c r="L56" s="76">
        <f t="shared" si="20"/>
        <v>86.9</v>
      </c>
      <c r="M56" s="76">
        <f t="shared" si="20"/>
        <v>40.200000000000003</v>
      </c>
      <c r="N56" s="56">
        <f t="shared" si="20"/>
        <v>29.2</v>
      </c>
      <c r="O56" s="68">
        <f>ROUND(AVERAGE(O44:O53),1)</f>
        <v>1180.5</v>
      </c>
      <c r="P56" s="56">
        <f>ROUND(AVERAGE(P44:P53),1)</f>
        <v>98.4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I18" sqref="I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" style="1" customWidth="1"/>
    <col min="16" max="16" width="8.33203125" style="1" customWidth="1"/>
    <col min="17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169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1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</row>
    <row r="34" spans="1:11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</row>
    <row r="35" spans="1:11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</row>
    <row r="36" spans="1:11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</row>
    <row r="37" spans="1:11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</row>
    <row r="38" spans="1:11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</row>
    <row r="39" spans="1:11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</row>
    <row r="40" spans="1:11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</row>
    <row r="41" spans="1:11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</row>
    <row r="42" spans="1:11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</row>
    <row r="43" spans="1:11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</row>
    <row r="44" spans="1:11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</row>
    <row r="45" spans="1:11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1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1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1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05"/>
  <sheetViews>
    <sheetView workbookViewId="0">
      <selection activeCell="H18" sqref="H18"/>
    </sheetView>
  </sheetViews>
  <sheetFormatPr defaultRowHeight="13.5"/>
  <cols>
    <col min="2" max="2" width="9.44140625" customWidth="1"/>
    <col min="3" max="3" width="17.5546875" customWidth="1"/>
  </cols>
  <sheetData>
    <row r="1" spans="2:3" ht="17.25" thickBot="1">
      <c r="B1" s="80" t="s">
        <v>30</v>
      </c>
      <c r="C1" s="85" t="s">
        <v>148</v>
      </c>
    </row>
    <row r="2" spans="2:3" ht="17.25" thickTop="1">
      <c r="B2" s="81" t="s">
        <v>42</v>
      </c>
      <c r="C2" s="86" t="s">
        <v>204</v>
      </c>
    </row>
    <row r="3" spans="2:3" ht="16.5">
      <c r="B3" s="82" t="s">
        <v>43</v>
      </c>
      <c r="C3" s="87" t="s">
        <v>150</v>
      </c>
    </row>
    <row r="4" spans="2:3" ht="16.5">
      <c r="B4" s="81" t="s">
        <v>44</v>
      </c>
      <c r="C4" s="86" t="s">
        <v>205</v>
      </c>
    </row>
    <row r="5" spans="2:3" ht="16.5">
      <c r="B5" s="82" t="s">
        <v>45</v>
      </c>
      <c r="C5" s="87" t="s">
        <v>206</v>
      </c>
    </row>
    <row r="6" spans="2:3" ht="16.5">
      <c r="B6" s="81" t="s">
        <v>46</v>
      </c>
      <c r="C6" s="86" t="s">
        <v>207</v>
      </c>
    </row>
    <row r="7" spans="2:3" ht="16.5">
      <c r="B7" s="82" t="s">
        <v>47</v>
      </c>
      <c r="C7" s="87" t="s">
        <v>208</v>
      </c>
    </row>
    <row r="8" spans="2:3" ht="16.5">
      <c r="B8" s="81" t="s">
        <v>48</v>
      </c>
      <c r="C8" s="86" t="s">
        <v>209</v>
      </c>
    </row>
    <row r="9" spans="2:3" ht="16.5">
      <c r="B9" s="82" t="s">
        <v>49</v>
      </c>
      <c r="C9" s="87" t="s">
        <v>210</v>
      </c>
    </row>
    <row r="10" spans="2:3" ht="16.5">
      <c r="B10" s="81" t="s">
        <v>50</v>
      </c>
      <c r="C10" s="86" t="s">
        <v>211</v>
      </c>
    </row>
    <row r="11" spans="2:3" ht="16.5">
      <c r="B11" s="83" t="s">
        <v>51</v>
      </c>
      <c r="C11" s="88" t="s">
        <v>212</v>
      </c>
    </row>
    <row r="12" spans="2:3" ht="16.5">
      <c r="B12" s="81" t="s">
        <v>52</v>
      </c>
      <c r="C12" s="86" t="s">
        <v>190</v>
      </c>
    </row>
    <row r="13" spans="2:3" ht="16.5">
      <c r="B13" s="82" t="s">
        <v>53</v>
      </c>
      <c r="C13" s="87" t="s">
        <v>191</v>
      </c>
    </row>
    <row r="14" spans="2:3" ht="16.5">
      <c r="B14" s="81" t="s">
        <v>54</v>
      </c>
      <c r="C14" s="86" t="s">
        <v>192</v>
      </c>
    </row>
    <row r="15" spans="2:3" ht="16.5">
      <c r="B15" s="82" t="s">
        <v>55</v>
      </c>
      <c r="C15" s="87" t="s">
        <v>193</v>
      </c>
    </row>
    <row r="16" spans="2:3" ht="16.5">
      <c r="B16" s="81" t="s">
        <v>56</v>
      </c>
      <c r="C16" s="86" t="s">
        <v>194</v>
      </c>
    </row>
    <row r="17" spans="2:3" ht="16.5">
      <c r="B17" s="82" t="s">
        <v>57</v>
      </c>
      <c r="C17" s="87" t="s">
        <v>149</v>
      </c>
    </row>
    <row r="18" spans="2:3" ht="16.5">
      <c r="B18" s="81" t="s">
        <v>58</v>
      </c>
      <c r="C18" s="86" t="s">
        <v>195</v>
      </c>
    </row>
    <row r="19" spans="2:3" ht="16.5">
      <c r="B19" s="82" t="s">
        <v>59</v>
      </c>
      <c r="C19" s="87" t="s">
        <v>196</v>
      </c>
    </row>
    <row r="20" spans="2:3" ht="16.5">
      <c r="B20" s="81" t="s">
        <v>60</v>
      </c>
      <c r="C20" s="86" t="s">
        <v>197</v>
      </c>
    </row>
    <row r="21" spans="2:3" ht="16.5">
      <c r="B21" s="82" t="s">
        <v>61</v>
      </c>
      <c r="C21" s="87" t="s">
        <v>198</v>
      </c>
    </row>
    <row r="22" spans="2:3" ht="16.5">
      <c r="B22" s="81" t="s">
        <v>62</v>
      </c>
      <c r="C22" s="86" t="s">
        <v>199</v>
      </c>
    </row>
    <row r="23" spans="2:3" ht="16.5">
      <c r="B23" s="82" t="s">
        <v>63</v>
      </c>
      <c r="C23" s="87" t="s">
        <v>200</v>
      </c>
    </row>
    <row r="24" spans="2:3" ht="16.5">
      <c r="B24" s="81" t="s">
        <v>64</v>
      </c>
      <c r="C24" s="86" t="s">
        <v>201</v>
      </c>
    </row>
    <row r="25" spans="2:3" ht="16.5">
      <c r="B25" s="82" t="s">
        <v>65</v>
      </c>
      <c r="C25" s="87" t="s">
        <v>202</v>
      </c>
    </row>
    <row r="26" spans="2:3" ht="16.5">
      <c r="B26" s="84" t="s">
        <v>66</v>
      </c>
      <c r="C26" s="89" t="s">
        <v>203</v>
      </c>
    </row>
    <row r="27" spans="2:3" ht="16.5">
      <c r="B27" s="81" t="s">
        <v>67</v>
      </c>
      <c r="C27" s="86" t="s">
        <v>178</v>
      </c>
    </row>
    <row r="28" spans="2:3" ht="16.5">
      <c r="B28" s="82" t="s">
        <v>252</v>
      </c>
      <c r="C28" s="87" t="s">
        <v>253</v>
      </c>
    </row>
    <row r="29" spans="2:3" ht="16.5">
      <c r="B29" s="81" t="s">
        <v>68</v>
      </c>
      <c r="C29" s="86" t="s">
        <v>179</v>
      </c>
    </row>
    <row r="30" spans="2:3" ht="16.5">
      <c r="B30" s="82" t="s">
        <v>69</v>
      </c>
      <c r="C30" s="87" t="s">
        <v>180</v>
      </c>
    </row>
    <row r="31" spans="2:3" ht="16.5">
      <c r="B31" s="81" t="s">
        <v>70</v>
      </c>
      <c r="C31" s="86" t="s">
        <v>181</v>
      </c>
    </row>
    <row r="32" spans="2:3" ht="16.5">
      <c r="B32" s="82" t="s">
        <v>71</v>
      </c>
      <c r="C32" s="87" t="s">
        <v>182</v>
      </c>
    </row>
    <row r="33" spans="2:3" ht="16.5">
      <c r="B33" s="81" t="s">
        <v>72</v>
      </c>
      <c r="C33" s="86" t="s">
        <v>183</v>
      </c>
    </row>
    <row r="34" spans="2:3" ht="16.5">
      <c r="B34" s="82" t="s">
        <v>73</v>
      </c>
      <c r="C34" s="87" t="s">
        <v>184</v>
      </c>
    </row>
    <row r="35" spans="2:3" ht="16.5">
      <c r="B35" s="81" t="s">
        <v>74</v>
      </c>
      <c r="C35" s="86" t="s">
        <v>251</v>
      </c>
    </row>
    <row r="36" spans="2:3" ht="16.5">
      <c r="B36" s="82" t="s">
        <v>75</v>
      </c>
      <c r="C36" s="87" t="s">
        <v>185</v>
      </c>
    </row>
    <row r="37" spans="2:3" ht="16.5">
      <c r="B37" s="81" t="s">
        <v>76</v>
      </c>
      <c r="C37" s="86" t="s">
        <v>186</v>
      </c>
    </row>
    <row r="38" spans="2:3" ht="16.5">
      <c r="B38" s="82" t="s">
        <v>77</v>
      </c>
      <c r="C38" s="87" t="s">
        <v>187</v>
      </c>
    </row>
    <row r="39" spans="2:3" ht="16.5">
      <c r="B39" s="81" t="s">
        <v>78</v>
      </c>
      <c r="C39" s="86" t="s">
        <v>188</v>
      </c>
    </row>
    <row r="40" spans="2:3" ht="16.5">
      <c r="B40" s="83" t="s">
        <v>79</v>
      </c>
      <c r="C40" s="88" t="s">
        <v>189</v>
      </c>
    </row>
    <row r="41" spans="2:3" ht="16.5">
      <c r="B41" s="81" t="s">
        <v>80</v>
      </c>
      <c r="C41" s="86" t="s">
        <v>177</v>
      </c>
    </row>
    <row r="42" spans="2:3" ht="16.5">
      <c r="B42" s="82" t="s">
        <v>81</v>
      </c>
      <c r="C42" s="87" t="s">
        <v>176</v>
      </c>
    </row>
    <row r="43" spans="2:3" ht="16.5">
      <c r="B43" s="81" t="s">
        <v>82</v>
      </c>
      <c r="C43" s="86" t="s">
        <v>175</v>
      </c>
    </row>
    <row r="44" spans="2:3" ht="16.5">
      <c r="B44" s="82" t="s">
        <v>83</v>
      </c>
      <c r="C44" s="87" t="s">
        <v>174</v>
      </c>
    </row>
    <row r="45" spans="2:3" ht="16.5">
      <c r="B45" s="81" t="s">
        <v>84</v>
      </c>
      <c r="C45" s="86" t="s">
        <v>173</v>
      </c>
    </row>
    <row r="46" spans="2:3" ht="16.5">
      <c r="B46" s="82" t="s">
        <v>85</v>
      </c>
      <c r="C46" s="87" t="s">
        <v>172</v>
      </c>
    </row>
    <row r="47" spans="2:3" ht="16.5">
      <c r="B47" s="81" t="s">
        <v>86</v>
      </c>
      <c r="C47" s="86" t="s">
        <v>171</v>
      </c>
    </row>
    <row r="48" spans="2:3" ht="16.5">
      <c r="B48" s="82" t="s">
        <v>87</v>
      </c>
      <c r="C48" s="87" t="s">
        <v>170</v>
      </c>
    </row>
    <row r="49" spans="2:3" ht="16.5">
      <c r="B49" s="81" t="s">
        <v>88</v>
      </c>
      <c r="C49" s="86" t="s">
        <v>169</v>
      </c>
    </row>
    <row r="50" spans="2:3" ht="16.5">
      <c r="B50" s="82" t="s">
        <v>89</v>
      </c>
      <c r="C50" s="87" t="s">
        <v>168</v>
      </c>
    </row>
    <row r="51" spans="2:3" ht="16.5">
      <c r="B51" s="81" t="s">
        <v>90</v>
      </c>
      <c r="C51" s="86" t="s">
        <v>151</v>
      </c>
    </row>
    <row r="52" spans="2:3" ht="16.5">
      <c r="B52" s="82" t="s">
        <v>91</v>
      </c>
      <c r="C52" s="87" t="s">
        <v>152</v>
      </c>
    </row>
    <row r="53" spans="2:3" ht="16.5">
      <c r="B53" s="81" t="s">
        <v>92</v>
      </c>
      <c r="C53" s="86" t="s">
        <v>153</v>
      </c>
    </row>
    <row r="54" spans="2:3" ht="16.5">
      <c r="B54" s="82" t="s">
        <v>93</v>
      </c>
      <c r="C54" s="87" t="s">
        <v>154</v>
      </c>
    </row>
    <row r="55" spans="2:3" ht="16.5">
      <c r="B55" s="81" t="s">
        <v>94</v>
      </c>
      <c r="C55" s="86" t="s">
        <v>165</v>
      </c>
    </row>
    <row r="56" spans="2:3" ht="16.5">
      <c r="B56" s="82" t="s">
        <v>95</v>
      </c>
      <c r="C56" s="87" t="s">
        <v>166</v>
      </c>
    </row>
    <row r="57" spans="2:3" ht="16.5">
      <c r="B57" s="81" t="s">
        <v>96</v>
      </c>
      <c r="C57" s="86" t="s">
        <v>167</v>
      </c>
    </row>
    <row r="58" spans="2:3" ht="16.5">
      <c r="B58" s="82" t="s">
        <v>97</v>
      </c>
      <c r="C58" s="87" t="s">
        <v>155</v>
      </c>
    </row>
    <row r="59" spans="2:3" ht="16.5">
      <c r="B59" s="81" t="s">
        <v>98</v>
      </c>
      <c r="C59" s="86" t="s">
        <v>156</v>
      </c>
    </row>
    <row r="60" spans="2:3" ht="16.5">
      <c r="B60" s="82" t="s">
        <v>99</v>
      </c>
      <c r="C60" s="87" t="s">
        <v>157</v>
      </c>
    </row>
    <row r="61" spans="2:3" ht="16.5">
      <c r="B61" s="81" t="s">
        <v>100</v>
      </c>
      <c r="C61" s="86" t="s">
        <v>158</v>
      </c>
    </row>
    <row r="62" spans="2:3" ht="16.5">
      <c r="B62" s="82" t="s">
        <v>101</v>
      </c>
      <c r="C62" s="87" t="s">
        <v>159</v>
      </c>
    </row>
    <row r="63" spans="2:3" ht="16.5">
      <c r="B63" s="81" t="s">
        <v>102</v>
      </c>
      <c r="C63" s="86" t="s">
        <v>160</v>
      </c>
    </row>
    <row r="64" spans="2:3" ht="16.5">
      <c r="B64" s="82" t="s">
        <v>103</v>
      </c>
      <c r="C64" s="87" t="s">
        <v>161</v>
      </c>
    </row>
    <row r="65" spans="2:3" ht="16.5">
      <c r="B65" s="81" t="s">
        <v>104</v>
      </c>
      <c r="C65" s="86" t="s">
        <v>162</v>
      </c>
    </row>
    <row r="66" spans="2:3" ht="16.5">
      <c r="B66" s="82" t="s">
        <v>105</v>
      </c>
      <c r="C66" s="87" t="s">
        <v>163</v>
      </c>
    </row>
    <row r="67" spans="2:3" ht="16.5">
      <c r="B67" s="84" t="s">
        <v>106</v>
      </c>
      <c r="C67" s="89" t="s">
        <v>164</v>
      </c>
    </row>
    <row r="68" spans="2:3" ht="16.5">
      <c r="B68" s="81" t="s">
        <v>107</v>
      </c>
      <c r="C68" s="86" t="s">
        <v>213</v>
      </c>
    </row>
    <row r="69" spans="2:3" ht="16.5">
      <c r="B69" s="82" t="s">
        <v>108</v>
      </c>
      <c r="C69" s="87" t="s">
        <v>214</v>
      </c>
    </row>
    <row r="70" spans="2:3" ht="16.5">
      <c r="B70" s="81" t="s">
        <v>109</v>
      </c>
      <c r="C70" s="86" t="s">
        <v>215</v>
      </c>
    </row>
    <row r="71" spans="2:3" ht="16.5">
      <c r="B71" s="82" t="s">
        <v>110</v>
      </c>
      <c r="C71" s="87" t="s">
        <v>216</v>
      </c>
    </row>
    <row r="72" spans="2:3" ht="16.5">
      <c r="B72" s="81" t="s">
        <v>111</v>
      </c>
      <c r="C72" s="86" t="s">
        <v>217</v>
      </c>
    </row>
    <row r="73" spans="2:3" ht="16.5">
      <c r="B73" s="82" t="s">
        <v>112</v>
      </c>
      <c r="C73" s="87" t="s">
        <v>218</v>
      </c>
    </row>
    <row r="74" spans="2:3" ht="16.5">
      <c r="B74" s="81" t="s">
        <v>113</v>
      </c>
      <c r="C74" s="86" t="s">
        <v>219</v>
      </c>
    </row>
    <row r="75" spans="2:3" ht="16.5">
      <c r="B75" s="82" t="s">
        <v>114</v>
      </c>
      <c r="C75" s="87" t="s">
        <v>220</v>
      </c>
    </row>
    <row r="76" spans="2:3" ht="16.5">
      <c r="B76" s="81" t="s">
        <v>115</v>
      </c>
      <c r="C76" s="86" t="s">
        <v>221</v>
      </c>
    </row>
    <row r="77" spans="2:3" ht="16.5">
      <c r="B77" s="82" t="s">
        <v>116</v>
      </c>
      <c r="C77" s="87" t="s">
        <v>222</v>
      </c>
    </row>
    <row r="78" spans="2:3" ht="16.5">
      <c r="B78" s="81" t="s">
        <v>117</v>
      </c>
      <c r="C78" s="86" t="s">
        <v>223</v>
      </c>
    </row>
    <row r="79" spans="2:3" ht="16.5">
      <c r="B79" s="82" t="s">
        <v>118</v>
      </c>
      <c r="C79" s="87" t="s">
        <v>225</v>
      </c>
    </row>
    <row r="80" spans="2:3" ht="16.5">
      <c r="B80" s="81" t="s">
        <v>119</v>
      </c>
      <c r="C80" s="86" t="s">
        <v>224</v>
      </c>
    </row>
    <row r="81" spans="2:3" ht="16.5">
      <c r="B81" s="82" t="s">
        <v>120</v>
      </c>
      <c r="C81" s="87" t="s">
        <v>226</v>
      </c>
    </row>
    <row r="82" spans="2:3" ht="16.5">
      <c r="B82" s="81" t="s">
        <v>121</v>
      </c>
      <c r="C82" s="86" t="s">
        <v>227</v>
      </c>
    </row>
    <row r="83" spans="2:3" ht="16.5">
      <c r="B83" s="82" t="s">
        <v>122</v>
      </c>
      <c r="C83" s="87" t="s">
        <v>228</v>
      </c>
    </row>
    <row r="84" spans="2:3" ht="16.5">
      <c r="B84" s="81" t="s">
        <v>123</v>
      </c>
      <c r="C84" s="86" t="s">
        <v>229</v>
      </c>
    </row>
    <row r="85" spans="2:3" ht="16.5">
      <c r="B85" s="82" t="s">
        <v>124</v>
      </c>
      <c r="C85" s="87" t="s">
        <v>230</v>
      </c>
    </row>
    <row r="86" spans="2:3" ht="16.5">
      <c r="B86" s="81" t="s">
        <v>125</v>
      </c>
      <c r="C86" s="86" t="s">
        <v>231</v>
      </c>
    </row>
    <row r="87" spans="2:3" ht="16.5">
      <c r="B87" s="82" t="s">
        <v>126</v>
      </c>
      <c r="C87" s="87" t="s">
        <v>232</v>
      </c>
    </row>
    <row r="88" spans="2:3" ht="16.5">
      <c r="B88" s="81" t="s">
        <v>127</v>
      </c>
      <c r="C88" s="86" t="s">
        <v>233</v>
      </c>
    </row>
    <row r="89" spans="2:3" ht="16.5">
      <c r="B89" s="82" t="s">
        <v>128</v>
      </c>
      <c r="C89" s="87" t="s">
        <v>234</v>
      </c>
    </row>
    <row r="90" spans="2:3" ht="16.5">
      <c r="B90" s="81" t="s">
        <v>129</v>
      </c>
      <c r="C90" s="86" t="s">
        <v>235</v>
      </c>
    </row>
    <row r="91" spans="2:3" ht="16.5">
      <c r="B91" s="82" t="s">
        <v>130</v>
      </c>
      <c r="C91" s="87" t="s">
        <v>236</v>
      </c>
    </row>
    <row r="92" spans="2:3" ht="16.5">
      <c r="B92" s="81" t="s">
        <v>131</v>
      </c>
      <c r="C92" s="86" t="s">
        <v>237</v>
      </c>
    </row>
    <row r="93" spans="2:3" ht="16.5">
      <c r="B93" s="82" t="s">
        <v>132</v>
      </c>
      <c r="C93" s="87" t="s">
        <v>238</v>
      </c>
    </row>
    <row r="94" spans="2:3" ht="16.5">
      <c r="B94" s="81" t="s">
        <v>133</v>
      </c>
      <c r="C94" s="86" t="s">
        <v>239</v>
      </c>
    </row>
    <row r="95" spans="2:3" ht="16.5">
      <c r="B95" s="82" t="s">
        <v>134</v>
      </c>
      <c r="C95" s="87" t="s">
        <v>240</v>
      </c>
    </row>
    <row r="96" spans="2:3" ht="16.5">
      <c r="B96" s="81" t="s">
        <v>135</v>
      </c>
      <c r="C96" s="86" t="s">
        <v>241</v>
      </c>
    </row>
    <row r="97" spans="2:3" ht="16.5">
      <c r="B97" s="82" t="s">
        <v>136</v>
      </c>
      <c r="C97" s="87" t="s">
        <v>242</v>
      </c>
    </row>
    <row r="98" spans="2:3" ht="16.5">
      <c r="B98" s="81" t="s">
        <v>137</v>
      </c>
      <c r="C98" s="86" t="s">
        <v>243</v>
      </c>
    </row>
    <row r="99" spans="2:3" ht="16.5">
      <c r="B99" s="83" t="s">
        <v>138</v>
      </c>
      <c r="C99" s="88" t="s">
        <v>244</v>
      </c>
    </row>
    <row r="100" spans="2:3" ht="16.5">
      <c r="B100" s="81" t="s">
        <v>139</v>
      </c>
      <c r="C100" s="86" t="s">
        <v>245</v>
      </c>
    </row>
    <row r="101" spans="2:3" ht="16.5">
      <c r="B101" s="82" t="s">
        <v>140</v>
      </c>
      <c r="C101" s="87" t="s">
        <v>246</v>
      </c>
    </row>
    <row r="102" spans="2:3" ht="16.5">
      <c r="B102" s="81" t="s">
        <v>141</v>
      </c>
      <c r="C102" s="86" t="s">
        <v>247</v>
      </c>
    </row>
    <row r="103" spans="2:3" ht="16.5">
      <c r="B103" s="82" t="s">
        <v>141</v>
      </c>
      <c r="C103" s="87" t="s">
        <v>248</v>
      </c>
    </row>
    <row r="104" spans="2:3" ht="16.5">
      <c r="B104" s="81" t="s">
        <v>142</v>
      </c>
      <c r="C104" s="86" t="s">
        <v>249</v>
      </c>
    </row>
    <row r="105" spans="2:3" ht="16.5">
      <c r="B105" s="83" t="s">
        <v>143</v>
      </c>
      <c r="C105" s="88" t="s">
        <v>250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7</vt:i4>
      </vt:variant>
    </vt:vector>
  </HeadingPairs>
  <TitlesOfParts>
    <vt:vector size="16" baseType="lpstr">
      <vt:lpstr>천안</vt:lpstr>
      <vt:lpstr>대전</vt:lpstr>
      <vt:lpstr>서산</vt:lpstr>
      <vt:lpstr>부여</vt:lpstr>
      <vt:lpstr>보령</vt:lpstr>
      <vt:lpstr>금산</vt:lpstr>
      <vt:lpstr>main</vt:lpstr>
      <vt:lpstr>AREA</vt:lpstr>
      <vt:lpstr>AREAREF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2024-12-22T01:14:41Z</dcterms:modified>
</cp:coreProperties>
</file>