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5ADEF56E-6BFD-4359-B4C3-F5E39370A0CD}" xr6:coauthVersionLast="47" xr6:coauthVersionMax="47" xr10:uidLastSave="{00000000-0000-0000-0000-000000000000}"/>
  <bookViews>
    <workbookView xWindow="38280" yWindow="-120" windowWidth="38640" windowHeight="21120" tabRatio="526" xr2:uid="{00000000-000D-0000-FFFF-FFFF00000000}"/>
  </bookViews>
  <sheets>
    <sheet name="광주" sheetId="183" r:id="rId1"/>
    <sheet name="인천" sheetId="182" r:id="rId2"/>
    <sheet name="수원" sheetId="181" r:id="rId3"/>
    <sheet name="천안" sheetId="180" r:id="rId4"/>
    <sheet name="서산" sheetId="179" r:id="rId5"/>
    <sheet name="부여" sheetId="178" r:id="rId6"/>
    <sheet name="보령" sheetId="177" r:id="rId7"/>
    <sheet name="금산" sheetId="176" r:id="rId8"/>
    <sheet name="대전" sheetId="175" r:id="rId9"/>
    <sheet name="충주" sheetId="174" r:id="rId10"/>
    <sheet name="청주" sheetId="173" r:id="rId11"/>
    <sheet name="추풍령" sheetId="172" r:id="rId12"/>
    <sheet name="제천" sheetId="171" r:id="rId13"/>
    <sheet name="보은" sheetId="170" r:id="rId14"/>
    <sheet name="서울" sheetId="169" r:id="rId15"/>
    <sheet name="main" sheetId="103" r:id="rId16"/>
    <sheet name="AREA" sheetId="143" state="hidden" r:id="rId17"/>
    <sheet name="AREAREF" sheetId="167" state="hidden" r:id="rId18"/>
  </sheets>
  <functionGroups builtInGroupCount="19"/>
  <definedNames>
    <definedName name="CategoryA_Area" localSheetId="0">tblLocation[Area]</definedName>
    <definedName name="CategoryA_Area" localSheetId="7">tblLocation[Area]</definedName>
    <definedName name="CategoryA_Area" localSheetId="8">tblLocation[Area]</definedName>
    <definedName name="CategoryA_Area" localSheetId="6">tblLocation[Area]</definedName>
    <definedName name="CategoryA_Area" localSheetId="13">tblLocation[Area]</definedName>
    <definedName name="CategoryA_Area" localSheetId="5">tblLocation[Area]</definedName>
    <definedName name="CategoryA_Area" localSheetId="4">tblLocation[Area]</definedName>
    <definedName name="CategoryA_Area" localSheetId="14">tblLocation[Area]</definedName>
    <definedName name="CategoryA_Area" localSheetId="2">tblLocation[Area]</definedName>
    <definedName name="CategoryA_Area" localSheetId="1">tblLocation[Area]</definedName>
    <definedName name="CategoryA_Area" localSheetId="12">tblLocation[Area]</definedName>
    <definedName name="CategoryA_Area" localSheetId="3">tblLocation[Area]</definedName>
    <definedName name="CategoryA_Area" localSheetId="10">tblLocation[Area]</definedName>
    <definedName name="CategoryA_Area" localSheetId="11">tblLocation[Area]</definedName>
    <definedName name="CategoryA_Area" localSheetId="9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83" l="1"/>
  <c r="M53" i="183"/>
  <c r="L53" i="183"/>
  <c r="K53" i="183"/>
  <c r="J53" i="183"/>
  <c r="I53" i="183"/>
  <c r="H53" i="183"/>
  <c r="G53" i="183"/>
  <c r="F53" i="183"/>
  <c r="E53" i="183"/>
  <c r="D53" i="183"/>
  <c r="C53" i="183"/>
  <c r="B53" i="183"/>
  <c r="N52" i="183"/>
  <c r="M52" i="183"/>
  <c r="L52" i="183"/>
  <c r="K52" i="183"/>
  <c r="J52" i="183"/>
  <c r="I52" i="183"/>
  <c r="H52" i="183"/>
  <c r="G52" i="183"/>
  <c r="F52" i="183"/>
  <c r="E52" i="183"/>
  <c r="D52" i="183"/>
  <c r="C52" i="183"/>
  <c r="B52" i="183"/>
  <c r="N51" i="183"/>
  <c r="M51" i="183"/>
  <c r="L51" i="183"/>
  <c r="K51" i="183"/>
  <c r="J51" i="183"/>
  <c r="I51" i="183"/>
  <c r="H51" i="183"/>
  <c r="G51" i="183"/>
  <c r="F51" i="183"/>
  <c r="E51" i="183"/>
  <c r="D51" i="183"/>
  <c r="C51" i="183"/>
  <c r="B51" i="183"/>
  <c r="N50" i="183"/>
  <c r="M50" i="183"/>
  <c r="L50" i="183"/>
  <c r="K50" i="183"/>
  <c r="J50" i="183"/>
  <c r="I50" i="183"/>
  <c r="H50" i="183"/>
  <c r="G50" i="183"/>
  <c r="F50" i="183"/>
  <c r="E50" i="183"/>
  <c r="D50" i="183"/>
  <c r="C50" i="183"/>
  <c r="B50" i="183"/>
  <c r="N49" i="183"/>
  <c r="M49" i="183"/>
  <c r="L49" i="183"/>
  <c r="K49" i="183"/>
  <c r="J49" i="183"/>
  <c r="I49" i="183"/>
  <c r="H49" i="183"/>
  <c r="G49" i="183"/>
  <c r="F49" i="183"/>
  <c r="E49" i="183"/>
  <c r="D49" i="183"/>
  <c r="C49" i="183"/>
  <c r="O49" i="183" s="1"/>
  <c r="P49" i="183" s="1"/>
  <c r="B49" i="183"/>
  <c r="N48" i="183"/>
  <c r="M48" i="183"/>
  <c r="L48" i="183"/>
  <c r="K48" i="183"/>
  <c r="J48" i="183"/>
  <c r="I48" i="183"/>
  <c r="H48" i="183"/>
  <c r="G48" i="183"/>
  <c r="F48" i="183"/>
  <c r="E48" i="183"/>
  <c r="D48" i="183"/>
  <c r="C48" i="183"/>
  <c r="B48" i="183"/>
  <c r="N47" i="183"/>
  <c r="M47" i="183"/>
  <c r="L47" i="183"/>
  <c r="K47" i="183"/>
  <c r="J47" i="183"/>
  <c r="I47" i="183"/>
  <c r="H47" i="183"/>
  <c r="G47" i="183"/>
  <c r="F47" i="183"/>
  <c r="E47" i="183"/>
  <c r="D47" i="183"/>
  <c r="C47" i="183"/>
  <c r="B47" i="183"/>
  <c r="N46" i="183"/>
  <c r="M46" i="183"/>
  <c r="L46" i="183"/>
  <c r="K46" i="183"/>
  <c r="J46" i="183"/>
  <c r="I46" i="183"/>
  <c r="H46" i="183"/>
  <c r="G46" i="183"/>
  <c r="F46" i="183"/>
  <c r="E46" i="183"/>
  <c r="D46" i="183"/>
  <c r="C46" i="183"/>
  <c r="B46" i="183"/>
  <c r="N45" i="183"/>
  <c r="M45" i="183"/>
  <c r="L45" i="183"/>
  <c r="K45" i="183"/>
  <c r="J45" i="183"/>
  <c r="I45" i="183"/>
  <c r="H45" i="183"/>
  <c r="G45" i="183"/>
  <c r="G54" i="183" s="1"/>
  <c r="F45" i="183"/>
  <c r="E45" i="183"/>
  <c r="D45" i="183"/>
  <c r="C45" i="183"/>
  <c r="B45" i="183"/>
  <c r="N44" i="183"/>
  <c r="M44" i="183"/>
  <c r="L44" i="183"/>
  <c r="K44" i="183"/>
  <c r="J44" i="183"/>
  <c r="I44" i="183"/>
  <c r="H44" i="183"/>
  <c r="G44" i="183"/>
  <c r="F44" i="183"/>
  <c r="E44" i="183"/>
  <c r="E54" i="183" s="1"/>
  <c r="D44" i="183"/>
  <c r="D54" i="183" s="1"/>
  <c r="C44" i="183"/>
  <c r="B44" i="183"/>
  <c r="N38" i="183"/>
  <c r="M38" i="183"/>
  <c r="L38" i="183"/>
  <c r="K38" i="183"/>
  <c r="J38" i="183"/>
  <c r="I38" i="183"/>
  <c r="H38" i="183"/>
  <c r="G38" i="183"/>
  <c r="F38" i="183"/>
  <c r="E38" i="183"/>
  <c r="D38" i="183"/>
  <c r="C38" i="183"/>
  <c r="N37" i="183"/>
  <c r="M37" i="183"/>
  <c r="L37" i="183"/>
  <c r="K37" i="183"/>
  <c r="J37" i="183"/>
  <c r="I37" i="183"/>
  <c r="H37" i="183"/>
  <c r="G37" i="183"/>
  <c r="F37" i="183"/>
  <c r="E37" i="183"/>
  <c r="D37" i="183"/>
  <c r="C37" i="183"/>
  <c r="N36" i="183"/>
  <c r="M36" i="183"/>
  <c r="L36" i="183"/>
  <c r="K36" i="183"/>
  <c r="J36" i="183"/>
  <c r="I36" i="183"/>
  <c r="H36" i="183"/>
  <c r="G36" i="183"/>
  <c r="F36" i="183"/>
  <c r="E36" i="183"/>
  <c r="D36" i="183"/>
  <c r="C36" i="183"/>
  <c r="O35" i="183"/>
  <c r="P35" i="183" s="1"/>
  <c r="O34" i="183"/>
  <c r="P34" i="183" s="1"/>
  <c r="O33" i="183"/>
  <c r="P33" i="183" s="1"/>
  <c r="O32" i="183"/>
  <c r="P32" i="183" s="1"/>
  <c r="O31" i="183"/>
  <c r="P31" i="183" s="1"/>
  <c r="O30" i="183"/>
  <c r="P30" i="183" s="1"/>
  <c r="P29" i="183"/>
  <c r="O29" i="183"/>
  <c r="O28" i="183"/>
  <c r="P28" i="183" s="1"/>
  <c r="O27" i="183"/>
  <c r="P27" i="183" s="1"/>
  <c r="O26" i="183"/>
  <c r="P26" i="183" s="1"/>
  <c r="O25" i="183"/>
  <c r="P25" i="183" s="1"/>
  <c r="O24" i="183"/>
  <c r="P24" i="183" s="1"/>
  <c r="O23" i="183"/>
  <c r="P23" i="183" s="1"/>
  <c r="O22" i="183"/>
  <c r="P22" i="183" s="1"/>
  <c r="O21" i="183"/>
  <c r="P21" i="183" s="1"/>
  <c r="O20" i="183"/>
  <c r="P20" i="183" s="1"/>
  <c r="O19" i="183"/>
  <c r="P19" i="183" s="1"/>
  <c r="O18" i="183"/>
  <c r="P18" i="183" s="1"/>
  <c r="O17" i="183"/>
  <c r="P17" i="183" s="1"/>
  <c r="O16" i="183"/>
  <c r="P16" i="183" s="1"/>
  <c r="O15" i="183"/>
  <c r="P15" i="183" s="1"/>
  <c r="O14" i="183"/>
  <c r="P14" i="183" s="1"/>
  <c r="P13" i="183"/>
  <c r="O13" i="183"/>
  <c r="O12" i="183"/>
  <c r="P12" i="183" s="1"/>
  <c r="O11" i="183"/>
  <c r="P11" i="183" s="1"/>
  <c r="O10" i="183"/>
  <c r="O9" i="183"/>
  <c r="P9" i="183" s="1"/>
  <c r="O8" i="183"/>
  <c r="P8" i="183" s="1"/>
  <c r="O7" i="183"/>
  <c r="P7" i="183" s="1"/>
  <c r="O6" i="183"/>
  <c r="N53" i="182"/>
  <c r="M53" i="182"/>
  <c r="L53" i="182"/>
  <c r="K53" i="182"/>
  <c r="J53" i="182"/>
  <c r="I53" i="182"/>
  <c r="H53" i="182"/>
  <c r="G53" i="182"/>
  <c r="F53" i="182"/>
  <c r="E53" i="182"/>
  <c r="D53" i="182"/>
  <c r="O53" i="182" s="1"/>
  <c r="P53" i="182" s="1"/>
  <c r="C53" i="182"/>
  <c r="B53" i="182"/>
  <c r="N52" i="182"/>
  <c r="M52" i="182"/>
  <c r="L52" i="182"/>
  <c r="K52" i="182"/>
  <c r="J52" i="182"/>
  <c r="I52" i="182"/>
  <c r="H52" i="182"/>
  <c r="G52" i="182"/>
  <c r="F52" i="182"/>
  <c r="E52" i="182"/>
  <c r="D52" i="182"/>
  <c r="C52" i="182"/>
  <c r="B52" i="182"/>
  <c r="N51" i="182"/>
  <c r="M51" i="182"/>
  <c r="L51" i="182"/>
  <c r="K51" i="182"/>
  <c r="J51" i="182"/>
  <c r="I51" i="182"/>
  <c r="H51" i="182"/>
  <c r="G51" i="182"/>
  <c r="F51" i="182"/>
  <c r="E51" i="182"/>
  <c r="D51" i="182"/>
  <c r="C51" i="182"/>
  <c r="B51" i="182"/>
  <c r="N50" i="182"/>
  <c r="M50" i="182"/>
  <c r="L50" i="182"/>
  <c r="K50" i="182"/>
  <c r="J50" i="182"/>
  <c r="I50" i="182"/>
  <c r="H50" i="182"/>
  <c r="G50" i="182"/>
  <c r="F50" i="182"/>
  <c r="E50" i="182"/>
  <c r="D50" i="182"/>
  <c r="C50" i="182"/>
  <c r="B50" i="182"/>
  <c r="N49" i="182"/>
  <c r="M49" i="182"/>
  <c r="L49" i="182"/>
  <c r="K49" i="182"/>
  <c r="J49" i="182"/>
  <c r="I49" i="182"/>
  <c r="H49" i="182"/>
  <c r="G49" i="182"/>
  <c r="F49" i="182"/>
  <c r="E49" i="182"/>
  <c r="D49" i="182"/>
  <c r="C49" i="182"/>
  <c r="B49" i="182"/>
  <c r="N48" i="182"/>
  <c r="M48" i="182"/>
  <c r="L48" i="182"/>
  <c r="K48" i="182"/>
  <c r="J48" i="182"/>
  <c r="I48" i="182"/>
  <c r="H48" i="182"/>
  <c r="G48" i="182"/>
  <c r="F48" i="182"/>
  <c r="E48" i="182"/>
  <c r="D48" i="182"/>
  <c r="C48" i="182"/>
  <c r="B48" i="182"/>
  <c r="N47" i="182"/>
  <c r="M47" i="182"/>
  <c r="L47" i="182"/>
  <c r="K47" i="182"/>
  <c r="J47" i="182"/>
  <c r="I47" i="182"/>
  <c r="H47" i="182"/>
  <c r="G47" i="182"/>
  <c r="F47" i="182"/>
  <c r="E47" i="182"/>
  <c r="D47" i="182"/>
  <c r="C47" i="182"/>
  <c r="B47" i="182"/>
  <c r="N46" i="182"/>
  <c r="M46" i="182"/>
  <c r="L46" i="182"/>
  <c r="K46" i="182"/>
  <c r="J46" i="182"/>
  <c r="I46" i="182"/>
  <c r="H46" i="182"/>
  <c r="G46" i="182"/>
  <c r="F46" i="182"/>
  <c r="E46" i="182"/>
  <c r="D46" i="182"/>
  <c r="C46" i="182"/>
  <c r="B46" i="182"/>
  <c r="N45" i="182"/>
  <c r="M45" i="182"/>
  <c r="L45" i="182"/>
  <c r="K45" i="182"/>
  <c r="J45" i="182"/>
  <c r="I45" i="182"/>
  <c r="H45" i="182"/>
  <c r="G45" i="182"/>
  <c r="F45" i="182"/>
  <c r="E45" i="182"/>
  <c r="D45" i="182"/>
  <c r="C45" i="182"/>
  <c r="B45" i="182"/>
  <c r="N44" i="182"/>
  <c r="M44" i="182"/>
  <c r="L44" i="182"/>
  <c r="K44" i="182"/>
  <c r="J44" i="182"/>
  <c r="I44" i="182"/>
  <c r="I56" i="182" s="1"/>
  <c r="H44" i="182"/>
  <c r="G44" i="182"/>
  <c r="F44" i="182"/>
  <c r="F55" i="182" s="1"/>
  <c r="E44" i="182"/>
  <c r="E54" i="182" s="1"/>
  <c r="D44" i="182"/>
  <c r="C44" i="182"/>
  <c r="B44" i="182"/>
  <c r="N38" i="182"/>
  <c r="M38" i="182"/>
  <c r="L38" i="182"/>
  <c r="K38" i="182"/>
  <c r="J38" i="182"/>
  <c r="I38" i="182"/>
  <c r="H38" i="182"/>
  <c r="G38" i="182"/>
  <c r="F38" i="182"/>
  <c r="E38" i="182"/>
  <c r="D38" i="182"/>
  <c r="C38" i="182"/>
  <c r="N37" i="182"/>
  <c r="M37" i="182"/>
  <c r="L37" i="182"/>
  <c r="K37" i="182"/>
  <c r="J37" i="182"/>
  <c r="I37" i="182"/>
  <c r="H37" i="182"/>
  <c r="G37" i="182"/>
  <c r="F37" i="182"/>
  <c r="E37" i="182"/>
  <c r="D37" i="182"/>
  <c r="C37" i="182"/>
  <c r="N36" i="182"/>
  <c r="M36" i="182"/>
  <c r="L36" i="182"/>
  <c r="K36" i="182"/>
  <c r="J36" i="182"/>
  <c r="I36" i="182"/>
  <c r="H36" i="182"/>
  <c r="G36" i="182"/>
  <c r="F36" i="182"/>
  <c r="E36" i="182"/>
  <c r="D36" i="182"/>
  <c r="C36" i="182"/>
  <c r="O35" i="182"/>
  <c r="P35" i="182" s="1"/>
  <c r="O34" i="182"/>
  <c r="P34" i="182" s="1"/>
  <c r="O33" i="182"/>
  <c r="P33" i="182" s="1"/>
  <c r="O32" i="182"/>
  <c r="P32" i="182" s="1"/>
  <c r="O31" i="182"/>
  <c r="P31" i="182" s="1"/>
  <c r="O30" i="182"/>
  <c r="P30" i="182" s="1"/>
  <c r="O29" i="182"/>
  <c r="P29" i="182" s="1"/>
  <c r="O28" i="182"/>
  <c r="P28" i="182" s="1"/>
  <c r="O27" i="182"/>
  <c r="P27" i="182" s="1"/>
  <c r="O26" i="182"/>
  <c r="P26" i="182" s="1"/>
  <c r="P25" i="182"/>
  <c r="O25" i="182"/>
  <c r="O24" i="182"/>
  <c r="P24" i="182" s="1"/>
  <c r="O23" i="182"/>
  <c r="P23" i="182" s="1"/>
  <c r="O22" i="182"/>
  <c r="P22" i="182" s="1"/>
  <c r="O21" i="182"/>
  <c r="P21" i="182" s="1"/>
  <c r="O20" i="182"/>
  <c r="P20" i="182" s="1"/>
  <c r="O19" i="182"/>
  <c r="P19" i="182" s="1"/>
  <c r="O18" i="182"/>
  <c r="P18" i="182" s="1"/>
  <c r="O17" i="182"/>
  <c r="P17" i="182" s="1"/>
  <c r="O16" i="182"/>
  <c r="P16" i="182" s="1"/>
  <c r="O15" i="182"/>
  <c r="P15" i="182" s="1"/>
  <c r="O14" i="182"/>
  <c r="P14" i="182" s="1"/>
  <c r="O13" i="182"/>
  <c r="P13" i="182" s="1"/>
  <c r="O12" i="182"/>
  <c r="P12" i="182" s="1"/>
  <c r="O11" i="182"/>
  <c r="P11" i="182" s="1"/>
  <c r="O10" i="182"/>
  <c r="P10" i="182" s="1"/>
  <c r="O9" i="182"/>
  <c r="P9" i="182" s="1"/>
  <c r="O8" i="182"/>
  <c r="P8" i="182" s="1"/>
  <c r="P7" i="182"/>
  <c r="O7" i="182"/>
  <c r="O6" i="182"/>
  <c r="N53" i="181"/>
  <c r="M53" i="181"/>
  <c r="L53" i="181"/>
  <c r="K53" i="181"/>
  <c r="J53" i="181"/>
  <c r="I53" i="181"/>
  <c r="H53" i="181"/>
  <c r="G53" i="181"/>
  <c r="F53" i="181"/>
  <c r="E53" i="181"/>
  <c r="D53" i="181"/>
  <c r="C53" i="181"/>
  <c r="B53" i="181"/>
  <c r="N52" i="181"/>
  <c r="M52" i="181"/>
  <c r="L52" i="181"/>
  <c r="K52" i="181"/>
  <c r="J52" i="181"/>
  <c r="I52" i="181"/>
  <c r="H52" i="181"/>
  <c r="G52" i="181"/>
  <c r="F52" i="181"/>
  <c r="E52" i="181"/>
  <c r="D52" i="181"/>
  <c r="C52" i="181"/>
  <c r="B52" i="181"/>
  <c r="N51" i="181"/>
  <c r="M51" i="181"/>
  <c r="L51" i="181"/>
  <c r="K51" i="181"/>
  <c r="J51" i="181"/>
  <c r="I51" i="181"/>
  <c r="H51" i="181"/>
  <c r="G51" i="181"/>
  <c r="F51" i="181"/>
  <c r="E51" i="181"/>
  <c r="D51" i="181"/>
  <c r="C51" i="181"/>
  <c r="B51" i="181"/>
  <c r="N50" i="181"/>
  <c r="M50" i="181"/>
  <c r="L50" i="181"/>
  <c r="K50" i="181"/>
  <c r="J50" i="181"/>
  <c r="I50" i="181"/>
  <c r="H50" i="181"/>
  <c r="G50" i="181"/>
  <c r="F50" i="181"/>
  <c r="E50" i="181"/>
  <c r="D50" i="181"/>
  <c r="C50" i="181"/>
  <c r="B50" i="181"/>
  <c r="N49" i="181"/>
  <c r="M49" i="181"/>
  <c r="L49" i="181"/>
  <c r="K49" i="181"/>
  <c r="J49" i="181"/>
  <c r="I49" i="181"/>
  <c r="H49" i="181"/>
  <c r="G49" i="181"/>
  <c r="F49" i="181"/>
  <c r="E49" i="181"/>
  <c r="D49" i="181"/>
  <c r="C49" i="181"/>
  <c r="B49" i="181"/>
  <c r="N48" i="181"/>
  <c r="M48" i="181"/>
  <c r="L48" i="181"/>
  <c r="K48" i="181"/>
  <c r="J48" i="181"/>
  <c r="I48" i="181"/>
  <c r="H48" i="181"/>
  <c r="G48" i="181"/>
  <c r="F48" i="181"/>
  <c r="E48" i="181"/>
  <c r="D48" i="181"/>
  <c r="C48" i="181"/>
  <c r="B48" i="181"/>
  <c r="N47" i="181"/>
  <c r="M47" i="181"/>
  <c r="L47" i="181"/>
  <c r="K47" i="181"/>
  <c r="J47" i="181"/>
  <c r="I47" i="181"/>
  <c r="H47" i="181"/>
  <c r="G47" i="181"/>
  <c r="F47" i="181"/>
  <c r="E47" i="181"/>
  <c r="D47" i="181"/>
  <c r="C47" i="181"/>
  <c r="B47" i="181"/>
  <c r="N46" i="181"/>
  <c r="N54" i="181" s="1"/>
  <c r="M46" i="181"/>
  <c r="L46" i="181"/>
  <c r="K46" i="181"/>
  <c r="J46" i="181"/>
  <c r="I46" i="181"/>
  <c r="H46" i="181"/>
  <c r="G46" i="181"/>
  <c r="F46" i="181"/>
  <c r="E46" i="181"/>
  <c r="D46" i="181"/>
  <c r="C46" i="181"/>
  <c r="C56" i="181" s="1"/>
  <c r="B46" i="181"/>
  <c r="N45" i="181"/>
  <c r="M45" i="181"/>
  <c r="L45" i="181"/>
  <c r="K45" i="181"/>
  <c r="J45" i="181"/>
  <c r="I45" i="181"/>
  <c r="H45" i="181"/>
  <c r="G45" i="181"/>
  <c r="F45" i="181"/>
  <c r="E45" i="181"/>
  <c r="D45" i="181"/>
  <c r="C45" i="181"/>
  <c r="B45" i="181"/>
  <c r="N44" i="181"/>
  <c r="M44" i="181"/>
  <c r="L44" i="181"/>
  <c r="K44" i="181"/>
  <c r="J44" i="181"/>
  <c r="I44" i="181"/>
  <c r="H44" i="181"/>
  <c r="H54" i="181" s="1"/>
  <c r="G44" i="181"/>
  <c r="G55" i="181" s="1"/>
  <c r="F44" i="181"/>
  <c r="E44" i="181"/>
  <c r="D44" i="181"/>
  <c r="C44" i="181"/>
  <c r="B44" i="181"/>
  <c r="N38" i="181"/>
  <c r="M38" i="181"/>
  <c r="L38" i="181"/>
  <c r="K38" i="181"/>
  <c r="J38" i="181"/>
  <c r="I38" i="181"/>
  <c r="H38" i="181"/>
  <c r="G38" i="181"/>
  <c r="F38" i="181"/>
  <c r="E38" i="181"/>
  <c r="D38" i="181"/>
  <c r="C38" i="181"/>
  <c r="N37" i="181"/>
  <c r="M37" i="181"/>
  <c r="L37" i="181"/>
  <c r="K37" i="181"/>
  <c r="J37" i="181"/>
  <c r="I37" i="181"/>
  <c r="H37" i="181"/>
  <c r="G37" i="181"/>
  <c r="F37" i="181"/>
  <c r="E37" i="181"/>
  <c r="D37" i="181"/>
  <c r="C37" i="181"/>
  <c r="N36" i="181"/>
  <c r="M36" i="181"/>
  <c r="L36" i="181"/>
  <c r="K36" i="181"/>
  <c r="J36" i="181"/>
  <c r="I36" i="181"/>
  <c r="H36" i="181"/>
  <c r="G36" i="181"/>
  <c r="F36" i="181"/>
  <c r="E36" i="181"/>
  <c r="D36" i="181"/>
  <c r="C36" i="181"/>
  <c r="O35" i="181"/>
  <c r="P35" i="181" s="1"/>
  <c r="O34" i="181"/>
  <c r="P34" i="181" s="1"/>
  <c r="O33" i="181"/>
  <c r="P33" i="181" s="1"/>
  <c r="O32" i="181"/>
  <c r="P32" i="181" s="1"/>
  <c r="O31" i="181"/>
  <c r="P31" i="181" s="1"/>
  <c r="O30" i="181"/>
  <c r="P30" i="181" s="1"/>
  <c r="P29" i="181"/>
  <c r="O29" i="181"/>
  <c r="O28" i="181"/>
  <c r="P28" i="181" s="1"/>
  <c r="O27" i="181"/>
  <c r="P27" i="181" s="1"/>
  <c r="O26" i="181"/>
  <c r="P26" i="181" s="1"/>
  <c r="O25" i="181"/>
  <c r="P25" i="181" s="1"/>
  <c r="O24" i="181"/>
  <c r="P24" i="181" s="1"/>
  <c r="O23" i="181"/>
  <c r="P23" i="181" s="1"/>
  <c r="O22" i="181"/>
  <c r="P22" i="181" s="1"/>
  <c r="O21" i="181"/>
  <c r="P21" i="181" s="1"/>
  <c r="O20" i="181"/>
  <c r="P20" i="181" s="1"/>
  <c r="O19" i="181"/>
  <c r="P19" i="181" s="1"/>
  <c r="O18" i="181"/>
  <c r="P18" i="181" s="1"/>
  <c r="O17" i="181"/>
  <c r="P17" i="181" s="1"/>
  <c r="O16" i="181"/>
  <c r="P16" i="181" s="1"/>
  <c r="O15" i="181"/>
  <c r="P15" i="181" s="1"/>
  <c r="O14" i="181"/>
  <c r="P14" i="181" s="1"/>
  <c r="P13" i="181"/>
  <c r="O13" i="181"/>
  <c r="O12" i="181"/>
  <c r="P12" i="181" s="1"/>
  <c r="O11" i="181"/>
  <c r="P11" i="181" s="1"/>
  <c r="O10" i="181"/>
  <c r="P10" i="181" s="1"/>
  <c r="O9" i="181"/>
  <c r="P9" i="181" s="1"/>
  <c r="O8" i="181"/>
  <c r="P8" i="181" s="1"/>
  <c r="O7" i="181"/>
  <c r="P7" i="181" s="1"/>
  <c r="O6" i="181"/>
  <c r="N53" i="180"/>
  <c r="M53" i="180"/>
  <c r="L53" i="180"/>
  <c r="K53" i="180"/>
  <c r="J53" i="180"/>
  <c r="I53" i="180"/>
  <c r="H53" i="180"/>
  <c r="G53" i="180"/>
  <c r="F53" i="180"/>
  <c r="E53" i="180"/>
  <c r="D53" i="180"/>
  <c r="C53" i="180"/>
  <c r="B53" i="180"/>
  <c r="N52" i="180"/>
  <c r="M52" i="180"/>
  <c r="L52" i="180"/>
  <c r="K52" i="180"/>
  <c r="J52" i="180"/>
  <c r="I52" i="180"/>
  <c r="H52" i="180"/>
  <c r="G52" i="180"/>
  <c r="F52" i="180"/>
  <c r="E52" i="180"/>
  <c r="D52" i="180"/>
  <c r="C52" i="180"/>
  <c r="B52" i="180"/>
  <c r="N51" i="180"/>
  <c r="M51" i="180"/>
  <c r="L51" i="180"/>
  <c r="K51" i="180"/>
  <c r="J51" i="180"/>
  <c r="I51" i="180"/>
  <c r="H51" i="180"/>
  <c r="G51" i="180"/>
  <c r="F51" i="180"/>
  <c r="E51" i="180"/>
  <c r="D51" i="180"/>
  <c r="C51" i="180"/>
  <c r="B51" i="180"/>
  <c r="N50" i="180"/>
  <c r="M50" i="180"/>
  <c r="L50" i="180"/>
  <c r="K50" i="180"/>
  <c r="J50" i="180"/>
  <c r="I50" i="180"/>
  <c r="H50" i="180"/>
  <c r="O50" i="180" s="1"/>
  <c r="P50" i="180" s="1"/>
  <c r="G50" i="180"/>
  <c r="F50" i="180"/>
  <c r="E50" i="180"/>
  <c r="D50" i="180"/>
  <c r="C50" i="180"/>
  <c r="B50" i="180"/>
  <c r="N49" i="180"/>
  <c r="M49" i="180"/>
  <c r="L49" i="180"/>
  <c r="K49" i="180"/>
  <c r="J49" i="180"/>
  <c r="I49" i="180"/>
  <c r="H49" i="180"/>
  <c r="G49" i="180"/>
  <c r="F49" i="180"/>
  <c r="E49" i="180"/>
  <c r="D49" i="180"/>
  <c r="C49" i="180"/>
  <c r="B49" i="180"/>
  <c r="N48" i="180"/>
  <c r="M48" i="180"/>
  <c r="L48" i="180"/>
  <c r="K48" i="180"/>
  <c r="J48" i="180"/>
  <c r="I48" i="180"/>
  <c r="H48" i="180"/>
  <c r="G48" i="180"/>
  <c r="F48" i="180"/>
  <c r="E48" i="180"/>
  <c r="D48" i="180"/>
  <c r="C48" i="180"/>
  <c r="B48" i="180"/>
  <c r="N47" i="180"/>
  <c r="M47" i="180"/>
  <c r="L47" i="180"/>
  <c r="K47" i="180"/>
  <c r="J47" i="180"/>
  <c r="I47" i="180"/>
  <c r="H47" i="180"/>
  <c r="G47" i="180"/>
  <c r="F47" i="180"/>
  <c r="E47" i="180"/>
  <c r="D47" i="180"/>
  <c r="C47" i="180"/>
  <c r="B47" i="180"/>
  <c r="N46" i="180"/>
  <c r="M46" i="180"/>
  <c r="L46" i="180"/>
  <c r="K46" i="180"/>
  <c r="J46" i="180"/>
  <c r="I46" i="180"/>
  <c r="H46" i="180"/>
  <c r="G46" i="180"/>
  <c r="F46" i="180"/>
  <c r="E46" i="180"/>
  <c r="D46" i="180"/>
  <c r="C46" i="180"/>
  <c r="B46" i="180"/>
  <c r="N45" i="180"/>
  <c r="M45" i="180"/>
  <c r="L45" i="180"/>
  <c r="K45" i="180"/>
  <c r="J45" i="180"/>
  <c r="I45" i="180"/>
  <c r="H45" i="180"/>
  <c r="G45" i="180"/>
  <c r="F45" i="180"/>
  <c r="E45" i="180"/>
  <c r="D45" i="180"/>
  <c r="C45" i="180"/>
  <c r="B45" i="180"/>
  <c r="N44" i="180"/>
  <c r="M44" i="180"/>
  <c r="L44" i="180"/>
  <c r="K44" i="180"/>
  <c r="J44" i="180"/>
  <c r="I44" i="180"/>
  <c r="H44" i="180"/>
  <c r="G44" i="180"/>
  <c r="G55" i="180" s="1"/>
  <c r="F44" i="180"/>
  <c r="F56" i="180" s="1"/>
  <c r="E44" i="180"/>
  <c r="D44" i="180"/>
  <c r="C44" i="180"/>
  <c r="B44" i="180"/>
  <c r="N38" i="180"/>
  <c r="M38" i="180"/>
  <c r="L38" i="180"/>
  <c r="K38" i="180"/>
  <c r="J38" i="180"/>
  <c r="I38" i="180"/>
  <c r="H38" i="180"/>
  <c r="G38" i="180"/>
  <c r="F38" i="180"/>
  <c r="E38" i="180"/>
  <c r="D38" i="180"/>
  <c r="C38" i="180"/>
  <c r="N37" i="180"/>
  <c r="M37" i="180"/>
  <c r="L37" i="180"/>
  <c r="K37" i="180"/>
  <c r="J37" i="180"/>
  <c r="I37" i="180"/>
  <c r="H37" i="180"/>
  <c r="G37" i="180"/>
  <c r="F37" i="180"/>
  <c r="E37" i="180"/>
  <c r="D37" i="180"/>
  <c r="C37" i="180"/>
  <c r="N36" i="180"/>
  <c r="M36" i="180"/>
  <c r="L36" i="180"/>
  <c r="K36" i="180"/>
  <c r="J36" i="180"/>
  <c r="I36" i="180"/>
  <c r="H36" i="180"/>
  <c r="G36" i="180"/>
  <c r="F36" i="180"/>
  <c r="E36" i="180"/>
  <c r="D36" i="180"/>
  <c r="C36" i="180"/>
  <c r="O35" i="180"/>
  <c r="P35" i="180" s="1"/>
  <c r="O34" i="180"/>
  <c r="P34" i="180" s="1"/>
  <c r="O33" i="180"/>
  <c r="P33" i="180" s="1"/>
  <c r="O32" i="180"/>
  <c r="P32" i="180" s="1"/>
  <c r="O31" i="180"/>
  <c r="P31" i="180" s="1"/>
  <c r="O30" i="180"/>
  <c r="P30" i="180" s="1"/>
  <c r="O29" i="180"/>
  <c r="P29" i="180" s="1"/>
  <c r="O28" i="180"/>
  <c r="P28" i="180" s="1"/>
  <c r="O27" i="180"/>
  <c r="P27" i="180" s="1"/>
  <c r="O26" i="180"/>
  <c r="P26" i="180" s="1"/>
  <c r="O25" i="180"/>
  <c r="P25" i="180" s="1"/>
  <c r="O24" i="180"/>
  <c r="P24" i="180" s="1"/>
  <c r="O23" i="180"/>
  <c r="P23" i="180" s="1"/>
  <c r="O22" i="180"/>
  <c r="P22" i="180" s="1"/>
  <c r="O21" i="180"/>
  <c r="P21" i="180" s="1"/>
  <c r="O20" i="180"/>
  <c r="P20" i="180" s="1"/>
  <c r="O19" i="180"/>
  <c r="P19" i="180" s="1"/>
  <c r="O18" i="180"/>
  <c r="P18" i="180" s="1"/>
  <c r="O17" i="180"/>
  <c r="P17" i="180" s="1"/>
  <c r="O16" i="180"/>
  <c r="P16" i="180" s="1"/>
  <c r="O15" i="180"/>
  <c r="P15" i="180" s="1"/>
  <c r="O14" i="180"/>
  <c r="P14" i="180" s="1"/>
  <c r="O13" i="180"/>
  <c r="P13" i="180" s="1"/>
  <c r="O12" i="180"/>
  <c r="P12" i="180" s="1"/>
  <c r="O11" i="180"/>
  <c r="P11" i="180" s="1"/>
  <c r="O10" i="180"/>
  <c r="P10" i="180" s="1"/>
  <c r="O9" i="180"/>
  <c r="P9" i="180" s="1"/>
  <c r="O8" i="180"/>
  <c r="P8" i="180" s="1"/>
  <c r="O7" i="180"/>
  <c r="P7" i="180" s="1"/>
  <c r="O6" i="180"/>
  <c r="N53" i="179"/>
  <c r="M53" i="179"/>
  <c r="L53" i="179"/>
  <c r="K53" i="179"/>
  <c r="J53" i="179"/>
  <c r="I53" i="179"/>
  <c r="H53" i="179"/>
  <c r="G53" i="179"/>
  <c r="F53" i="179"/>
  <c r="E53" i="179"/>
  <c r="D53" i="179"/>
  <c r="C53" i="179"/>
  <c r="B53" i="179"/>
  <c r="N52" i="179"/>
  <c r="M52" i="179"/>
  <c r="L52" i="179"/>
  <c r="K52" i="179"/>
  <c r="J52" i="179"/>
  <c r="I52" i="179"/>
  <c r="H52" i="179"/>
  <c r="G52" i="179"/>
  <c r="F52" i="179"/>
  <c r="E52" i="179"/>
  <c r="D52" i="179"/>
  <c r="C52" i="179"/>
  <c r="B52" i="179"/>
  <c r="N51" i="179"/>
  <c r="M51" i="179"/>
  <c r="L51" i="179"/>
  <c r="K51" i="179"/>
  <c r="J51" i="179"/>
  <c r="I51" i="179"/>
  <c r="H51" i="179"/>
  <c r="G51" i="179"/>
  <c r="F51" i="179"/>
  <c r="E51" i="179"/>
  <c r="D51" i="179"/>
  <c r="C51" i="179"/>
  <c r="B51" i="179"/>
  <c r="N50" i="179"/>
  <c r="M50" i="179"/>
  <c r="L50" i="179"/>
  <c r="K50" i="179"/>
  <c r="J50" i="179"/>
  <c r="I50" i="179"/>
  <c r="H50" i="179"/>
  <c r="G50" i="179"/>
  <c r="F50" i="179"/>
  <c r="E50" i="179"/>
  <c r="D50" i="179"/>
  <c r="C50" i="179"/>
  <c r="B50" i="179"/>
  <c r="N49" i="179"/>
  <c r="M49" i="179"/>
  <c r="L49" i="179"/>
  <c r="K49" i="179"/>
  <c r="J49" i="179"/>
  <c r="I49" i="179"/>
  <c r="H49" i="179"/>
  <c r="G49" i="179"/>
  <c r="F49" i="179"/>
  <c r="E49" i="179"/>
  <c r="D49" i="179"/>
  <c r="C49" i="179"/>
  <c r="B49" i="179"/>
  <c r="N48" i="179"/>
  <c r="M48" i="179"/>
  <c r="L48" i="179"/>
  <c r="K48" i="179"/>
  <c r="J48" i="179"/>
  <c r="I48" i="179"/>
  <c r="H48" i="179"/>
  <c r="G48" i="179"/>
  <c r="F48" i="179"/>
  <c r="E48" i="179"/>
  <c r="D48" i="179"/>
  <c r="C48" i="179"/>
  <c r="C54" i="179" s="1"/>
  <c r="B48" i="179"/>
  <c r="N47" i="179"/>
  <c r="M47" i="179"/>
  <c r="L47" i="179"/>
  <c r="K47" i="179"/>
  <c r="J47" i="179"/>
  <c r="I47" i="179"/>
  <c r="H47" i="179"/>
  <c r="G47" i="179"/>
  <c r="F47" i="179"/>
  <c r="E47" i="179"/>
  <c r="D47" i="179"/>
  <c r="C47" i="179"/>
  <c r="B47" i="179"/>
  <c r="N46" i="179"/>
  <c r="M46" i="179"/>
  <c r="L46" i="179"/>
  <c r="K46" i="179"/>
  <c r="J46" i="179"/>
  <c r="I46" i="179"/>
  <c r="H46" i="179"/>
  <c r="G46" i="179"/>
  <c r="F46" i="179"/>
  <c r="E46" i="179"/>
  <c r="D46" i="179"/>
  <c r="C46" i="179"/>
  <c r="B46" i="179"/>
  <c r="N45" i="179"/>
  <c r="M45" i="179"/>
  <c r="L45" i="179"/>
  <c r="K45" i="179"/>
  <c r="J45" i="179"/>
  <c r="I45" i="179"/>
  <c r="H45" i="179"/>
  <c r="G45" i="179"/>
  <c r="F45" i="179"/>
  <c r="E45" i="179"/>
  <c r="D45" i="179"/>
  <c r="C45" i="179"/>
  <c r="B45" i="179"/>
  <c r="N44" i="179"/>
  <c r="M44" i="179"/>
  <c r="L44" i="179"/>
  <c r="K44" i="179"/>
  <c r="J44" i="179"/>
  <c r="I44" i="179"/>
  <c r="H44" i="179"/>
  <c r="G44" i="179"/>
  <c r="G54" i="179" s="1"/>
  <c r="F44" i="179"/>
  <c r="F54" i="179" s="1"/>
  <c r="E44" i="179"/>
  <c r="D44" i="179"/>
  <c r="D56" i="179" s="1"/>
  <c r="C44" i="179"/>
  <c r="B44" i="179"/>
  <c r="N38" i="179"/>
  <c r="M38" i="179"/>
  <c r="L38" i="179"/>
  <c r="K38" i="179"/>
  <c r="J38" i="179"/>
  <c r="I38" i="179"/>
  <c r="H38" i="179"/>
  <c r="G38" i="179"/>
  <c r="F38" i="179"/>
  <c r="E38" i="179"/>
  <c r="D38" i="179"/>
  <c r="C38" i="179"/>
  <c r="N37" i="179"/>
  <c r="M37" i="179"/>
  <c r="L37" i="179"/>
  <c r="K37" i="179"/>
  <c r="J37" i="179"/>
  <c r="I37" i="179"/>
  <c r="H37" i="179"/>
  <c r="G37" i="179"/>
  <c r="F37" i="179"/>
  <c r="E37" i="179"/>
  <c r="D37" i="179"/>
  <c r="C37" i="179"/>
  <c r="N36" i="179"/>
  <c r="M36" i="179"/>
  <c r="L36" i="179"/>
  <c r="K36" i="179"/>
  <c r="J36" i="179"/>
  <c r="I36" i="179"/>
  <c r="H36" i="179"/>
  <c r="G36" i="179"/>
  <c r="F36" i="179"/>
  <c r="E36" i="179"/>
  <c r="D36" i="179"/>
  <c r="C36" i="179"/>
  <c r="O35" i="179"/>
  <c r="P35" i="179" s="1"/>
  <c r="O34" i="179"/>
  <c r="P34" i="179" s="1"/>
  <c r="O33" i="179"/>
  <c r="P33" i="179" s="1"/>
  <c r="O32" i="179"/>
  <c r="P32" i="179" s="1"/>
  <c r="O31" i="179"/>
  <c r="P31" i="179" s="1"/>
  <c r="O30" i="179"/>
  <c r="P30" i="179" s="1"/>
  <c r="O29" i="179"/>
  <c r="P29" i="179" s="1"/>
  <c r="O28" i="179"/>
  <c r="P28" i="179" s="1"/>
  <c r="O27" i="179"/>
  <c r="P27" i="179" s="1"/>
  <c r="O26" i="179"/>
  <c r="P26" i="179" s="1"/>
  <c r="O25" i="179"/>
  <c r="P25" i="179" s="1"/>
  <c r="O24" i="179"/>
  <c r="P24" i="179" s="1"/>
  <c r="O23" i="179"/>
  <c r="P23" i="179" s="1"/>
  <c r="O22" i="179"/>
  <c r="P22" i="179" s="1"/>
  <c r="O21" i="179"/>
  <c r="P21" i="179" s="1"/>
  <c r="O20" i="179"/>
  <c r="P20" i="179" s="1"/>
  <c r="O19" i="179"/>
  <c r="P19" i="179" s="1"/>
  <c r="P18" i="179"/>
  <c r="O18" i="179"/>
  <c r="O17" i="179"/>
  <c r="P17" i="179" s="1"/>
  <c r="O16" i="179"/>
  <c r="P16" i="179" s="1"/>
  <c r="O15" i="179"/>
  <c r="P15" i="179" s="1"/>
  <c r="O14" i="179"/>
  <c r="P14" i="179" s="1"/>
  <c r="O13" i="179"/>
  <c r="P13" i="179" s="1"/>
  <c r="O12" i="179"/>
  <c r="P12" i="179" s="1"/>
  <c r="O11" i="179"/>
  <c r="P11" i="179" s="1"/>
  <c r="O10" i="179"/>
  <c r="P10" i="179" s="1"/>
  <c r="O9" i="179"/>
  <c r="P9" i="179" s="1"/>
  <c r="O8" i="179"/>
  <c r="P8" i="179" s="1"/>
  <c r="O7" i="179"/>
  <c r="P7" i="179" s="1"/>
  <c r="O6" i="179"/>
  <c r="N53" i="178"/>
  <c r="M53" i="178"/>
  <c r="L53" i="178"/>
  <c r="K53" i="178"/>
  <c r="J53" i="178"/>
  <c r="I53" i="178"/>
  <c r="H53" i="178"/>
  <c r="G53" i="178"/>
  <c r="F53" i="178"/>
  <c r="E53" i="178"/>
  <c r="D53" i="178"/>
  <c r="C53" i="178"/>
  <c r="B53" i="178"/>
  <c r="N52" i="178"/>
  <c r="M52" i="178"/>
  <c r="L52" i="178"/>
  <c r="K52" i="178"/>
  <c r="J52" i="178"/>
  <c r="I52" i="178"/>
  <c r="H52" i="178"/>
  <c r="G52" i="178"/>
  <c r="F52" i="178"/>
  <c r="E52" i="178"/>
  <c r="D52" i="178"/>
  <c r="C52" i="178"/>
  <c r="B52" i="178"/>
  <c r="N51" i="178"/>
  <c r="M51" i="178"/>
  <c r="L51" i="178"/>
  <c r="K51" i="178"/>
  <c r="J51" i="178"/>
  <c r="I51" i="178"/>
  <c r="H51" i="178"/>
  <c r="G51" i="178"/>
  <c r="F51" i="178"/>
  <c r="E51" i="178"/>
  <c r="D51" i="178"/>
  <c r="C51" i="178"/>
  <c r="B51" i="178"/>
  <c r="N50" i="178"/>
  <c r="M50" i="178"/>
  <c r="L50" i="178"/>
  <c r="K50" i="178"/>
  <c r="J50" i="178"/>
  <c r="I50" i="178"/>
  <c r="H50" i="178"/>
  <c r="O50" i="178" s="1"/>
  <c r="P50" i="178" s="1"/>
  <c r="G50" i="178"/>
  <c r="F50" i="178"/>
  <c r="E50" i="178"/>
  <c r="D50" i="178"/>
  <c r="C50" i="178"/>
  <c r="B50" i="178"/>
  <c r="N49" i="178"/>
  <c r="M49" i="178"/>
  <c r="L49" i="178"/>
  <c r="K49" i="178"/>
  <c r="J49" i="178"/>
  <c r="I49" i="178"/>
  <c r="H49" i="178"/>
  <c r="G49" i="178"/>
  <c r="F49" i="178"/>
  <c r="E49" i="178"/>
  <c r="D49" i="178"/>
  <c r="C49" i="178"/>
  <c r="B49" i="178"/>
  <c r="N48" i="178"/>
  <c r="M48" i="178"/>
  <c r="L48" i="178"/>
  <c r="K48" i="178"/>
  <c r="J48" i="178"/>
  <c r="I48" i="178"/>
  <c r="H48" i="178"/>
  <c r="G48" i="178"/>
  <c r="F48" i="178"/>
  <c r="E48" i="178"/>
  <c r="D48" i="178"/>
  <c r="C48" i="178"/>
  <c r="B48" i="178"/>
  <c r="N47" i="178"/>
  <c r="M47" i="178"/>
  <c r="L47" i="178"/>
  <c r="K47" i="178"/>
  <c r="J47" i="178"/>
  <c r="I47" i="178"/>
  <c r="H47" i="178"/>
  <c r="G47" i="178"/>
  <c r="F47" i="178"/>
  <c r="E47" i="178"/>
  <c r="D47" i="178"/>
  <c r="C47" i="178"/>
  <c r="B47" i="178"/>
  <c r="N46" i="178"/>
  <c r="M46" i="178"/>
  <c r="L46" i="178"/>
  <c r="K46" i="178"/>
  <c r="J46" i="178"/>
  <c r="I46" i="178"/>
  <c r="H46" i="178"/>
  <c r="G46" i="178"/>
  <c r="F46" i="178"/>
  <c r="E46" i="178"/>
  <c r="D46" i="178"/>
  <c r="C46" i="178"/>
  <c r="B46" i="178"/>
  <c r="N45" i="178"/>
  <c r="M45" i="178"/>
  <c r="L45" i="178"/>
  <c r="K45" i="178"/>
  <c r="J45" i="178"/>
  <c r="I45" i="178"/>
  <c r="H45" i="178"/>
  <c r="G45" i="178"/>
  <c r="F45" i="178"/>
  <c r="E45" i="178"/>
  <c r="D45" i="178"/>
  <c r="C45" i="178"/>
  <c r="B45" i="178"/>
  <c r="N44" i="178"/>
  <c r="M44" i="178"/>
  <c r="L44" i="178"/>
  <c r="K44" i="178"/>
  <c r="J44" i="178"/>
  <c r="I44" i="178"/>
  <c r="H44" i="178"/>
  <c r="G44" i="178"/>
  <c r="F44" i="178"/>
  <c r="F54" i="178" s="1"/>
  <c r="E44" i="178"/>
  <c r="D44" i="178"/>
  <c r="C44" i="178"/>
  <c r="B44" i="178"/>
  <c r="N38" i="178"/>
  <c r="M38" i="178"/>
  <c r="L38" i="178"/>
  <c r="K38" i="178"/>
  <c r="J38" i="178"/>
  <c r="I38" i="178"/>
  <c r="H38" i="178"/>
  <c r="G38" i="178"/>
  <c r="F38" i="178"/>
  <c r="E38" i="178"/>
  <c r="D38" i="178"/>
  <c r="C38" i="178"/>
  <c r="N37" i="178"/>
  <c r="M37" i="178"/>
  <c r="L37" i="178"/>
  <c r="K37" i="178"/>
  <c r="J37" i="178"/>
  <c r="I37" i="178"/>
  <c r="H37" i="178"/>
  <c r="G37" i="178"/>
  <c r="F37" i="178"/>
  <c r="E37" i="178"/>
  <c r="D37" i="178"/>
  <c r="C37" i="178"/>
  <c r="N36" i="178"/>
  <c r="M36" i="178"/>
  <c r="L36" i="178"/>
  <c r="K36" i="178"/>
  <c r="J36" i="178"/>
  <c r="I36" i="178"/>
  <c r="H36" i="178"/>
  <c r="G36" i="178"/>
  <c r="F36" i="178"/>
  <c r="E36" i="178"/>
  <c r="D36" i="178"/>
  <c r="C36" i="178"/>
  <c r="O35" i="178"/>
  <c r="P35" i="178" s="1"/>
  <c r="O34" i="178"/>
  <c r="P34" i="178" s="1"/>
  <c r="O33" i="178"/>
  <c r="P33" i="178" s="1"/>
  <c r="O32" i="178"/>
  <c r="P32" i="178" s="1"/>
  <c r="O31" i="178"/>
  <c r="P31" i="178" s="1"/>
  <c r="O30" i="178"/>
  <c r="P30" i="178" s="1"/>
  <c r="O29" i="178"/>
  <c r="P29" i="178" s="1"/>
  <c r="O28" i="178"/>
  <c r="P28" i="178" s="1"/>
  <c r="O27" i="178"/>
  <c r="P27" i="178" s="1"/>
  <c r="O26" i="178"/>
  <c r="P26" i="178" s="1"/>
  <c r="O25" i="178"/>
  <c r="P25" i="178" s="1"/>
  <c r="O24" i="178"/>
  <c r="P24" i="178" s="1"/>
  <c r="O23" i="178"/>
  <c r="P23" i="178" s="1"/>
  <c r="O22" i="178"/>
  <c r="P22" i="178" s="1"/>
  <c r="O21" i="178"/>
  <c r="P21" i="178" s="1"/>
  <c r="O20" i="178"/>
  <c r="P20" i="178" s="1"/>
  <c r="O19" i="178"/>
  <c r="P19" i="178" s="1"/>
  <c r="O18" i="178"/>
  <c r="P18" i="178" s="1"/>
  <c r="O17" i="178"/>
  <c r="P17" i="178" s="1"/>
  <c r="O16" i="178"/>
  <c r="P16" i="178" s="1"/>
  <c r="O15" i="178"/>
  <c r="P15" i="178" s="1"/>
  <c r="O14" i="178"/>
  <c r="P14" i="178" s="1"/>
  <c r="O13" i="178"/>
  <c r="P13" i="178" s="1"/>
  <c r="O12" i="178"/>
  <c r="P12" i="178" s="1"/>
  <c r="O11" i="178"/>
  <c r="P11" i="178" s="1"/>
  <c r="O10" i="178"/>
  <c r="O9" i="178"/>
  <c r="P9" i="178" s="1"/>
  <c r="O8" i="178"/>
  <c r="P8" i="178" s="1"/>
  <c r="O7" i="178"/>
  <c r="P7" i="178" s="1"/>
  <c r="O6" i="178"/>
  <c r="P6" i="178" s="1"/>
  <c r="N53" i="177"/>
  <c r="M53" i="177"/>
  <c r="L53" i="177"/>
  <c r="K53" i="177"/>
  <c r="J53" i="177"/>
  <c r="I53" i="177"/>
  <c r="H53" i="177"/>
  <c r="G53" i="177"/>
  <c r="F53" i="177"/>
  <c r="E53" i="177"/>
  <c r="D53" i="177"/>
  <c r="C53" i="177"/>
  <c r="B53" i="177"/>
  <c r="N52" i="177"/>
  <c r="M52" i="177"/>
  <c r="L52" i="177"/>
  <c r="K52" i="177"/>
  <c r="J52" i="177"/>
  <c r="I52" i="177"/>
  <c r="H52" i="177"/>
  <c r="G52" i="177"/>
  <c r="F52" i="177"/>
  <c r="E52" i="177"/>
  <c r="D52" i="177"/>
  <c r="C52" i="177"/>
  <c r="B52" i="177"/>
  <c r="N51" i="177"/>
  <c r="M51" i="177"/>
  <c r="L51" i="177"/>
  <c r="K51" i="177"/>
  <c r="J51" i="177"/>
  <c r="I51" i="177"/>
  <c r="H51" i="177"/>
  <c r="G51" i="177"/>
  <c r="F51" i="177"/>
  <c r="E51" i="177"/>
  <c r="D51" i="177"/>
  <c r="C51" i="177"/>
  <c r="B51" i="177"/>
  <c r="N50" i="177"/>
  <c r="M50" i="177"/>
  <c r="L50" i="177"/>
  <c r="K50" i="177"/>
  <c r="J50" i="177"/>
  <c r="I50" i="177"/>
  <c r="H50" i="177"/>
  <c r="O50" i="177" s="1"/>
  <c r="P50" i="177" s="1"/>
  <c r="G50" i="177"/>
  <c r="F50" i="177"/>
  <c r="E50" i="177"/>
  <c r="D50" i="177"/>
  <c r="C50" i="177"/>
  <c r="B50" i="177"/>
  <c r="N49" i="177"/>
  <c r="M49" i="177"/>
  <c r="L49" i="177"/>
  <c r="K49" i="177"/>
  <c r="J49" i="177"/>
  <c r="I49" i="177"/>
  <c r="H49" i="177"/>
  <c r="G49" i="177"/>
  <c r="F49" i="177"/>
  <c r="E49" i="177"/>
  <c r="D49" i="177"/>
  <c r="C49" i="177"/>
  <c r="B49" i="177"/>
  <c r="N48" i="177"/>
  <c r="M48" i="177"/>
  <c r="L48" i="177"/>
  <c r="K48" i="177"/>
  <c r="J48" i="177"/>
  <c r="I48" i="177"/>
  <c r="H48" i="177"/>
  <c r="G48" i="177"/>
  <c r="F48" i="177"/>
  <c r="E48" i="177"/>
  <c r="D48" i="177"/>
  <c r="C48" i="177"/>
  <c r="B48" i="177"/>
  <c r="N47" i="177"/>
  <c r="M47" i="177"/>
  <c r="L47" i="177"/>
  <c r="K47" i="177"/>
  <c r="J47" i="177"/>
  <c r="I47" i="177"/>
  <c r="H47" i="177"/>
  <c r="G47" i="177"/>
  <c r="F47" i="177"/>
  <c r="E47" i="177"/>
  <c r="D47" i="177"/>
  <c r="C47" i="177"/>
  <c r="B47" i="177"/>
  <c r="N46" i="177"/>
  <c r="M46" i="177"/>
  <c r="L46" i="177"/>
  <c r="K46" i="177"/>
  <c r="J46" i="177"/>
  <c r="I46" i="177"/>
  <c r="H46" i="177"/>
  <c r="G46" i="177"/>
  <c r="F46" i="177"/>
  <c r="E46" i="177"/>
  <c r="D46" i="177"/>
  <c r="C46" i="177"/>
  <c r="B46" i="177"/>
  <c r="N45" i="177"/>
  <c r="M45" i="177"/>
  <c r="L45" i="177"/>
  <c r="K45" i="177"/>
  <c r="J45" i="177"/>
  <c r="I45" i="177"/>
  <c r="H45" i="177"/>
  <c r="G45" i="177"/>
  <c r="F45" i="177"/>
  <c r="E45" i="177"/>
  <c r="D45" i="177"/>
  <c r="C45" i="177"/>
  <c r="B45" i="177"/>
  <c r="N44" i="177"/>
  <c r="M44" i="177"/>
  <c r="L44" i="177"/>
  <c r="K44" i="177"/>
  <c r="J44" i="177"/>
  <c r="I44" i="177"/>
  <c r="H44" i="177"/>
  <c r="G44" i="177"/>
  <c r="G55" i="177" s="1"/>
  <c r="F44" i="177"/>
  <c r="F56" i="177" s="1"/>
  <c r="E44" i="177"/>
  <c r="D44" i="177"/>
  <c r="C44" i="177"/>
  <c r="B44" i="177"/>
  <c r="N38" i="177"/>
  <c r="M38" i="177"/>
  <c r="L38" i="177"/>
  <c r="K38" i="177"/>
  <c r="J38" i="177"/>
  <c r="I38" i="177"/>
  <c r="H38" i="177"/>
  <c r="G38" i="177"/>
  <c r="F38" i="177"/>
  <c r="E38" i="177"/>
  <c r="D38" i="177"/>
  <c r="C38" i="177"/>
  <c r="N37" i="177"/>
  <c r="M37" i="177"/>
  <c r="L37" i="177"/>
  <c r="K37" i="177"/>
  <c r="J37" i="177"/>
  <c r="I37" i="177"/>
  <c r="H37" i="177"/>
  <c r="G37" i="177"/>
  <c r="F37" i="177"/>
  <c r="E37" i="177"/>
  <c r="D37" i="177"/>
  <c r="C37" i="177"/>
  <c r="N36" i="177"/>
  <c r="M36" i="177"/>
  <c r="L36" i="177"/>
  <c r="K36" i="177"/>
  <c r="J36" i="177"/>
  <c r="I36" i="177"/>
  <c r="H36" i="177"/>
  <c r="G36" i="177"/>
  <c r="F36" i="177"/>
  <c r="E36" i="177"/>
  <c r="D36" i="177"/>
  <c r="C36" i="177"/>
  <c r="O35" i="177"/>
  <c r="P35" i="177" s="1"/>
  <c r="O34" i="177"/>
  <c r="P34" i="177" s="1"/>
  <c r="O33" i="177"/>
  <c r="P33" i="177" s="1"/>
  <c r="O32" i="177"/>
  <c r="P32" i="177" s="1"/>
  <c r="O31" i="177"/>
  <c r="P31" i="177" s="1"/>
  <c r="O30" i="177"/>
  <c r="P30" i="177" s="1"/>
  <c r="O29" i="177"/>
  <c r="P29" i="177" s="1"/>
  <c r="O28" i="177"/>
  <c r="P28" i="177" s="1"/>
  <c r="O27" i="177"/>
  <c r="P27" i="177" s="1"/>
  <c r="O26" i="177"/>
  <c r="P26" i="177" s="1"/>
  <c r="O25" i="177"/>
  <c r="P25" i="177" s="1"/>
  <c r="O24" i="177"/>
  <c r="P24" i="177" s="1"/>
  <c r="O23" i="177"/>
  <c r="P23" i="177" s="1"/>
  <c r="O22" i="177"/>
  <c r="P22" i="177" s="1"/>
  <c r="O21" i="177"/>
  <c r="P21" i="177" s="1"/>
  <c r="O20" i="177"/>
  <c r="P20" i="177" s="1"/>
  <c r="O19" i="177"/>
  <c r="P19" i="177" s="1"/>
  <c r="O18" i="177"/>
  <c r="P18" i="177" s="1"/>
  <c r="O17" i="177"/>
  <c r="P17" i="177" s="1"/>
  <c r="O16" i="177"/>
  <c r="P16" i="177" s="1"/>
  <c r="O15" i="177"/>
  <c r="P15" i="177" s="1"/>
  <c r="O14" i="177"/>
  <c r="P14" i="177" s="1"/>
  <c r="O13" i="177"/>
  <c r="P13" i="177" s="1"/>
  <c r="O12" i="177"/>
  <c r="P12" i="177" s="1"/>
  <c r="O11" i="177"/>
  <c r="P11" i="177" s="1"/>
  <c r="O10" i="177"/>
  <c r="O9" i="177"/>
  <c r="P9" i="177" s="1"/>
  <c r="O8" i="177"/>
  <c r="P8" i="177" s="1"/>
  <c r="O7" i="177"/>
  <c r="P7" i="177" s="1"/>
  <c r="O6" i="177"/>
  <c r="N53" i="176"/>
  <c r="M53" i="176"/>
  <c r="L53" i="176"/>
  <c r="K53" i="176"/>
  <c r="J53" i="176"/>
  <c r="I53" i="176"/>
  <c r="H53" i="176"/>
  <c r="G53" i="176"/>
  <c r="F53" i="176"/>
  <c r="E53" i="176"/>
  <c r="D53" i="176"/>
  <c r="C53" i="176"/>
  <c r="B53" i="176"/>
  <c r="N52" i="176"/>
  <c r="M52" i="176"/>
  <c r="L52" i="176"/>
  <c r="K52" i="176"/>
  <c r="J52" i="176"/>
  <c r="I52" i="176"/>
  <c r="H52" i="176"/>
  <c r="G52" i="176"/>
  <c r="F52" i="176"/>
  <c r="E52" i="176"/>
  <c r="D52" i="176"/>
  <c r="C52" i="176"/>
  <c r="B52" i="176"/>
  <c r="N51" i="176"/>
  <c r="M51" i="176"/>
  <c r="L51" i="176"/>
  <c r="K51" i="176"/>
  <c r="J51" i="176"/>
  <c r="I51" i="176"/>
  <c r="H51" i="176"/>
  <c r="G51" i="176"/>
  <c r="F51" i="176"/>
  <c r="E51" i="176"/>
  <c r="D51" i="176"/>
  <c r="C51" i="176"/>
  <c r="B51" i="176"/>
  <c r="N50" i="176"/>
  <c r="M50" i="176"/>
  <c r="L50" i="176"/>
  <c r="K50" i="176"/>
  <c r="J50" i="176"/>
  <c r="I50" i="176"/>
  <c r="H50" i="176"/>
  <c r="O50" i="176" s="1"/>
  <c r="P50" i="176" s="1"/>
  <c r="G50" i="176"/>
  <c r="F50" i="176"/>
  <c r="E50" i="176"/>
  <c r="D50" i="176"/>
  <c r="C50" i="176"/>
  <c r="B50" i="176"/>
  <c r="N49" i="176"/>
  <c r="M49" i="176"/>
  <c r="L49" i="176"/>
  <c r="K49" i="176"/>
  <c r="J49" i="176"/>
  <c r="I49" i="176"/>
  <c r="H49" i="176"/>
  <c r="G49" i="176"/>
  <c r="F49" i="176"/>
  <c r="E49" i="176"/>
  <c r="D49" i="176"/>
  <c r="C49" i="176"/>
  <c r="B49" i="176"/>
  <c r="N48" i="176"/>
  <c r="M48" i="176"/>
  <c r="L48" i="176"/>
  <c r="K48" i="176"/>
  <c r="J48" i="176"/>
  <c r="I48" i="176"/>
  <c r="H48" i="176"/>
  <c r="G48" i="176"/>
  <c r="F48" i="176"/>
  <c r="E48" i="176"/>
  <c r="D48" i="176"/>
  <c r="C48" i="176"/>
  <c r="B48" i="176"/>
  <c r="N47" i="176"/>
  <c r="M47" i="176"/>
  <c r="L47" i="176"/>
  <c r="K47" i="176"/>
  <c r="J47" i="176"/>
  <c r="I47" i="176"/>
  <c r="H47" i="176"/>
  <c r="G47" i="176"/>
  <c r="F47" i="176"/>
  <c r="E47" i="176"/>
  <c r="D47" i="176"/>
  <c r="C47" i="176"/>
  <c r="B47" i="176"/>
  <c r="N46" i="176"/>
  <c r="M46" i="176"/>
  <c r="L46" i="176"/>
  <c r="K46" i="176"/>
  <c r="J46" i="176"/>
  <c r="I46" i="176"/>
  <c r="H46" i="176"/>
  <c r="G46" i="176"/>
  <c r="F46" i="176"/>
  <c r="E46" i="176"/>
  <c r="D46" i="176"/>
  <c r="C46" i="176"/>
  <c r="B46" i="176"/>
  <c r="N45" i="176"/>
  <c r="M45" i="176"/>
  <c r="L45" i="176"/>
  <c r="K45" i="176"/>
  <c r="J45" i="176"/>
  <c r="I45" i="176"/>
  <c r="H45" i="176"/>
  <c r="G45" i="176"/>
  <c r="F45" i="176"/>
  <c r="E45" i="176"/>
  <c r="D45" i="176"/>
  <c r="C45" i="176"/>
  <c r="B45" i="176"/>
  <c r="N44" i="176"/>
  <c r="M44" i="176"/>
  <c r="L44" i="176"/>
  <c r="K44" i="176"/>
  <c r="J44" i="176"/>
  <c r="I44" i="176"/>
  <c r="H44" i="176"/>
  <c r="G44" i="176"/>
  <c r="G56" i="176" s="1"/>
  <c r="F44" i="176"/>
  <c r="F54" i="176" s="1"/>
  <c r="E44" i="176"/>
  <c r="D44" i="176"/>
  <c r="C44" i="176"/>
  <c r="B44" i="176"/>
  <c r="N38" i="176"/>
  <c r="M38" i="176"/>
  <c r="L38" i="176"/>
  <c r="K38" i="176"/>
  <c r="J38" i="176"/>
  <c r="I38" i="176"/>
  <c r="H38" i="176"/>
  <c r="G38" i="176"/>
  <c r="F38" i="176"/>
  <c r="E38" i="176"/>
  <c r="D38" i="176"/>
  <c r="C38" i="176"/>
  <c r="N37" i="176"/>
  <c r="M37" i="176"/>
  <c r="L37" i="176"/>
  <c r="K37" i="176"/>
  <c r="J37" i="176"/>
  <c r="I37" i="176"/>
  <c r="H37" i="176"/>
  <c r="G37" i="176"/>
  <c r="F37" i="176"/>
  <c r="E37" i="176"/>
  <c r="D37" i="176"/>
  <c r="C37" i="176"/>
  <c r="N36" i="176"/>
  <c r="M36" i="176"/>
  <c r="L36" i="176"/>
  <c r="K36" i="176"/>
  <c r="J36" i="176"/>
  <c r="I36" i="176"/>
  <c r="H36" i="176"/>
  <c r="G36" i="176"/>
  <c r="F36" i="176"/>
  <c r="E36" i="176"/>
  <c r="D36" i="176"/>
  <c r="C36" i="176"/>
  <c r="O35" i="176"/>
  <c r="P35" i="176" s="1"/>
  <c r="O34" i="176"/>
  <c r="P34" i="176" s="1"/>
  <c r="O33" i="176"/>
  <c r="P33" i="176" s="1"/>
  <c r="O32" i="176"/>
  <c r="P32" i="176" s="1"/>
  <c r="O31" i="176"/>
  <c r="P31" i="176" s="1"/>
  <c r="O30" i="176"/>
  <c r="P30" i="176" s="1"/>
  <c r="O29" i="176"/>
  <c r="P29" i="176" s="1"/>
  <c r="O28" i="176"/>
  <c r="P28" i="176" s="1"/>
  <c r="O27" i="176"/>
  <c r="P27" i="176" s="1"/>
  <c r="O26" i="176"/>
  <c r="P26" i="176" s="1"/>
  <c r="O25" i="176"/>
  <c r="P25" i="176" s="1"/>
  <c r="O24" i="176"/>
  <c r="P24" i="176" s="1"/>
  <c r="O23" i="176"/>
  <c r="P23" i="176" s="1"/>
  <c r="O22" i="176"/>
  <c r="P22" i="176" s="1"/>
  <c r="O21" i="176"/>
  <c r="P21" i="176" s="1"/>
  <c r="O20" i="176"/>
  <c r="P20" i="176" s="1"/>
  <c r="O19" i="176"/>
  <c r="P19" i="176" s="1"/>
  <c r="O18" i="176"/>
  <c r="P18" i="176" s="1"/>
  <c r="O17" i="176"/>
  <c r="P17" i="176" s="1"/>
  <c r="O16" i="176"/>
  <c r="P16" i="176" s="1"/>
  <c r="O15" i="176"/>
  <c r="P15" i="176" s="1"/>
  <c r="O14" i="176"/>
  <c r="P14" i="176" s="1"/>
  <c r="O13" i="176"/>
  <c r="P13" i="176" s="1"/>
  <c r="O12" i="176"/>
  <c r="P12" i="176" s="1"/>
  <c r="O11" i="176"/>
  <c r="P11" i="176" s="1"/>
  <c r="O10" i="176"/>
  <c r="O9" i="176"/>
  <c r="P9" i="176" s="1"/>
  <c r="O8" i="176"/>
  <c r="P8" i="176" s="1"/>
  <c r="O7" i="176"/>
  <c r="P7" i="176" s="1"/>
  <c r="O6" i="176"/>
  <c r="N53" i="175"/>
  <c r="M53" i="175"/>
  <c r="L53" i="175"/>
  <c r="K53" i="175"/>
  <c r="J53" i="175"/>
  <c r="I53" i="175"/>
  <c r="H53" i="175"/>
  <c r="G53" i="175"/>
  <c r="F53" i="175"/>
  <c r="E53" i="175"/>
  <c r="D53" i="175"/>
  <c r="C53" i="175"/>
  <c r="B53" i="175"/>
  <c r="N52" i="175"/>
  <c r="M52" i="175"/>
  <c r="L52" i="175"/>
  <c r="K52" i="175"/>
  <c r="J52" i="175"/>
  <c r="I52" i="175"/>
  <c r="H52" i="175"/>
  <c r="G52" i="175"/>
  <c r="F52" i="175"/>
  <c r="E52" i="175"/>
  <c r="D52" i="175"/>
  <c r="C52" i="175"/>
  <c r="B52" i="175"/>
  <c r="N51" i="175"/>
  <c r="M51" i="175"/>
  <c r="L51" i="175"/>
  <c r="K51" i="175"/>
  <c r="J51" i="175"/>
  <c r="I51" i="175"/>
  <c r="H51" i="175"/>
  <c r="G51" i="175"/>
  <c r="F51" i="175"/>
  <c r="E51" i="175"/>
  <c r="D51" i="175"/>
  <c r="C51" i="175"/>
  <c r="B51" i="175"/>
  <c r="N50" i="175"/>
  <c r="M50" i="175"/>
  <c r="L50" i="175"/>
  <c r="K50" i="175"/>
  <c r="J50" i="175"/>
  <c r="I50" i="175"/>
  <c r="H50" i="175"/>
  <c r="G50" i="175"/>
  <c r="F50" i="175"/>
  <c r="E50" i="175"/>
  <c r="D50" i="175"/>
  <c r="C50" i="175"/>
  <c r="B50" i="175"/>
  <c r="N49" i="175"/>
  <c r="M49" i="175"/>
  <c r="L49" i="175"/>
  <c r="K49" i="175"/>
  <c r="J49" i="175"/>
  <c r="I49" i="175"/>
  <c r="H49" i="175"/>
  <c r="G49" i="175"/>
  <c r="F49" i="175"/>
  <c r="E49" i="175"/>
  <c r="D49" i="175"/>
  <c r="C49" i="175"/>
  <c r="B49" i="175"/>
  <c r="N48" i="175"/>
  <c r="M48" i="175"/>
  <c r="L48" i="175"/>
  <c r="K48" i="175"/>
  <c r="J48" i="175"/>
  <c r="I48" i="175"/>
  <c r="H48" i="175"/>
  <c r="G48" i="175"/>
  <c r="F48" i="175"/>
  <c r="E48" i="175"/>
  <c r="D48" i="175"/>
  <c r="C48" i="175"/>
  <c r="O48" i="175" s="1"/>
  <c r="P48" i="175" s="1"/>
  <c r="B48" i="175"/>
  <c r="N47" i="175"/>
  <c r="M47" i="175"/>
  <c r="L47" i="175"/>
  <c r="K47" i="175"/>
  <c r="J47" i="175"/>
  <c r="I47" i="175"/>
  <c r="H47" i="175"/>
  <c r="G47" i="175"/>
  <c r="F47" i="175"/>
  <c r="E47" i="175"/>
  <c r="D47" i="175"/>
  <c r="C47" i="175"/>
  <c r="B47" i="175"/>
  <c r="N46" i="175"/>
  <c r="M46" i="175"/>
  <c r="L46" i="175"/>
  <c r="K46" i="175"/>
  <c r="J46" i="175"/>
  <c r="I46" i="175"/>
  <c r="H46" i="175"/>
  <c r="G46" i="175"/>
  <c r="F46" i="175"/>
  <c r="E46" i="175"/>
  <c r="D46" i="175"/>
  <c r="C46" i="175"/>
  <c r="B46" i="175"/>
  <c r="N45" i="175"/>
  <c r="M45" i="175"/>
  <c r="L45" i="175"/>
  <c r="K45" i="175"/>
  <c r="J45" i="175"/>
  <c r="J54" i="175" s="1"/>
  <c r="I45" i="175"/>
  <c r="I54" i="175" s="1"/>
  <c r="H45" i="175"/>
  <c r="G45" i="175"/>
  <c r="F45" i="175"/>
  <c r="E45" i="175"/>
  <c r="D45" i="175"/>
  <c r="C45" i="175"/>
  <c r="B45" i="175"/>
  <c r="N44" i="175"/>
  <c r="M44" i="175"/>
  <c r="L44" i="175"/>
  <c r="K44" i="175"/>
  <c r="J44" i="175"/>
  <c r="I44" i="175"/>
  <c r="H44" i="175"/>
  <c r="G44" i="175"/>
  <c r="G54" i="175" s="1"/>
  <c r="F44" i="175"/>
  <c r="F54" i="175" s="1"/>
  <c r="E44" i="175"/>
  <c r="D44" i="175"/>
  <c r="C44" i="175"/>
  <c r="B44" i="175"/>
  <c r="N38" i="175"/>
  <c r="M38" i="175"/>
  <c r="L38" i="175"/>
  <c r="K38" i="175"/>
  <c r="J38" i="175"/>
  <c r="I38" i="175"/>
  <c r="H38" i="175"/>
  <c r="G38" i="175"/>
  <c r="F38" i="175"/>
  <c r="E38" i="175"/>
  <c r="D38" i="175"/>
  <c r="C38" i="175"/>
  <c r="N37" i="175"/>
  <c r="M37" i="175"/>
  <c r="L37" i="175"/>
  <c r="K37" i="175"/>
  <c r="J37" i="175"/>
  <c r="I37" i="175"/>
  <c r="H37" i="175"/>
  <c r="G37" i="175"/>
  <c r="F37" i="175"/>
  <c r="E37" i="175"/>
  <c r="D37" i="175"/>
  <c r="C37" i="175"/>
  <c r="N36" i="175"/>
  <c r="M36" i="175"/>
  <c r="L36" i="175"/>
  <c r="K36" i="175"/>
  <c r="J36" i="175"/>
  <c r="I36" i="175"/>
  <c r="H36" i="175"/>
  <c r="G36" i="175"/>
  <c r="F36" i="175"/>
  <c r="E36" i="175"/>
  <c r="D36" i="175"/>
  <c r="C36" i="175"/>
  <c r="O35" i="175"/>
  <c r="P35" i="175" s="1"/>
  <c r="O34" i="175"/>
  <c r="P34" i="175" s="1"/>
  <c r="O33" i="175"/>
  <c r="P33" i="175" s="1"/>
  <c r="O32" i="175"/>
  <c r="P32" i="175" s="1"/>
  <c r="O31" i="175"/>
  <c r="P31" i="175" s="1"/>
  <c r="O30" i="175"/>
  <c r="P30" i="175" s="1"/>
  <c r="O29" i="175"/>
  <c r="P29" i="175" s="1"/>
  <c r="O28" i="175"/>
  <c r="P28" i="175" s="1"/>
  <c r="O27" i="175"/>
  <c r="P27" i="175" s="1"/>
  <c r="O26" i="175"/>
  <c r="P26" i="175" s="1"/>
  <c r="O25" i="175"/>
  <c r="P25" i="175" s="1"/>
  <c r="O24" i="175"/>
  <c r="P24" i="175" s="1"/>
  <c r="O23" i="175"/>
  <c r="P23" i="175" s="1"/>
  <c r="O22" i="175"/>
  <c r="P22" i="175" s="1"/>
  <c r="O21" i="175"/>
  <c r="P21" i="175" s="1"/>
  <c r="O20" i="175"/>
  <c r="P20" i="175" s="1"/>
  <c r="O19" i="175"/>
  <c r="P19" i="175" s="1"/>
  <c r="O18" i="175"/>
  <c r="P18" i="175" s="1"/>
  <c r="O17" i="175"/>
  <c r="P17" i="175" s="1"/>
  <c r="O16" i="175"/>
  <c r="P16" i="175" s="1"/>
  <c r="O15" i="175"/>
  <c r="P15" i="175" s="1"/>
  <c r="O14" i="175"/>
  <c r="P14" i="175" s="1"/>
  <c r="O13" i="175"/>
  <c r="P13" i="175" s="1"/>
  <c r="O12" i="175"/>
  <c r="P12" i="175" s="1"/>
  <c r="O11" i="175"/>
  <c r="P11" i="175" s="1"/>
  <c r="O10" i="175"/>
  <c r="O9" i="175"/>
  <c r="P9" i="175" s="1"/>
  <c r="O8" i="175"/>
  <c r="P8" i="175" s="1"/>
  <c r="O7" i="175"/>
  <c r="P7" i="175" s="1"/>
  <c r="O6" i="175"/>
  <c r="N53" i="174"/>
  <c r="M53" i="174"/>
  <c r="L53" i="174"/>
  <c r="K53" i="174"/>
  <c r="J53" i="174"/>
  <c r="I53" i="174"/>
  <c r="H53" i="174"/>
  <c r="G53" i="174"/>
  <c r="F53" i="174"/>
  <c r="E53" i="174"/>
  <c r="D53" i="174"/>
  <c r="C53" i="174"/>
  <c r="B53" i="174"/>
  <c r="N52" i="174"/>
  <c r="M52" i="174"/>
  <c r="L52" i="174"/>
  <c r="K52" i="174"/>
  <c r="J52" i="174"/>
  <c r="I52" i="174"/>
  <c r="H52" i="174"/>
  <c r="G52" i="174"/>
  <c r="F52" i="174"/>
  <c r="E52" i="174"/>
  <c r="D52" i="174"/>
  <c r="C52" i="174"/>
  <c r="B52" i="174"/>
  <c r="N51" i="174"/>
  <c r="M51" i="174"/>
  <c r="L51" i="174"/>
  <c r="K51" i="174"/>
  <c r="J51" i="174"/>
  <c r="I51" i="174"/>
  <c r="H51" i="174"/>
  <c r="G51" i="174"/>
  <c r="F51" i="174"/>
  <c r="E51" i="174"/>
  <c r="D51" i="174"/>
  <c r="C51" i="174"/>
  <c r="B51" i="174"/>
  <c r="N50" i="174"/>
  <c r="M50" i="174"/>
  <c r="L50" i="174"/>
  <c r="K50" i="174"/>
  <c r="J50" i="174"/>
  <c r="I50" i="174"/>
  <c r="H50" i="174"/>
  <c r="O50" i="174" s="1"/>
  <c r="P50" i="174" s="1"/>
  <c r="G50" i="174"/>
  <c r="F50" i="174"/>
  <c r="E50" i="174"/>
  <c r="D50" i="174"/>
  <c r="C50" i="174"/>
  <c r="B50" i="174"/>
  <c r="N49" i="174"/>
  <c r="M49" i="174"/>
  <c r="L49" i="174"/>
  <c r="K49" i="174"/>
  <c r="J49" i="174"/>
  <c r="I49" i="174"/>
  <c r="H49" i="174"/>
  <c r="G49" i="174"/>
  <c r="F49" i="174"/>
  <c r="E49" i="174"/>
  <c r="D49" i="174"/>
  <c r="C49" i="174"/>
  <c r="B49" i="174"/>
  <c r="N48" i="174"/>
  <c r="M48" i="174"/>
  <c r="L48" i="174"/>
  <c r="K48" i="174"/>
  <c r="J48" i="174"/>
  <c r="I48" i="174"/>
  <c r="H48" i="174"/>
  <c r="G48" i="174"/>
  <c r="F48" i="174"/>
  <c r="E48" i="174"/>
  <c r="D48" i="174"/>
  <c r="C48" i="174"/>
  <c r="B48" i="174"/>
  <c r="N47" i="174"/>
  <c r="M47" i="174"/>
  <c r="L47" i="174"/>
  <c r="K47" i="174"/>
  <c r="J47" i="174"/>
  <c r="I47" i="174"/>
  <c r="H47" i="174"/>
  <c r="G47" i="174"/>
  <c r="F47" i="174"/>
  <c r="E47" i="174"/>
  <c r="D47" i="174"/>
  <c r="C47" i="174"/>
  <c r="B47" i="174"/>
  <c r="N46" i="174"/>
  <c r="M46" i="174"/>
  <c r="L46" i="174"/>
  <c r="K46" i="174"/>
  <c r="J46" i="174"/>
  <c r="I46" i="174"/>
  <c r="H46" i="174"/>
  <c r="G46" i="174"/>
  <c r="F46" i="174"/>
  <c r="E46" i="174"/>
  <c r="D46" i="174"/>
  <c r="C46" i="174"/>
  <c r="B46" i="174"/>
  <c r="N45" i="174"/>
  <c r="M45" i="174"/>
  <c r="L45" i="174"/>
  <c r="K45" i="174"/>
  <c r="J45" i="174"/>
  <c r="I45" i="174"/>
  <c r="H45" i="174"/>
  <c r="G45" i="174"/>
  <c r="F45" i="174"/>
  <c r="E45" i="174"/>
  <c r="D45" i="174"/>
  <c r="C45" i="174"/>
  <c r="B45" i="174"/>
  <c r="N44" i="174"/>
  <c r="M44" i="174"/>
  <c r="M54" i="174" s="1"/>
  <c r="L44" i="174"/>
  <c r="K44" i="174"/>
  <c r="J44" i="174"/>
  <c r="I44" i="174"/>
  <c r="H44" i="174"/>
  <c r="G44" i="174"/>
  <c r="G54" i="174" s="1"/>
  <c r="F44" i="174"/>
  <c r="F54" i="174" s="1"/>
  <c r="E44" i="174"/>
  <c r="D44" i="174"/>
  <c r="C44" i="174"/>
  <c r="B44" i="174"/>
  <c r="N38" i="174"/>
  <c r="M38" i="174"/>
  <c r="L38" i="174"/>
  <c r="K38" i="174"/>
  <c r="J38" i="174"/>
  <c r="I38" i="174"/>
  <c r="H38" i="174"/>
  <c r="G38" i="174"/>
  <c r="F38" i="174"/>
  <c r="E38" i="174"/>
  <c r="D38" i="174"/>
  <c r="C38" i="174"/>
  <c r="N37" i="174"/>
  <c r="M37" i="174"/>
  <c r="L37" i="174"/>
  <c r="K37" i="174"/>
  <c r="J37" i="174"/>
  <c r="I37" i="174"/>
  <c r="H37" i="174"/>
  <c r="G37" i="174"/>
  <c r="F37" i="174"/>
  <c r="E37" i="174"/>
  <c r="D37" i="174"/>
  <c r="C37" i="174"/>
  <c r="N36" i="174"/>
  <c r="M36" i="174"/>
  <c r="L36" i="174"/>
  <c r="K36" i="174"/>
  <c r="J36" i="174"/>
  <c r="I36" i="174"/>
  <c r="H36" i="174"/>
  <c r="G36" i="174"/>
  <c r="F36" i="174"/>
  <c r="E36" i="174"/>
  <c r="D36" i="174"/>
  <c r="C36" i="174"/>
  <c r="O35" i="174"/>
  <c r="P35" i="174" s="1"/>
  <c r="O34" i="174"/>
  <c r="P34" i="174" s="1"/>
  <c r="O33" i="174"/>
  <c r="P33" i="174" s="1"/>
  <c r="O32" i="174"/>
  <c r="P32" i="174" s="1"/>
  <c r="O31" i="174"/>
  <c r="P31" i="174" s="1"/>
  <c r="O30" i="174"/>
  <c r="P30" i="174" s="1"/>
  <c r="O29" i="174"/>
  <c r="P29" i="174" s="1"/>
  <c r="O28" i="174"/>
  <c r="P28" i="174" s="1"/>
  <c r="O27" i="174"/>
  <c r="P27" i="174" s="1"/>
  <c r="O26" i="174"/>
  <c r="P26" i="174" s="1"/>
  <c r="O25" i="174"/>
  <c r="P25" i="174" s="1"/>
  <c r="O24" i="174"/>
  <c r="P24" i="174" s="1"/>
  <c r="O23" i="174"/>
  <c r="P23" i="174" s="1"/>
  <c r="O22" i="174"/>
  <c r="P22" i="174" s="1"/>
  <c r="O21" i="174"/>
  <c r="P21" i="174" s="1"/>
  <c r="O20" i="174"/>
  <c r="P20" i="174" s="1"/>
  <c r="O19" i="174"/>
  <c r="P19" i="174" s="1"/>
  <c r="O18" i="174"/>
  <c r="P18" i="174" s="1"/>
  <c r="O17" i="174"/>
  <c r="P17" i="174" s="1"/>
  <c r="O16" i="174"/>
  <c r="P16" i="174" s="1"/>
  <c r="O15" i="174"/>
  <c r="P15" i="174" s="1"/>
  <c r="O14" i="174"/>
  <c r="P14" i="174" s="1"/>
  <c r="O13" i="174"/>
  <c r="P13" i="174" s="1"/>
  <c r="O12" i="174"/>
  <c r="P12" i="174" s="1"/>
  <c r="O11" i="174"/>
  <c r="P11" i="174" s="1"/>
  <c r="O10" i="174"/>
  <c r="P10" i="174" s="1"/>
  <c r="O9" i="174"/>
  <c r="P9" i="174" s="1"/>
  <c r="O8" i="174"/>
  <c r="P8" i="174" s="1"/>
  <c r="O7" i="174"/>
  <c r="P7" i="174" s="1"/>
  <c r="O6" i="174"/>
  <c r="N53" i="173"/>
  <c r="M53" i="173"/>
  <c r="L53" i="173"/>
  <c r="K53" i="173"/>
  <c r="J53" i="173"/>
  <c r="I53" i="173"/>
  <c r="H53" i="173"/>
  <c r="G53" i="173"/>
  <c r="F53" i="173"/>
  <c r="E53" i="173"/>
  <c r="D53" i="173"/>
  <c r="C53" i="173"/>
  <c r="B53" i="173"/>
  <c r="N52" i="173"/>
  <c r="M52" i="173"/>
  <c r="L52" i="173"/>
  <c r="K52" i="173"/>
  <c r="J52" i="173"/>
  <c r="I52" i="173"/>
  <c r="H52" i="173"/>
  <c r="G52" i="173"/>
  <c r="F52" i="173"/>
  <c r="E52" i="173"/>
  <c r="D52" i="173"/>
  <c r="C52" i="173"/>
  <c r="B52" i="173"/>
  <c r="N51" i="173"/>
  <c r="M51" i="173"/>
  <c r="L51" i="173"/>
  <c r="K51" i="173"/>
  <c r="J51" i="173"/>
  <c r="I51" i="173"/>
  <c r="H51" i="173"/>
  <c r="G51" i="173"/>
  <c r="F51" i="173"/>
  <c r="E51" i="173"/>
  <c r="D51" i="173"/>
  <c r="C51" i="173"/>
  <c r="B51" i="173"/>
  <c r="N50" i="173"/>
  <c r="M50" i="173"/>
  <c r="L50" i="173"/>
  <c r="K50" i="173"/>
  <c r="J50" i="173"/>
  <c r="I50" i="173"/>
  <c r="H50" i="173"/>
  <c r="O50" i="173" s="1"/>
  <c r="P50" i="173" s="1"/>
  <c r="G50" i="173"/>
  <c r="F50" i="173"/>
  <c r="E50" i="173"/>
  <c r="D50" i="173"/>
  <c r="C50" i="173"/>
  <c r="B50" i="173"/>
  <c r="N49" i="173"/>
  <c r="M49" i="173"/>
  <c r="L49" i="173"/>
  <c r="K49" i="173"/>
  <c r="J49" i="173"/>
  <c r="I49" i="173"/>
  <c r="H49" i="173"/>
  <c r="G49" i="173"/>
  <c r="F49" i="173"/>
  <c r="E49" i="173"/>
  <c r="D49" i="173"/>
  <c r="C49" i="173"/>
  <c r="B49" i="173"/>
  <c r="N48" i="173"/>
  <c r="M48" i="173"/>
  <c r="L48" i="173"/>
  <c r="K48" i="173"/>
  <c r="J48" i="173"/>
  <c r="I48" i="173"/>
  <c r="H48" i="173"/>
  <c r="G48" i="173"/>
  <c r="F48" i="173"/>
  <c r="E48" i="173"/>
  <c r="D48" i="173"/>
  <c r="C48" i="173"/>
  <c r="B48" i="173"/>
  <c r="N47" i="173"/>
  <c r="M47" i="173"/>
  <c r="L47" i="173"/>
  <c r="K47" i="173"/>
  <c r="J47" i="173"/>
  <c r="I47" i="173"/>
  <c r="H47" i="173"/>
  <c r="G47" i="173"/>
  <c r="F47" i="173"/>
  <c r="E47" i="173"/>
  <c r="D47" i="173"/>
  <c r="C47" i="173"/>
  <c r="B47" i="173"/>
  <c r="N46" i="173"/>
  <c r="M46" i="173"/>
  <c r="L46" i="173"/>
  <c r="K46" i="173"/>
  <c r="J46" i="173"/>
  <c r="I46" i="173"/>
  <c r="H46" i="173"/>
  <c r="G46" i="173"/>
  <c r="F46" i="173"/>
  <c r="E46" i="173"/>
  <c r="D46" i="173"/>
  <c r="C46" i="173"/>
  <c r="B46" i="173"/>
  <c r="N45" i="173"/>
  <c r="M45" i="173"/>
  <c r="L45" i="173"/>
  <c r="K45" i="173"/>
  <c r="J45" i="173"/>
  <c r="J55" i="173" s="1"/>
  <c r="I45" i="173"/>
  <c r="I55" i="173" s="1"/>
  <c r="H45" i="173"/>
  <c r="G45" i="173"/>
  <c r="F45" i="173"/>
  <c r="E45" i="173"/>
  <c r="D45" i="173"/>
  <c r="C45" i="173"/>
  <c r="B45" i="173"/>
  <c r="N44" i="173"/>
  <c r="M44" i="173"/>
  <c r="M54" i="173" s="1"/>
  <c r="L44" i="173"/>
  <c r="K44" i="173"/>
  <c r="J44" i="173"/>
  <c r="I44" i="173"/>
  <c r="H44" i="173"/>
  <c r="G44" i="173"/>
  <c r="G54" i="173" s="1"/>
  <c r="F44" i="173"/>
  <c r="F56" i="173" s="1"/>
  <c r="E44" i="173"/>
  <c r="D44" i="173"/>
  <c r="C44" i="173"/>
  <c r="B44" i="173"/>
  <c r="N38" i="173"/>
  <c r="M38" i="173"/>
  <c r="L38" i="173"/>
  <c r="K38" i="173"/>
  <c r="J38" i="173"/>
  <c r="I38" i="173"/>
  <c r="H38" i="173"/>
  <c r="G38" i="173"/>
  <c r="F38" i="173"/>
  <c r="E38" i="173"/>
  <c r="D38" i="173"/>
  <c r="C38" i="173"/>
  <c r="N37" i="173"/>
  <c r="M37" i="173"/>
  <c r="L37" i="173"/>
  <c r="K37" i="173"/>
  <c r="J37" i="173"/>
  <c r="I37" i="173"/>
  <c r="H37" i="173"/>
  <c r="G37" i="173"/>
  <c r="F37" i="173"/>
  <c r="E37" i="173"/>
  <c r="D37" i="173"/>
  <c r="C37" i="173"/>
  <c r="N36" i="173"/>
  <c r="M36" i="173"/>
  <c r="L36" i="173"/>
  <c r="K36" i="173"/>
  <c r="J36" i="173"/>
  <c r="I36" i="173"/>
  <c r="H36" i="173"/>
  <c r="G36" i="173"/>
  <c r="F36" i="173"/>
  <c r="E36" i="173"/>
  <c r="D36" i="173"/>
  <c r="C36" i="173"/>
  <c r="O35" i="173"/>
  <c r="P35" i="173" s="1"/>
  <c r="O34" i="173"/>
  <c r="P34" i="173" s="1"/>
  <c r="O33" i="173"/>
  <c r="P33" i="173" s="1"/>
  <c r="O32" i="173"/>
  <c r="P32" i="173" s="1"/>
  <c r="O31" i="173"/>
  <c r="P31" i="173" s="1"/>
  <c r="O30" i="173"/>
  <c r="P30" i="173" s="1"/>
  <c r="O29" i="173"/>
  <c r="P29" i="173" s="1"/>
  <c r="O28" i="173"/>
  <c r="P28" i="173" s="1"/>
  <c r="O27" i="173"/>
  <c r="P27" i="173" s="1"/>
  <c r="O26" i="173"/>
  <c r="P26" i="173" s="1"/>
  <c r="O25" i="173"/>
  <c r="P25" i="173" s="1"/>
  <c r="O24" i="173"/>
  <c r="P24" i="173" s="1"/>
  <c r="O23" i="173"/>
  <c r="P23" i="173" s="1"/>
  <c r="O22" i="173"/>
  <c r="P22" i="173" s="1"/>
  <c r="O21" i="173"/>
  <c r="P21" i="173" s="1"/>
  <c r="O20" i="173"/>
  <c r="P20" i="173" s="1"/>
  <c r="O19" i="173"/>
  <c r="P19" i="173" s="1"/>
  <c r="O18" i="173"/>
  <c r="P18" i="173" s="1"/>
  <c r="O17" i="173"/>
  <c r="P17" i="173" s="1"/>
  <c r="O16" i="173"/>
  <c r="P16" i="173" s="1"/>
  <c r="O15" i="173"/>
  <c r="P15" i="173" s="1"/>
  <c r="O14" i="173"/>
  <c r="P14" i="173" s="1"/>
  <c r="O13" i="173"/>
  <c r="P13" i="173" s="1"/>
  <c r="O12" i="173"/>
  <c r="P12" i="173" s="1"/>
  <c r="O11" i="173"/>
  <c r="P11" i="173" s="1"/>
  <c r="O10" i="173"/>
  <c r="P10" i="173" s="1"/>
  <c r="O9" i="173"/>
  <c r="P9" i="173" s="1"/>
  <c r="O8" i="173"/>
  <c r="P8" i="173" s="1"/>
  <c r="O7" i="173"/>
  <c r="P7" i="173" s="1"/>
  <c r="O6" i="173"/>
  <c r="N53" i="172"/>
  <c r="M53" i="172"/>
  <c r="L53" i="172"/>
  <c r="K53" i="172"/>
  <c r="J53" i="172"/>
  <c r="I53" i="172"/>
  <c r="H53" i="172"/>
  <c r="G53" i="172"/>
  <c r="F53" i="172"/>
  <c r="E53" i="172"/>
  <c r="D53" i="172"/>
  <c r="C53" i="172"/>
  <c r="B53" i="172"/>
  <c r="N52" i="172"/>
  <c r="M52" i="172"/>
  <c r="L52" i="172"/>
  <c r="K52" i="172"/>
  <c r="J52" i="172"/>
  <c r="I52" i="172"/>
  <c r="H52" i="172"/>
  <c r="G52" i="172"/>
  <c r="F52" i="172"/>
  <c r="E52" i="172"/>
  <c r="D52" i="172"/>
  <c r="C52" i="172"/>
  <c r="B52" i="172"/>
  <c r="N51" i="172"/>
  <c r="M51" i="172"/>
  <c r="L51" i="172"/>
  <c r="K51" i="172"/>
  <c r="J51" i="172"/>
  <c r="I51" i="172"/>
  <c r="H51" i="172"/>
  <c r="G51" i="172"/>
  <c r="F51" i="172"/>
  <c r="E51" i="172"/>
  <c r="D51" i="172"/>
  <c r="C51" i="172"/>
  <c r="B51" i="172"/>
  <c r="N50" i="172"/>
  <c r="M50" i="172"/>
  <c r="L50" i="172"/>
  <c r="K50" i="172"/>
  <c r="J50" i="172"/>
  <c r="I50" i="172"/>
  <c r="H50" i="172"/>
  <c r="O50" i="172" s="1"/>
  <c r="P50" i="172" s="1"/>
  <c r="G50" i="172"/>
  <c r="F50" i="172"/>
  <c r="E50" i="172"/>
  <c r="D50" i="172"/>
  <c r="C50" i="172"/>
  <c r="B50" i="172"/>
  <c r="N49" i="172"/>
  <c r="M49" i="172"/>
  <c r="L49" i="172"/>
  <c r="K49" i="172"/>
  <c r="J49" i="172"/>
  <c r="I49" i="172"/>
  <c r="H49" i="172"/>
  <c r="G49" i="172"/>
  <c r="F49" i="172"/>
  <c r="E49" i="172"/>
  <c r="D49" i="172"/>
  <c r="C49" i="172"/>
  <c r="B49" i="172"/>
  <c r="N48" i="172"/>
  <c r="M48" i="172"/>
  <c r="L48" i="172"/>
  <c r="K48" i="172"/>
  <c r="J48" i="172"/>
  <c r="I48" i="172"/>
  <c r="H48" i="172"/>
  <c r="G48" i="172"/>
  <c r="F48" i="172"/>
  <c r="E48" i="172"/>
  <c r="D48" i="172"/>
  <c r="C48" i="172"/>
  <c r="B48" i="172"/>
  <c r="N47" i="172"/>
  <c r="M47" i="172"/>
  <c r="L47" i="172"/>
  <c r="K47" i="172"/>
  <c r="J47" i="172"/>
  <c r="I47" i="172"/>
  <c r="H47" i="172"/>
  <c r="G47" i="172"/>
  <c r="F47" i="172"/>
  <c r="E47" i="172"/>
  <c r="D47" i="172"/>
  <c r="C47" i="172"/>
  <c r="B47" i="172"/>
  <c r="N46" i="172"/>
  <c r="M46" i="172"/>
  <c r="L46" i="172"/>
  <c r="K46" i="172"/>
  <c r="J46" i="172"/>
  <c r="I46" i="172"/>
  <c r="H46" i="172"/>
  <c r="G46" i="172"/>
  <c r="F46" i="172"/>
  <c r="E46" i="172"/>
  <c r="D46" i="172"/>
  <c r="C46" i="172"/>
  <c r="B46" i="172"/>
  <c r="N45" i="172"/>
  <c r="M45" i="172"/>
  <c r="L45" i="172"/>
  <c r="K45" i="172"/>
  <c r="J45" i="172"/>
  <c r="I45" i="172"/>
  <c r="H45" i="172"/>
  <c r="G45" i="172"/>
  <c r="F45" i="172"/>
  <c r="E45" i="172"/>
  <c r="D45" i="172"/>
  <c r="C45" i="172"/>
  <c r="B45" i="172"/>
  <c r="N44" i="172"/>
  <c r="M44" i="172"/>
  <c r="L44" i="172"/>
  <c r="K44" i="172"/>
  <c r="J44" i="172"/>
  <c r="I44" i="172"/>
  <c r="H44" i="172"/>
  <c r="G44" i="172"/>
  <c r="G54" i="172" s="1"/>
  <c r="F44" i="172"/>
  <c r="F55" i="172" s="1"/>
  <c r="E44" i="172"/>
  <c r="D44" i="172"/>
  <c r="C44" i="172"/>
  <c r="B44" i="172"/>
  <c r="N38" i="172"/>
  <c r="M38" i="172"/>
  <c r="L38" i="172"/>
  <c r="K38" i="172"/>
  <c r="J38" i="172"/>
  <c r="I38" i="172"/>
  <c r="H38" i="172"/>
  <c r="G38" i="172"/>
  <c r="F38" i="172"/>
  <c r="E38" i="172"/>
  <c r="D38" i="172"/>
  <c r="C38" i="172"/>
  <c r="N37" i="172"/>
  <c r="M37" i="172"/>
  <c r="L37" i="172"/>
  <c r="K37" i="172"/>
  <c r="J37" i="172"/>
  <c r="I37" i="172"/>
  <c r="H37" i="172"/>
  <c r="G37" i="172"/>
  <c r="F37" i="172"/>
  <c r="E37" i="172"/>
  <c r="D37" i="172"/>
  <c r="C37" i="172"/>
  <c r="N36" i="172"/>
  <c r="M36" i="172"/>
  <c r="L36" i="172"/>
  <c r="K36" i="172"/>
  <c r="J36" i="172"/>
  <c r="I36" i="172"/>
  <c r="H36" i="172"/>
  <c r="G36" i="172"/>
  <c r="F36" i="172"/>
  <c r="E36" i="172"/>
  <c r="D36" i="172"/>
  <c r="C36" i="172"/>
  <c r="O35" i="172"/>
  <c r="P35" i="172" s="1"/>
  <c r="O34" i="172"/>
  <c r="P34" i="172" s="1"/>
  <c r="O33" i="172"/>
  <c r="P33" i="172" s="1"/>
  <c r="O32" i="172"/>
  <c r="P32" i="172" s="1"/>
  <c r="O31" i="172"/>
  <c r="P31" i="172" s="1"/>
  <c r="O30" i="172"/>
  <c r="P30" i="172" s="1"/>
  <c r="O29" i="172"/>
  <c r="P29" i="172" s="1"/>
  <c r="O28" i="172"/>
  <c r="P28" i="172" s="1"/>
  <c r="O27" i="172"/>
  <c r="P27" i="172" s="1"/>
  <c r="O26" i="172"/>
  <c r="P26" i="172" s="1"/>
  <c r="O25" i="172"/>
  <c r="P25" i="172" s="1"/>
  <c r="O24" i="172"/>
  <c r="P24" i="172" s="1"/>
  <c r="O23" i="172"/>
  <c r="P23" i="172" s="1"/>
  <c r="O22" i="172"/>
  <c r="P22" i="172" s="1"/>
  <c r="O21" i="172"/>
  <c r="P21" i="172" s="1"/>
  <c r="O20" i="172"/>
  <c r="P20" i="172" s="1"/>
  <c r="O19" i="172"/>
  <c r="P19" i="172" s="1"/>
  <c r="O18" i="172"/>
  <c r="P18" i="172" s="1"/>
  <c r="O17" i="172"/>
  <c r="P17" i="172" s="1"/>
  <c r="O16" i="172"/>
  <c r="P16" i="172" s="1"/>
  <c r="O15" i="172"/>
  <c r="P15" i="172" s="1"/>
  <c r="O14" i="172"/>
  <c r="P14" i="172" s="1"/>
  <c r="O13" i="172"/>
  <c r="P13" i="172" s="1"/>
  <c r="O12" i="172"/>
  <c r="P12" i="172" s="1"/>
  <c r="O11" i="172"/>
  <c r="P11" i="172" s="1"/>
  <c r="O10" i="172"/>
  <c r="O9" i="172"/>
  <c r="P9" i="172" s="1"/>
  <c r="O8" i="172"/>
  <c r="P8" i="172" s="1"/>
  <c r="O7" i="172"/>
  <c r="P7" i="172" s="1"/>
  <c r="O6" i="172"/>
  <c r="P6" i="172" s="1"/>
  <c r="N53" i="171"/>
  <c r="M53" i="171"/>
  <c r="L53" i="171"/>
  <c r="K53" i="171"/>
  <c r="J53" i="171"/>
  <c r="I53" i="171"/>
  <c r="H53" i="171"/>
  <c r="G53" i="171"/>
  <c r="F53" i="171"/>
  <c r="E53" i="171"/>
  <c r="D53" i="171"/>
  <c r="C53" i="171"/>
  <c r="B53" i="171"/>
  <c r="N52" i="171"/>
  <c r="M52" i="171"/>
  <c r="L52" i="171"/>
  <c r="K52" i="171"/>
  <c r="J52" i="171"/>
  <c r="I52" i="171"/>
  <c r="H52" i="171"/>
  <c r="G52" i="171"/>
  <c r="F52" i="171"/>
  <c r="E52" i="171"/>
  <c r="D52" i="171"/>
  <c r="C52" i="171"/>
  <c r="B52" i="171"/>
  <c r="N51" i="171"/>
  <c r="M51" i="171"/>
  <c r="L51" i="171"/>
  <c r="K51" i="171"/>
  <c r="J51" i="171"/>
  <c r="I51" i="171"/>
  <c r="H51" i="171"/>
  <c r="G51" i="171"/>
  <c r="F51" i="171"/>
  <c r="E51" i="171"/>
  <c r="D51" i="171"/>
  <c r="C51" i="171"/>
  <c r="B51" i="171"/>
  <c r="N50" i="171"/>
  <c r="M50" i="171"/>
  <c r="L50" i="171"/>
  <c r="K50" i="171"/>
  <c r="J50" i="171"/>
  <c r="I50" i="171"/>
  <c r="H50" i="171"/>
  <c r="O50" i="171" s="1"/>
  <c r="P50" i="171" s="1"/>
  <c r="G50" i="171"/>
  <c r="F50" i="171"/>
  <c r="E50" i="171"/>
  <c r="D50" i="171"/>
  <c r="C50" i="171"/>
  <c r="B50" i="171"/>
  <c r="N49" i="171"/>
  <c r="M49" i="171"/>
  <c r="L49" i="171"/>
  <c r="K49" i="171"/>
  <c r="J49" i="171"/>
  <c r="I49" i="171"/>
  <c r="H49" i="171"/>
  <c r="G49" i="171"/>
  <c r="F49" i="171"/>
  <c r="E49" i="171"/>
  <c r="D49" i="171"/>
  <c r="C49" i="171"/>
  <c r="B49" i="171"/>
  <c r="N48" i="171"/>
  <c r="M48" i="171"/>
  <c r="L48" i="171"/>
  <c r="K48" i="171"/>
  <c r="J48" i="171"/>
  <c r="I48" i="171"/>
  <c r="H48" i="171"/>
  <c r="G48" i="171"/>
  <c r="F48" i="171"/>
  <c r="E48" i="171"/>
  <c r="D48" i="171"/>
  <c r="C48" i="171"/>
  <c r="B48" i="171"/>
  <c r="N47" i="171"/>
  <c r="M47" i="171"/>
  <c r="L47" i="171"/>
  <c r="K47" i="171"/>
  <c r="J47" i="171"/>
  <c r="I47" i="171"/>
  <c r="H47" i="171"/>
  <c r="G47" i="171"/>
  <c r="F47" i="171"/>
  <c r="E47" i="171"/>
  <c r="D47" i="171"/>
  <c r="C47" i="171"/>
  <c r="B47" i="171"/>
  <c r="N46" i="171"/>
  <c r="M46" i="171"/>
  <c r="L46" i="171"/>
  <c r="K46" i="171"/>
  <c r="J46" i="171"/>
  <c r="I46" i="171"/>
  <c r="H46" i="171"/>
  <c r="G46" i="171"/>
  <c r="F46" i="171"/>
  <c r="E46" i="171"/>
  <c r="D46" i="171"/>
  <c r="C46" i="171"/>
  <c r="B46" i="171"/>
  <c r="N45" i="171"/>
  <c r="M45" i="171"/>
  <c r="L45" i="171"/>
  <c r="K45" i="171"/>
  <c r="J45" i="171"/>
  <c r="I45" i="171"/>
  <c r="H45" i="171"/>
  <c r="G45" i="171"/>
  <c r="F45" i="171"/>
  <c r="E45" i="171"/>
  <c r="D45" i="171"/>
  <c r="C45" i="171"/>
  <c r="B45" i="171"/>
  <c r="N44" i="171"/>
  <c r="M44" i="171"/>
  <c r="L44" i="171"/>
  <c r="K44" i="171"/>
  <c r="J44" i="171"/>
  <c r="I44" i="171"/>
  <c r="H44" i="171"/>
  <c r="G44" i="171"/>
  <c r="G54" i="171" s="1"/>
  <c r="F44" i="171"/>
  <c r="F55" i="171" s="1"/>
  <c r="E44" i="171"/>
  <c r="D44" i="171"/>
  <c r="C44" i="171"/>
  <c r="B44" i="171"/>
  <c r="N38" i="171"/>
  <c r="M38" i="171"/>
  <c r="L38" i="171"/>
  <c r="K38" i="171"/>
  <c r="J38" i="171"/>
  <c r="I38" i="171"/>
  <c r="H38" i="171"/>
  <c r="G38" i="171"/>
  <c r="F38" i="171"/>
  <c r="E38" i="171"/>
  <c r="D38" i="171"/>
  <c r="C38" i="171"/>
  <c r="N37" i="171"/>
  <c r="M37" i="171"/>
  <c r="L37" i="171"/>
  <c r="K37" i="171"/>
  <c r="J37" i="171"/>
  <c r="I37" i="171"/>
  <c r="H37" i="171"/>
  <c r="G37" i="171"/>
  <c r="F37" i="171"/>
  <c r="E37" i="171"/>
  <c r="D37" i="171"/>
  <c r="C37" i="171"/>
  <c r="N36" i="171"/>
  <c r="M36" i="171"/>
  <c r="L36" i="171"/>
  <c r="K36" i="171"/>
  <c r="J36" i="171"/>
  <c r="I36" i="171"/>
  <c r="H36" i="171"/>
  <c r="G36" i="171"/>
  <c r="F36" i="171"/>
  <c r="E36" i="171"/>
  <c r="D36" i="171"/>
  <c r="C36" i="171"/>
  <c r="O35" i="171"/>
  <c r="P35" i="171" s="1"/>
  <c r="O34" i="171"/>
  <c r="P34" i="171" s="1"/>
  <c r="O33" i="171"/>
  <c r="P33" i="171" s="1"/>
  <c r="O32" i="171"/>
  <c r="P32" i="171" s="1"/>
  <c r="O31" i="171"/>
  <c r="P31" i="171" s="1"/>
  <c r="O30" i="171"/>
  <c r="P30" i="171" s="1"/>
  <c r="O29" i="171"/>
  <c r="P29" i="171" s="1"/>
  <c r="O28" i="171"/>
  <c r="P28" i="171" s="1"/>
  <c r="O27" i="171"/>
  <c r="P27" i="171" s="1"/>
  <c r="O26" i="171"/>
  <c r="P26" i="171" s="1"/>
  <c r="O25" i="171"/>
  <c r="P25" i="171" s="1"/>
  <c r="O24" i="171"/>
  <c r="P24" i="171" s="1"/>
  <c r="O23" i="171"/>
  <c r="P23" i="171" s="1"/>
  <c r="O22" i="171"/>
  <c r="P22" i="171" s="1"/>
  <c r="O21" i="171"/>
  <c r="P21" i="171" s="1"/>
  <c r="O20" i="171"/>
  <c r="P20" i="171" s="1"/>
  <c r="O19" i="171"/>
  <c r="P19" i="171" s="1"/>
  <c r="O18" i="171"/>
  <c r="P18" i="171" s="1"/>
  <c r="O17" i="171"/>
  <c r="P17" i="171" s="1"/>
  <c r="O16" i="171"/>
  <c r="P16" i="171" s="1"/>
  <c r="O15" i="171"/>
  <c r="P15" i="171" s="1"/>
  <c r="O14" i="171"/>
  <c r="P14" i="171" s="1"/>
  <c r="O13" i="171"/>
  <c r="P13" i="171" s="1"/>
  <c r="O12" i="171"/>
  <c r="P12" i="171" s="1"/>
  <c r="O11" i="171"/>
  <c r="P11" i="171" s="1"/>
  <c r="O10" i="171"/>
  <c r="O9" i="171"/>
  <c r="P9" i="171" s="1"/>
  <c r="O8" i="171"/>
  <c r="P8" i="171" s="1"/>
  <c r="O7" i="171"/>
  <c r="P7" i="171" s="1"/>
  <c r="O6" i="171"/>
  <c r="N53" i="170"/>
  <c r="M53" i="170"/>
  <c r="L53" i="170"/>
  <c r="K53" i="170"/>
  <c r="J53" i="170"/>
  <c r="I53" i="170"/>
  <c r="H53" i="170"/>
  <c r="G53" i="170"/>
  <c r="F53" i="170"/>
  <c r="E53" i="170"/>
  <c r="D53" i="170"/>
  <c r="C53" i="170"/>
  <c r="B53" i="170"/>
  <c r="N52" i="170"/>
  <c r="M52" i="170"/>
  <c r="L52" i="170"/>
  <c r="K52" i="170"/>
  <c r="J52" i="170"/>
  <c r="I52" i="170"/>
  <c r="H52" i="170"/>
  <c r="G52" i="170"/>
  <c r="F52" i="170"/>
  <c r="E52" i="170"/>
  <c r="D52" i="170"/>
  <c r="C52" i="170"/>
  <c r="B52" i="170"/>
  <c r="N51" i="170"/>
  <c r="M51" i="170"/>
  <c r="L51" i="170"/>
  <c r="K51" i="170"/>
  <c r="J51" i="170"/>
  <c r="I51" i="170"/>
  <c r="H51" i="170"/>
  <c r="G51" i="170"/>
  <c r="F51" i="170"/>
  <c r="E51" i="170"/>
  <c r="D51" i="170"/>
  <c r="C51" i="170"/>
  <c r="B51" i="170"/>
  <c r="N50" i="170"/>
  <c r="M50" i="170"/>
  <c r="L50" i="170"/>
  <c r="K50" i="170"/>
  <c r="J50" i="170"/>
  <c r="I50" i="170"/>
  <c r="H50" i="170"/>
  <c r="O50" i="170" s="1"/>
  <c r="P50" i="170" s="1"/>
  <c r="G50" i="170"/>
  <c r="F50" i="170"/>
  <c r="E50" i="170"/>
  <c r="D50" i="170"/>
  <c r="C50" i="170"/>
  <c r="B50" i="170"/>
  <c r="N49" i="170"/>
  <c r="M49" i="170"/>
  <c r="L49" i="170"/>
  <c r="K49" i="170"/>
  <c r="J49" i="170"/>
  <c r="I49" i="170"/>
  <c r="H49" i="170"/>
  <c r="G49" i="170"/>
  <c r="F49" i="170"/>
  <c r="E49" i="170"/>
  <c r="D49" i="170"/>
  <c r="C49" i="170"/>
  <c r="B49" i="170"/>
  <c r="N48" i="170"/>
  <c r="M48" i="170"/>
  <c r="L48" i="170"/>
  <c r="K48" i="170"/>
  <c r="J48" i="170"/>
  <c r="I48" i="170"/>
  <c r="H48" i="170"/>
  <c r="G48" i="170"/>
  <c r="F48" i="170"/>
  <c r="E48" i="170"/>
  <c r="D48" i="170"/>
  <c r="C48" i="170"/>
  <c r="B48" i="170"/>
  <c r="N47" i="170"/>
  <c r="M47" i="170"/>
  <c r="L47" i="170"/>
  <c r="K47" i="170"/>
  <c r="J47" i="170"/>
  <c r="I47" i="170"/>
  <c r="H47" i="170"/>
  <c r="G47" i="170"/>
  <c r="F47" i="170"/>
  <c r="E47" i="170"/>
  <c r="D47" i="170"/>
  <c r="C47" i="170"/>
  <c r="B47" i="170"/>
  <c r="N46" i="170"/>
  <c r="M46" i="170"/>
  <c r="L46" i="170"/>
  <c r="K46" i="170"/>
  <c r="J46" i="170"/>
  <c r="I46" i="170"/>
  <c r="H46" i="170"/>
  <c r="G46" i="170"/>
  <c r="F46" i="170"/>
  <c r="E46" i="170"/>
  <c r="D46" i="170"/>
  <c r="C46" i="170"/>
  <c r="B46" i="170"/>
  <c r="N45" i="170"/>
  <c r="M45" i="170"/>
  <c r="L45" i="170"/>
  <c r="K45" i="170"/>
  <c r="J45" i="170"/>
  <c r="I45" i="170"/>
  <c r="H45" i="170"/>
  <c r="G45" i="170"/>
  <c r="F45" i="170"/>
  <c r="E45" i="170"/>
  <c r="D45" i="170"/>
  <c r="C45" i="170"/>
  <c r="B45" i="170"/>
  <c r="N44" i="170"/>
  <c r="M44" i="170"/>
  <c r="L44" i="170"/>
  <c r="K44" i="170"/>
  <c r="J44" i="170"/>
  <c r="I44" i="170"/>
  <c r="H44" i="170"/>
  <c r="G44" i="170"/>
  <c r="G56" i="170" s="1"/>
  <c r="F44" i="170"/>
  <c r="F54" i="170" s="1"/>
  <c r="E44" i="170"/>
  <c r="D44" i="170"/>
  <c r="C44" i="170"/>
  <c r="B44" i="170"/>
  <c r="N38" i="170"/>
  <c r="M38" i="170"/>
  <c r="L38" i="170"/>
  <c r="K38" i="170"/>
  <c r="J38" i="170"/>
  <c r="I38" i="170"/>
  <c r="H38" i="170"/>
  <c r="G38" i="170"/>
  <c r="F38" i="170"/>
  <c r="E38" i="170"/>
  <c r="D38" i="170"/>
  <c r="C38" i="170"/>
  <c r="N37" i="170"/>
  <c r="M37" i="170"/>
  <c r="L37" i="170"/>
  <c r="K37" i="170"/>
  <c r="J37" i="170"/>
  <c r="I37" i="170"/>
  <c r="H37" i="170"/>
  <c r="G37" i="170"/>
  <c r="F37" i="170"/>
  <c r="E37" i="170"/>
  <c r="D37" i="170"/>
  <c r="C37" i="170"/>
  <c r="N36" i="170"/>
  <c r="M36" i="170"/>
  <c r="L36" i="170"/>
  <c r="K36" i="170"/>
  <c r="J36" i="170"/>
  <c r="I36" i="170"/>
  <c r="H36" i="170"/>
  <c r="G36" i="170"/>
  <c r="F36" i="170"/>
  <c r="E36" i="170"/>
  <c r="D36" i="170"/>
  <c r="C36" i="170"/>
  <c r="O35" i="170"/>
  <c r="P35" i="170" s="1"/>
  <c r="O34" i="170"/>
  <c r="P34" i="170" s="1"/>
  <c r="O33" i="170"/>
  <c r="P33" i="170" s="1"/>
  <c r="O32" i="170"/>
  <c r="P32" i="170" s="1"/>
  <c r="O31" i="170"/>
  <c r="P31" i="170" s="1"/>
  <c r="O30" i="170"/>
  <c r="P30" i="170" s="1"/>
  <c r="O29" i="170"/>
  <c r="P29" i="170" s="1"/>
  <c r="O28" i="170"/>
  <c r="P28" i="170" s="1"/>
  <c r="O27" i="170"/>
  <c r="P27" i="170" s="1"/>
  <c r="O26" i="170"/>
  <c r="P26" i="170" s="1"/>
  <c r="O25" i="170"/>
  <c r="P25" i="170" s="1"/>
  <c r="O24" i="170"/>
  <c r="P24" i="170" s="1"/>
  <c r="O23" i="170"/>
  <c r="P23" i="170" s="1"/>
  <c r="O22" i="170"/>
  <c r="P22" i="170" s="1"/>
  <c r="O21" i="170"/>
  <c r="P21" i="170" s="1"/>
  <c r="O20" i="170"/>
  <c r="P20" i="170" s="1"/>
  <c r="O19" i="170"/>
  <c r="P19" i="170" s="1"/>
  <c r="O18" i="170"/>
  <c r="P18" i="170" s="1"/>
  <c r="O17" i="170"/>
  <c r="P17" i="170" s="1"/>
  <c r="O16" i="170"/>
  <c r="P16" i="170" s="1"/>
  <c r="O15" i="170"/>
  <c r="P15" i="170" s="1"/>
  <c r="O14" i="170"/>
  <c r="P14" i="170" s="1"/>
  <c r="O13" i="170"/>
  <c r="P13" i="170" s="1"/>
  <c r="O12" i="170"/>
  <c r="P12" i="170" s="1"/>
  <c r="O11" i="170"/>
  <c r="P11" i="170" s="1"/>
  <c r="O10" i="170"/>
  <c r="O9" i="170"/>
  <c r="P9" i="170" s="1"/>
  <c r="O8" i="170"/>
  <c r="P8" i="170" s="1"/>
  <c r="O7" i="170"/>
  <c r="P7" i="170" s="1"/>
  <c r="O6" i="170"/>
  <c r="P6" i="170" s="1"/>
  <c r="N53" i="169"/>
  <c r="M53" i="169"/>
  <c r="L53" i="169"/>
  <c r="K53" i="169"/>
  <c r="J53" i="169"/>
  <c r="I53" i="169"/>
  <c r="H53" i="169"/>
  <c r="G53" i="169"/>
  <c r="F53" i="169"/>
  <c r="E53" i="169"/>
  <c r="D53" i="169"/>
  <c r="C53" i="169"/>
  <c r="B53" i="169"/>
  <c r="N52" i="169"/>
  <c r="M52" i="169"/>
  <c r="L52" i="169"/>
  <c r="K52" i="169"/>
  <c r="J52" i="169"/>
  <c r="I52" i="169"/>
  <c r="H52" i="169"/>
  <c r="G52" i="169"/>
  <c r="F52" i="169"/>
  <c r="E52" i="169"/>
  <c r="D52" i="169"/>
  <c r="C52" i="169"/>
  <c r="B52" i="169"/>
  <c r="N51" i="169"/>
  <c r="M51" i="169"/>
  <c r="L51" i="169"/>
  <c r="K51" i="169"/>
  <c r="J51" i="169"/>
  <c r="I51" i="169"/>
  <c r="H51" i="169"/>
  <c r="G51" i="169"/>
  <c r="F51" i="169"/>
  <c r="E51" i="169"/>
  <c r="D51" i="169"/>
  <c r="C51" i="169"/>
  <c r="B51" i="169"/>
  <c r="N50" i="169"/>
  <c r="M50" i="169"/>
  <c r="L50" i="169"/>
  <c r="K50" i="169"/>
  <c r="J50" i="169"/>
  <c r="I50" i="169"/>
  <c r="H50" i="169"/>
  <c r="O50" i="169" s="1"/>
  <c r="P50" i="169" s="1"/>
  <c r="G50" i="169"/>
  <c r="F50" i="169"/>
  <c r="E50" i="169"/>
  <c r="D50" i="169"/>
  <c r="C50" i="169"/>
  <c r="B50" i="169"/>
  <c r="N49" i="169"/>
  <c r="M49" i="169"/>
  <c r="L49" i="169"/>
  <c r="K49" i="169"/>
  <c r="J49" i="169"/>
  <c r="I49" i="169"/>
  <c r="H49" i="169"/>
  <c r="G49" i="169"/>
  <c r="F49" i="169"/>
  <c r="E49" i="169"/>
  <c r="D49" i="169"/>
  <c r="C49" i="169"/>
  <c r="B49" i="169"/>
  <c r="N48" i="169"/>
  <c r="M48" i="169"/>
  <c r="L48" i="169"/>
  <c r="K48" i="169"/>
  <c r="J48" i="169"/>
  <c r="I48" i="169"/>
  <c r="H48" i="169"/>
  <c r="G48" i="169"/>
  <c r="F48" i="169"/>
  <c r="E48" i="169"/>
  <c r="D48" i="169"/>
  <c r="C48" i="169"/>
  <c r="B48" i="169"/>
  <c r="N47" i="169"/>
  <c r="M47" i="169"/>
  <c r="L47" i="169"/>
  <c r="K47" i="169"/>
  <c r="J47" i="169"/>
  <c r="I47" i="169"/>
  <c r="H47" i="169"/>
  <c r="G47" i="169"/>
  <c r="F47" i="169"/>
  <c r="E47" i="169"/>
  <c r="D47" i="169"/>
  <c r="C47" i="169"/>
  <c r="B47" i="169"/>
  <c r="N46" i="169"/>
  <c r="M46" i="169"/>
  <c r="L46" i="169"/>
  <c r="K46" i="169"/>
  <c r="J46" i="169"/>
  <c r="I46" i="169"/>
  <c r="H46" i="169"/>
  <c r="G46" i="169"/>
  <c r="F46" i="169"/>
  <c r="E46" i="169"/>
  <c r="D46" i="169"/>
  <c r="C46" i="169"/>
  <c r="B46" i="169"/>
  <c r="N45" i="169"/>
  <c r="M45" i="169"/>
  <c r="L45" i="169"/>
  <c r="K45" i="169"/>
  <c r="J45" i="169"/>
  <c r="I45" i="169"/>
  <c r="H45" i="169"/>
  <c r="G45" i="169"/>
  <c r="F45" i="169"/>
  <c r="E45" i="169"/>
  <c r="D45" i="169"/>
  <c r="C45" i="169"/>
  <c r="B45" i="169"/>
  <c r="N44" i="169"/>
  <c r="M44" i="169"/>
  <c r="L44" i="169"/>
  <c r="K44" i="169"/>
  <c r="J44" i="169"/>
  <c r="I44" i="169"/>
  <c r="H44" i="169"/>
  <c r="G44" i="169"/>
  <c r="G54" i="169" s="1"/>
  <c r="F44" i="169"/>
  <c r="F54" i="169" s="1"/>
  <c r="E44" i="169"/>
  <c r="D44" i="169"/>
  <c r="C44" i="169"/>
  <c r="B44" i="169"/>
  <c r="N38" i="169"/>
  <c r="M38" i="169"/>
  <c r="L38" i="169"/>
  <c r="K38" i="169"/>
  <c r="J38" i="169"/>
  <c r="I38" i="169"/>
  <c r="H38" i="169"/>
  <c r="G38" i="169"/>
  <c r="F38" i="169"/>
  <c r="E38" i="169"/>
  <c r="D38" i="169"/>
  <c r="C38" i="169"/>
  <c r="N37" i="169"/>
  <c r="M37" i="169"/>
  <c r="L37" i="169"/>
  <c r="K37" i="169"/>
  <c r="J37" i="169"/>
  <c r="I37" i="169"/>
  <c r="H37" i="169"/>
  <c r="G37" i="169"/>
  <c r="F37" i="169"/>
  <c r="E37" i="169"/>
  <c r="D37" i="169"/>
  <c r="C37" i="169"/>
  <c r="N36" i="169"/>
  <c r="M36" i="169"/>
  <c r="L36" i="169"/>
  <c r="K36" i="169"/>
  <c r="J36" i="169"/>
  <c r="I36" i="169"/>
  <c r="H36" i="169"/>
  <c r="G36" i="169"/>
  <c r="F36" i="169"/>
  <c r="E36" i="169"/>
  <c r="D36" i="169"/>
  <c r="C36" i="169"/>
  <c r="O35" i="169"/>
  <c r="P35" i="169" s="1"/>
  <c r="O34" i="169"/>
  <c r="P34" i="169" s="1"/>
  <c r="O33" i="169"/>
  <c r="P33" i="169" s="1"/>
  <c r="O32" i="169"/>
  <c r="P32" i="169" s="1"/>
  <c r="O31" i="169"/>
  <c r="P31" i="169" s="1"/>
  <c r="O30" i="169"/>
  <c r="P30" i="169" s="1"/>
  <c r="O29" i="169"/>
  <c r="P29" i="169" s="1"/>
  <c r="O28" i="169"/>
  <c r="P28" i="169" s="1"/>
  <c r="O27" i="169"/>
  <c r="P27" i="169" s="1"/>
  <c r="O26" i="169"/>
  <c r="P26" i="169" s="1"/>
  <c r="O25" i="169"/>
  <c r="P25" i="169" s="1"/>
  <c r="O24" i="169"/>
  <c r="P24" i="169" s="1"/>
  <c r="O23" i="169"/>
  <c r="P23" i="169" s="1"/>
  <c r="O22" i="169"/>
  <c r="P22" i="169" s="1"/>
  <c r="O21" i="169"/>
  <c r="P21" i="169" s="1"/>
  <c r="O20" i="169"/>
  <c r="P20" i="169" s="1"/>
  <c r="O19" i="169"/>
  <c r="P19" i="169" s="1"/>
  <c r="O18" i="169"/>
  <c r="P18" i="169" s="1"/>
  <c r="O17" i="169"/>
  <c r="P17" i="169" s="1"/>
  <c r="O16" i="169"/>
  <c r="P16" i="169" s="1"/>
  <c r="O15" i="169"/>
  <c r="P15" i="169" s="1"/>
  <c r="O14" i="169"/>
  <c r="P14" i="169" s="1"/>
  <c r="O13" i="169"/>
  <c r="P13" i="169" s="1"/>
  <c r="O12" i="169"/>
  <c r="P12" i="169" s="1"/>
  <c r="O11" i="169"/>
  <c r="P11" i="169" s="1"/>
  <c r="O10" i="169"/>
  <c r="O9" i="169"/>
  <c r="P9" i="169" s="1"/>
  <c r="O8" i="169"/>
  <c r="P8" i="169" s="1"/>
  <c r="O7" i="169"/>
  <c r="P7" i="169" s="1"/>
  <c r="O6" i="169"/>
  <c r="R9" i="103"/>
  <c r="S11" i="103"/>
  <c r="S9" i="103"/>
  <c r="S10" i="103"/>
  <c r="N54" i="183" l="1"/>
  <c r="J56" i="183"/>
  <c r="F55" i="183"/>
  <c r="G55" i="183"/>
  <c r="M54" i="183"/>
  <c r="O38" i="183"/>
  <c r="H56" i="183"/>
  <c r="P6" i="183"/>
  <c r="P37" i="183" s="1"/>
  <c r="I56" i="183"/>
  <c r="H55" i="183"/>
  <c r="O53" i="183"/>
  <c r="P53" i="183" s="1"/>
  <c r="O48" i="183"/>
  <c r="P48" i="183" s="1"/>
  <c r="K54" i="183"/>
  <c r="O52" i="183"/>
  <c r="P52" i="183" s="1"/>
  <c r="L54" i="183"/>
  <c r="O47" i="183"/>
  <c r="P47" i="183" s="1"/>
  <c r="M55" i="183"/>
  <c r="F54" i="183"/>
  <c r="O36" i="183"/>
  <c r="N55" i="183"/>
  <c r="O46" i="183"/>
  <c r="P46" i="183" s="1"/>
  <c r="J55" i="183"/>
  <c r="O51" i="183"/>
  <c r="P51" i="183" s="1"/>
  <c r="I55" i="183"/>
  <c r="J54" i="183"/>
  <c r="O50" i="183"/>
  <c r="P50" i="183" s="1"/>
  <c r="O45" i="183"/>
  <c r="P45" i="183" s="1"/>
  <c r="H54" i="183"/>
  <c r="O44" i="183"/>
  <c r="O54" i="183" s="1"/>
  <c r="I54" i="183"/>
  <c r="O37" i="183"/>
  <c r="P10" i="183"/>
  <c r="C56" i="183"/>
  <c r="D56" i="183"/>
  <c r="C55" i="183"/>
  <c r="E56" i="183"/>
  <c r="D55" i="183"/>
  <c r="F56" i="183"/>
  <c r="C54" i="183"/>
  <c r="E55" i="183"/>
  <c r="G56" i="183"/>
  <c r="K56" i="183"/>
  <c r="L56" i="183"/>
  <c r="K55" i="183"/>
  <c r="M56" i="183"/>
  <c r="L55" i="183"/>
  <c r="N56" i="183"/>
  <c r="O38" i="182"/>
  <c r="G55" i="182"/>
  <c r="H56" i="182"/>
  <c r="N54" i="182"/>
  <c r="J56" i="182"/>
  <c r="J54" i="182"/>
  <c r="M54" i="182"/>
  <c r="I55" i="182"/>
  <c r="K54" i="182"/>
  <c r="O52" i="182"/>
  <c r="P52" i="182" s="1"/>
  <c r="L54" i="182"/>
  <c r="H55" i="182"/>
  <c r="M55" i="182"/>
  <c r="N55" i="182"/>
  <c r="O46" i="182"/>
  <c r="P46" i="182" s="1"/>
  <c r="G54" i="182"/>
  <c r="J55" i="182"/>
  <c r="O51" i="182"/>
  <c r="P51" i="182" s="1"/>
  <c r="O45" i="182"/>
  <c r="P45" i="182" s="1"/>
  <c r="F54" i="182"/>
  <c r="I54" i="182"/>
  <c r="O50" i="182"/>
  <c r="P50" i="182" s="1"/>
  <c r="H54" i="182"/>
  <c r="O44" i="182"/>
  <c r="D54" i="182"/>
  <c r="O49" i="182"/>
  <c r="P49" i="182" s="1"/>
  <c r="C56" i="182"/>
  <c r="P44" i="182"/>
  <c r="O55" i="182"/>
  <c r="O37" i="182"/>
  <c r="O36" i="182"/>
  <c r="D56" i="182"/>
  <c r="C55" i="182"/>
  <c r="E56" i="182"/>
  <c r="D55" i="182"/>
  <c r="F56" i="182"/>
  <c r="C54" i="182"/>
  <c r="E55" i="182"/>
  <c r="G56" i="182"/>
  <c r="P6" i="182"/>
  <c r="O48" i="182"/>
  <c r="P48" i="182" s="1"/>
  <c r="O47" i="182"/>
  <c r="P47" i="182" s="1"/>
  <c r="K56" i="182"/>
  <c r="L56" i="182"/>
  <c r="K55" i="182"/>
  <c r="M56" i="182"/>
  <c r="L55" i="182"/>
  <c r="N56" i="182"/>
  <c r="O49" i="181"/>
  <c r="P49" i="181" s="1"/>
  <c r="E54" i="181"/>
  <c r="F55" i="181"/>
  <c r="I54" i="181"/>
  <c r="O53" i="181"/>
  <c r="P53" i="181" s="1"/>
  <c r="K54" i="181"/>
  <c r="J56" i="181"/>
  <c r="O52" i="181"/>
  <c r="P52" i="181" s="1"/>
  <c r="O38" i="181"/>
  <c r="L54" i="181"/>
  <c r="M54" i="181"/>
  <c r="M55" i="181"/>
  <c r="I55" i="181"/>
  <c r="O48" i="181"/>
  <c r="P48" i="181" s="1"/>
  <c r="N55" i="181"/>
  <c r="O46" i="181"/>
  <c r="P46" i="181" s="1"/>
  <c r="G54" i="181"/>
  <c r="O51" i="181"/>
  <c r="P51" i="181" s="1"/>
  <c r="J54" i="181"/>
  <c r="H55" i="181"/>
  <c r="O45" i="181"/>
  <c r="P45" i="181" s="1"/>
  <c r="O50" i="181"/>
  <c r="P50" i="181" s="1"/>
  <c r="O44" i="181"/>
  <c r="F54" i="181"/>
  <c r="D54" i="181"/>
  <c r="G56" i="181"/>
  <c r="J55" i="181"/>
  <c r="P44" i="181"/>
  <c r="O37" i="181"/>
  <c r="O36" i="181"/>
  <c r="D56" i="181"/>
  <c r="C55" i="181"/>
  <c r="E56" i="181"/>
  <c r="D55" i="181"/>
  <c r="F56" i="181"/>
  <c r="C54" i="181"/>
  <c r="E55" i="181"/>
  <c r="P6" i="181"/>
  <c r="H56" i="181"/>
  <c r="I56" i="181"/>
  <c r="O47" i="181"/>
  <c r="P47" i="181" s="1"/>
  <c r="K56" i="181"/>
  <c r="L56" i="181"/>
  <c r="K55" i="181"/>
  <c r="M56" i="181"/>
  <c r="L55" i="181"/>
  <c r="N56" i="181"/>
  <c r="H54" i="180"/>
  <c r="O49" i="180"/>
  <c r="P49" i="180" s="1"/>
  <c r="I54" i="180"/>
  <c r="L55" i="180"/>
  <c r="J54" i="180"/>
  <c r="O48" i="180"/>
  <c r="P48" i="180" s="1"/>
  <c r="K54" i="180"/>
  <c r="O38" i="180"/>
  <c r="L54" i="180"/>
  <c r="O47" i="180"/>
  <c r="P47" i="180" s="1"/>
  <c r="M55" i="180"/>
  <c r="N55" i="180"/>
  <c r="O46" i="180"/>
  <c r="P46" i="180" s="1"/>
  <c r="O45" i="180"/>
  <c r="P45" i="180" s="1"/>
  <c r="O53" i="180"/>
  <c r="P53" i="180" s="1"/>
  <c r="O52" i="180"/>
  <c r="P52" i="180" s="1"/>
  <c r="O44" i="180"/>
  <c r="D54" i="180"/>
  <c r="O51" i="180"/>
  <c r="P51" i="180" s="1"/>
  <c r="M54" i="180"/>
  <c r="E55" i="180"/>
  <c r="N56" i="180"/>
  <c r="N54" i="180"/>
  <c r="P44" i="180"/>
  <c r="C56" i="180"/>
  <c r="C55" i="180"/>
  <c r="C54" i="180"/>
  <c r="F55" i="180"/>
  <c r="E54" i="180"/>
  <c r="H55" i="180"/>
  <c r="I55" i="180"/>
  <c r="O37" i="180"/>
  <c r="O36" i="180"/>
  <c r="E56" i="180"/>
  <c r="D55" i="180"/>
  <c r="G56" i="180"/>
  <c r="P6" i="180"/>
  <c r="H56" i="180"/>
  <c r="I56" i="180"/>
  <c r="F54" i="180"/>
  <c r="J56" i="180"/>
  <c r="G54" i="180"/>
  <c r="K56" i="180"/>
  <c r="J55" i="180"/>
  <c r="L56" i="180"/>
  <c r="K55" i="180"/>
  <c r="M56" i="180"/>
  <c r="D56" i="180"/>
  <c r="L55" i="179"/>
  <c r="L54" i="179"/>
  <c r="H54" i="179"/>
  <c r="O52" i="179"/>
  <c r="P52" i="179" s="1"/>
  <c r="M55" i="179"/>
  <c r="O46" i="179"/>
  <c r="P46" i="179" s="1"/>
  <c r="O51" i="179"/>
  <c r="P51" i="179" s="1"/>
  <c r="D54" i="179"/>
  <c r="J54" i="179"/>
  <c r="O50" i="179"/>
  <c r="P50" i="179" s="1"/>
  <c r="H55" i="179"/>
  <c r="M54" i="179"/>
  <c r="K54" i="179"/>
  <c r="N55" i="179"/>
  <c r="O47" i="179"/>
  <c r="P47" i="179" s="1"/>
  <c r="C56" i="179"/>
  <c r="J55" i="179"/>
  <c r="O49" i="179"/>
  <c r="P49" i="179" s="1"/>
  <c r="C55" i="179"/>
  <c r="I54" i="179"/>
  <c r="D55" i="179"/>
  <c r="N54" i="179"/>
  <c r="O48" i="179"/>
  <c r="P48" i="179" s="1"/>
  <c r="J56" i="179"/>
  <c r="O45" i="179"/>
  <c r="P45" i="179" s="1"/>
  <c r="I55" i="179"/>
  <c r="O53" i="179"/>
  <c r="P53" i="179" s="1"/>
  <c r="O38" i="179"/>
  <c r="O44" i="179"/>
  <c r="O54" i="179" s="1"/>
  <c r="N56" i="179"/>
  <c r="P44" i="179"/>
  <c r="O37" i="179"/>
  <c r="O36" i="179"/>
  <c r="E56" i="179"/>
  <c r="F56" i="179"/>
  <c r="E55" i="179"/>
  <c r="G56" i="179"/>
  <c r="P6" i="179"/>
  <c r="F55" i="179"/>
  <c r="H56" i="179"/>
  <c r="E54" i="179"/>
  <c r="G55" i="179"/>
  <c r="I56" i="179"/>
  <c r="K56" i="179"/>
  <c r="L56" i="179"/>
  <c r="K55" i="179"/>
  <c r="M56" i="179"/>
  <c r="G54" i="178"/>
  <c r="H54" i="178"/>
  <c r="O49" i="178"/>
  <c r="P49" i="178" s="1"/>
  <c r="I54" i="178"/>
  <c r="J55" i="178"/>
  <c r="O48" i="178"/>
  <c r="P48" i="178" s="1"/>
  <c r="K56" i="178"/>
  <c r="L54" i="178"/>
  <c r="O47" i="178"/>
  <c r="P47" i="178" s="1"/>
  <c r="M55" i="178"/>
  <c r="N55" i="178"/>
  <c r="O46" i="178"/>
  <c r="P46" i="178" s="1"/>
  <c r="O45" i="178"/>
  <c r="P45" i="178" s="1"/>
  <c r="O53" i="178"/>
  <c r="P53" i="178" s="1"/>
  <c r="O52" i="178"/>
  <c r="P52" i="178" s="1"/>
  <c r="C54" i="178"/>
  <c r="O37" i="178"/>
  <c r="D54" i="178"/>
  <c r="O51" i="178"/>
  <c r="P51" i="178" s="1"/>
  <c r="M54" i="178"/>
  <c r="E55" i="178"/>
  <c r="N54" i="178"/>
  <c r="P10" i="178"/>
  <c r="P38" i="178" s="1"/>
  <c r="O36" i="178"/>
  <c r="D56" i="178"/>
  <c r="E56" i="178"/>
  <c r="D55" i="178"/>
  <c r="G56" i="178"/>
  <c r="E54" i="178"/>
  <c r="J56" i="178"/>
  <c r="I55" i="178"/>
  <c r="L56" i="178"/>
  <c r="M56" i="178"/>
  <c r="O44" i="178"/>
  <c r="J54" i="178"/>
  <c r="L55" i="178"/>
  <c r="N56" i="178"/>
  <c r="C56" i="178"/>
  <c r="C55" i="178"/>
  <c r="H56" i="178"/>
  <c r="G55" i="178"/>
  <c r="H55" i="178"/>
  <c r="K55" i="178"/>
  <c r="O38" i="178"/>
  <c r="K54" i="178"/>
  <c r="F56" i="178"/>
  <c r="F55" i="178"/>
  <c r="I56" i="178"/>
  <c r="O49" i="177"/>
  <c r="P49" i="177" s="1"/>
  <c r="J55" i="177"/>
  <c r="L54" i="177"/>
  <c r="M56" i="177"/>
  <c r="N55" i="177"/>
  <c r="O46" i="177"/>
  <c r="P46" i="177" s="1"/>
  <c r="I54" i="177"/>
  <c r="O47" i="177"/>
  <c r="P47" i="177" s="1"/>
  <c r="O45" i="177"/>
  <c r="P45" i="177" s="1"/>
  <c r="O36" i="177"/>
  <c r="D54" i="177"/>
  <c r="O51" i="177"/>
  <c r="P51" i="177" s="1"/>
  <c r="M54" i="177"/>
  <c r="H55" i="177"/>
  <c r="O48" i="177"/>
  <c r="P48" i="177" s="1"/>
  <c r="K56" i="177"/>
  <c r="O38" i="177"/>
  <c r="O53" i="177"/>
  <c r="P53" i="177" s="1"/>
  <c r="O52" i="177"/>
  <c r="P52" i="177" s="1"/>
  <c r="C54" i="177"/>
  <c r="E56" i="177"/>
  <c r="N54" i="177"/>
  <c r="O37" i="177"/>
  <c r="P10" i="177"/>
  <c r="D56" i="177"/>
  <c r="C55" i="177"/>
  <c r="D55" i="177"/>
  <c r="G56" i="177"/>
  <c r="P6" i="177"/>
  <c r="F55" i="177"/>
  <c r="I56" i="177"/>
  <c r="F54" i="177"/>
  <c r="G54" i="177"/>
  <c r="H54" i="177"/>
  <c r="K55" i="177"/>
  <c r="O44" i="177"/>
  <c r="J54" i="177"/>
  <c r="L55" i="177"/>
  <c r="N56" i="177"/>
  <c r="E55" i="177"/>
  <c r="E54" i="177"/>
  <c r="J56" i="177"/>
  <c r="I55" i="177"/>
  <c r="L56" i="177"/>
  <c r="K54" i="177"/>
  <c r="M55" i="177"/>
  <c r="C56" i="177"/>
  <c r="H56" i="177"/>
  <c r="N55" i="176"/>
  <c r="O45" i="176"/>
  <c r="P45" i="176" s="1"/>
  <c r="O53" i="176"/>
  <c r="P53" i="176" s="1"/>
  <c r="O44" i="176"/>
  <c r="L54" i="176"/>
  <c r="O47" i="176"/>
  <c r="P47" i="176" s="1"/>
  <c r="M55" i="176"/>
  <c r="O46" i="176"/>
  <c r="P46" i="176" s="1"/>
  <c r="O38" i="176"/>
  <c r="O52" i="176"/>
  <c r="P52" i="176" s="1"/>
  <c r="O37" i="176"/>
  <c r="D55" i="176"/>
  <c r="O51" i="176"/>
  <c r="P51" i="176" s="1"/>
  <c r="M54" i="176"/>
  <c r="H55" i="176"/>
  <c r="O49" i="176"/>
  <c r="P49" i="176" s="1"/>
  <c r="I56" i="176"/>
  <c r="J55" i="176"/>
  <c r="O48" i="176"/>
  <c r="P48" i="176" s="1"/>
  <c r="K56" i="176"/>
  <c r="E56" i="176"/>
  <c r="N54" i="176"/>
  <c r="P44" i="176"/>
  <c r="P10" i="176"/>
  <c r="O36" i="176"/>
  <c r="C56" i="176"/>
  <c r="D56" i="176"/>
  <c r="C55" i="176"/>
  <c r="F56" i="176"/>
  <c r="C54" i="176"/>
  <c r="P6" i="176"/>
  <c r="F55" i="176"/>
  <c r="E54" i="176"/>
  <c r="I55" i="176"/>
  <c r="L56" i="176"/>
  <c r="I54" i="176"/>
  <c r="K55" i="176"/>
  <c r="M56" i="176"/>
  <c r="J54" i="176"/>
  <c r="L55" i="176"/>
  <c r="N56" i="176"/>
  <c r="E55" i="176"/>
  <c r="D54" i="176"/>
  <c r="G55" i="176"/>
  <c r="J56" i="176"/>
  <c r="G54" i="176"/>
  <c r="H54" i="176"/>
  <c r="K54" i="176"/>
  <c r="H56" i="176"/>
  <c r="J56" i="175"/>
  <c r="K54" i="175"/>
  <c r="O47" i="175"/>
  <c r="P47" i="175" s="1"/>
  <c r="H55" i="175"/>
  <c r="I56" i="175"/>
  <c r="L54" i="175"/>
  <c r="M56" i="175"/>
  <c r="N55" i="175"/>
  <c r="O46" i="175"/>
  <c r="P46" i="175" s="1"/>
  <c r="O51" i="175"/>
  <c r="P51" i="175" s="1"/>
  <c r="K56" i="175"/>
  <c r="O38" i="175"/>
  <c r="O45" i="175"/>
  <c r="P45" i="175" s="1"/>
  <c r="O53" i="175"/>
  <c r="P53" i="175" s="1"/>
  <c r="J55" i="175"/>
  <c r="O50" i="175"/>
  <c r="P50" i="175" s="1"/>
  <c r="K55" i="175"/>
  <c r="O52" i="175"/>
  <c r="P52" i="175" s="1"/>
  <c r="O44" i="175"/>
  <c r="I55" i="175"/>
  <c r="O36" i="175"/>
  <c r="D54" i="175"/>
  <c r="O49" i="175"/>
  <c r="P49" i="175" s="1"/>
  <c r="M54" i="175"/>
  <c r="E56" i="175"/>
  <c r="H54" i="175"/>
  <c r="N54" i="175"/>
  <c r="P44" i="175"/>
  <c r="P10" i="175"/>
  <c r="D56" i="175"/>
  <c r="C55" i="175"/>
  <c r="D55" i="175"/>
  <c r="F56" i="175"/>
  <c r="C54" i="175"/>
  <c r="E55" i="175"/>
  <c r="G56" i="175"/>
  <c r="P6" i="175"/>
  <c r="F55" i="175"/>
  <c r="H56" i="175"/>
  <c r="E54" i="175"/>
  <c r="G55" i="175"/>
  <c r="O37" i="175"/>
  <c r="C56" i="175"/>
  <c r="M55" i="175"/>
  <c r="L56" i="175"/>
  <c r="L55" i="175"/>
  <c r="N56" i="175"/>
  <c r="O49" i="174"/>
  <c r="P49" i="174" s="1"/>
  <c r="H54" i="174"/>
  <c r="I55" i="174"/>
  <c r="J55" i="174"/>
  <c r="K54" i="174"/>
  <c r="N55" i="174"/>
  <c r="O38" i="174"/>
  <c r="O45" i="174"/>
  <c r="P45" i="174" s="1"/>
  <c r="O53" i="174"/>
  <c r="P53" i="174" s="1"/>
  <c r="L54" i="174"/>
  <c r="O52" i="174"/>
  <c r="P52" i="174" s="1"/>
  <c r="O48" i="174"/>
  <c r="P48" i="174" s="1"/>
  <c r="O47" i="174"/>
  <c r="P47" i="174" s="1"/>
  <c r="D54" i="174"/>
  <c r="O51" i="174"/>
  <c r="P51" i="174" s="1"/>
  <c r="M55" i="174"/>
  <c r="O46" i="174"/>
  <c r="P46" i="174" s="1"/>
  <c r="C55" i="174"/>
  <c r="E54" i="174"/>
  <c r="N54" i="174"/>
  <c r="E55" i="174"/>
  <c r="P6" i="174"/>
  <c r="F55" i="174"/>
  <c r="G55" i="174"/>
  <c r="J56" i="174"/>
  <c r="L56" i="174"/>
  <c r="I54" i="174"/>
  <c r="K55" i="174"/>
  <c r="M56" i="174"/>
  <c r="O36" i="174"/>
  <c r="F56" i="174"/>
  <c r="C54" i="174"/>
  <c r="H56" i="174"/>
  <c r="I56" i="174"/>
  <c r="H55" i="174"/>
  <c r="O44" i="174"/>
  <c r="J54" i="174"/>
  <c r="L55" i="174"/>
  <c r="N56" i="174"/>
  <c r="C56" i="174"/>
  <c r="D56" i="174"/>
  <c r="E56" i="174"/>
  <c r="D55" i="174"/>
  <c r="G56" i="174"/>
  <c r="K56" i="174"/>
  <c r="O37" i="174"/>
  <c r="K54" i="173"/>
  <c r="O48" i="173"/>
  <c r="P48" i="173" s="1"/>
  <c r="L54" i="173"/>
  <c r="O46" i="173"/>
  <c r="P46" i="173" s="1"/>
  <c r="C56" i="173"/>
  <c r="K55" i="173"/>
  <c r="O38" i="173"/>
  <c r="O53" i="173"/>
  <c r="P53" i="173" s="1"/>
  <c r="K56" i="173"/>
  <c r="D55" i="173"/>
  <c r="O49" i="173"/>
  <c r="P49" i="173" s="1"/>
  <c r="O51" i="173"/>
  <c r="P51" i="173" s="1"/>
  <c r="H54" i="173"/>
  <c r="I54" i="173"/>
  <c r="J54" i="173"/>
  <c r="O47" i="173"/>
  <c r="P47" i="173" s="1"/>
  <c r="M55" i="173"/>
  <c r="N55" i="173"/>
  <c r="O45" i="173"/>
  <c r="P45" i="173" s="1"/>
  <c r="O52" i="173"/>
  <c r="P52" i="173" s="1"/>
  <c r="E54" i="173"/>
  <c r="N54" i="173"/>
  <c r="O36" i="173"/>
  <c r="E56" i="173"/>
  <c r="C54" i="173"/>
  <c r="E55" i="173"/>
  <c r="G56" i="173"/>
  <c r="P6" i="173"/>
  <c r="D54" i="173"/>
  <c r="F55" i="173"/>
  <c r="H56" i="173"/>
  <c r="G55" i="173"/>
  <c r="I56" i="173"/>
  <c r="F54" i="173"/>
  <c r="H55" i="173"/>
  <c r="J56" i="173"/>
  <c r="O37" i="173"/>
  <c r="D56" i="173"/>
  <c r="C55" i="173"/>
  <c r="M56" i="173"/>
  <c r="O44" i="173"/>
  <c r="L55" i="173"/>
  <c r="N56" i="173"/>
  <c r="L56" i="173"/>
  <c r="O49" i="172"/>
  <c r="P49" i="172" s="1"/>
  <c r="M56" i="172"/>
  <c r="N55" i="172"/>
  <c r="H54" i="172"/>
  <c r="J56" i="172"/>
  <c r="O48" i="172"/>
  <c r="P48" i="172" s="1"/>
  <c r="L54" i="172"/>
  <c r="O47" i="172"/>
  <c r="P47" i="172" s="1"/>
  <c r="O46" i="172"/>
  <c r="P46" i="172" s="1"/>
  <c r="O45" i="172"/>
  <c r="P45" i="172" s="1"/>
  <c r="O53" i="172"/>
  <c r="P53" i="172" s="1"/>
  <c r="O52" i="172"/>
  <c r="P52" i="172" s="1"/>
  <c r="I54" i="172"/>
  <c r="K54" i="172"/>
  <c r="C54" i="172"/>
  <c r="O37" i="172"/>
  <c r="D55" i="172"/>
  <c r="O51" i="172"/>
  <c r="P51" i="172" s="1"/>
  <c r="M54" i="172"/>
  <c r="E56" i="172"/>
  <c r="N54" i="172"/>
  <c r="P10" i="172"/>
  <c r="P38" i="172" s="1"/>
  <c r="O36" i="172"/>
  <c r="C56" i="172"/>
  <c r="C55" i="172"/>
  <c r="E55" i="172"/>
  <c r="H56" i="172"/>
  <c r="E54" i="172"/>
  <c r="F54" i="172"/>
  <c r="K56" i="172"/>
  <c r="J55" i="172"/>
  <c r="K55" i="172"/>
  <c r="O44" i="172"/>
  <c r="J54" i="172"/>
  <c r="L55" i="172"/>
  <c r="N56" i="172"/>
  <c r="F56" i="172"/>
  <c r="G56" i="172"/>
  <c r="D54" i="172"/>
  <c r="I56" i="172"/>
  <c r="H55" i="172"/>
  <c r="I55" i="172"/>
  <c r="O38" i="172"/>
  <c r="M55" i="172"/>
  <c r="D56" i="172"/>
  <c r="G55" i="172"/>
  <c r="L56" i="172"/>
  <c r="H54" i="171"/>
  <c r="O49" i="171"/>
  <c r="P49" i="171" s="1"/>
  <c r="I54" i="171"/>
  <c r="J56" i="171"/>
  <c r="O48" i="171"/>
  <c r="P48" i="171" s="1"/>
  <c r="K54" i="171"/>
  <c r="L54" i="171"/>
  <c r="O47" i="171"/>
  <c r="P47" i="171" s="1"/>
  <c r="M56" i="171"/>
  <c r="N55" i="171"/>
  <c r="O46" i="171"/>
  <c r="P46" i="171" s="1"/>
  <c r="O38" i="171"/>
  <c r="O45" i="171"/>
  <c r="P45" i="171" s="1"/>
  <c r="O53" i="171"/>
  <c r="P53" i="171" s="1"/>
  <c r="O52" i="171"/>
  <c r="P52" i="171" s="1"/>
  <c r="O44" i="171"/>
  <c r="O54" i="171" s="1"/>
  <c r="O37" i="171"/>
  <c r="D56" i="171"/>
  <c r="O51" i="171"/>
  <c r="P51" i="171" s="1"/>
  <c r="M54" i="171"/>
  <c r="E55" i="171"/>
  <c r="N54" i="171"/>
  <c r="P10" i="171"/>
  <c r="O36" i="171"/>
  <c r="C56" i="171"/>
  <c r="C55" i="171"/>
  <c r="D55" i="171"/>
  <c r="C54" i="171"/>
  <c r="P6" i="171"/>
  <c r="D54" i="171"/>
  <c r="G55" i="171"/>
  <c r="F54" i="171"/>
  <c r="K56" i="171"/>
  <c r="J55" i="171"/>
  <c r="K55" i="171"/>
  <c r="J54" i="171"/>
  <c r="L55" i="171"/>
  <c r="N56" i="171"/>
  <c r="E56" i="171"/>
  <c r="F56" i="171"/>
  <c r="G56" i="171"/>
  <c r="H56" i="171"/>
  <c r="E54" i="171"/>
  <c r="H55" i="171"/>
  <c r="I55" i="171"/>
  <c r="L56" i="171"/>
  <c r="M55" i="171"/>
  <c r="I56" i="171"/>
  <c r="O49" i="170"/>
  <c r="P49" i="170" s="1"/>
  <c r="J54" i="170"/>
  <c r="O48" i="170"/>
  <c r="P48" i="170" s="1"/>
  <c r="L54" i="170"/>
  <c r="O47" i="170"/>
  <c r="P47" i="170" s="1"/>
  <c r="O46" i="170"/>
  <c r="P46" i="170" s="1"/>
  <c r="O45" i="170"/>
  <c r="P45" i="170" s="1"/>
  <c r="O53" i="170"/>
  <c r="P53" i="170" s="1"/>
  <c r="O52" i="170"/>
  <c r="P52" i="170" s="1"/>
  <c r="H54" i="170"/>
  <c r="I54" i="170"/>
  <c r="K54" i="170"/>
  <c r="M56" i="170"/>
  <c r="N55" i="170"/>
  <c r="O44" i="170"/>
  <c r="O54" i="170" s="1"/>
  <c r="O36" i="170"/>
  <c r="D55" i="170"/>
  <c r="O51" i="170"/>
  <c r="P51" i="170" s="1"/>
  <c r="M54" i="170"/>
  <c r="E54" i="170"/>
  <c r="N54" i="170"/>
  <c r="O37" i="170"/>
  <c r="D56" i="170"/>
  <c r="C55" i="170"/>
  <c r="F56" i="170"/>
  <c r="C54" i="170"/>
  <c r="D54" i="170"/>
  <c r="G54" i="170"/>
  <c r="P10" i="170"/>
  <c r="P38" i="170" s="1"/>
  <c r="C56" i="170"/>
  <c r="E56" i="170"/>
  <c r="E55" i="170"/>
  <c r="F55" i="170"/>
  <c r="G55" i="170"/>
  <c r="J56" i="170"/>
  <c r="I55" i="170"/>
  <c r="O38" i="170"/>
  <c r="M55" i="170"/>
  <c r="H56" i="170"/>
  <c r="I56" i="170"/>
  <c r="H55" i="170"/>
  <c r="K56" i="170"/>
  <c r="J55" i="170"/>
  <c r="L56" i="170"/>
  <c r="K55" i="170"/>
  <c r="L55" i="170"/>
  <c r="N56" i="170"/>
  <c r="I54" i="169"/>
  <c r="J54" i="169"/>
  <c r="K54" i="169"/>
  <c r="L54" i="169"/>
  <c r="M56" i="169"/>
  <c r="N55" i="169"/>
  <c r="O45" i="169"/>
  <c r="P45" i="169" s="1"/>
  <c r="O52" i="169"/>
  <c r="P52" i="169" s="1"/>
  <c r="O36" i="169"/>
  <c r="D54" i="169"/>
  <c r="O51" i="169"/>
  <c r="P51" i="169" s="1"/>
  <c r="M54" i="169"/>
  <c r="H54" i="169"/>
  <c r="O49" i="169"/>
  <c r="P49" i="169" s="1"/>
  <c r="O48" i="169"/>
  <c r="P48" i="169" s="1"/>
  <c r="O47" i="169"/>
  <c r="P47" i="169" s="1"/>
  <c r="O46" i="169"/>
  <c r="P46" i="169" s="1"/>
  <c r="O38" i="169"/>
  <c r="O53" i="169"/>
  <c r="P53" i="169" s="1"/>
  <c r="O44" i="169"/>
  <c r="E54" i="169"/>
  <c r="N54" i="169"/>
  <c r="P44" i="169"/>
  <c r="C56" i="169"/>
  <c r="D56" i="169"/>
  <c r="F56" i="169"/>
  <c r="E55" i="169"/>
  <c r="F55" i="169"/>
  <c r="G55" i="169"/>
  <c r="J56" i="169"/>
  <c r="I55" i="169"/>
  <c r="N56" i="169"/>
  <c r="M55" i="169"/>
  <c r="O37" i="169"/>
  <c r="P10" i="169"/>
  <c r="C55" i="169"/>
  <c r="E56" i="169"/>
  <c r="D55" i="169"/>
  <c r="C54" i="169"/>
  <c r="G56" i="169"/>
  <c r="P6" i="169"/>
  <c r="H56" i="169"/>
  <c r="I56" i="169"/>
  <c r="H55" i="169"/>
  <c r="K56" i="169"/>
  <c r="J55" i="169"/>
  <c r="L56" i="169"/>
  <c r="K55" i="169"/>
  <c r="L55" i="169"/>
  <c r="C38" i="103"/>
  <c r="N38" i="103"/>
  <c r="M38" i="103"/>
  <c r="L38" i="103"/>
  <c r="K38" i="103"/>
  <c r="P44" i="183" l="1"/>
  <c r="P56" i="183" s="1"/>
  <c r="O56" i="183"/>
  <c r="P38" i="183"/>
  <c r="O55" i="183"/>
  <c r="P54" i="183"/>
  <c r="P55" i="183"/>
  <c r="P36" i="183"/>
  <c r="O54" i="182"/>
  <c r="P38" i="182"/>
  <c r="P36" i="182"/>
  <c r="P37" i="182"/>
  <c r="P56" i="182"/>
  <c r="P54" i="182"/>
  <c r="P55" i="182"/>
  <c r="O56" i="182"/>
  <c r="O55" i="181"/>
  <c r="O54" i="181"/>
  <c r="P38" i="181"/>
  <c r="P36" i="181"/>
  <c r="P37" i="181"/>
  <c r="P56" i="181"/>
  <c r="P54" i="181"/>
  <c r="P55" i="181"/>
  <c r="O56" i="181"/>
  <c r="O55" i="180"/>
  <c r="O54" i="180"/>
  <c r="O56" i="180"/>
  <c r="P56" i="180"/>
  <c r="P54" i="180"/>
  <c r="P55" i="180"/>
  <c r="P38" i="180"/>
  <c r="P36" i="180"/>
  <c r="P37" i="180"/>
  <c r="O56" i="179"/>
  <c r="O55" i="179"/>
  <c r="P38" i="179"/>
  <c r="P36" i="179"/>
  <c r="P37" i="179"/>
  <c r="P56" i="179"/>
  <c r="P54" i="179"/>
  <c r="P55" i="179"/>
  <c r="O56" i="178"/>
  <c r="P44" i="178"/>
  <c r="O54" i="178"/>
  <c r="O55" i="178"/>
  <c r="P36" i="178"/>
  <c r="P37" i="178"/>
  <c r="P38" i="177"/>
  <c r="P36" i="177"/>
  <c r="P37" i="177"/>
  <c r="O56" i="177"/>
  <c r="P44" i="177"/>
  <c r="O54" i="177"/>
  <c r="O55" i="177"/>
  <c r="O55" i="176"/>
  <c r="O56" i="176"/>
  <c r="O54" i="176"/>
  <c r="P38" i="176"/>
  <c r="P36" i="176"/>
  <c r="P37" i="176"/>
  <c r="P56" i="176"/>
  <c r="P54" i="176"/>
  <c r="P55" i="176"/>
  <c r="O56" i="175"/>
  <c r="O54" i="175"/>
  <c r="O55" i="175"/>
  <c r="P56" i="175"/>
  <c r="P55" i="175"/>
  <c r="P54" i="175"/>
  <c r="P38" i="175"/>
  <c r="P36" i="175"/>
  <c r="P37" i="175"/>
  <c r="P38" i="174"/>
  <c r="P36" i="174"/>
  <c r="P37" i="174"/>
  <c r="O56" i="174"/>
  <c r="P44" i="174"/>
  <c r="O54" i="174"/>
  <c r="O55" i="174"/>
  <c r="O55" i="173"/>
  <c r="O56" i="173"/>
  <c r="P44" i="173"/>
  <c r="O54" i="173"/>
  <c r="P38" i="173"/>
  <c r="P37" i="173"/>
  <c r="P36" i="173"/>
  <c r="O56" i="172"/>
  <c r="P44" i="172"/>
  <c r="O54" i="172"/>
  <c r="O55" i="172"/>
  <c r="P36" i="172"/>
  <c r="P37" i="172"/>
  <c r="O55" i="171"/>
  <c r="O56" i="171"/>
  <c r="P44" i="171"/>
  <c r="P38" i="171"/>
  <c r="P36" i="171"/>
  <c r="P37" i="171"/>
  <c r="P56" i="171"/>
  <c r="P55" i="171"/>
  <c r="P54" i="171"/>
  <c r="O55" i="170"/>
  <c r="O56" i="170"/>
  <c r="P44" i="170"/>
  <c r="P56" i="170" s="1"/>
  <c r="P54" i="170"/>
  <c r="P55" i="170"/>
  <c r="P37" i="170"/>
  <c r="P36" i="170"/>
  <c r="O54" i="169"/>
  <c r="O55" i="169"/>
  <c r="O56" i="169"/>
  <c r="P38" i="169"/>
  <c r="P37" i="169"/>
  <c r="P36" i="169"/>
  <c r="P56" i="169"/>
  <c r="P54" i="169"/>
  <c r="P55" i="16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78" l="1"/>
  <c r="P54" i="178"/>
  <c r="P55" i="178"/>
  <c r="P56" i="177"/>
  <c r="P54" i="177"/>
  <c r="P55" i="177"/>
  <c r="P56" i="174"/>
  <c r="P54" i="174"/>
  <c r="P55" i="174"/>
  <c r="P56" i="173"/>
  <c r="P54" i="173"/>
  <c r="P55" i="173"/>
  <c r="P56" i="172"/>
  <c r="P54" i="172"/>
  <c r="P55" i="172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<sst xmlns="http://schemas.openxmlformats.org/spreadsheetml/2006/main" count="6157" uniqueCount="299">
  <si>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</si>
  <si>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</si>
  <si>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</si>
  <si>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</si>
  <si>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</si>
  <si>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</si>
  <si>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</si>
  <si>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</si>
  <si>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</si>
  <si>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</si>
  <si>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</si>
  <si>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</si>
  <si>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</si>
  <si>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</si>
  <si>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</si>
  <si>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</si>
  <si>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</si>
  <si>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</si>
  <si>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</si>
  <si>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</si>
  <si>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</si>
  <si>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</si>
  <si>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</si>
  <si>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</si>
  <si>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</si>
  <si>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</si>
  <si>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</si>
  <si>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</si>
  <si>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</si>
  <si>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</si>
  <si>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</si>
  <si>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</si>
  <si>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</si>
  <si>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</si>
  <si>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</si>
  <si>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</si>
  <si>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</si>
  <si>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</si>
  <si>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</si>
  <si>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</si>
  <si>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</si>
  <si>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</si>
  <si>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</si>
  <si>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</si>
  <si>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</si>
  <si>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</si>
  <si>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</si>
  <si>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</si>
  <si>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</si>
  <si>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</si>
  <si>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</si>
  <si>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</si>
  <si>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</si>
  <si>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</si>
  <si>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</si>
  <si>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</si>
  <si>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</si>
  <si>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</si>
  <si>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</si>
  <si>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</si>
  <si>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</si>
  <si>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</si>
  <si>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</si>
  <si>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</si>
  <si>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</si>
  <si>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</si>
  <si>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</si>
  <si>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</si>
  <si>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</si>
  <si>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</si>
  <si>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</si>
  <si>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</si>
  <si>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</si>
  <si>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</si>
  <si>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</si>
  <si>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</si>
  <si>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</si>
  <si>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</si>
  <si>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</si>
  <si>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</si>
  <si>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</si>
  <si>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</si>
  <si>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</si>
  <si>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</si>
  <si>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</si>
  <si>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</si>
  <si>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</si>
  <si>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</si>
  <si>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</si>
  <si>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</si>
  <si>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</si>
  <si>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</si>
  <si>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</si>
  <si>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</si>
  <si>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</si>
  <si>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</si>
  <si>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</si>
  <si>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</si>
  <si>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</si>
  <si>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</si>
  <si>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</si>
  <si>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</si>
  <si>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</si>
  <si>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</si>
  <si>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</si>
  <si>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</si>
  <si>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</si>
  <si>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</si>
  <si>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</si>
  <si>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</si>
  <si>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</si>
  <si>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</si>
  <si>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</si>
  <si>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</si>
  <si>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</si>
  <si>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</si>
  <si>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</si>
  <si>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</si>
  <si>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</si>
  <si>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</si>
  <si>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</si>
  <si>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</si>
  <si>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</si>
  <si>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</si>
  <si>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</si>
  <si>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</si>
  <si>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</si>
  <si>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</si>
  <si>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</si>
  <si>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</si>
  <si>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</si>
  <si>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</si>
  <si>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</si>
  <si>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</si>
  <si>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</si>
  <si>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</si>
  <si>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</si>
  <si>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</si>
  <si>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</si>
  <si>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</si>
  <si>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</si>
  <si>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</si>
  <si>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</si>
  <si>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</si>
  <si>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</si>
  <si>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</si>
  <si>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</si>
  <si>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</si>
  <si>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</si>
  <si>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</si>
  <si>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</si>
  <si>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</si>
  <si>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</si>
  <si>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</si>
  <si>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</si>
  <si>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</si>
  <si>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</si>
  <si>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</si>
  <si>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</si>
  <si>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</si>
  <si>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</si>
  <si>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</si>
  <si>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</si>
  <si>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</si>
  <si>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</si>
  <si>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</si>
  <si>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</si>
  <si>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</si>
  <si>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</si>
  <si>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</si>
  <si>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</si>
  <si>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</si>
  <si>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</si>
  <si>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</si>
  <si>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</si>
  <si>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</si>
  <si>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</si>
  <si>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</si>
  <si>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</si>
  <si>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</si>
  <si>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</si>
  <si>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</si>
  <si>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</si>
  <si>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</si>
  <si>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</si>
  <si>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</si>
  <si>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</si>
  <si>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</si>
  <si>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</si>
  <si>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</si>
  <si>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</si>
  <si>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</si>
  <si>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</si>
  <si>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</si>
  <si>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</si>
  <si>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</si>
  <si>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</si>
  <si>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</si>
  <si>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</si>
  <si>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</si>
  <si>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</si>
  <si>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</si>
  <si>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</si>
  <si>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</si>
  <si>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</si>
  <si>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</si>
  <si>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</si>
  <si>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</si>
  <si>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</si>
  <si>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</si>
  <si>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</si>
  <si>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</si>
  <si>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</si>
  <si>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</si>
  <si>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</si>
  <si>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</si>
  <si>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</si>
  <si>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</si>
  <si>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</si>
  <si>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</si>
  <si>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</si>
  <si>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</si>
  <si>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</si>
  <si>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</si>
  <si>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</si>
  <si>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</si>
  <si>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</si>
  <si>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</si>
  <si>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</si>
  <si>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</si>
  <si>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</si>
  <si>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</si>
  <si>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</si>
  <si>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</si>
  <si>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</si>
  <si>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</si>
  <si>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</si>
  <si>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</si>
  <si>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</si>
  <si>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</si>
  <si>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</si>
  <si>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</si>
  <si>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</si>
  <si>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</si>
  <si>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</si>
  <si>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</si>
  <si>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</si>
  <si>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</si>
  <si>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</si>
  <si>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</si>
  <si>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</si>
  <si>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</si>
  <si>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</si>
  <si>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</si>
  <si>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</si>
  <si>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</si>
  <si>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</si>
  <si>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</si>
  <si>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</si>
  <si>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</si>
  <si>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</si>
  <si>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</si>
  <si>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</si>
  <si>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</si>
  <si>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</si>
  <si>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</si>
  <si>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</si>
  <si>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</si>
  <si>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</si>
  <si>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</si>
  <si>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</si>
  <si>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</si>
  <si>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</si>
  <si>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</si>
  <si>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</si>
  <si>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</si>
  <si>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</si>
  <si>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</si>
  <si>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</si>
  <si>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</si>
  <si>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대전,  보령,  부여,  서산,  천안, 금산,  청주,  보은, 제천, 추풍령</t>
    <phoneticPr fontId="5" type="noConversion"/>
  </si>
  <si>
    <t>서울 Data, -- 2025-01-01 오전 9:01:28</t>
    <phoneticPr fontId="5" type="noConversion"/>
  </si>
  <si>
    <t>보은 Data, -- 2025-01-01 오전 9:02:33</t>
    <phoneticPr fontId="5" type="noConversion"/>
  </si>
  <si>
    <t>제천 Data, -- 2025-01-01 오전 9:03:01</t>
    <phoneticPr fontId="5" type="noConversion"/>
  </si>
  <si>
    <t>추풍령 Data, -- 2025-01-01 오전 9:03:24</t>
    <phoneticPr fontId="5" type="noConversion"/>
  </si>
  <si>
    <t>청주 Data, -- 2025-01-01 오전 9:03:47</t>
    <phoneticPr fontId="5" type="noConversion"/>
  </si>
  <si>
    <t>충주 Data, -- 2025-01-01 오전 9:04:12</t>
    <phoneticPr fontId="5" type="noConversion"/>
  </si>
  <si>
    <t>대전 Data, -- 2025-01-01 오전 9:04:40</t>
    <phoneticPr fontId="5" type="noConversion"/>
  </si>
  <si>
    <t>금산 Data, -- 2025-01-01 오전 9:05:02</t>
    <phoneticPr fontId="5" type="noConversion"/>
  </si>
  <si>
    <t>보령 Data, -- 2025-01-01 오전 9:05:27</t>
    <phoneticPr fontId="5" type="noConversion"/>
  </si>
  <si>
    <t>부여 Data, -- 2025-01-01 오전 9:05:54</t>
    <phoneticPr fontId="5" type="noConversion"/>
  </si>
  <si>
    <t>서산 Data, -- 2025-01-01 오전 9:06:20</t>
    <phoneticPr fontId="5" type="noConversion"/>
  </si>
  <si>
    <t>천안 Data, -- 2025-01-01 오전 9:06:42</t>
    <phoneticPr fontId="5" type="noConversion"/>
  </si>
  <si>
    <t>수원 Data, -- 2025-03-05 오후 11:21:16</t>
    <phoneticPr fontId="5" type="noConversion"/>
  </si>
  <si>
    <t>인천 Data, -- 2025-03-05 오후 11:21:49</t>
    <phoneticPr fontId="5" type="noConversion"/>
  </si>
  <si>
    <t>전라도</t>
  </si>
  <si>
    <t>광주</t>
  </si>
  <si>
    <t>30년 광주데이터, 2025-03-09 오전 10:38:13</t>
    <phoneticPr fontId="5" type="noConversion"/>
  </si>
  <si>
    <t>광주 Data, -- 2025-03-09 오전 10:38:37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</si>
</sst>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E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E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E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E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E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E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5F9AB-DE94-4C00-88ED-06B55D900A8E}">
  <sheetPr codeName="Sheet28">
    <tabColor rgb="FF808080"/>
  </sheetPr>
  <dimension ref="A2:Q983"/>
  <sheetViews>
    <sheetView tabSelected="1" zoomScaleNormal="100" workbookViewId="0">
      <selection activeCell="T18" sqref="T18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298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42.3</v>
      </c>
      <c r="D6" s="9">
        <v>34.9</v>
      </c>
      <c r="E6" s="9">
        <v>28.1</v>
      </c>
      <c r="F6" s="9">
        <v>111.7</v>
      </c>
      <c r="G6" s="9">
        <v>75.5</v>
      </c>
      <c r="H6" s="9">
        <v>96.4</v>
      </c>
      <c r="I6" s="9">
        <v>110</v>
      </c>
      <c r="J6" s="10">
        <v>151.4</v>
      </c>
      <c r="K6" s="9">
        <v>40.5</v>
      </c>
      <c r="L6" s="9">
        <v>17.2</v>
      </c>
      <c r="M6" s="9">
        <v>35.1</v>
      </c>
      <c r="N6" s="11">
        <v>21.3</v>
      </c>
      <c r="O6" s="12">
        <f t="shared" ref="O6:O35" si="0">ROUND(SUM(C6:N6),1)</f>
        <v>764.4</v>
      </c>
      <c r="P6" s="13">
        <f>ROUND(O6/12,1)</f>
        <v>63.7</v>
      </c>
      <c r="Q6" s="14"/>
    </row>
    <row r="7" spans="2:17" ht="21.95" customHeight="1">
      <c r="B7" s="15">
        <v>1996</v>
      </c>
      <c r="C7" s="16">
        <v>32.9</v>
      </c>
      <c r="D7" s="16">
        <v>11.8</v>
      </c>
      <c r="E7" s="16">
        <v>127.4</v>
      </c>
      <c r="F7" s="16">
        <v>38.4</v>
      </c>
      <c r="G7" s="16">
        <v>37.4</v>
      </c>
      <c r="H7" s="16">
        <v>302.89999999999998</v>
      </c>
      <c r="I7" s="16">
        <v>186.3</v>
      </c>
      <c r="J7" s="17">
        <v>261.7</v>
      </c>
      <c r="K7" s="16">
        <v>66.099999999999994</v>
      </c>
      <c r="L7" s="16">
        <v>60.7</v>
      </c>
      <c r="M7" s="16">
        <v>112.4</v>
      </c>
      <c r="N7" s="18">
        <v>30.8</v>
      </c>
      <c r="O7" s="12">
        <f t="shared" si="0"/>
        <v>1268.8</v>
      </c>
      <c r="P7" s="19">
        <f t="shared" ref="P7:P35" si="1">ROUND(O7/12,1)</f>
        <v>105.7</v>
      </c>
      <c r="Q7" s="14"/>
    </row>
    <row r="8" spans="2:17" ht="21.95" customHeight="1">
      <c r="B8" s="15">
        <v>1997</v>
      </c>
      <c r="C8" s="16">
        <v>19.3</v>
      </c>
      <c r="D8" s="16">
        <v>43.6</v>
      </c>
      <c r="E8" s="16">
        <v>68.3</v>
      </c>
      <c r="F8" s="16">
        <v>82.1</v>
      </c>
      <c r="G8" s="16">
        <v>101.6</v>
      </c>
      <c r="H8" s="16">
        <v>177.2</v>
      </c>
      <c r="I8" s="16">
        <v>358.3</v>
      </c>
      <c r="J8" s="16">
        <v>381.9</v>
      </c>
      <c r="K8" s="16">
        <v>22.8</v>
      </c>
      <c r="L8" s="16">
        <v>14</v>
      </c>
      <c r="M8" s="16">
        <v>136.4</v>
      </c>
      <c r="N8" s="18">
        <v>73.7</v>
      </c>
      <c r="O8" s="12">
        <f t="shared" si="0"/>
        <v>1479.2</v>
      </c>
      <c r="P8" s="19">
        <f t="shared" si="1"/>
        <v>123.3</v>
      </c>
      <c r="Q8" s="14"/>
    </row>
    <row r="9" spans="2:17" ht="21.95" customHeight="1">
      <c r="B9" s="15">
        <v>1998</v>
      </c>
      <c r="C9" s="16">
        <v>41.3</v>
      </c>
      <c r="D9" s="16">
        <v>44.4</v>
      </c>
      <c r="E9" s="16">
        <v>78.2</v>
      </c>
      <c r="F9" s="16">
        <v>124.2</v>
      </c>
      <c r="G9" s="16">
        <v>136.9</v>
      </c>
      <c r="H9" s="16">
        <v>369.6</v>
      </c>
      <c r="I9" s="16">
        <v>210.9</v>
      </c>
      <c r="J9" s="16">
        <v>531.20000000000005</v>
      </c>
      <c r="K9" s="16">
        <v>315.7</v>
      </c>
      <c r="L9" s="16">
        <v>57.4</v>
      </c>
      <c r="M9" s="16">
        <v>30.9</v>
      </c>
      <c r="N9" s="18">
        <v>2.2999999999999998</v>
      </c>
      <c r="O9" s="12">
        <f t="shared" si="0"/>
        <v>1943</v>
      </c>
      <c r="P9" s="19">
        <f t="shared" si="1"/>
        <v>161.9</v>
      </c>
      <c r="Q9" s="14"/>
    </row>
    <row r="10" spans="2:17" ht="21.95" customHeight="1">
      <c r="B10" s="15">
        <v>1999</v>
      </c>
      <c r="C10" s="16">
        <v>41</v>
      </c>
      <c r="D10" s="16">
        <v>34.9</v>
      </c>
      <c r="E10" s="16">
        <v>111.9</v>
      </c>
      <c r="F10" s="16">
        <v>44.9</v>
      </c>
      <c r="G10" s="16">
        <v>106.9</v>
      </c>
      <c r="H10" s="16">
        <v>135.4</v>
      </c>
      <c r="I10" s="16">
        <v>220.7</v>
      </c>
      <c r="J10" s="16">
        <v>287.10000000000002</v>
      </c>
      <c r="K10" s="16">
        <v>281.7</v>
      </c>
      <c r="L10" s="16">
        <v>126.2</v>
      </c>
      <c r="M10" s="16">
        <v>22.1</v>
      </c>
      <c r="N10" s="18">
        <v>16.899999999999999</v>
      </c>
      <c r="O10" s="12">
        <f t="shared" si="0"/>
        <v>1429.7</v>
      </c>
      <c r="P10" s="19">
        <f t="shared" si="1"/>
        <v>119.1</v>
      </c>
      <c r="Q10" s="14"/>
    </row>
    <row r="11" spans="2:17" ht="21.95" customHeight="1">
      <c r="B11" s="15">
        <v>2000</v>
      </c>
      <c r="C11" s="16">
        <v>33.700000000000003</v>
      </c>
      <c r="D11" s="16">
        <v>15.4</v>
      </c>
      <c r="E11" s="16">
        <v>19.899999999999999</v>
      </c>
      <c r="F11" s="16">
        <v>16.3</v>
      </c>
      <c r="G11" s="16">
        <v>47.7</v>
      </c>
      <c r="H11" s="16">
        <v>197.7</v>
      </c>
      <c r="I11" s="16">
        <v>321.39999999999998</v>
      </c>
      <c r="J11" s="16">
        <v>538.29999999999995</v>
      </c>
      <c r="K11" s="16">
        <v>228.7</v>
      </c>
      <c r="L11" s="16">
        <v>31.7</v>
      </c>
      <c r="M11" s="16">
        <v>53.8</v>
      </c>
      <c r="N11" s="18">
        <v>6.4</v>
      </c>
      <c r="O11" s="12">
        <f t="shared" si="0"/>
        <v>1511</v>
      </c>
      <c r="P11" s="19">
        <f t="shared" si="1"/>
        <v>125.9</v>
      </c>
      <c r="Q11" s="14"/>
    </row>
    <row r="12" spans="2:17" ht="21.95" customHeight="1">
      <c r="B12" s="15">
        <v>2001</v>
      </c>
      <c r="C12" s="16">
        <v>50.4</v>
      </c>
      <c r="D12" s="16">
        <v>83.9</v>
      </c>
      <c r="E12" s="16">
        <v>26.9</v>
      </c>
      <c r="F12" s="16">
        <v>43.7</v>
      </c>
      <c r="G12" s="16">
        <v>21.4</v>
      </c>
      <c r="H12" s="16">
        <v>245.8</v>
      </c>
      <c r="I12" s="16">
        <v>270.8</v>
      </c>
      <c r="J12" s="16">
        <v>113.2</v>
      </c>
      <c r="K12" s="16">
        <v>135.30000000000001</v>
      </c>
      <c r="L12" s="16">
        <v>69.7</v>
      </c>
      <c r="M12" s="16">
        <v>15.3</v>
      </c>
      <c r="N12" s="18">
        <v>53.5</v>
      </c>
      <c r="O12" s="12">
        <f t="shared" si="0"/>
        <v>1129.9000000000001</v>
      </c>
      <c r="P12" s="19">
        <f t="shared" si="1"/>
        <v>94.2</v>
      </c>
    </row>
    <row r="13" spans="2:17" ht="21.95" customHeight="1">
      <c r="B13" s="15">
        <v>2002</v>
      </c>
      <c r="C13" s="16">
        <v>95.7</v>
      </c>
      <c r="D13" s="16">
        <v>13.5</v>
      </c>
      <c r="E13" s="16">
        <v>46.5</v>
      </c>
      <c r="F13" s="16">
        <v>117.8</v>
      </c>
      <c r="G13" s="16">
        <v>100.5</v>
      </c>
      <c r="H13" s="16">
        <v>108.5</v>
      </c>
      <c r="I13" s="16">
        <v>180</v>
      </c>
      <c r="J13" s="16">
        <v>584</v>
      </c>
      <c r="K13" s="16">
        <v>109</v>
      </c>
      <c r="L13" s="16">
        <v>38.6</v>
      </c>
      <c r="M13" s="16">
        <v>34.1</v>
      </c>
      <c r="N13" s="18">
        <v>30.5</v>
      </c>
      <c r="O13" s="12">
        <f t="shared" si="0"/>
        <v>1458.7</v>
      </c>
      <c r="P13" s="19">
        <f t="shared" si="1"/>
        <v>121.6</v>
      </c>
    </row>
    <row r="14" spans="2:17" ht="21.95" customHeight="1">
      <c r="B14" s="15">
        <v>2003</v>
      </c>
      <c r="C14" s="16">
        <v>45</v>
      </c>
      <c r="D14" s="16">
        <v>52.2</v>
      </c>
      <c r="E14" s="16">
        <v>70.599999999999994</v>
      </c>
      <c r="F14" s="16">
        <v>243.9</v>
      </c>
      <c r="G14" s="16">
        <v>141</v>
      </c>
      <c r="H14" s="16">
        <v>150.19999999999999</v>
      </c>
      <c r="I14" s="16">
        <v>564.9</v>
      </c>
      <c r="J14" s="16">
        <v>411</v>
      </c>
      <c r="K14" s="16">
        <v>206.3</v>
      </c>
      <c r="L14" s="16">
        <v>36.200000000000003</v>
      </c>
      <c r="M14" s="16">
        <v>38.4</v>
      </c>
      <c r="N14" s="18">
        <v>34.4</v>
      </c>
      <c r="O14" s="12">
        <f t="shared" si="0"/>
        <v>1994.1</v>
      </c>
      <c r="P14" s="19">
        <f t="shared" si="1"/>
        <v>166.2</v>
      </c>
    </row>
    <row r="15" spans="2:17" ht="21.95" customHeight="1">
      <c r="B15" s="15">
        <v>2004</v>
      </c>
      <c r="C15" s="16">
        <v>14</v>
      </c>
      <c r="D15" s="16">
        <v>54</v>
      </c>
      <c r="E15" s="16">
        <v>38.4</v>
      </c>
      <c r="F15" s="16">
        <v>63.7</v>
      </c>
      <c r="G15" s="16">
        <v>101.1</v>
      </c>
      <c r="H15" s="16">
        <v>153.80000000000001</v>
      </c>
      <c r="I15" s="16">
        <v>409.5</v>
      </c>
      <c r="J15" s="16">
        <v>570.5</v>
      </c>
      <c r="K15" s="16">
        <v>242</v>
      </c>
      <c r="L15" s="16">
        <v>3.4</v>
      </c>
      <c r="M15" s="16">
        <v>63.1</v>
      </c>
      <c r="N15" s="18">
        <v>28.8</v>
      </c>
      <c r="O15" s="12">
        <f t="shared" si="0"/>
        <v>1742.3</v>
      </c>
      <c r="P15" s="19">
        <f t="shared" si="1"/>
        <v>145.19999999999999</v>
      </c>
    </row>
    <row r="16" spans="2:17" ht="21.95" customHeight="1">
      <c r="B16" s="15">
        <v>2005</v>
      </c>
      <c r="C16" s="16">
        <v>10.6</v>
      </c>
      <c r="D16" s="16">
        <v>48.3</v>
      </c>
      <c r="E16" s="16">
        <v>66.7</v>
      </c>
      <c r="F16" s="16">
        <v>92.5</v>
      </c>
      <c r="G16" s="16">
        <v>74.099999999999994</v>
      </c>
      <c r="H16" s="16">
        <v>185</v>
      </c>
      <c r="I16" s="16">
        <v>273.8</v>
      </c>
      <c r="J16" s="16">
        <v>303.3</v>
      </c>
      <c r="K16" s="16">
        <v>108.5</v>
      </c>
      <c r="L16" s="16">
        <v>17.399999999999999</v>
      </c>
      <c r="M16" s="16">
        <v>42.8</v>
      </c>
      <c r="N16" s="18">
        <v>66.599999999999994</v>
      </c>
      <c r="O16" s="12">
        <f t="shared" si="0"/>
        <v>1289.5999999999999</v>
      </c>
      <c r="P16" s="19">
        <f t="shared" si="1"/>
        <v>107.5</v>
      </c>
    </row>
    <row r="17" spans="2:16" ht="21.95" customHeight="1">
      <c r="B17" s="15">
        <v>2006</v>
      </c>
      <c r="C17" s="16">
        <v>16.100000000000001</v>
      </c>
      <c r="D17" s="16">
        <v>51.9</v>
      </c>
      <c r="E17" s="16">
        <v>15</v>
      </c>
      <c r="F17" s="16">
        <v>87.8</v>
      </c>
      <c r="G17" s="16">
        <v>204.3</v>
      </c>
      <c r="H17" s="16">
        <v>226.7</v>
      </c>
      <c r="I17" s="16">
        <v>478.3</v>
      </c>
      <c r="J17" s="16">
        <v>295.5</v>
      </c>
      <c r="K17" s="16">
        <v>46.8</v>
      </c>
      <c r="L17" s="16">
        <v>18.2</v>
      </c>
      <c r="M17" s="16">
        <v>41.7</v>
      </c>
      <c r="N17" s="18">
        <v>37.9</v>
      </c>
      <c r="O17" s="12">
        <f t="shared" si="0"/>
        <v>1520.2</v>
      </c>
      <c r="P17" s="19">
        <f t="shared" si="1"/>
        <v>126.7</v>
      </c>
    </row>
    <row r="18" spans="2:16" ht="21.95" customHeight="1">
      <c r="B18" s="15">
        <v>2007</v>
      </c>
      <c r="C18" s="16">
        <v>12.1</v>
      </c>
      <c r="D18" s="16">
        <v>79.099999999999994</v>
      </c>
      <c r="E18" s="16">
        <v>100.3</v>
      </c>
      <c r="F18" s="16">
        <v>38.700000000000003</v>
      </c>
      <c r="G18" s="16">
        <v>116</v>
      </c>
      <c r="H18" s="16">
        <v>52</v>
      </c>
      <c r="I18" s="16">
        <v>232</v>
      </c>
      <c r="J18" s="16">
        <v>339.3</v>
      </c>
      <c r="K18" s="16">
        <v>490.7</v>
      </c>
      <c r="L18" s="16">
        <v>95.5</v>
      </c>
      <c r="M18" s="16">
        <v>3.3</v>
      </c>
      <c r="N18" s="18">
        <v>61.6</v>
      </c>
      <c r="O18" s="12">
        <f t="shared" si="0"/>
        <v>1620.6</v>
      </c>
      <c r="P18" s="19">
        <f t="shared" si="1"/>
        <v>135.1</v>
      </c>
    </row>
    <row r="19" spans="2:16" ht="21.95" customHeight="1">
      <c r="B19" s="15">
        <v>2008</v>
      </c>
      <c r="C19" s="16">
        <v>56.9</v>
      </c>
      <c r="D19" s="16">
        <v>11.1</v>
      </c>
      <c r="E19" s="16">
        <v>36.700000000000003</v>
      </c>
      <c r="F19" s="16">
        <v>54.2</v>
      </c>
      <c r="G19" s="16">
        <v>150.6</v>
      </c>
      <c r="H19" s="16">
        <v>273.2</v>
      </c>
      <c r="I19" s="16">
        <v>139.19999999999999</v>
      </c>
      <c r="J19" s="16">
        <v>157.5</v>
      </c>
      <c r="K19" s="16">
        <v>58.9</v>
      </c>
      <c r="L19" s="16">
        <v>15.3</v>
      </c>
      <c r="M19" s="16">
        <v>39.1</v>
      </c>
      <c r="N19" s="18">
        <v>14.5</v>
      </c>
      <c r="O19" s="12">
        <f t="shared" si="0"/>
        <v>1007.2</v>
      </c>
      <c r="P19" s="19">
        <f t="shared" si="1"/>
        <v>83.9</v>
      </c>
    </row>
    <row r="20" spans="2:16" ht="21.95" customHeight="1">
      <c r="B20" s="15">
        <v>2009</v>
      </c>
      <c r="C20" s="16">
        <v>36</v>
      </c>
      <c r="D20" s="16">
        <v>71.900000000000006</v>
      </c>
      <c r="E20" s="16">
        <v>42.1</v>
      </c>
      <c r="F20" s="16">
        <v>35.700000000000003</v>
      </c>
      <c r="G20" s="16">
        <v>114.9</v>
      </c>
      <c r="H20" s="16">
        <v>181.1</v>
      </c>
      <c r="I20" s="16">
        <v>607.4</v>
      </c>
      <c r="J20" s="16">
        <v>263.10000000000002</v>
      </c>
      <c r="K20" s="16">
        <v>22.6</v>
      </c>
      <c r="L20" s="16">
        <v>36.200000000000003</v>
      </c>
      <c r="M20" s="16">
        <v>26.7</v>
      </c>
      <c r="N20" s="18">
        <v>50.5</v>
      </c>
      <c r="O20" s="12">
        <f t="shared" si="0"/>
        <v>1488.2</v>
      </c>
      <c r="P20" s="19">
        <f t="shared" si="1"/>
        <v>124</v>
      </c>
    </row>
    <row r="21" spans="2:16" ht="21.95" customHeight="1">
      <c r="B21" s="15">
        <v>2010</v>
      </c>
      <c r="C21" s="16">
        <v>37.1</v>
      </c>
      <c r="D21" s="16">
        <v>135.80000000000001</v>
      </c>
      <c r="E21" s="16">
        <v>76</v>
      </c>
      <c r="F21" s="16">
        <v>133</v>
      </c>
      <c r="G21" s="16">
        <v>99</v>
      </c>
      <c r="H21" s="16">
        <v>70.599999999999994</v>
      </c>
      <c r="I21" s="16">
        <v>453</v>
      </c>
      <c r="J21" s="16">
        <v>337.6</v>
      </c>
      <c r="K21" s="16">
        <v>139.69999999999999</v>
      </c>
      <c r="L21" s="16">
        <v>42</v>
      </c>
      <c r="M21" s="16">
        <v>7.4</v>
      </c>
      <c r="N21" s="18">
        <v>41.9</v>
      </c>
      <c r="O21" s="12">
        <f t="shared" si="0"/>
        <v>1573.1</v>
      </c>
      <c r="P21" s="19">
        <f t="shared" si="1"/>
        <v>131.1</v>
      </c>
    </row>
    <row r="22" spans="2:16" ht="21.95" customHeight="1">
      <c r="B22" s="15">
        <v>2011</v>
      </c>
      <c r="C22" s="16">
        <v>7.4</v>
      </c>
      <c r="D22" s="16">
        <v>59.8</v>
      </c>
      <c r="E22" s="16">
        <v>23.1</v>
      </c>
      <c r="F22" s="16">
        <v>103</v>
      </c>
      <c r="G22" s="16">
        <v>142.9</v>
      </c>
      <c r="H22" s="16">
        <v>120</v>
      </c>
      <c r="I22" s="16">
        <v>277.5</v>
      </c>
      <c r="J22" s="16">
        <v>382.5</v>
      </c>
      <c r="K22" s="16">
        <v>13.5</v>
      </c>
      <c r="L22" s="16">
        <v>20.5</v>
      </c>
      <c r="M22" s="16">
        <v>136.80000000000001</v>
      </c>
      <c r="N22" s="18">
        <v>13.3</v>
      </c>
      <c r="O22" s="12">
        <f t="shared" si="0"/>
        <v>1300.3</v>
      </c>
      <c r="P22" s="19">
        <f t="shared" si="1"/>
        <v>108.4</v>
      </c>
    </row>
    <row r="23" spans="2:16" ht="21.95" customHeight="1">
      <c r="B23" s="15">
        <v>2012</v>
      </c>
      <c r="C23" s="16">
        <v>15.2</v>
      </c>
      <c r="D23" s="16">
        <v>18.600000000000001</v>
      </c>
      <c r="E23" s="16">
        <v>100.4</v>
      </c>
      <c r="F23" s="16">
        <v>82.5</v>
      </c>
      <c r="G23" s="16">
        <v>42.6</v>
      </c>
      <c r="H23" s="16">
        <v>83.1</v>
      </c>
      <c r="I23" s="16">
        <v>330.6</v>
      </c>
      <c r="J23" s="16">
        <v>473.5</v>
      </c>
      <c r="K23" s="16">
        <v>272</v>
      </c>
      <c r="L23" s="16">
        <v>82.8</v>
      </c>
      <c r="M23" s="16">
        <v>45.9</v>
      </c>
      <c r="N23" s="18">
        <v>79.599999999999994</v>
      </c>
      <c r="O23" s="12">
        <f t="shared" si="0"/>
        <v>1626.8</v>
      </c>
      <c r="P23" s="19">
        <f t="shared" si="1"/>
        <v>135.6</v>
      </c>
    </row>
    <row r="24" spans="2:16" ht="21.95" customHeight="1">
      <c r="B24" s="15">
        <v>2013</v>
      </c>
      <c r="C24" s="16">
        <v>20.6</v>
      </c>
      <c r="D24" s="16">
        <v>48</v>
      </c>
      <c r="E24" s="16">
        <v>76.900000000000006</v>
      </c>
      <c r="F24" s="16">
        <v>54.9</v>
      </c>
      <c r="G24" s="16">
        <v>86.5</v>
      </c>
      <c r="H24" s="16">
        <v>83.7</v>
      </c>
      <c r="I24" s="16">
        <v>349.1</v>
      </c>
      <c r="J24" s="16">
        <v>293.2</v>
      </c>
      <c r="K24" s="16">
        <v>88.5</v>
      </c>
      <c r="L24" s="16">
        <v>30.8</v>
      </c>
      <c r="M24" s="16">
        <v>95</v>
      </c>
      <c r="N24" s="18">
        <v>18.2</v>
      </c>
      <c r="O24" s="12">
        <f t="shared" si="0"/>
        <v>1245.4000000000001</v>
      </c>
      <c r="P24" s="19">
        <f t="shared" si="1"/>
        <v>103.8</v>
      </c>
    </row>
    <row r="25" spans="2:16" ht="21.95" customHeight="1">
      <c r="B25" s="15">
        <v>2014</v>
      </c>
      <c r="C25" s="16">
        <v>12.9</v>
      </c>
      <c r="D25" s="16">
        <v>8.6</v>
      </c>
      <c r="E25" s="16">
        <v>101.7</v>
      </c>
      <c r="F25" s="16">
        <v>62.5</v>
      </c>
      <c r="G25" s="16">
        <v>57</v>
      </c>
      <c r="H25" s="16">
        <v>72</v>
      </c>
      <c r="I25" s="16">
        <v>240.9</v>
      </c>
      <c r="J25" s="16">
        <v>370.2</v>
      </c>
      <c r="K25" s="16">
        <v>116.5</v>
      </c>
      <c r="L25" s="16">
        <v>105</v>
      </c>
      <c r="M25" s="16">
        <v>95.5</v>
      </c>
      <c r="N25" s="18">
        <v>47.5</v>
      </c>
      <c r="O25" s="12">
        <f t="shared" si="0"/>
        <v>1290.3</v>
      </c>
      <c r="P25" s="19">
        <f t="shared" si="1"/>
        <v>107.5</v>
      </c>
    </row>
    <row r="26" spans="2:16" ht="21.95" customHeight="1">
      <c r="B26" s="15">
        <v>2015</v>
      </c>
      <c r="C26" s="16">
        <v>47.2</v>
      </c>
      <c r="D26" s="16">
        <v>23.9</v>
      </c>
      <c r="E26" s="16">
        <v>36.5</v>
      </c>
      <c r="F26" s="16">
        <v>145.5</v>
      </c>
      <c r="G26" s="16">
        <v>48.6</v>
      </c>
      <c r="H26" s="16">
        <v>96.1</v>
      </c>
      <c r="I26" s="16">
        <v>164.3</v>
      </c>
      <c r="J26" s="16">
        <v>148.9</v>
      </c>
      <c r="K26" s="16">
        <v>66.599999999999994</v>
      </c>
      <c r="L26" s="16">
        <v>90.9</v>
      </c>
      <c r="M26" s="16">
        <v>121.9</v>
      </c>
      <c r="N26" s="18">
        <v>59.2</v>
      </c>
      <c r="O26" s="12">
        <f t="shared" si="0"/>
        <v>1049.5999999999999</v>
      </c>
      <c r="P26" s="19">
        <f t="shared" si="1"/>
        <v>87.5</v>
      </c>
    </row>
    <row r="27" spans="2:16" ht="21.95" customHeight="1">
      <c r="B27" s="15">
        <v>2016</v>
      </c>
      <c r="C27" s="16">
        <v>49.7</v>
      </c>
      <c r="D27" s="16">
        <v>45.2</v>
      </c>
      <c r="E27" s="16">
        <v>55.2</v>
      </c>
      <c r="F27" s="16">
        <v>185</v>
      </c>
      <c r="G27" s="16">
        <v>104.5</v>
      </c>
      <c r="H27" s="16">
        <v>116.1</v>
      </c>
      <c r="I27" s="16">
        <v>301.3</v>
      </c>
      <c r="J27" s="16">
        <v>81</v>
      </c>
      <c r="K27" s="16">
        <v>251.2</v>
      </c>
      <c r="L27" s="16">
        <v>216.7</v>
      </c>
      <c r="M27" s="16">
        <v>31.5</v>
      </c>
      <c r="N27" s="18">
        <v>44.9</v>
      </c>
      <c r="O27" s="12">
        <f t="shared" si="0"/>
        <v>1482.3</v>
      </c>
      <c r="P27" s="19">
        <f t="shared" si="1"/>
        <v>123.5</v>
      </c>
    </row>
    <row r="28" spans="2:16" ht="21.95" customHeight="1">
      <c r="B28" s="15">
        <v>2017</v>
      </c>
      <c r="C28" s="16">
        <v>11.7</v>
      </c>
      <c r="D28" s="16">
        <v>41.9</v>
      </c>
      <c r="E28" s="16">
        <v>33.200000000000003</v>
      </c>
      <c r="F28" s="16">
        <v>60.6</v>
      </c>
      <c r="G28" s="16">
        <v>30.2</v>
      </c>
      <c r="H28" s="16">
        <v>42.1</v>
      </c>
      <c r="I28" s="16">
        <v>211.6</v>
      </c>
      <c r="J28" s="16">
        <v>280.5</v>
      </c>
      <c r="K28" s="16">
        <v>108.8</v>
      </c>
      <c r="L28" s="16">
        <v>85.4</v>
      </c>
      <c r="M28" s="16">
        <v>2.1</v>
      </c>
      <c r="N28" s="18">
        <v>28.5</v>
      </c>
      <c r="O28" s="12">
        <f t="shared" si="0"/>
        <v>936.6</v>
      </c>
      <c r="P28" s="19">
        <f t="shared" si="1"/>
        <v>78.099999999999994</v>
      </c>
    </row>
    <row r="29" spans="2:16" ht="21.95" customHeight="1">
      <c r="B29" s="15">
        <v>2018</v>
      </c>
      <c r="C29" s="16">
        <v>38.799999999999997</v>
      </c>
      <c r="D29" s="16">
        <v>22</v>
      </c>
      <c r="E29" s="16">
        <v>115.8</v>
      </c>
      <c r="F29" s="16">
        <v>127.4</v>
      </c>
      <c r="G29" s="16">
        <v>85.4</v>
      </c>
      <c r="H29" s="16">
        <v>222.4</v>
      </c>
      <c r="I29" s="16">
        <v>84.5</v>
      </c>
      <c r="J29" s="16">
        <v>397.1</v>
      </c>
      <c r="K29" s="16">
        <v>129.69999999999999</v>
      </c>
      <c r="L29" s="16">
        <v>125.2</v>
      </c>
      <c r="M29" s="16">
        <v>47.2</v>
      </c>
      <c r="N29" s="18">
        <v>32.4</v>
      </c>
      <c r="O29" s="12">
        <f t="shared" si="0"/>
        <v>1427.9</v>
      </c>
      <c r="P29" s="19">
        <f t="shared" si="1"/>
        <v>119</v>
      </c>
    </row>
    <row r="30" spans="2:16" ht="21.95" customHeight="1">
      <c r="B30" s="15">
        <v>2019</v>
      </c>
      <c r="C30" s="16">
        <v>16.399999999999999</v>
      </c>
      <c r="D30" s="16">
        <v>37</v>
      </c>
      <c r="E30" s="16">
        <v>33.9</v>
      </c>
      <c r="F30" s="16">
        <v>84.7</v>
      </c>
      <c r="G30" s="16">
        <v>78.8</v>
      </c>
      <c r="H30" s="16">
        <v>158</v>
      </c>
      <c r="I30" s="16">
        <v>242.2</v>
      </c>
      <c r="J30" s="16">
        <v>64.8</v>
      </c>
      <c r="K30" s="16">
        <v>165.8</v>
      </c>
      <c r="L30" s="16">
        <v>149.9</v>
      </c>
      <c r="M30" s="16">
        <v>22.8</v>
      </c>
      <c r="N30" s="18">
        <v>31.6</v>
      </c>
      <c r="O30" s="12">
        <f t="shared" si="0"/>
        <v>1085.9000000000001</v>
      </c>
      <c r="P30" s="19">
        <f t="shared" si="1"/>
        <v>90.5</v>
      </c>
    </row>
    <row r="31" spans="2:16" ht="21.95" customHeight="1">
      <c r="B31" s="15">
        <v>2020</v>
      </c>
      <c r="C31" s="16">
        <v>74.900000000000006</v>
      </c>
      <c r="D31" s="16">
        <v>47.8</v>
      </c>
      <c r="E31" s="16">
        <v>43.5</v>
      </c>
      <c r="F31" s="16">
        <v>55.3</v>
      </c>
      <c r="G31" s="16">
        <v>96.8</v>
      </c>
      <c r="H31" s="16">
        <v>199.9</v>
      </c>
      <c r="I31" s="16">
        <v>533.29999999999995</v>
      </c>
      <c r="J31" s="16">
        <v>738.1</v>
      </c>
      <c r="K31" s="16">
        <v>178.3</v>
      </c>
      <c r="L31" s="16">
        <v>12.1</v>
      </c>
      <c r="M31" s="16">
        <v>28.3</v>
      </c>
      <c r="N31" s="18">
        <v>18.7</v>
      </c>
      <c r="O31" s="12">
        <f t="shared" si="0"/>
        <v>2027</v>
      </c>
      <c r="P31" s="19">
        <f t="shared" si="1"/>
        <v>168.9</v>
      </c>
    </row>
    <row r="32" spans="2:16" ht="21.95" customHeight="1">
      <c r="B32" s="15">
        <v>2021</v>
      </c>
      <c r="C32" s="16">
        <v>33</v>
      </c>
      <c r="D32" s="16">
        <v>31.1</v>
      </c>
      <c r="E32" s="16">
        <v>122.4</v>
      </c>
      <c r="F32" s="16">
        <v>34.200000000000003</v>
      </c>
      <c r="G32" s="16">
        <v>139.4</v>
      </c>
      <c r="H32" s="16">
        <v>118.1</v>
      </c>
      <c r="I32" s="16">
        <v>227.6</v>
      </c>
      <c r="J32" s="16">
        <v>338.7</v>
      </c>
      <c r="K32" s="16">
        <v>131.1</v>
      </c>
      <c r="L32" s="16">
        <v>35.299999999999997</v>
      </c>
      <c r="M32" s="16">
        <v>85.8</v>
      </c>
      <c r="N32" s="18">
        <v>7.1</v>
      </c>
      <c r="O32" s="12">
        <f t="shared" si="0"/>
        <v>1303.8</v>
      </c>
      <c r="P32" s="19">
        <f t="shared" si="1"/>
        <v>108.7</v>
      </c>
    </row>
    <row r="33" spans="2:16" ht="21.95" customHeight="1">
      <c r="B33" s="15">
        <v>2022</v>
      </c>
      <c r="C33" s="16">
        <v>0.3</v>
      </c>
      <c r="D33" s="16">
        <v>2.7</v>
      </c>
      <c r="E33" s="16">
        <v>105.2</v>
      </c>
      <c r="F33" s="16">
        <v>49.4</v>
      </c>
      <c r="G33" s="16">
        <v>0.4</v>
      </c>
      <c r="H33" s="16">
        <v>131.69999999999999</v>
      </c>
      <c r="I33" s="16">
        <v>169</v>
      </c>
      <c r="J33" s="16">
        <v>106.4</v>
      </c>
      <c r="K33" s="16">
        <v>89.2</v>
      </c>
      <c r="L33" s="16">
        <v>38.299999999999997</v>
      </c>
      <c r="M33" s="16">
        <v>46.7</v>
      </c>
      <c r="N33" s="18">
        <v>30.6</v>
      </c>
      <c r="O33" s="12">
        <f t="shared" si="0"/>
        <v>769.9</v>
      </c>
      <c r="P33" s="19">
        <f t="shared" si="1"/>
        <v>64.2</v>
      </c>
    </row>
    <row r="34" spans="2:16" ht="21.95" customHeight="1">
      <c r="B34" s="15">
        <v>2023</v>
      </c>
      <c r="C34" s="16">
        <v>26.8</v>
      </c>
      <c r="D34" s="16">
        <v>14.8</v>
      </c>
      <c r="E34" s="16">
        <v>34.799999999999997</v>
      </c>
      <c r="F34" s="16">
        <v>66.5</v>
      </c>
      <c r="G34" s="16">
        <v>190.1</v>
      </c>
      <c r="H34" s="16">
        <v>441.2</v>
      </c>
      <c r="I34" s="16">
        <v>684.6</v>
      </c>
      <c r="J34" s="16">
        <v>341.2</v>
      </c>
      <c r="K34" s="16">
        <v>152.5</v>
      </c>
      <c r="L34" s="16">
        <v>11.5</v>
      </c>
      <c r="M34" s="16">
        <v>71.900000000000006</v>
      </c>
      <c r="N34" s="18">
        <v>80.2</v>
      </c>
      <c r="O34" s="12">
        <f t="shared" si="0"/>
        <v>2116.1</v>
      </c>
      <c r="P34" s="19">
        <f t="shared" si="1"/>
        <v>176.3</v>
      </c>
    </row>
    <row r="35" spans="2:16" ht="21.95" customHeight="1" thickBot="1">
      <c r="B35" s="33">
        <v>2024</v>
      </c>
      <c r="C35" s="34">
        <v>31.1</v>
      </c>
      <c r="D35" s="34">
        <v>111.3</v>
      </c>
      <c r="E35" s="34">
        <v>79.5</v>
      </c>
      <c r="F35" s="34">
        <v>79.599999999999994</v>
      </c>
      <c r="G35" s="34">
        <v>102</v>
      </c>
      <c r="H35" s="34">
        <v>149.1</v>
      </c>
      <c r="I35" s="34">
        <v>250.4</v>
      </c>
      <c r="J35" s="34">
        <v>132.1</v>
      </c>
      <c r="K35" s="34">
        <v>181.4</v>
      </c>
      <c r="L35" s="34">
        <v>98.2</v>
      </c>
      <c r="M35" s="34">
        <v>66.5</v>
      </c>
      <c r="N35" s="35">
        <v>9.8000000000000007</v>
      </c>
      <c r="O35" s="36">
        <f t="shared" si="0"/>
        <v>1291</v>
      </c>
      <c r="P35" s="37">
        <f t="shared" si="1"/>
        <v>107.6</v>
      </c>
    </row>
    <row r="36" spans="2:16" ht="21.95" customHeight="1">
      <c r="B36" s="38" t="s">
        <v>13</v>
      </c>
      <c r="C36" s="39">
        <f>ROUND(MAX(C6:C35),1)</f>
        <v>95.7</v>
      </c>
      <c r="D36" s="39">
        <f t="shared" ref="D36:N36" si="2">ROUND(MAX(D6:D35),1)</f>
        <v>135.80000000000001</v>
      </c>
      <c r="E36" s="39">
        <f t="shared" si="2"/>
        <v>127.4</v>
      </c>
      <c r="F36" s="39">
        <f t="shared" si="2"/>
        <v>243.9</v>
      </c>
      <c r="G36" s="39">
        <f t="shared" si="2"/>
        <v>204.3</v>
      </c>
      <c r="H36" s="39">
        <f t="shared" si="2"/>
        <v>441.2</v>
      </c>
      <c r="I36" s="39">
        <f t="shared" si="2"/>
        <v>684.6</v>
      </c>
      <c r="J36" s="39">
        <f t="shared" si="2"/>
        <v>738.1</v>
      </c>
      <c r="K36" s="39">
        <f t="shared" si="2"/>
        <v>490.7</v>
      </c>
      <c r="L36" s="39">
        <f t="shared" si="2"/>
        <v>216.7</v>
      </c>
      <c r="M36" s="39">
        <f t="shared" si="2"/>
        <v>136.80000000000001</v>
      </c>
      <c r="N36" s="40">
        <f t="shared" si="2"/>
        <v>80.2</v>
      </c>
      <c r="O36" s="41">
        <f>ROUND(MAX(O6:O35),1)</f>
        <v>2116.1</v>
      </c>
      <c r="P36" s="42">
        <f>ROUND(MAX(P6:P35),1)</f>
        <v>176.3</v>
      </c>
    </row>
    <row r="37" spans="2:16" ht="21.95" customHeight="1">
      <c r="B37" s="43" t="s">
        <v>14</v>
      </c>
      <c r="C37" s="44">
        <f>ROUND(MIN(C6:C35),1)</f>
        <v>0.3</v>
      </c>
      <c r="D37" s="44">
        <f t="shared" ref="D37:N37" si="3">ROUND(MIN(D6:D35),1)</f>
        <v>2.7</v>
      </c>
      <c r="E37" s="44">
        <f t="shared" si="3"/>
        <v>15</v>
      </c>
      <c r="F37" s="44">
        <f t="shared" si="3"/>
        <v>16.3</v>
      </c>
      <c r="G37" s="44">
        <f t="shared" si="3"/>
        <v>0.4</v>
      </c>
      <c r="H37" s="44">
        <f t="shared" si="3"/>
        <v>42.1</v>
      </c>
      <c r="I37" s="44">
        <f t="shared" si="3"/>
        <v>84.5</v>
      </c>
      <c r="J37" s="44">
        <f t="shared" si="3"/>
        <v>64.8</v>
      </c>
      <c r="K37" s="44">
        <f t="shared" si="3"/>
        <v>13.5</v>
      </c>
      <c r="L37" s="44">
        <f t="shared" si="3"/>
        <v>3.4</v>
      </c>
      <c r="M37" s="44">
        <f t="shared" si="3"/>
        <v>2.1</v>
      </c>
      <c r="N37" s="19">
        <f t="shared" si="3"/>
        <v>2.2999999999999998</v>
      </c>
      <c r="O37" s="45">
        <f>ROUND(MIN(O6:O35),1)</f>
        <v>764.4</v>
      </c>
      <c r="P37" s="46">
        <f>ROUND(MIN(P6:P35),1)</f>
        <v>63.7</v>
      </c>
    </row>
    <row r="38" spans="2:16" ht="21.95" customHeight="1" thickBot="1">
      <c r="B38" s="47" t="s">
        <v>18</v>
      </c>
      <c r="C38" s="48">
        <f>ROUND(AVERAGE(C6:C35),1)</f>
        <v>32.299999999999997</v>
      </c>
      <c r="D38" s="48">
        <f t="shared" ref="D38:P38" si="4">ROUND(AVERAGE(D6:D35),1)</f>
        <v>43.3</v>
      </c>
      <c r="E38" s="48">
        <f t="shared" si="4"/>
        <v>63.8</v>
      </c>
      <c r="F38" s="48">
        <f t="shared" si="4"/>
        <v>84</v>
      </c>
      <c r="G38" s="48">
        <f t="shared" si="4"/>
        <v>94.5</v>
      </c>
      <c r="H38" s="48">
        <f t="shared" si="4"/>
        <v>165.3</v>
      </c>
      <c r="I38" s="48">
        <f t="shared" si="4"/>
        <v>302.8</v>
      </c>
      <c r="J38" s="48">
        <f t="shared" si="4"/>
        <v>322.5</v>
      </c>
      <c r="K38" s="48">
        <f t="shared" si="4"/>
        <v>148.69999999999999</v>
      </c>
      <c r="L38" s="48">
        <f t="shared" si="4"/>
        <v>59.4</v>
      </c>
      <c r="M38" s="48">
        <f t="shared" si="4"/>
        <v>53.4</v>
      </c>
      <c r="N38" s="49">
        <f t="shared" si="4"/>
        <v>35.799999999999997</v>
      </c>
      <c r="O38" s="50">
        <f t="shared" si="4"/>
        <v>1405.8</v>
      </c>
      <c r="P38" s="51">
        <f t="shared" si="4"/>
        <v>117.2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47.2</v>
      </c>
      <c r="D44" s="53">
        <f t="shared" si="5"/>
        <v>23.9</v>
      </c>
      <c r="E44" s="53">
        <f t="shared" si="5"/>
        <v>36.5</v>
      </c>
      <c r="F44" s="53">
        <f t="shared" si="5"/>
        <v>145.5</v>
      </c>
      <c r="G44" s="53">
        <f t="shared" si="5"/>
        <v>48.6</v>
      </c>
      <c r="H44" s="53">
        <f t="shared" si="5"/>
        <v>96.1</v>
      </c>
      <c r="I44" s="53">
        <f t="shared" si="5"/>
        <v>164.3</v>
      </c>
      <c r="J44" s="53">
        <f t="shared" si="5"/>
        <v>148.9</v>
      </c>
      <c r="K44" s="53">
        <f t="shared" si="5"/>
        <v>66.599999999999994</v>
      </c>
      <c r="L44" s="53">
        <f t="shared" si="5"/>
        <v>90.9</v>
      </c>
      <c r="M44" s="53">
        <f t="shared" si="5"/>
        <v>121.9</v>
      </c>
      <c r="N44" s="54">
        <f t="shared" si="5"/>
        <v>59.2</v>
      </c>
      <c r="O44" s="55">
        <f>ROUND(SUM(C44:N44),1)</f>
        <v>1049.5999999999999</v>
      </c>
      <c r="P44" s="46">
        <f>ROUND(O44/12,1)</f>
        <v>87.5</v>
      </c>
    </row>
    <row r="45" spans="2:16" ht="21.95" customHeight="1">
      <c r="B45" s="52">
        <f t="shared" ref="B45:N53" si="6">B27</f>
        <v>2016</v>
      </c>
      <c r="C45" s="53">
        <f t="shared" si="6"/>
        <v>49.7</v>
      </c>
      <c r="D45" s="53">
        <f t="shared" si="6"/>
        <v>45.2</v>
      </c>
      <c r="E45" s="53">
        <f t="shared" si="6"/>
        <v>55.2</v>
      </c>
      <c r="F45" s="53">
        <f t="shared" si="6"/>
        <v>185</v>
      </c>
      <c r="G45" s="53">
        <f t="shared" si="6"/>
        <v>104.5</v>
      </c>
      <c r="H45" s="53">
        <f t="shared" si="6"/>
        <v>116.1</v>
      </c>
      <c r="I45" s="53">
        <f t="shared" si="6"/>
        <v>301.3</v>
      </c>
      <c r="J45" s="53">
        <f t="shared" si="6"/>
        <v>81</v>
      </c>
      <c r="K45" s="53">
        <f t="shared" si="6"/>
        <v>251.2</v>
      </c>
      <c r="L45" s="53">
        <f t="shared" si="6"/>
        <v>216.7</v>
      </c>
      <c r="M45" s="53">
        <f t="shared" si="6"/>
        <v>31.5</v>
      </c>
      <c r="N45" s="54">
        <f t="shared" si="6"/>
        <v>44.9</v>
      </c>
      <c r="O45" s="55">
        <f t="shared" ref="O45:O53" si="7">ROUND(SUM(C45:N45),1)</f>
        <v>1482.3</v>
      </c>
      <c r="P45" s="46">
        <f t="shared" ref="P45:P53" si="8">ROUND(O45/12,1)</f>
        <v>123.5</v>
      </c>
    </row>
    <row r="46" spans="2:16" ht="21.95" customHeight="1">
      <c r="B46" s="52">
        <f t="shared" si="6"/>
        <v>2017</v>
      </c>
      <c r="C46" s="53">
        <f t="shared" si="6"/>
        <v>11.7</v>
      </c>
      <c r="D46" s="53">
        <f t="shared" si="6"/>
        <v>41.9</v>
      </c>
      <c r="E46" s="53">
        <f t="shared" si="6"/>
        <v>33.200000000000003</v>
      </c>
      <c r="F46" s="53">
        <f t="shared" si="6"/>
        <v>60.6</v>
      </c>
      <c r="G46" s="53">
        <f t="shared" si="6"/>
        <v>30.2</v>
      </c>
      <c r="H46" s="53">
        <f t="shared" si="6"/>
        <v>42.1</v>
      </c>
      <c r="I46" s="53">
        <f t="shared" si="6"/>
        <v>211.6</v>
      </c>
      <c r="J46" s="53">
        <f t="shared" si="6"/>
        <v>280.5</v>
      </c>
      <c r="K46" s="53">
        <f t="shared" si="6"/>
        <v>108.8</v>
      </c>
      <c r="L46" s="53">
        <f t="shared" si="6"/>
        <v>85.4</v>
      </c>
      <c r="M46" s="53">
        <f t="shared" si="6"/>
        <v>2.1</v>
      </c>
      <c r="N46" s="54">
        <f t="shared" si="6"/>
        <v>28.5</v>
      </c>
      <c r="O46" s="55">
        <f t="shared" si="7"/>
        <v>936.6</v>
      </c>
      <c r="P46" s="46">
        <f t="shared" si="8"/>
        <v>78.099999999999994</v>
      </c>
    </row>
    <row r="47" spans="2:16" ht="21.95" customHeight="1">
      <c r="B47" s="52">
        <f t="shared" si="6"/>
        <v>2018</v>
      </c>
      <c r="C47" s="53">
        <f t="shared" si="6"/>
        <v>38.799999999999997</v>
      </c>
      <c r="D47" s="53">
        <f t="shared" si="6"/>
        <v>22</v>
      </c>
      <c r="E47" s="53">
        <f t="shared" si="6"/>
        <v>115.8</v>
      </c>
      <c r="F47" s="53">
        <f t="shared" si="6"/>
        <v>127.4</v>
      </c>
      <c r="G47" s="53">
        <f t="shared" si="6"/>
        <v>85.4</v>
      </c>
      <c r="H47" s="53">
        <f t="shared" si="6"/>
        <v>222.4</v>
      </c>
      <c r="I47" s="53">
        <f t="shared" si="6"/>
        <v>84.5</v>
      </c>
      <c r="J47" s="53">
        <f t="shared" si="6"/>
        <v>397.1</v>
      </c>
      <c r="K47" s="53">
        <f t="shared" si="6"/>
        <v>129.69999999999999</v>
      </c>
      <c r="L47" s="53">
        <f t="shared" si="6"/>
        <v>125.2</v>
      </c>
      <c r="M47" s="53">
        <f t="shared" si="6"/>
        <v>47.2</v>
      </c>
      <c r="N47" s="54">
        <f t="shared" si="6"/>
        <v>32.4</v>
      </c>
      <c r="O47" s="55">
        <f>ROUND(SUM(C47:N47),1)</f>
        <v>1427.9</v>
      </c>
      <c r="P47" s="46">
        <f t="shared" si="8"/>
        <v>119</v>
      </c>
    </row>
    <row r="48" spans="2:16" ht="21.95" customHeight="1">
      <c r="B48" s="52">
        <f t="shared" si="6"/>
        <v>2019</v>
      </c>
      <c r="C48" s="53">
        <f t="shared" si="6"/>
        <v>16.399999999999999</v>
      </c>
      <c r="D48" s="53">
        <f t="shared" si="6"/>
        <v>37</v>
      </c>
      <c r="E48" s="53">
        <f t="shared" si="6"/>
        <v>33.9</v>
      </c>
      <c r="F48" s="53">
        <f t="shared" si="6"/>
        <v>84.7</v>
      </c>
      <c r="G48" s="53">
        <f t="shared" si="6"/>
        <v>78.8</v>
      </c>
      <c r="H48" s="53">
        <f t="shared" si="6"/>
        <v>158</v>
      </c>
      <c r="I48" s="53">
        <f t="shared" si="6"/>
        <v>242.2</v>
      </c>
      <c r="J48" s="53">
        <f t="shared" si="6"/>
        <v>64.8</v>
      </c>
      <c r="K48" s="53">
        <f t="shared" si="6"/>
        <v>165.8</v>
      </c>
      <c r="L48" s="53">
        <f t="shared" si="6"/>
        <v>149.9</v>
      </c>
      <c r="M48" s="53">
        <f t="shared" si="6"/>
        <v>22.8</v>
      </c>
      <c r="N48" s="54">
        <f t="shared" si="6"/>
        <v>31.6</v>
      </c>
      <c r="O48" s="55">
        <f t="shared" si="7"/>
        <v>1085.9000000000001</v>
      </c>
      <c r="P48" s="46">
        <f t="shared" si="8"/>
        <v>90.5</v>
      </c>
    </row>
    <row r="49" spans="2:16" ht="21.95" customHeight="1">
      <c r="B49" s="52">
        <f t="shared" si="6"/>
        <v>2020</v>
      </c>
      <c r="C49" s="53">
        <f t="shared" si="6"/>
        <v>74.900000000000006</v>
      </c>
      <c r="D49" s="53">
        <f t="shared" si="6"/>
        <v>47.8</v>
      </c>
      <c r="E49" s="53">
        <f t="shared" si="6"/>
        <v>43.5</v>
      </c>
      <c r="F49" s="53">
        <f t="shared" si="6"/>
        <v>55.3</v>
      </c>
      <c r="G49" s="53">
        <f t="shared" si="6"/>
        <v>96.8</v>
      </c>
      <c r="H49" s="53">
        <f t="shared" si="6"/>
        <v>199.9</v>
      </c>
      <c r="I49" s="53">
        <f t="shared" si="6"/>
        <v>533.29999999999995</v>
      </c>
      <c r="J49" s="53">
        <f t="shared" si="6"/>
        <v>738.1</v>
      </c>
      <c r="K49" s="53">
        <f t="shared" si="6"/>
        <v>178.3</v>
      </c>
      <c r="L49" s="53">
        <f t="shared" si="6"/>
        <v>12.1</v>
      </c>
      <c r="M49" s="53">
        <f t="shared" si="6"/>
        <v>28.3</v>
      </c>
      <c r="N49" s="54">
        <f t="shared" si="6"/>
        <v>18.7</v>
      </c>
      <c r="O49" s="55">
        <f t="shared" si="7"/>
        <v>2027</v>
      </c>
      <c r="P49" s="46">
        <f t="shared" si="8"/>
        <v>168.9</v>
      </c>
    </row>
    <row r="50" spans="2:16" ht="21.95" customHeight="1">
      <c r="B50" s="52">
        <f t="shared" si="6"/>
        <v>2021</v>
      </c>
      <c r="C50" s="53">
        <f t="shared" si="6"/>
        <v>33</v>
      </c>
      <c r="D50" s="53">
        <f t="shared" si="6"/>
        <v>31.1</v>
      </c>
      <c r="E50" s="53">
        <f t="shared" si="6"/>
        <v>122.4</v>
      </c>
      <c r="F50" s="53">
        <f t="shared" si="6"/>
        <v>34.200000000000003</v>
      </c>
      <c r="G50" s="53">
        <f t="shared" si="6"/>
        <v>139.4</v>
      </c>
      <c r="H50" s="53">
        <f t="shared" si="6"/>
        <v>118.1</v>
      </c>
      <c r="I50" s="53">
        <f t="shared" si="6"/>
        <v>227.6</v>
      </c>
      <c r="J50" s="53">
        <f t="shared" si="6"/>
        <v>338.7</v>
      </c>
      <c r="K50" s="53">
        <f t="shared" si="6"/>
        <v>131.1</v>
      </c>
      <c r="L50" s="53">
        <f t="shared" si="6"/>
        <v>35.299999999999997</v>
      </c>
      <c r="M50" s="53">
        <f t="shared" si="6"/>
        <v>85.8</v>
      </c>
      <c r="N50" s="54">
        <f t="shared" si="6"/>
        <v>7.1</v>
      </c>
      <c r="O50" s="55">
        <f t="shared" si="7"/>
        <v>1303.8</v>
      </c>
      <c r="P50" s="46">
        <f t="shared" si="8"/>
        <v>108.7</v>
      </c>
    </row>
    <row r="51" spans="2:16" ht="21.95" customHeight="1">
      <c r="B51" s="52">
        <f t="shared" si="6"/>
        <v>2022</v>
      </c>
      <c r="C51" s="53">
        <f t="shared" si="6"/>
        <v>0.3</v>
      </c>
      <c r="D51" s="53">
        <f t="shared" si="6"/>
        <v>2.7</v>
      </c>
      <c r="E51" s="53">
        <f t="shared" si="6"/>
        <v>105.2</v>
      </c>
      <c r="F51" s="53">
        <f t="shared" si="6"/>
        <v>49.4</v>
      </c>
      <c r="G51" s="53">
        <f t="shared" si="6"/>
        <v>0.4</v>
      </c>
      <c r="H51" s="53">
        <f t="shared" si="6"/>
        <v>131.69999999999999</v>
      </c>
      <c r="I51" s="53">
        <f t="shared" si="6"/>
        <v>169</v>
      </c>
      <c r="J51" s="53">
        <f t="shared" si="6"/>
        <v>106.4</v>
      </c>
      <c r="K51" s="53">
        <f t="shared" si="6"/>
        <v>89.2</v>
      </c>
      <c r="L51" s="53">
        <f t="shared" si="6"/>
        <v>38.299999999999997</v>
      </c>
      <c r="M51" s="53">
        <f t="shared" si="6"/>
        <v>46.7</v>
      </c>
      <c r="N51" s="54">
        <f t="shared" si="6"/>
        <v>30.6</v>
      </c>
      <c r="O51" s="55">
        <f t="shared" si="7"/>
        <v>769.9</v>
      </c>
      <c r="P51" s="46">
        <f t="shared" si="8"/>
        <v>64.2</v>
      </c>
    </row>
    <row r="52" spans="2:16" ht="21.95" customHeight="1">
      <c r="B52" s="52">
        <f t="shared" si="6"/>
        <v>2023</v>
      </c>
      <c r="C52" s="53">
        <f t="shared" si="6"/>
        <v>26.8</v>
      </c>
      <c r="D52" s="53">
        <f t="shared" si="6"/>
        <v>14.8</v>
      </c>
      <c r="E52" s="53">
        <f t="shared" si="6"/>
        <v>34.799999999999997</v>
      </c>
      <c r="F52" s="53">
        <f t="shared" si="6"/>
        <v>66.5</v>
      </c>
      <c r="G52" s="53">
        <f t="shared" si="6"/>
        <v>190.1</v>
      </c>
      <c r="H52" s="53">
        <f t="shared" si="6"/>
        <v>441.2</v>
      </c>
      <c r="I52" s="53">
        <f t="shared" si="6"/>
        <v>684.6</v>
      </c>
      <c r="J52" s="53">
        <f t="shared" si="6"/>
        <v>341.2</v>
      </c>
      <c r="K52" s="53">
        <f t="shared" si="6"/>
        <v>152.5</v>
      </c>
      <c r="L52" s="53">
        <f t="shared" si="6"/>
        <v>11.5</v>
      </c>
      <c r="M52" s="53">
        <f t="shared" si="6"/>
        <v>71.900000000000006</v>
      </c>
      <c r="N52" s="54">
        <f t="shared" si="6"/>
        <v>80.2</v>
      </c>
      <c r="O52" s="55">
        <f t="shared" si="7"/>
        <v>2116.1</v>
      </c>
      <c r="P52" s="46">
        <f t="shared" si="8"/>
        <v>176.3</v>
      </c>
    </row>
    <row r="53" spans="2:16" ht="21.95" customHeight="1" thickBot="1">
      <c r="B53" s="56">
        <f t="shared" si="6"/>
        <v>2024</v>
      </c>
      <c r="C53" s="57">
        <f t="shared" si="6"/>
        <v>31.1</v>
      </c>
      <c r="D53" s="57">
        <f t="shared" si="6"/>
        <v>111.3</v>
      </c>
      <c r="E53" s="57">
        <f t="shared" si="6"/>
        <v>79.5</v>
      </c>
      <c r="F53" s="57">
        <f t="shared" si="6"/>
        <v>79.599999999999994</v>
      </c>
      <c r="G53" s="57">
        <f t="shared" si="6"/>
        <v>102</v>
      </c>
      <c r="H53" s="57">
        <f t="shared" si="6"/>
        <v>149.1</v>
      </c>
      <c r="I53" s="57">
        <f t="shared" si="6"/>
        <v>250.4</v>
      </c>
      <c r="J53" s="57">
        <f t="shared" si="6"/>
        <v>132.1</v>
      </c>
      <c r="K53" s="57">
        <f t="shared" si="6"/>
        <v>181.4</v>
      </c>
      <c r="L53" s="57">
        <f t="shared" si="6"/>
        <v>98.2</v>
      </c>
      <c r="M53" s="57">
        <f t="shared" si="6"/>
        <v>66.5</v>
      </c>
      <c r="N53" s="58">
        <f t="shared" si="6"/>
        <v>9.8000000000000007</v>
      </c>
      <c r="O53" s="59">
        <f t="shared" si="7"/>
        <v>1291</v>
      </c>
      <c r="P53" s="51">
        <f t="shared" si="8"/>
        <v>107.6</v>
      </c>
    </row>
    <row r="54" spans="2:16" ht="21.95" customHeight="1">
      <c r="B54" s="60" t="s">
        <v>19</v>
      </c>
      <c r="C54" s="61">
        <f>MAX(C44:C53)</f>
        <v>74.900000000000006</v>
      </c>
      <c r="D54" s="61">
        <f t="shared" ref="D54:P54" si="9">MAX(D44:D53)</f>
        <v>111.3</v>
      </c>
      <c r="E54" s="61">
        <f t="shared" si="9"/>
        <v>122.4</v>
      </c>
      <c r="F54" s="61">
        <f t="shared" si="9"/>
        <v>185</v>
      </c>
      <c r="G54" s="61">
        <f t="shared" si="9"/>
        <v>190.1</v>
      </c>
      <c r="H54" s="61">
        <f t="shared" si="9"/>
        <v>441.2</v>
      </c>
      <c r="I54" s="61">
        <f t="shared" si="9"/>
        <v>684.6</v>
      </c>
      <c r="J54" s="61">
        <f t="shared" si="9"/>
        <v>738.1</v>
      </c>
      <c r="K54" s="61">
        <f t="shared" si="9"/>
        <v>251.2</v>
      </c>
      <c r="L54" s="61">
        <f t="shared" si="9"/>
        <v>216.7</v>
      </c>
      <c r="M54" s="61">
        <f t="shared" si="9"/>
        <v>121.9</v>
      </c>
      <c r="N54" s="62">
        <f t="shared" si="9"/>
        <v>80.2</v>
      </c>
      <c r="O54" s="63">
        <f t="shared" si="9"/>
        <v>2116.1</v>
      </c>
      <c r="P54" s="62">
        <f t="shared" si="9"/>
        <v>176.3</v>
      </c>
    </row>
    <row r="55" spans="2:16" ht="21.95" customHeight="1">
      <c r="B55" s="64" t="s">
        <v>20</v>
      </c>
      <c r="C55" s="65">
        <f>MIN(C44:C53)</f>
        <v>0.3</v>
      </c>
      <c r="D55" s="65">
        <f t="shared" ref="D55:P55" si="10">MIN(D44:D53)</f>
        <v>2.7</v>
      </c>
      <c r="E55" s="65">
        <f t="shared" si="10"/>
        <v>33.200000000000003</v>
      </c>
      <c r="F55" s="65">
        <f t="shared" si="10"/>
        <v>34.200000000000003</v>
      </c>
      <c r="G55" s="65">
        <f t="shared" si="10"/>
        <v>0.4</v>
      </c>
      <c r="H55" s="65">
        <f t="shared" si="10"/>
        <v>42.1</v>
      </c>
      <c r="I55" s="65">
        <f t="shared" si="10"/>
        <v>84.5</v>
      </c>
      <c r="J55" s="65">
        <f t="shared" si="10"/>
        <v>64.8</v>
      </c>
      <c r="K55" s="65">
        <f t="shared" si="10"/>
        <v>66.599999999999994</v>
      </c>
      <c r="L55" s="65">
        <f t="shared" si="10"/>
        <v>11.5</v>
      </c>
      <c r="M55" s="65">
        <f t="shared" si="10"/>
        <v>2.1</v>
      </c>
      <c r="N55" s="46">
        <f t="shared" si="10"/>
        <v>7.1</v>
      </c>
      <c r="O55" s="55">
        <f>MIN(O44:O53)</f>
        <v>769.9</v>
      </c>
      <c r="P55" s="46">
        <f t="shared" si="10"/>
        <v>64.2</v>
      </c>
    </row>
    <row r="56" spans="2:16" ht="21.95" customHeight="1" thickBot="1">
      <c r="B56" s="66" t="s">
        <v>7</v>
      </c>
      <c r="C56" s="67">
        <f>ROUND(AVERAGE(C44:C53),1)</f>
        <v>33</v>
      </c>
      <c r="D56" s="67">
        <f t="shared" ref="D56:N56" si="11">ROUND(AVERAGE(D44:D53),1)</f>
        <v>37.799999999999997</v>
      </c>
      <c r="E56" s="67">
        <f t="shared" si="11"/>
        <v>66</v>
      </c>
      <c r="F56" s="67">
        <f t="shared" si="11"/>
        <v>88.8</v>
      </c>
      <c r="G56" s="67">
        <f t="shared" si="11"/>
        <v>87.6</v>
      </c>
      <c r="H56" s="67">
        <f t="shared" si="11"/>
        <v>167.5</v>
      </c>
      <c r="I56" s="67">
        <f t="shared" si="11"/>
        <v>286.89999999999998</v>
      </c>
      <c r="J56" s="67">
        <f t="shared" si="11"/>
        <v>262.89999999999998</v>
      </c>
      <c r="K56" s="67">
        <f t="shared" si="11"/>
        <v>145.5</v>
      </c>
      <c r="L56" s="67">
        <f t="shared" si="11"/>
        <v>86.4</v>
      </c>
      <c r="M56" s="67">
        <f t="shared" si="11"/>
        <v>52.5</v>
      </c>
      <c r="N56" s="51">
        <f t="shared" si="11"/>
        <v>34.299999999999997</v>
      </c>
      <c r="O56" s="59">
        <f>ROUND(AVERAGE(O44:O53),1)</f>
        <v>1349</v>
      </c>
      <c r="P56" s="51">
        <f>ROUND(AVERAGE(P44:P53),1)</f>
        <v>112.4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7BA3C-B902-4643-B0FE-222B1C01FFE1}">
  <sheetPr codeName="Sheet27">
    <tabColor rgb="FFFFFF00"/>
  </sheetPr>
  <dimension ref="A2:Q983"/>
  <sheetViews>
    <sheetView zoomScaleNormal="100" workbookViewId="0">
      <selection activeCell="K19" sqref="K19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294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14.2</v>
      </c>
      <c r="D6" s="9">
        <v>2.2999999999999998</v>
      </c>
      <c r="E6" s="9">
        <v>49.1</v>
      </c>
      <c r="F6" s="9">
        <v>35.700000000000003</v>
      </c>
      <c r="G6" s="9">
        <v>43.6</v>
      </c>
      <c r="H6" s="9">
        <v>83.4</v>
      </c>
      <c r="I6" s="9">
        <v>367.8</v>
      </c>
      <c r="J6" s="10">
        <v>621.4</v>
      </c>
      <c r="K6" s="9">
        <v>57.2</v>
      </c>
      <c r="L6" s="9">
        <v>27</v>
      </c>
      <c r="M6" s="9">
        <v>23.2</v>
      </c>
      <c r="N6" s="11">
        <v>1.3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17" ht="21.95" customHeight="1">
      <c r="B7" s="15">
        <v>1996</v>
      </c>
      <c r="C7" s="16">
        <v>11.1</v>
      </c>
      <c r="D7" s="16">
        <v>0.7</v>
      </c>
      <c r="E7" s="16">
        <v>85.4</v>
      </c>
      <c r="F7" s="16">
        <v>64</v>
      </c>
      <c r="G7" s="16">
        <v>19.899999999999999</v>
      </c>
      <c r="H7" s="16">
        <v>236.8</v>
      </c>
      <c r="I7" s="16">
        <v>276.10000000000002</v>
      </c>
      <c r="J7" s="17">
        <v>69.599999999999994</v>
      </c>
      <c r="K7" s="16">
        <v>7.5</v>
      </c>
      <c r="L7" s="16">
        <v>76.8</v>
      </c>
      <c r="M7" s="16">
        <v>70.7</v>
      </c>
      <c r="N7" s="18">
        <v>10</v>
      </c>
      <c r="O7" s="12">
        <f t="shared" si="0"/>
        <v>928.6</v>
      </c>
      <c r="P7" s="19">
        <f t="shared" ref="P7:P35" si="1">ROUND(O7/12,1)</f>
        <v>77.400000000000006</v>
      </c>
      <c r="Q7" s="14"/>
    </row>
    <row r="8" spans="2:17" ht="21.95" customHeight="1">
      <c r="B8" s="15">
        <v>1997</v>
      </c>
      <c r="C8" s="16">
        <v>14.3</v>
      </c>
      <c r="D8" s="16">
        <v>33</v>
      </c>
      <c r="E8" s="16">
        <v>20.5</v>
      </c>
      <c r="F8" s="16">
        <v>49.3</v>
      </c>
      <c r="G8" s="16">
        <v>285.5</v>
      </c>
      <c r="H8" s="16">
        <v>75.599999999999994</v>
      </c>
      <c r="I8" s="16">
        <v>229.9</v>
      </c>
      <c r="J8" s="16">
        <v>343.5</v>
      </c>
      <c r="K8" s="16">
        <v>52.9</v>
      </c>
      <c r="L8" s="16">
        <v>17.600000000000001</v>
      </c>
      <c r="M8" s="16">
        <v>95.8</v>
      </c>
      <c r="N8" s="18">
        <v>40</v>
      </c>
      <c r="O8" s="12">
        <f t="shared" si="0"/>
        <v>1257.9000000000001</v>
      </c>
      <c r="P8" s="19">
        <f t="shared" si="1"/>
        <v>104.8</v>
      </c>
      <c r="Q8" s="14"/>
    </row>
    <row r="9" spans="2:17" ht="21.95" customHeight="1">
      <c r="B9" s="15">
        <v>1998</v>
      </c>
      <c r="C9" s="16">
        <v>17</v>
      </c>
      <c r="D9" s="16">
        <v>40.4</v>
      </c>
      <c r="E9" s="16">
        <v>42.4</v>
      </c>
      <c r="F9" s="16">
        <v>110.6</v>
      </c>
      <c r="G9" s="16">
        <v>103.2</v>
      </c>
      <c r="H9" s="16">
        <v>187.4</v>
      </c>
      <c r="I9" s="16">
        <v>326.3</v>
      </c>
      <c r="J9" s="16">
        <v>568.1</v>
      </c>
      <c r="K9" s="16">
        <v>190.6</v>
      </c>
      <c r="L9" s="16">
        <v>20.6</v>
      </c>
      <c r="M9" s="16">
        <v>29.4</v>
      </c>
      <c r="N9" s="18">
        <v>2.1</v>
      </c>
      <c r="O9" s="12">
        <f t="shared" si="0"/>
        <v>1638.1</v>
      </c>
      <c r="P9" s="19">
        <f t="shared" si="1"/>
        <v>136.5</v>
      </c>
      <c r="Q9" s="14"/>
    </row>
    <row r="10" spans="2:17" ht="21.95" customHeight="1">
      <c r="B10" s="15">
        <v>1999</v>
      </c>
      <c r="C10" s="16">
        <v>13.6</v>
      </c>
      <c r="D10" s="16">
        <v>1.9</v>
      </c>
      <c r="E10" s="16">
        <v>55.5</v>
      </c>
      <c r="F10" s="16">
        <v>82.6</v>
      </c>
      <c r="G10" s="16">
        <v>109.6</v>
      </c>
      <c r="H10" s="16">
        <v>67.400000000000006</v>
      </c>
      <c r="I10" s="16">
        <v>187.4</v>
      </c>
      <c r="J10" s="16">
        <v>565.1</v>
      </c>
      <c r="K10" s="16">
        <v>247.6</v>
      </c>
      <c r="L10" s="16">
        <v>91.4</v>
      </c>
      <c r="M10" s="16">
        <v>31.7</v>
      </c>
      <c r="N10" s="18">
        <v>18.7</v>
      </c>
      <c r="O10" s="12">
        <f t="shared" si="0"/>
        <v>1472.5</v>
      </c>
      <c r="P10" s="19">
        <f t="shared" si="1"/>
        <v>122.7</v>
      </c>
      <c r="Q10" s="14"/>
    </row>
    <row r="11" spans="2:17" ht="21.95" customHeight="1">
      <c r="B11" s="15">
        <v>2000</v>
      </c>
      <c r="C11" s="16">
        <v>47.1</v>
      </c>
      <c r="D11" s="16">
        <v>1.5</v>
      </c>
      <c r="E11" s="16">
        <v>2.7</v>
      </c>
      <c r="F11" s="16">
        <v>27.1</v>
      </c>
      <c r="G11" s="16">
        <v>63.5</v>
      </c>
      <c r="H11" s="16">
        <v>62.3</v>
      </c>
      <c r="I11" s="16">
        <v>78.7</v>
      </c>
      <c r="J11" s="16">
        <v>591</v>
      </c>
      <c r="K11" s="16">
        <v>210.2</v>
      </c>
      <c r="L11" s="16">
        <v>20.9</v>
      </c>
      <c r="M11" s="16">
        <v>32.299999999999997</v>
      </c>
      <c r="N11" s="18">
        <v>22.1</v>
      </c>
      <c r="O11" s="12">
        <f t="shared" si="0"/>
        <v>1159.4000000000001</v>
      </c>
      <c r="P11" s="19">
        <f t="shared" si="1"/>
        <v>96.6</v>
      </c>
      <c r="Q11" s="14"/>
    </row>
    <row r="12" spans="2:17" ht="21.95" customHeight="1">
      <c r="B12" s="15">
        <v>2001</v>
      </c>
      <c r="C12" s="16">
        <v>40.200000000000003</v>
      </c>
      <c r="D12" s="16">
        <v>37.299999999999997</v>
      </c>
      <c r="E12" s="16">
        <v>12.1</v>
      </c>
      <c r="F12" s="16">
        <v>6.7</v>
      </c>
      <c r="G12" s="16">
        <v>19.7</v>
      </c>
      <c r="H12" s="16">
        <v>153.4</v>
      </c>
      <c r="I12" s="16">
        <v>591.70000000000005</v>
      </c>
      <c r="J12" s="16">
        <v>168.4</v>
      </c>
      <c r="K12" s="16">
        <v>3.4</v>
      </c>
      <c r="L12" s="16">
        <v>77</v>
      </c>
      <c r="M12" s="16">
        <v>14</v>
      </c>
      <c r="N12" s="18">
        <v>20.6</v>
      </c>
      <c r="O12" s="12">
        <f t="shared" si="0"/>
        <v>1144.5</v>
      </c>
      <c r="P12" s="19">
        <f t="shared" si="1"/>
        <v>95.4</v>
      </c>
    </row>
    <row r="13" spans="2:17" ht="21.95" customHeight="1">
      <c r="B13" s="15">
        <v>2002</v>
      </c>
      <c r="C13" s="16">
        <v>35.299999999999997</v>
      </c>
      <c r="D13" s="16">
        <v>2.2999999999999998</v>
      </c>
      <c r="E13" s="16">
        <v>28.3</v>
      </c>
      <c r="F13" s="16">
        <v>139.5</v>
      </c>
      <c r="G13" s="16">
        <v>66.900000000000006</v>
      </c>
      <c r="H13" s="16">
        <v>45.2</v>
      </c>
      <c r="I13" s="16">
        <v>214.7</v>
      </c>
      <c r="J13" s="16">
        <v>411.4</v>
      </c>
      <c r="K13" s="16">
        <v>24.9</v>
      </c>
      <c r="L13" s="16">
        <v>40.9</v>
      </c>
      <c r="M13" s="16">
        <v>14.2</v>
      </c>
      <c r="N13" s="18">
        <v>10.1</v>
      </c>
      <c r="O13" s="12">
        <f t="shared" si="0"/>
        <v>1033.7</v>
      </c>
      <c r="P13" s="19">
        <f t="shared" si="1"/>
        <v>86.1</v>
      </c>
    </row>
    <row r="14" spans="2:17" ht="21.95" customHeight="1">
      <c r="B14" s="15">
        <v>2003</v>
      </c>
      <c r="C14" s="16">
        <v>9.5</v>
      </c>
      <c r="D14" s="16">
        <v>31.7</v>
      </c>
      <c r="E14" s="16">
        <v>26.3</v>
      </c>
      <c r="F14" s="16">
        <v>129</v>
      </c>
      <c r="G14" s="16">
        <v>99.6</v>
      </c>
      <c r="H14" s="16">
        <v>148.80000000000001</v>
      </c>
      <c r="I14" s="16">
        <v>351.4</v>
      </c>
      <c r="J14" s="16">
        <v>588.29999999999995</v>
      </c>
      <c r="K14" s="16">
        <v>210.5</v>
      </c>
      <c r="L14" s="16">
        <v>35.5</v>
      </c>
      <c r="M14" s="16">
        <v>61.2</v>
      </c>
      <c r="N14" s="18">
        <v>10.4</v>
      </c>
      <c r="O14" s="12">
        <f t="shared" si="0"/>
        <v>1702.2</v>
      </c>
      <c r="P14" s="19">
        <f t="shared" si="1"/>
        <v>141.9</v>
      </c>
    </row>
    <row r="15" spans="2:17" ht="21.95" customHeight="1">
      <c r="B15" s="15">
        <v>2004</v>
      </c>
      <c r="C15" s="16">
        <v>18.5</v>
      </c>
      <c r="D15" s="16">
        <v>48</v>
      </c>
      <c r="E15" s="16">
        <v>14.2</v>
      </c>
      <c r="F15" s="16">
        <v>64.400000000000006</v>
      </c>
      <c r="G15" s="16">
        <v>169</v>
      </c>
      <c r="H15" s="16">
        <v>97.5</v>
      </c>
      <c r="I15" s="16">
        <v>410.4</v>
      </c>
      <c r="J15" s="16">
        <v>111</v>
      </c>
      <c r="K15" s="16">
        <v>259.10000000000002</v>
      </c>
      <c r="L15" s="16">
        <v>5</v>
      </c>
      <c r="M15" s="16">
        <v>87.4</v>
      </c>
      <c r="N15" s="18">
        <v>23</v>
      </c>
      <c r="O15" s="12">
        <f t="shared" si="0"/>
        <v>1307.5</v>
      </c>
      <c r="P15" s="19">
        <f t="shared" si="1"/>
        <v>109</v>
      </c>
    </row>
    <row r="16" spans="2:17" ht="21.95" customHeight="1">
      <c r="B16" s="15">
        <v>2005</v>
      </c>
      <c r="C16" s="16">
        <v>2.5</v>
      </c>
      <c r="D16" s="16">
        <v>17</v>
      </c>
      <c r="E16" s="16">
        <v>12.9</v>
      </c>
      <c r="F16" s="16">
        <v>76.400000000000006</v>
      </c>
      <c r="G16" s="16">
        <v>82</v>
      </c>
      <c r="H16" s="16">
        <v>145.30000000000001</v>
      </c>
      <c r="I16" s="16">
        <v>228.9</v>
      </c>
      <c r="J16" s="16">
        <v>201.3</v>
      </c>
      <c r="K16" s="16">
        <v>302.60000000000002</v>
      </c>
      <c r="L16" s="16">
        <v>41.3</v>
      </c>
      <c r="M16" s="16">
        <v>38.700000000000003</v>
      </c>
      <c r="N16" s="18">
        <v>6.9</v>
      </c>
      <c r="O16" s="12">
        <f t="shared" si="0"/>
        <v>1155.8</v>
      </c>
      <c r="P16" s="19">
        <f t="shared" si="1"/>
        <v>96.3</v>
      </c>
    </row>
    <row r="17" spans="2:16" ht="21.95" customHeight="1">
      <c r="B17" s="15">
        <v>2006</v>
      </c>
      <c r="C17" s="16">
        <v>33.200000000000003</v>
      </c>
      <c r="D17" s="16">
        <v>14.9</v>
      </c>
      <c r="E17" s="16">
        <v>5</v>
      </c>
      <c r="F17" s="16">
        <v>35</v>
      </c>
      <c r="G17" s="16">
        <v>186.5</v>
      </c>
      <c r="H17" s="16">
        <v>134</v>
      </c>
      <c r="I17" s="16">
        <v>765</v>
      </c>
      <c r="J17" s="16">
        <v>36.200000000000003</v>
      </c>
      <c r="K17" s="16">
        <v>11.2</v>
      </c>
      <c r="L17" s="16">
        <v>19.5</v>
      </c>
      <c r="M17" s="16">
        <v>36.200000000000003</v>
      </c>
      <c r="N17" s="18">
        <v>23.4</v>
      </c>
      <c r="O17" s="12">
        <f t="shared" si="0"/>
        <v>1300.0999999999999</v>
      </c>
      <c r="P17" s="19">
        <f t="shared" si="1"/>
        <v>108.3</v>
      </c>
    </row>
    <row r="18" spans="2:16" ht="21.95" customHeight="1">
      <c r="B18" s="15">
        <v>2007</v>
      </c>
      <c r="C18" s="16">
        <v>3.5</v>
      </c>
      <c r="D18" s="16">
        <v>10</v>
      </c>
      <c r="E18" s="16">
        <v>108.3</v>
      </c>
      <c r="F18" s="16">
        <v>28</v>
      </c>
      <c r="G18" s="16">
        <v>134.1</v>
      </c>
      <c r="H18" s="16">
        <v>59.5</v>
      </c>
      <c r="I18" s="16">
        <v>228.5</v>
      </c>
      <c r="J18" s="16">
        <v>239</v>
      </c>
      <c r="K18" s="16">
        <v>224.4</v>
      </c>
      <c r="L18" s="16">
        <v>52.7</v>
      </c>
      <c r="M18" s="16">
        <v>24.9</v>
      </c>
      <c r="N18" s="18">
        <v>7.1</v>
      </c>
      <c r="O18" s="12">
        <f t="shared" si="0"/>
        <v>1120</v>
      </c>
      <c r="P18" s="19">
        <f t="shared" si="1"/>
        <v>93.3</v>
      </c>
    </row>
    <row r="19" spans="2:16" ht="21.95" customHeight="1">
      <c r="B19" s="15">
        <v>2008</v>
      </c>
      <c r="C19" s="16">
        <v>13.7</v>
      </c>
      <c r="D19" s="16">
        <v>4.9000000000000004</v>
      </c>
      <c r="E19" s="16">
        <v>45.8</v>
      </c>
      <c r="F19" s="16">
        <v>48.5</v>
      </c>
      <c r="G19" s="16">
        <v>63.9</v>
      </c>
      <c r="H19" s="16">
        <v>102.3</v>
      </c>
      <c r="I19" s="16">
        <v>522.79999999999995</v>
      </c>
      <c r="J19" s="16">
        <v>165.7</v>
      </c>
      <c r="K19" s="16">
        <v>76</v>
      </c>
      <c r="L19" s="16">
        <v>55.7</v>
      </c>
      <c r="M19" s="16">
        <v>18</v>
      </c>
      <c r="N19" s="18">
        <v>20.100000000000001</v>
      </c>
      <c r="O19" s="12">
        <f t="shared" si="0"/>
        <v>1137.4000000000001</v>
      </c>
      <c r="P19" s="19">
        <f t="shared" si="1"/>
        <v>94.8</v>
      </c>
    </row>
    <row r="20" spans="2:16" ht="21.95" customHeight="1">
      <c r="B20" s="15">
        <v>2009</v>
      </c>
      <c r="C20" s="16">
        <v>6.1</v>
      </c>
      <c r="D20" s="16">
        <v>25.1</v>
      </c>
      <c r="E20" s="16">
        <v>64.099999999999994</v>
      </c>
      <c r="F20" s="16">
        <v>40.4</v>
      </c>
      <c r="G20" s="16">
        <v>134.5</v>
      </c>
      <c r="H20" s="16">
        <v>91.4</v>
      </c>
      <c r="I20" s="16">
        <v>470.6</v>
      </c>
      <c r="J20" s="16">
        <v>316</v>
      </c>
      <c r="K20" s="16">
        <v>51</v>
      </c>
      <c r="L20" s="16">
        <v>88.5</v>
      </c>
      <c r="M20" s="16">
        <v>77</v>
      </c>
      <c r="N20" s="18">
        <v>17.399999999999999</v>
      </c>
      <c r="O20" s="12">
        <f t="shared" si="0"/>
        <v>1382.1</v>
      </c>
      <c r="P20" s="19">
        <f t="shared" si="1"/>
        <v>115.2</v>
      </c>
    </row>
    <row r="21" spans="2:16" ht="21.95" customHeight="1">
      <c r="B21" s="15">
        <v>2010</v>
      </c>
      <c r="C21" s="16">
        <v>29.2</v>
      </c>
      <c r="D21" s="16">
        <v>50.1</v>
      </c>
      <c r="E21" s="16">
        <v>62.9</v>
      </c>
      <c r="F21" s="16">
        <v>57.3</v>
      </c>
      <c r="G21" s="16">
        <v>104.9</v>
      </c>
      <c r="H21" s="16">
        <v>200.2</v>
      </c>
      <c r="I21" s="16">
        <v>275.39999999999998</v>
      </c>
      <c r="J21" s="16">
        <v>485.1</v>
      </c>
      <c r="K21" s="16">
        <v>454.1</v>
      </c>
      <c r="L21" s="16">
        <v>29</v>
      </c>
      <c r="M21" s="16">
        <v>13.4</v>
      </c>
      <c r="N21" s="18">
        <v>16.100000000000001</v>
      </c>
      <c r="O21" s="12">
        <f t="shared" si="0"/>
        <v>1777.7</v>
      </c>
      <c r="P21" s="19">
        <f t="shared" si="1"/>
        <v>148.1</v>
      </c>
    </row>
    <row r="22" spans="2:16" ht="21.95" customHeight="1">
      <c r="B22" s="15">
        <v>2011</v>
      </c>
      <c r="C22" s="16">
        <v>7</v>
      </c>
      <c r="D22" s="16">
        <v>32.5</v>
      </c>
      <c r="E22" s="16">
        <v>14.5</v>
      </c>
      <c r="F22" s="16">
        <v>127.6</v>
      </c>
      <c r="G22" s="16">
        <v>44.2</v>
      </c>
      <c r="H22" s="16">
        <v>307.60000000000002</v>
      </c>
      <c r="I22" s="16">
        <v>864.2</v>
      </c>
      <c r="J22" s="16">
        <v>208.4</v>
      </c>
      <c r="K22" s="16">
        <v>26.4</v>
      </c>
      <c r="L22" s="16">
        <v>30.3</v>
      </c>
      <c r="M22" s="16">
        <v>55.7</v>
      </c>
      <c r="N22" s="18">
        <v>7.1</v>
      </c>
      <c r="O22" s="12">
        <f t="shared" si="0"/>
        <v>1725.5</v>
      </c>
      <c r="P22" s="19">
        <f t="shared" si="1"/>
        <v>143.80000000000001</v>
      </c>
    </row>
    <row r="23" spans="2:16" ht="21.95" customHeight="1">
      <c r="B23" s="15">
        <v>2012</v>
      </c>
      <c r="C23" s="16">
        <v>4</v>
      </c>
      <c r="D23" s="16">
        <v>0</v>
      </c>
      <c r="E23" s="16">
        <v>26.6</v>
      </c>
      <c r="F23" s="16">
        <v>104.5</v>
      </c>
      <c r="G23" s="16">
        <v>14</v>
      </c>
      <c r="H23" s="16">
        <v>90.8</v>
      </c>
      <c r="I23" s="16">
        <v>425.3</v>
      </c>
      <c r="J23" s="16">
        <v>365.2</v>
      </c>
      <c r="K23" s="16">
        <v>161.1</v>
      </c>
      <c r="L23" s="16">
        <v>77.7</v>
      </c>
      <c r="M23" s="16">
        <v>95.5</v>
      </c>
      <c r="N23" s="18">
        <v>50.4</v>
      </c>
      <c r="O23" s="12">
        <f t="shared" si="0"/>
        <v>1415.1</v>
      </c>
      <c r="P23" s="19">
        <f t="shared" si="1"/>
        <v>117.9</v>
      </c>
    </row>
    <row r="24" spans="2:16" ht="21.95" customHeight="1">
      <c r="B24" s="15">
        <v>2013</v>
      </c>
      <c r="C24" s="16">
        <v>25.5</v>
      </c>
      <c r="D24" s="16">
        <v>68.900000000000006</v>
      </c>
      <c r="E24" s="16">
        <v>30.7</v>
      </c>
      <c r="F24" s="16">
        <v>52.5</v>
      </c>
      <c r="G24" s="16">
        <v>126.2</v>
      </c>
      <c r="H24" s="16">
        <v>36.9</v>
      </c>
      <c r="I24" s="16">
        <v>447.4</v>
      </c>
      <c r="J24" s="16">
        <v>120.7</v>
      </c>
      <c r="K24" s="16">
        <v>204.5</v>
      </c>
      <c r="L24" s="16">
        <v>5.0999999999999996</v>
      </c>
      <c r="M24" s="16">
        <v>44.8</v>
      </c>
      <c r="N24" s="18">
        <v>23.4</v>
      </c>
      <c r="O24" s="12">
        <f t="shared" si="0"/>
        <v>1186.5999999999999</v>
      </c>
      <c r="P24" s="19">
        <f t="shared" si="1"/>
        <v>98.9</v>
      </c>
    </row>
    <row r="25" spans="2:16" ht="21.95" customHeight="1">
      <c r="B25" s="15">
        <v>2014</v>
      </c>
      <c r="C25" s="16">
        <v>7.9</v>
      </c>
      <c r="D25" s="16">
        <v>16.7</v>
      </c>
      <c r="E25" s="16">
        <v>8.5</v>
      </c>
      <c r="F25" s="16">
        <v>44.1</v>
      </c>
      <c r="G25" s="16">
        <v>74.3</v>
      </c>
      <c r="H25" s="16">
        <v>62.8</v>
      </c>
      <c r="I25" s="16">
        <v>227.2</v>
      </c>
      <c r="J25" s="16">
        <v>122.1</v>
      </c>
      <c r="K25" s="16">
        <v>93.9</v>
      </c>
      <c r="L25" s="16">
        <v>60.3</v>
      </c>
      <c r="M25" s="16">
        <v>46</v>
      </c>
      <c r="N25" s="18">
        <v>24.3</v>
      </c>
      <c r="O25" s="12">
        <f t="shared" si="0"/>
        <v>788.1</v>
      </c>
      <c r="P25" s="19">
        <f t="shared" si="1"/>
        <v>65.7</v>
      </c>
    </row>
    <row r="26" spans="2:16" ht="21.95" customHeight="1">
      <c r="B26" s="15">
        <v>2015</v>
      </c>
      <c r="C26" s="16">
        <v>10.3</v>
      </c>
      <c r="D26" s="16">
        <v>22.8</v>
      </c>
      <c r="E26" s="16">
        <v>10</v>
      </c>
      <c r="F26" s="16">
        <v>53.7</v>
      </c>
      <c r="G26" s="16">
        <v>30.1</v>
      </c>
      <c r="H26" s="16">
        <v>63.6</v>
      </c>
      <c r="I26" s="16">
        <v>175.8</v>
      </c>
      <c r="J26" s="16">
        <v>45.5</v>
      </c>
      <c r="K26" s="16">
        <v>13.5</v>
      </c>
      <c r="L26" s="16">
        <v>87</v>
      </c>
      <c r="M26" s="16">
        <v>107.7</v>
      </c>
      <c r="N26" s="18">
        <v>32</v>
      </c>
      <c r="O26" s="12">
        <f t="shared" si="0"/>
        <v>652</v>
      </c>
      <c r="P26" s="19">
        <f t="shared" si="1"/>
        <v>54.3</v>
      </c>
    </row>
    <row r="27" spans="2:16" ht="21.95" customHeight="1">
      <c r="B27" s="15">
        <v>2016</v>
      </c>
      <c r="C27" s="16">
        <v>2.8</v>
      </c>
      <c r="D27" s="16">
        <v>43.1</v>
      </c>
      <c r="E27" s="16">
        <v>44.1</v>
      </c>
      <c r="F27" s="16">
        <v>80.8</v>
      </c>
      <c r="G27" s="16">
        <v>148.5</v>
      </c>
      <c r="H27" s="16">
        <v>19.5</v>
      </c>
      <c r="I27" s="16">
        <v>300.5</v>
      </c>
      <c r="J27" s="16">
        <v>26.5</v>
      </c>
      <c r="K27" s="16">
        <v>34.5</v>
      </c>
      <c r="L27" s="16">
        <v>78.7</v>
      </c>
      <c r="M27" s="16">
        <v>18.2</v>
      </c>
      <c r="N27" s="18">
        <v>67.099999999999994</v>
      </c>
      <c r="O27" s="12">
        <f t="shared" si="0"/>
        <v>864.3</v>
      </c>
      <c r="P27" s="19">
        <f t="shared" si="1"/>
        <v>72</v>
      </c>
    </row>
    <row r="28" spans="2:16" ht="21.95" customHeight="1">
      <c r="B28" s="15">
        <v>2017</v>
      </c>
      <c r="C28" s="16">
        <v>20.6</v>
      </c>
      <c r="D28" s="16">
        <v>16.2</v>
      </c>
      <c r="E28" s="16">
        <v>9.6999999999999993</v>
      </c>
      <c r="F28" s="16">
        <v>57</v>
      </c>
      <c r="G28" s="16">
        <v>21.6</v>
      </c>
      <c r="H28" s="16">
        <v>49.3</v>
      </c>
      <c r="I28" s="16">
        <v>478.3</v>
      </c>
      <c r="J28" s="16">
        <v>250.5</v>
      </c>
      <c r="K28" s="16">
        <v>21.6</v>
      </c>
      <c r="L28" s="16">
        <v>21.8</v>
      </c>
      <c r="M28" s="16">
        <v>42.2</v>
      </c>
      <c r="N28" s="18">
        <v>40.1</v>
      </c>
      <c r="O28" s="12">
        <f t="shared" si="0"/>
        <v>1028.9000000000001</v>
      </c>
      <c r="P28" s="19">
        <f t="shared" si="1"/>
        <v>85.7</v>
      </c>
    </row>
    <row r="29" spans="2:16" ht="21.95" customHeight="1">
      <c r="B29" s="15">
        <v>2018</v>
      </c>
      <c r="C29" s="16">
        <v>4.5</v>
      </c>
      <c r="D29" s="16">
        <v>27</v>
      </c>
      <c r="E29" s="16">
        <v>78.599999999999994</v>
      </c>
      <c r="F29" s="16">
        <v>112.2</v>
      </c>
      <c r="G29" s="16">
        <v>158.9</v>
      </c>
      <c r="H29" s="16">
        <v>144</v>
      </c>
      <c r="I29" s="16">
        <v>148.80000000000001</v>
      </c>
      <c r="J29" s="16">
        <v>214.9</v>
      </c>
      <c r="K29" s="16">
        <v>46.1</v>
      </c>
      <c r="L29" s="16">
        <v>116.2</v>
      </c>
      <c r="M29" s="16">
        <v>66.599999999999994</v>
      </c>
      <c r="N29" s="18">
        <v>16.600000000000001</v>
      </c>
      <c r="O29" s="12">
        <f t="shared" si="0"/>
        <v>1134.4000000000001</v>
      </c>
      <c r="P29" s="19">
        <f t="shared" si="1"/>
        <v>94.5</v>
      </c>
    </row>
    <row r="30" spans="2:16" ht="21.95" customHeight="1">
      <c r="B30" s="15">
        <v>2019</v>
      </c>
      <c r="C30" s="16">
        <v>0.7</v>
      </c>
      <c r="D30" s="16">
        <v>26.6</v>
      </c>
      <c r="E30" s="16">
        <v>28.4</v>
      </c>
      <c r="F30" s="16">
        <v>41.1</v>
      </c>
      <c r="G30" s="16">
        <v>33.200000000000003</v>
      </c>
      <c r="H30" s="16">
        <v>49.7</v>
      </c>
      <c r="I30" s="16">
        <v>220.8</v>
      </c>
      <c r="J30" s="16">
        <v>143.69999999999999</v>
      </c>
      <c r="K30" s="16">
        <v>229</v>
      </c>
      <c r="L30" s="16">
        <v>31.9</v>
      </c>
      <c r="M30" s="16">
        <v>89.4</v>
      </c>
      <c r="N30" s="18">
        <v>25</v>
      </c>
      <c r="O30" s="12">
        <f t="shared" si="0"/>
        <v>919.5</v>
      </c>
      <c r="P30" s="19">
        <f t="shared" si="1"/>
        <v>76.599999999999994</v>
      </c>
    </row>
    <row r="31" spans="2:16" ht="21.95" customHeight="1">
      <c r="B31" s="15">
        <v>2020</v>
      </c>
      <c r="C31" s="16">
        <v>48.6</v>
      </c>
      <c r="D31" s="16">
        <v>49.7</v>
      </c>
      <c r="E31" s="16">
        <v>10.7</v>
      </c>
      <c r="F31" s="16">
        <v>13.8</v>
      </c>
      <c r="G31" s="16">
        <v>101.2</v>
      </c>
      <c r="H31" s="16">
        <v>100.2</v>
      </c>
      <c r="I31" s="16">
        <v>243.5</v>
      </c>
      <c r="J31" s="16">
        <v>486.4</v>
      </c>
      <c r="K31" s="16">
        <v>167.7</v>
      </c>
      <c r="L31" s="16">
        <v>1.9</v>
      </c>
      <c r="M31" s="16">
        <v>81.599999999999994</v>
      </c>
      <c r="N31" s="18">
        <v>6.6</v>
      </c>
      <c r="O31" s="12">
        <f t="shared" si="0"/>
        <v>1311.9</v>
      </c>
      <c r="P31" s="19">
        <f t="shared" si="1"/>
        <v>109.3</v>
      </c>
    </row>
    <row r="32" spans="2:16" ht="21.95" customHeight="1">
      <c r="B32" s="15">
        <v>2021</v>
      </c>
      <c r="C32" s="16">
        <v>20.8</v>
      </c>
      <c r="D32" s="16">
        <v>6.6</v>
      </c>
      <c r="E32" s="16">
        <v>93.4</v>
      </c>
      <c r="F32" s="16">
        <v>116.9</v>
      </c>
      <c r="G32" s="16">
        <v>191.5</v>
      </c>
      <c r="H32" s="16">
        <v>45.4</v>
      </c>
      <c r="I32" s="16">
        <v>84.2</v>
      </c>
      <c r="J32" s="16">
        <v>269</v>
      </c>
      <c r="K32" s="16">
        <v>125.8</v>
      </c>
      <c r="L32" s="16">
        <v>31.6</v>
      </c>
      <c r="M32" s="16">
        <v>79</v>
      </c>
      <c r="N32" s="18">
        <v>7.6</v>
      </c>
      <c r="O32" s="12">
        <f t="shared" si="0"/>
        <v>1071.8</v>
      </c>
      <c r="P32" s="19">
        <f t="shared" si="1"/>
        <v>89.3</v>
      </c>
    </row>
    <row r="33" spans="2:16" ht="21.95" customHeight="1">
      <c r="B33" s="15">
        <v>2022</v>
      </c>
      <c r="C33" s="16">
        <v>4.4000000000000004</v>
      </c>
      <c r="D33" s="16">
        <v>2.7</v>
      </c>
      <c r="E33" s="16">
        <v>84.6</v>
      </c>
      <c r="F33" s="16">
        <v>21.1</v>
      </c>
      <c r="G33" s="16">
        <v>5.4</v>
      </c>
      <c r="H33" s="16">
        <v>286</v>
      </c>
      <c r="I33" s="16">
        <v>215.2</v>
      </c>
      <c r="J33" s="16">
        <v>635.9</v>
      </c>
      <c r="K33" s="16">
        <v>167.8</v>
      </c>
      <c r="L33" s="16">
        <v>102.1</v>
      </c>
      <c r="M33" s="16">
        <v>81.3</v>
      </c>
      <c r="N33" s="18">
        <v>14</v>
      </c>
      <c r="O33" s="12">
        <f t="shared" si="0"/>
        <v>1620.5</v>
      </c>
      <c r="P33" s="19">
        <f t="shared" si="1"/>
        <v>135</v>
      </c>
    </row>
    <row r="34" spans="2:16" ht="21.95" customHeight="1">
      <c r="B34" s="15">
        <v>2023</v>
      </c>
      <c r="C34" s="16">
        <v>47.2</v>
      </c>
      <c r="D34" s="16">
        <v>0.5</v>
      </c>
      <c r="E34" s="16">
        <v>10</v>
      </c>
      <c r="F34" s="16">
        <v>70.400000000000006</v>
      </c>
      <c r="G34" s="16">
        <v>133.80000000000001</v>
      </c>
      <c r="H34" s="16">
        <v>116.2</v>
      </c>
      <c r="I34" s="16">
        <v>370.8</v>
      </c>
      <c r="J34" s="16">
        <v>297.5</v>
      </c>
      <c r="K34" s="16">
        <v>129.19999999999999</v>
      </c>
      <c r="L34" s="16">
        <v>16.8</v>
      </c>
      <c r="M34" s="16">
        <v>63.1</v>
      </c>
      <c r="N34" s="18">
        <v>75.900000000000006</v>
      </c>
      <c r="O34" s="12">
        <f t="shared" si="0"/>
        <v>1331.4</v>
      </c>
      <c r="P34" s="19">
        <f t="shared" si="1"/>
        <v>111</v>
      </c>
    </row>
    <row r="35" spans="2:16" ht="21.95" customHeight="1" thickBot="1">
      <c r="B35" s="33">
        <v>2024</v>
      </c>
      <c r="C35" s="34">
        <v>16.3</v>
      </c>
      <c r="D35" s="34">
        <v>63.8</v>
      </c>
      <c r="E35" s="34">
        <v>19.2</v>
      </c>
      <c r="F35" s="34">
        <v>35.299999999999997</v>
      </c>
      <c r="G35" s="34">
        <v>122.6</v>
      </c>
      <c r="H35" s="34">
        <v>101.8</v>
      </c>
      <c r="I35" s="34">
        <v>342.9</v>
      </c>
      <c r="J35" s="34">
        <v>86.7</v>
      </c>
      <c r="K35" s="34">
        <v>122.9</v>
      </c>
      <c r="L35" s="34">
        <v>82.1</v>
      </c>
      <c r="M35" s="34">
        <v>62.2</v>
      </c>
      <c r="N35" s="35">
        <v>5</v>
      </c>
      <c r="O35" s="36">
        <f t="shared" si="0"/>
        <v>1060.8</v>
      </c>
      <c r="P35" s="37">
        <f t="shared" si="1"/>
        <v>88.4</v>
      </c>
    </row>
    <row r="36" spans="2:16" ht="21.95" customHeight="1">
      <c r="B36" s="38" t="s">
        <v>13</v>
      </c>
      <c r="C36" s="39">
        <f>ROUND(MAX(C6:C35),1)</f>
        <v>48.6</v>
      </c>
      <c r="D36" s="39">
        <f t="shared" ref="D36:N36" si="2">ROUND(MAX(D6:D35),1)</f>
        <v>68.900000000000006</v>
      </c>
      <c r="E36" s="39">
        <f t="shared" si="2"/>
        <v>108.3</v>
      </c>
      <c r="F36" s="39">
        <f t="shared" si="2"/>
        <v>139.5</v>
      </c>
      <c r="G36" s="39">
        <f t="shared" si="2"/>
        <v>285.5</v>
      </c>
      <c r="H36" s="39">
        <f t="shared" si="2"/>
        <v>307.60000000000002</v>
      </c>
      <c r="I36" s="39">
        <f t="shared" si="2"/>
        <v>864.2</v>
      </c>
      <c r="J36" s="39">
        <f t="shared" si="2"/>
        <v>635.9</v>
      </c>
      <c r="K36" s="39">
        <f t="shared" si="2"/>
        <v>454.1</v>
      </c>
      <c r="L36" s="39">
        <f t="shared" si="2"/>
        <v>116.2</v>
      </c>
      <c r="M36" s="39">
        <f t="shared" si="2"/>
        <v>107.7</v>
      </c>
      <c r="N36" s="40">
        <f t="shared" si="2"/>
        <v>75.900000000000006</v>
      </c>
      <c r="O36" s="41">
        <f>ROUND(MAX(O6:O35),1)</f>
        <v>1777.7</v>
      </c>
      <c r="P36" s="42">
        <f>ROUND(MAX(P6:P35),1)</f>
        <v>148.1</v>
      </c>
    </row>
    <row r="37" spans="2:16" ht="21.95" customHeight="1">
      <c r="B37" s="43" t="s">
        <v>14</v>
      </c>
      <c r="C37" s="44">
        <f>ROUND(MIN(C6:C35),1)</f>
        <v>0.7</v>
      </c>
      <c r="D37" s="44">
        <f t="shared" ref="D37:N37" si="3">ROUND(MIN(D6:D35),1)</f>
        <v>0</v>
      </c>
      <c r="E37" s="44">
        <f t="shared" si="3"/>
        <v>2.7</v>
      </c>
      <c r="F37" s="44">
        <f t="shared" si="3"/>
        <v>6.7</v>
      </c>
      <c r="G37" s="44">
        <f t="shared" si="3"/>
        <v>5.4</v>
      </c>
      <c r="H37" s="44">
        <f t="shared" si="3"/>
        <v>19.5</v>
      </c>
      <c r="I37" s="44">
        <f t="shared" si="3"/>
        <v>78.7</v>
      </c>
      <c r="J37" s="44">
        <f t="shared" si="3"/>
        <v>26.5</v>
      </c>
      <c r="K37" s="44">
        <f t="shared" si="3"/>
        <v>3.4</v>
      </c>
      <c r="L37" s="44">
        <f t="shared" si="3"/>
        <v>1.9</v>
      </c>
      <c r="M37" s="44">
        <f t="shared" si="3"/>
        <v>13.4</v>
      </c>
      <c r="N37" s="19">
        <f t="shared" si="3"/>
        <v>1.3</v>
      </c>
      <c r="O37" s="45">
        <f>ROUND(MIN(O6:O35),1)</f>
        <v>652</v>
      </c>
      <c r="P37" s="46">
        <f>ROUND(MIN(P6:P35),1)</f>
        <v>54.3</v>
      </c>
    </row>
    <row r="38" spans="2:16" ht="21.95" customHeight="1" thickBot="1">
      <c r="B38" s="47" t="s">
        <v>18</v>
      </c>
      <c r="C38" s="48">
        <f>ROUND(AVERAGE(C6:C35),1)</f>
        <v>17.7</v>
      </c>
      <c r="D38" s="48">
        <f t="shared" ref="D38:P38" si="4">ROUND(AVERAGE(D6:D35),1)</f>
        <v>23.3</v>
      </c>
      <c r="E38" s="48">
        <f t="shared" si="4"/>
        <v>36.799999999999997</v>
      </c>
      <c r="F38" s="48">
        <f t="shared" si="4"/>
        <v>64.2</v>
      </c>
      <c r="G38" s="48">
        <f t="shared" si="4"/>
        <v>96.4</v>
      </c>
      <c r="H38" s="48">
        <f t="shared" si="4"/>
        <v>112.1</v>
      </c>
      <c r="I38" s="48">
        <f t="shared" si="4"/>
        <v>335.7</v>
      </c>
      <c r="J38" s="48">
        <f t="shared" si="4"/>
        <v>291.8</v>
      </c>
      <c r="K38" s="48">
        <f t="shared" si="4"/>
        <v>130.9</v>
      </c>
      <c r="L38" s="48">
        <f t="shared" si="4"/>
        <v>48.1</v>
      </c>
      <c r="M38" s="48">
        <f t="shared" si="4"/>
        <v>53.4</v>
      </c>
      <c r="N38" s="49">
        <f t="shared" si="4"/>
        <v>21.5</v>
      </c>
      <c r="O38" s="50">
        <f t="shared" si="4"/>
        <v>1231.8</v>
      </c>
      <c r="P38" s="51">
        <f t="shared" si="4"/>
        <v>102.6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10.3</v>
      </c>
      <c r="D44" s="53">
        <f t="shared" si="5"/>
        <v>22.8</v>
      </c>
      <c r="E44" s="53">
        <f t="shared" si="5"/>
        <v>10</v>
      </c>
      <c r="F44" s="53">
        <f t="shared" si="5"/>
        <v>53.7</v>
      </c>
      <c r="G44" s="53">
        <f t="shared" si="5"/>
        <v>30.1</v>
      </c>
      <c r="H44" s="53">
        <f t="shared" si="5"/>
        <v>63.6</v>
      </c>
      <c r="I44" s="53">
        <f t="shared" si="5"/>
        <v>175.8</v>
      </c>
      <c r="J44" s="53">
        <f t="shared" si="5"/>
        <v>45.5</v>
      </c>
      <c r="K44" s="53">
        <f t="shared" si="5"/>
        <v>13.5</v>
      </c>
      <c r="L44" s="53">
        <f t="shared" si="5"/>
        <v>87</v>
      </c>
      <c r="M44" s="53">
        <f t="shared" si="5"/>
        <v>107.7</v>
      </c>
      <c r="N44" s="54">
        <f t="shared" si="5"/>
        <v>32</v>
      </c>
      <c r="O44" s="55">
        <f>ROUND(SUM(C44:N44),1)</f>
        <v>652</v>
      </c>
      <c r="P44" s="46">
        <f>ROUND(O44/12,1)</f>
        <v>54.3</v>
      </c>
    </row>
    <row r="45" spans="2:16" ht="21.95" customHeight="1">
      <c r="B45" s="52">
        <f t="shared" ref="B45:N53" si="6">B27</f>
        <v>2016</v>
      </c>
      <c r="C45" s="53">
        <f t="shared" si="6"/>
        <v>2.8</v>
      </c>
      <c r="D45" s="53">
        <f t="shared" si="6"/>
        <v>43.1</v>
      </c>
      <c r="E45" s="53">
        <f t="shared" si="6"/>
        <v>44.1</v>
      </c>
      <c r="F45" s="53">
        <f t="shared" si="6"/>
        <v>80.8</v>
      </c>
      <c r="G45" s="53">
        <f t="shared" si="6"/>
        <v>148.5</v>
      </c>
      <c r="H45" s="53">
        <f t="shared" si="6"/>
        <v>19.5</v>
      </c>
      <c r="I45" s="53">
        <f t="shared" si="6"/>
        <v>300.5</v>
      </c>
      <c r="J45" s="53">
        <f t="shared" si="6"/>
        <v>26.5</v>
      </c>
      <c r="K45" s="53">
        <f t="shared" si="6"/>
        <v>34.5</v>
      </c>
      <c r="L45" s="53">
        <f t="shared" si="6"/>
        <v>78.7</v>
      </c>
      <c r="M45" s="53">
        <f t="shared" si="6"/>
        <v>18.2</v>
      </c>
      <c r="N45" s="54">
        <f t="shared" si="6"/>
        <v>67.099999999999994</v>
      </c>
      <c r="O45" s="55">
        <f t="shared" ref="O45:O53" si="7">ROUND(SUM(C45:N45),1)</f>
        <v>864.3</v>
      </c>
      <c r="P45" s="46">
        <f t="shared" ref="P45:P53" si="8">ROUND(O45/12,1)</f>
        <v>72</v>
      </c>
    </row>
    <row r="46" spans="2:16" ht="21.95" customHeight="1">
      <c r="B46" s="52">
        <f t="shared" si="6"/>
        <v>2017</v>
      </c>
      <c r="C46" s="53">
        <f t="shared" si="6"/>
        <v>20.6</v>
      </c>
      <c r="D46" s="53">
        <f t="shared" si="6"/>
        <v>16.2</v>
      </c>
      <c r="E46" s="53">
        <f t="shared" si="6"/>
        <v>9.6999999999999993</v>
      </c>
      <c r="F46" s="53">
        <f t="shared" si="6"/>
        <v>57</v>
      </c>
      <c r="G46" s="53">
        <f t="shared" si="6"/>
        <v>21.6</v>
      </c>
      <c r="H46" s="53">
        <f t="shared" si="6"/>
        <v>49.3</v>
      </c>
      <c r="I46" s="53">
        <f t="shared" si="6"/>
        <v>478.3</v>
      </c>
      <c r="J46" s="53">
        <f t="shared" si="6"/>
        <v>250.5</v>
      </c>
      <c r="K46" s="53">
        <f t="shared" si="6"/>
        <v>21.6</v>
      </c>
      <c r="L46" s="53">
        <f t="shared" si="6"/>
        <v>21.8</v>
      </c>
      <c r="M46" s="53">
        <f t="shared" si="6"/>
        <v>42.2</v>
      </c>
      <c r="N46" s="54">
        <f t="shared" si="6"/>
        <v>40.1</v>
      </c>
      <c r="O46" s="55">
        <f t="shared" si="7"/>
        <v>1028.9000000000001</v>
      </c>
      <c r="P46" s="46">
        <f t="shared" si="8"/>
        <v>85.7</v>
      </c>
    </row>
    <row r="47" spans="2:16" ht="21.95" customHeight="1">
      <c r="B47" s="52">
        <f t="shared" si="6"/>
        <v>2018</v>
      </c>
      <c r="C47" s="53">
        <f t="shared" si="6"/>
        <v>4.5</v>
      </c>
      <c r="D47" s="53">
        <f t="shared" si="6"/>
        <v>27</v>
      </c>
      <c r="E47" s="53">
        <f t="shared" si="6"/>
        <v>78.599999999999994</v>
      </c>
      <c r="F47" s="53">
        <f t="shared" si="6"/>
        <v>112.2</v>
      </c>
      <c r="G47" s="53">
        <f t="shared" si="6"/>
        <v>158.9</v>
      </c>
      <c r="H47" s="53">
        <f t="shared" si="6"/>
        <v>144</v>
      </c>
      <c r="I47" s="53">
        <f t="shared" si="6"/>
        <v>148.80000000000001</v>
      </c>
      <c r="J47" s="53">
        <f t="shared" si="6"/>
        <v>214.9</v>
      </c>
      <c r="K47" s="53">
        <f t="shared" si="6"/>
        <v>46.1</v>
      </c>
      <c r="L47" s="53">
        <f t="shared" si="6"/>
        <v>116.2</v>
      </c>
      <c r="M47" s="53">
        <f t="shared" si="6"/>
        <v>66.599999999999994</v>
      </c>
      <c r="N47" s="54">
        <f t="shared" si="6"/>
        <v>16.600000000000001</v>
      </c>
      <c r="O47" s="55">
        <f>ROUND(SUM(C47:N47),1)</f>
        <v>1134.4000000000001</v>
      </c>
      <c r="P47" s="46">
        <f t="shared" si="8"/>
        <v>94.5</v>
      </c>
    </row>
    <row r="48" spans="2:16" ht="21.95" customHeight="1">
      <c r="B48" s="52">
        <f t="shared" si="6"/>
        <v>2019</v>
      </c>
      <c r="C48" s="53">
        <f t="shared" si="6"/>
        <v>0.7</v>
      </c>
      <c r="D48" s="53">
        <f t="shared" si="6"/>
        <v>26.6</v>
      </c>
      <c r="E48" s="53">
        <f t="shared" si="6"/>
        <v>28.4</v>
      </c>
      <c r="F48" s="53">
        <f t="shared" si="6"/>
        <v>41.1</v>
      </c>
      <c r="G48" s="53">
        <f t="shared" si="6"/>
        <v>33.200000000000003</v>
      </c>
      <c r="H48" s="53">
        <f t="shared" si="6"/>
        <v>49.7</v>
      </c>
      <c r="I48" s="53">
        <f t="shared" si="6"/>
        <v>220.8</v>
      </c>
      <c r="J48" s="53">
        <f t="shared" si="6"/>
        <v>143.69999999999999</v>
      </c>
      <c r="K48" s="53">
        <f t="shared" si="6"/>
        <v>229</v>
      </c>
      <c r="L48" s="53">
        <f t="shared" si="6"/>
        <v>31.9</v>
      </c>
      <c r="M48" s="53">
        <f t="shared" si="6"/>
        <v>89.4</v>
      </c>
      <c r="N48" s="54">
        <f t="shared" si="6"/>
        <v>25</v>
      </c>
      <c r="O48" s="55">
        <f t="shared" si="7"/>
        <v>919.5</v>
      </c>
      <c r="P48" s="46">
        <f t="shared" si="8"/>
        <v>76.599999999999994</v>
      </c>
    </row>
    <row r="49" spans="2:16" ht="21.95" customHeight="1">
      <c r="B49" s="52">
        <f t="shared" si="6"/>
        <v>2020</v>
      </c>
      <c r="C49" s="53">
        <f t="shared" si="6"/>
        <v>48.6</v>
      </c>
      <c r="D49" s="53">
        <f t="shared" si="6"/>
        <v>49.7</v>
      </c>
      <c r="E49" s="53">
        <f t="shared" si="6"/>
        <v>10.7</v>
      </c>
      <c r="F49" s="53">
        <f t="shared" si="6"/>
        <v>13.8</v>
      </c>
      <c r="G49" s="53">
        <f t="shared" si="6"/>
        <v>101.2</v>
      </c>
      <c r="H49" s="53">
        <f t="shared" si="6"/>
        <v>100.2</v>
      </c>
      <c r="I49" s="53">
        <f t="shared" si="6"/>
        <v>243.5</v>
      </c>
      <c r="J49" s="53">
        <f t="shared" si="6"/>
        <v>486.4</v>
      </c>
      <c r="K49" s="53">
        <f t="shared" si="6"/>
        <v>167.7</v>
      </c>
      <c r="L49" s="53">
        <f t="shared" si="6"/>
        <v>1.9</v>
      </c>
      <c r="M49" s="53">
        <f t="shared" si="6"/>
        <v>81.599999999999994</v>
      </c>
      <c r="N49" s="54">
        <f t="shared" si="6"/>
        <v>6.6</v>
      </c>
      <c r="O49" s="55">
        <f t="shared" si="7"/>
        <v>1311.9</v>
      </c>
      <c r="P49" s="46">
        <f t="shared" si="8"/>
        <v>109.3</v>
      </c>
    </row>
    <row r="50" spans="2:16" ht="21.95" customHeight="1">
      <c r="B50" s="52">
        <f t="shared" si="6"/>
        <v>2021</v>
      </c>
      <c r="C50" s="53">
        <f t="shared" si="6"/>
        <v>20.8</v>
      </c>
      <c r="D50" s="53">
        <f t="shared" si="6"/>
        <v>6.6</v>
      </c>
      <c r="E50" s="53">
        <f t="shared" si="6"/>
        <v>93.4</v>
      </c>
      <c r="F50" s="53">
        <f t="shared" si="6"/>
        <v>116.9</v>
      </c>
      <c r="G50" s="53">
        <f t="shared" si="6"/>
        <v>191.5</v>
      </c>
      <c r="H50" s="53">
        <f t="shared" si="6"/>
        <v>45.4</v>
      </c>
      <c r="I50" s="53">
        <f t="shared" si="6"/>
        <v>84.2</v>
      </c>
      <c r="J50" s="53">
        <f t="shared" si="6"/>
        <v>269</v>
      </c>
      <c r="K50" s="53">
        <f t="shared" si="6"/>
        <v>125.8</v>
      </c>
      <c r="L50" s="53">
        <f t="shared" si="6"/>
        <v>31.6</v>
      </c>
      <c r="M50" s="53">
        <f t="shared" si="6"/>
        <v>79</v>
      </c>
      <c r="N50" s="54">
        <f t="shared" si="6"/>
        <v>7.6</v>
      </c>
      <c r="O50" s="55">
        <f t="shared" si="7"/>
        <v>1071.8</v>
      </c>
      <c r="P50" s="46">
        <f t="shared" si="8"/>
        <v>89.3</v>
      </c>
    </row>
    <row r="51" spans="2:16" ht="21.95" customHeight="1">
      <c r="B51" s="52">
        <f t="shared" si="6"/>
        <v>2022</v>
      </c>
      <c r="C51" s="53">
        <f t="shared" si="6"/>
        <v>4.4000000000000004</v>
      </c>
      <c r="D51" s="53">
        <f t="shared" si="6"/>
        <v>2.7</v>
      </c>
      <c r="E51" s="53">
        <f t="shared" si="6"/>
        <v>84.6</v>
      </c>
      <c r="F51" s="53">
        <f t="shared" si="6"/>
        <v>21.1</v>
      </c>
      <c r="G51" s="53">
        <f t="shared" si="6"/>
        <v>5.4</v>
      </c>
      <c r="H51" s="53">
        <f t="shared" si="6"/>
        <v>286</v>
      </c>
      <c r="I51" s="53">
        <f t="shared" si="6"/>
        <v>215.2</v>
      </c>
      <c r="J51" s="53">
        <f t="shared" si="6"/>
        <v>635.9</v>
      </c>
      <c r="K51" s="53">
        <f t="shared" si="6"/>
        <v>167.8</v>
      </c>
      <c r="L51" s="53">
        <f t="shared" si="6"/>
        <v>102.1</v>
      </c>
      <c r="M51" s="53">
        <f t="shared" si="6"/>
        <v>81.3</v>
      </c>
      <c r="N51" s="54">
        <f t="shared" si="6"/>
        <v>14</v>
      </c>
      <c r="O51" s="55">
        <f t="shared" si="7"/>
        <v>1620.5</v>
      </c>
      <c r="P51" s="46">
        <f t="shared" si="8"/>
        <v>135</v>
      </c>
    </row>
    <row r="52" spans="2:16" ht="21.95" customHeight="1">
      <c r="B52" s="52">
        <f t="shared" si="6"/>
        <v>2023</v>
      </c>
      <c r="C52" s="53">
        <f t="shared" si="6"/>
        <v>47.2</v>
      </c>
      <c r="D52" s="53">
        <f t="shared" si="6"/>
        <v>0.5</v>
      </c>
      <c r="E52" s="53">
        <f t="shared" si="6"/>
        <v>10</v>
      </c>
      <c r="F52" s="53">
        <f t="shared" si="6"/>
        <v>70.400000000000006</v>
      </c>
      <c r="G52" s="53">
        <f t="shared" si="6"/>
        <v>133.80000000000001</v>
      </c>
      <c r="H52" s="53">
        <f t="shared" si="6"/>
        <v>116.2</v>
      </c>
      <c r="I52" s="53">
        <f t="shared" si="6"/>
        <v>370.8</v>
      </c>
      <c r="J52" s="53">
        <f t="shared" si="6"/>
        <v>297.5</v>
      </c>
      <c r="K52" s="53">
        <f t="shared" si="6"/>
        <v>129.19999999999999</v>
      </c>
      <c r="L52" s="53">
        <f t="shared" si="6"/>
        <v>16.8</v>
      </c>
      <c r="M52" s="53">
        <f t="shared" si="6"/>
        <v>63.1</v>
      </c>
      <c r="N52" s="54">
        <f t="shared" si="6"/>
        <v>75.900000000000006</v>
      </c>
      <c r="O52" s="55">
        <f t="shared" si="7"/>
        <v>1331.4</v>
      </c>
      <c r="P52" s="46">
        <f t="shared" si="8"/>
        <v>111</v>
      </c>
    </row>
    <row r="53" spans="2:16" ht="21.95" customHeight="1" thickBot="1">
      <c r="B53" s="56">
        <f t="shared" si="6"/>
        <v>2024</v>
      </c>
      <c r="C53" s="57">
        <f t="shared" si="6"/>
        <v>16.3</v>
      </c>
      <c r="D53" s="57">
        <f t="shared" si="6"/>
        <v>63.8</v>
      </c>
      <c r="E53" s="57">
        <f t="shared" si="6"/>
        <v>19.2</v>
      </c>
      <c r="F53" s="57">
        <f t="shared" si="6"/>
        <v>35.299999999999997</v>
      </c>
      <c r="G53" s="57">
        <f t="shared" si="6"/>
        <v>122.6</v>
      </c>
      <c r="H53" s="57">
        <f t="shared" si="6"/>
        <v>101.8</v>
      </c>
      <c r="I53" s="57">
        <f t="shared" si="6"/>
        <v>342.9</v>
      </c>
      <c r="J53" s="57">
        <f t="shared" si="6"/>
        <v>86.7</v>
      </c>
      <c r="K53" s="57">
        <f t="shared" si="6"/>
        <v>122.9</v>
      </c>
      <c r="L53" s="57">
        <f t="shared" si="6"/>
        <v>82.1</v>
      </c>
      <c r="M53" s="57">
        <f t="shared" si="6"/>
        <v>62.2</v>
      </c>
      <c r="N53" s="58">
        <f t="shared" si="6"/>
        <v>5</v>
      </c>
      <c r="O53" s="59">
        <f t="shared" si="7"/>
        <v>1060.8</v>
      </c>
      <c r="P53" s="51">
        <f t="shared" si="8"/>
        <v>88.4</v>
      </c>
    </row>
    <row r="54" spans="2:16" ht="21.95" customHeight="1">
      <c r="B54" s="60" t="s">
        <v>19</v>
      </c>
      <c r="C54" s="61">
        <f>MAX(C44:C53)</f>
        <v>48.6</v>
      </c>
      <c r="D54" s="61">
        <f t="shared" ref="D54:P54" si="9">MAX(D44:D53)</f>
        <v>63.8</v>
      </c>
      <c r="E54" s="61">
        <f t="shared" si="9"/>
        <v>93.4</v>
      </c>
      <c r="F54" s="61">
        <f t="shared" si="9"/>
        <v>116.9</v>
      </c>
      <c r="G54" s="61">
        <f t="shared" si="9"/>
        <v>191.5</v>
      </c>
      <c r="H54" s="61">
        <f t="shared" si="9"/>
        <v>286</v>
      </c>
      <c r="I54" s="61">
        <f t="shared" si="9"/>
        <v>478.3</v>
      </c>
      <c r="J54" s="61">
        <f t="shared" si="9"/>
        <v>635.9</v>
      </c>
      <c r="K54" s="61">
        <f t="shared" si="9"/>
        <v>229</v>
      </c>
      <c r="L54" s="61">
        <f t="shared" si="9"/>
        <v>116.2</v>
      </c>
      <c r="M54" s="61">
        <f t="shared" si="9"/>
        <v>107.7</v>
      </c>
      <c r="N54" s="62">
        <f t="shared" si="9"/>
        <v>75.900000000000006</v>
      </c>
      <c r="O54" s="63">
        <f t="shared" si="9"/>
        <v>1620.5</v>
      </c>
      <c r="P54" s="62">
        <f t="shared" si="9"/>
        <v>135</v>
      </c>
    </row>
    <row r="55" spans="2:16" ht="21.95" customHeight="1">
      <c r="B55" s="64" t="s">
        <v>20</v>
      </c>
      <c r="C55" s="65">
        <f>MIN(C44:C53)</f>
        <v>0.7</v>
      </c>
      <c r="D55" s="65">
        <f t="shared" ref="D55:P55" si="10">MIN(D44:D53)</f>
        <v>0.5</v>
      </c>
      <c r="E55" s="65">
        <f t="shared" si="10"/>
        <v>9.6999999999999993</v>
      </c>
      <c r="F55" s="65">
        <f t="shared" si="10"/>
        <v>13.8</v>
      </c>
      <c r="G55" s="65">
        <f t="shared" si="10"/>
        <v>5.4</v>
      </c>
      <c r="H55" s="65">
        <f t="shared" si="10"/>
        <v>19.5</v>
      </c>
      <c r="I55" s="65">
        <f t="shared" si="10"/>
        <v>84.2</v>
      </c>
      <c r="J55" s="65">
        <f t="shared" si="10"/>
        <v>26.5</v>
      </c>
      <c r="K55" s="65">
        <f t="shared" si="10"/>
        <v>13.5</v>
      </c>
      <c r="L55" s="65">
        <f t="shared" si="10"/>
        <v>1.9</v>
      </c>
      <c r="M55" s="65">
        <f t="shared" si="10"/>
        <v>18.2</v>
      </c>
      <c r="N55" s="46">
        <f t="shared" si="10"/>
        <v>5</v>
      </c>
      <c r="O55" s="55">
        <f>MIN(O44:O53)</f>
        <v>652</v>
      </c>
      <c r="P55" s="46">
        <f t="shared" si="10"/>
        <v>54.3</v>
      </c>
    </row>
    <row r="56" spans="2:16" ht="21.95" customHeight="1" thickBot="1">
      <c r="B56" s="66" t="s">
        <v>7</v>
      </c>
      <c r="C56" s="67">
        <f>ROUND(AVERAGE(C44:C53),1)</f>
        <v>17.600000000000001</v>
      </c>
      <c r="D56" s="67">
        <f t="shared" ref="D56:N56" si="11">ROUND(AVERAGE(D44:D53),1)</f>
        <v>25.9</v>
      </c>
      <c r="E56" s="67">
        <f t="shared" si="11"/>
        <v>38.9</v>
      </c>
      <c r="F56" s="67">
        <f t="shared" si="11"/>
        <v>60.2</v>
      </c>
      <c r="G56" s="67">
        <f t="shared" si="11"/>
        <v>94.7</v>
      </c>
      <c r="H56" s="67">
        <f t="shared" si="11"/>
        <v>97.6</v>
      </c>
      <c r="I56" s="67">
        <f t="shared" si="11"/>
        <v>258.10000000000002</v>
      </c>
      <c r="J56" s="67">
        <f t="shared" si="11"/>
        <v>245.7</v>
      </c>
      <c r="K56" s="67">
        <f t="shared" si="11"/>
        <v>105.8</v>
      </c>
      <c r="L56" s="67">
        <f t="shared" si="11"/>
        <v>57</v>
      </c>
      <c r="M56" s="67">
        <f t="shared" si="11"/>
        <v>69.099999999999994</v>
      </c>
      <c r="N56" s="51">
        <f t="shared" si="11"/>
        <v>29</v>
      </c>
      <c r="O56" s="59">
        <f>ROUND(AVERAGE(O44:O53),1)</f>
        <v>1099.5999999999999</v>
      </c>
      <c r="P56" s="51">
        <f>ROUND(AVERAGE(P44:P53),1)</f>
        <v>91.6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0A50-BC97-4F5D-912E-59250BE57E95}">
  <sheetPr codeName="Sheet26">
    <tabColor rgb="FF808080"/>
  </sheetPr>
  <dimension ref="A2:Q983"/>
  <sheetViews>
    <sheetView topLeftCell="A3" zoomScaleNormal="100" workbookViewId="0">
      <selection activeCell="AA13" sqref="AA13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293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13.4</v>
      </c>
      <c r="D6" s="9">
        <v>11.2</v>
      </c>
      <c r="E6" s="9">
        <v>46.2</v>
      </c>
      <c r="F6" s="9">
        <v>33.700000000000003</v>
      </c>
      <c r="G6" s="9">
        <v>59</v>
      </c>
      <c r="H6" s="9">
        <v>67.7</v>
      </c>
      <c r="I6" s="9">
        <v>372.9</v>
      </c>
      <c r="J6" s="10">
        <v>967.9</v>
      </c>
      <c r="K6" s="9">
        <v>24.2</v>
      </c>
      <c r="L6" s="9">
        <v>29.2</v>
      </c>
      <c r="M6" s="9">
        <v>24.8</v>
      </c>
      <c r="N6" s="11">
        <v>3.1</v>
      </c>
      <c r="O6" s="12">
        <f t="shared" ref="O6:O35" si="0">ROUND(SUM(C6:N6),1)</f>
        <v>1653.3</v>
      </c>
      <c r="P6" s="13">
        <f>ROUND(O6/12,1)</f>
        <v>137.80000000000001</v>
      </c>
      <c r="Q6" s="14"/>
    </row>
    <row r="7" spans="2:17" ht="21.95" customHeight="1">
      <c r="B7" s="15">
        <v>1996</v>
      </c>
      <c r="C7" s="16">
        <v>20.399999999999999</v>
      </c>
      <c r="D7" s="16">
        <v>4.0999999999999996</v>
      </c>
      <c r="E7" s="16">
        <v>100.8</v>
      </c>
      <c r="F7" s="16">
        <v>51.1</v>
      </c>
      <c r="G7" s="16">
        <v>26.5</v>
      </c>
      <c r="H7" s="16">
        <v>286.39999999999998</v>
      </c>
      <c r="I7" s="16">
        <v>241.1</v>
      </c>
      <c r="J7" s="17">
        <v>77.5</v>
      </c>
      <c r="K7" s="16">
        <v>9.1999999999999993</v>
      </c>
      <c r="L7" s="16">
        <v>70</v>
      </c>
      <c r="M7" s="16">
        <v>49</v>
      </c>
      <c r="N7" s="18">
        <v>16</v>
      </c>
      <c r="O7" s="12">
        <f t="shared" si="0"/>
        <v>952.1</v>
      </c>
      <c r="P7" s="19">
        <f t="shared" ref="P7:P35" si="1">ROUND(O7/12,1)</f>
        <v>79.3</v>
      </c>
      <c r="Q7" s="14"/>
    </row>
    <row r="8" spans="2:17" ht="21.95" customHeight="1">
      <c r="B8" s="15">
        <v>1997</v>
      </c>
      <c r="C8" s="16">
        <v>14.4</v>
      </c>
      <c r="D8" s="16">
        <v>41.4</v>
      </c>
      <c r="E8" s="16">
        <v>30.4</v>
      </c>
      <c r="F8" s="16">
        <v>60.7</v>
      </c>
      <c r="G8" s="16">
        <v>260.3</v>
      </c>
      <c r="H8" s="16">
        <v>150.4</v>
      </c>
      <c r="I8" s="16">
        <v>331.7</v>
      </c>
      <c r="J8" s="16">
        <v>299.2</v>
      </c>
      <c r="K8" s="16">
        <v>25</v>
      </c>
      <c r="L8" s="16">
        <v>52.3</v>
      </c>
      <c r="M8" s="16">
        <v>82</v>
      </c>
      <c r="N8" s="18">
        <v>46.5</v>
      </c>
      <c r="O8" s="12">
        <f t="shared" si="0"/>
        <v>1394.3</v>
      </c>
      <c r="P8" s="19">
        <f t="shared" si="1"/>
        <v>116.2</v>
      </c>
      <c r="Q8" s="14"/>
    </row>
    <row r="9" spans="2:17" ht="21.95" customHeight="1">
      <c r="B9" s="15">
        <v>1998</v>
      </c>
      <c r="C9" s="16">
        <v>23.7</v>
      </c>
      <c r="D9" s="16">
        <v>34.299999999999997</v>
      </c>
      <c r="E9" s="16">
        <v>44</v>
      </c>
      <c r="F9" s="16">
        <v>105.9</v>
      </c>
      <c r="G9" s="16">
        <v>86.4</v>
      </c>
      <c r="H9" s="16">
        <v>213.7</v>
      </c>
      <c r="I9" s="16">
        <v>306</v>
      </c>
      <c r="J9" s="16">
        <v>591.6</v>
      </c>
      <c r="K9" s="16">
        <v>141.19999999999999</v>
      </c>
      <c r="L9" s="16">
        <v>25</v>
      </c>
      <c r="M9" s="16">
        <v>51.6</v>
      </c>
      <c r="N9" s="18">
        <v>3.5</v>
      </c>
      <c r="O9" s="12">
        <f t="shared" si="0"/>
        <v>1626.9</v>
      </c>
      <c r="P9" s="19">
        <f t="shared" si="1"/>
        <v>135.6</v>
      </c>
      <c r="Q9" s="14"/>
    </row>
    <row r="10" spans="2:17" ht="21.95" customHeight="1">
      <c r="B10" s="15">
        <v>1999</v>
      </c>
      <c r="C10" s="16">
        <v>7.3</v>
      </c>
      <c r="D10" s="16">
        <v>1.8</v>
      </c>
      <c r="E10" s="16">
        <v>54</v>
      </c>
      <c r="F10" s="16">
        <v>73.599999999999994</v>
      </c>
      <c r="G10" s="16">
        <v>121.3</v>
      </c>
      <c r="H10" s="16">
        <v>76.7</v>
      </c>
      <c r="I10" s="16">
        <v>345</v>
      </c>
      <c r="J10" s="16">
        <v>338.4</v>
      </c>
      <c r="K10" s="16">
        <v>402.2</v>
      </c>
      <c r="L10" s="16">
        <v>92.3</v>
      </c>
      <c r="M10" s="16">
        <v>25.3</v>
      </c>
      <c r="N10" s="18">
        <v>18.2</v>
      </c>
      <c r="O10" s="12">
        <f t="shared" si="0"/>
        <v>1556.1</v>
      </c>
      <c r="P10" s="19">
        <f t="shared" si="1"/>
        <v>129.69999999999999</v>
      </c>
      <c r="Q10" s="14"/>
    </row>
    <row r="11" spans="2:17" ht="21.95" customHeight="1">
      <c r="B11" s="15">
        <v>2000</v>
      </c>
      <c r="C11" s="16">
        <v>57.7</v>
      </c>
      <c r="D11" s="16">
        <v>1.4</v>
      </c>
      <c r="E11" s="16">
        <v>3.1</v>
      </c>
      <c r="F11" s="16">
        <v>20.399999999999999</v>
      </c>
      <c r="G11" s="16">
        <v>43.7</v>
      </c>
      <c r="H11" s="16">
        <v>118.2</v>
      </c>
      <c r="I11" s="16">
        <v>375.8</v>
      </c>
      <c r="J11" s="16">
        <v>448.8</v>
      </c>
      <c r="K11" s="16">
        <v>182.2</v>
      </c>
      <c r="L11" s="16">
        <v>21.6</v>
      </c>
      <c r="M11" s="16">
        <v>27.5</v>
      </c>
      <c r="N11" s="18">
        <v>28.4</v>
      </c>
      <c r="O11" s="12">
        <f t="shared" si="0"/>
        <v>1328.8</v>
      </c>
      <c r="P11" s="19">
        <f t="shared" si="1"/>
        <v>110.7</v>
      </c>
      <c r="Q11" s="14"/>
    </row>
    <row r="12" spans="2:17" ht="21.95" customHeight="1">
      <c r="B12" s="15">
        <v>2001</v>
      </c>
      <c r="C12" s="16">
        <v>42.2</v>
      </c>
      <c r="D12" s="16">
        <v>47.4</v>
      </c>
      <c r="E12" s="16">
        <v>15.1</v>
      </c>
      <c r="F12" s="16">
        <v>12.9</v>
      </c>
      <c r="G12" s="16">
        <v>13.8</v>
      </c>
      <c r="H12" s="16">
        <v>222.3</v>
      </c>
      <c r="I12" s="16">
        <v>469.7</v>
      </c>
      <c r="J12" s="16">
        <v>144.69999999999999</v>
      </c>
      <c r="K12" s="16">
        <v>12.1</v>
      </c>
      <c r="L12" s="16">
        <v>58.1</v>
      </c>
      <c r="M12" s="16">
        <v>14.2</v>
      </c>
      <c r="N12" s="18">
        <v>14.7</v>
      </c>
      <c r="O12" s="12">
        <f t="shared" si="0"/>
        <v>1067.2</v>
      </c>
      <c r="P12" s="19">
        <f t="shared" si="1"/>
        <v>88.9</v>
      </c>
    </row>
    <row r="13" spans="2:17" ht="21.95" customHeight="1">
      <c r="B13" s="15">
        <v>2002</v>
      </c>
      <c r="C13" s="16">
        <v>31.8</v>
      </c>
      <c r="D13" s="16">
        <v>3.2</v>
      </c>
      <c r="E13" s="16">
        <v>35.700000000000003</v>
      </c>
      <c r="F13" s="16">
        <v>152.4</v>
      </c>
      <c r="G13" s="16">
        <v>77</v>
      </c>
      <c r="H13" s="16">
        <v>52</v>
      </c>
      <c r="I13" s="16">
        <v>257.8</v>
      </c>
      <c r="J13" s="16">
        <v>487.3</v>
      </c>
      <c r="K13" s="16">
        <v>31.3</v>
      </c>
      <c r="L13" s="16">
        <v>73.8</v>
      </c>
      <c r="M13" s="16">
        <v>12.2</v>
      </c>
      <c r="N13" s="18">
        <v>17.2</v>
      </c>
      <c r="O13" s="12">
        <f t="shared" si="0"/>
        <v>1231.7</v>
      </c>
      <c r="P13" s="19">
        <f t="shared" si="1"/>
        <v>102.6</v>
      </c>
    </row>
    <row r="14" spans="2:17" ht="21.95" customHeight="1">
      <c r="B14" s="15">
        <v>2003</v>
      </c>
      <c r="C14" s="16">
        <v>10.4</v>
      </c>
      <c r="D14" s="16">
        <v>46.2</v>
      </c>
      <c r="E14" s="16">
        <v>28.3</v>
      </c>
      <c r="F14" s="16">
        <v>182</v>
      </c>
      <c r="G14" s="16">
        <v>85.5</v>
      </c>
      <c r="H14" s="16">
        <v>159</v>
      </c>
      <c r="I14" s="16">
        <v>341.9</v>
      </c>
      <c r="J14" s="16">
        <v>293.7</v>
      </c>
      <c r="K14" s="16">
        <v>271.5</v>
      </c>
      <c r="L14" s="16">
        <v>30.6</v>
      </c>
      <c r="M14" s="16">
        <v>51.6</v>
      </c>
      <c r="N14" s="18">
        <v>14.1</v>
      </c>
      <c r="O14" s="12">
        <f t="shared" si="0"/>
        <v>1514.8</v>
      </c>
      <c r="P14" s="19">
        <f t="shared" si="1"/>
        <v>126.2</v>
      </c>
    </row>
    <row r="15" spans="2:17" ht="21.95" customHeight="1">
      <c r="B15" s="15">
        <v>2004</v>
      </c>
      <c r="C15" s="16">
        <v>17.8</v>
      </c>
      <c r="D15" s="16">
        <v>42.6</v>
      </c>
      <c r="E15" s="16">
        <v>14.4</v>
      </c>
      <c r="F15" s="16">
        <v>63.8</v>
      </c>
      <c r="G15" s="16">
        <v>125.2</v>
      </c>
      <c r="H15" s="16">
        <v>135.69999999999999</v>
      </c>
      <c r="I15" s="16">
        <v>382</v>
      </c>
      <c r="J15" s="16">
        <v>157.4</v>
      </c>
      <c r="K15" s="16">
        <v>183.4</v>
      </c>
      <c r="L15" s="16">
        <v>2</v>
      </c>
      <c r="M15" s="16">
        <v>67.5</v>
      </c>
      <c r="N15" s="18">
        <v>25.2</v>
      </c>
      <c r="O15" s="12">
        <f t="shared" si="0"/>
        <v>1217</v>
      </c>
      <c r="P15" s="19">
        <f t="shared" si="1"/>
        <v>101.4</v>
      </c>
    </row>
    <row r="16" spans="2:17" ht="21.95" customHeight="1">
      <c r="B16" s="15">
        <v>2005</v>
      </c>
      <c r="C16" s="16">
        <v>5.7</v>
      </c>
      <c r="D16" s="16">
        <v>15</v>
      </c>
      <c r="E16" s="16">
        <v>25.6</v>
      </c>
      <c r="F16" s="16">
        <v>85.6</v>
      </c>
      <c r="G16" s="16">
        <v>89.6</v>
      </c>
      <c r="H16" s="16">
        <v>160.80000000000001</v>
      </c>
      <c r="I16" s="16">
        <v>251.7</v>
      </c>
      <c r="J16" s="16">
        <v>357.5</v>
      </c>
      <c r="K16" s="16">
        <v>315.2</v>
      </c>
      <c r="L16" s="16">
        <v>70.2</v>
      </c>
      <c r="M16" s="16">
        <v>38.799999999999997</v>
      </c>
      <c r="N16" s="18">
        <v>12</v>
      </c>
      <c r="O16" s="12">
        <f t="shared" si="0"/>
        <v>1427.7</v>
      </c>
      <c r="P16" s="19">
        <f t="shared" si="1"/>
        <v>119</v>
      </c>
    </row>
    <row r="17" spans="2:16" ht="21.95" customHeight="1">
      <c r="B17" s="15">
        <v>2006</v>
      </c>
      <c r="C17" s="16">
        <v>38.6</v>
      </c>
      <c r="D17" s="16">
        <v>19.5</v>
      </c>
      <c r="E17" s="16">
        <v>6.9</v>
      </c>
      <c r="F17" s="16">
        <v>59.9</v>
      </c>
      <c r="G17" s="16">
        <v>133.19999999999999</v>
      </c>
      <c r="H17" s="16">
        <v>156.69999999999999</v>
      </c>
      <c r="I17" s="16">
        <v>754.7</v>
      </c>
      <c r="J17" s="16">
        <v>66.400000000000006</v>
      </c>
      <c r="K17" s="16">
        <v>21.9</v>
      </c>
      <c r="L17" s="16">
        <v>18</v>
      </c>
      <c r="M17" s="16">
        <v>61.6</v>
      </c>
      <c r="N17" s="18">
        <v>25.3</v>
      </c>
      <c r="O17" s="12">
        <f t="shared" si="0"/>
        <v>1362.7</v>
      </c>
      <c r="P17" s="19">
        <f t="shared" si="1"/>
        <v>113.6</v>
      </c>
    </row>
    <row r="18" spans="2:16" ht="21.95" customHeight="1">
      <c r="B18" s="15">
        <v>2007</v>
      </c>
      <c r="C18" s="16">
        <v>9.3000000000000007</v>
      </c>
      <c r="D18" s="16">
        <v>15.1</v>
      </c>
      <c r="E18" s="16">
        <v>135.30000000000001</v>
      </c>
      <c r="F18" s="16">
        <v>24.2</v>
      </c>
      <c r="G18" s="16">
        <v>146.69999999999999</v>
      </c>
      <c r="H18" s="16">
        <v>74.2</v>
      </c>
      <c r="I18" s="16">
        <v>269.7</v>
      </c>
      <c r="J18" s="16">
        <v>295</v>
      </c>
      <c r="K18" s="16">
        <v>268.8</v>
      </c>
      <c r="L18" s="16">
        <v>18.3</v>
      </c>
      <c r="M18" s="16">
        <v>57.1</v>
      </c>
      <c r="N18" s="18">
        <v>11.3</v>
      </c>
      <c r="O18" s="12">
        <f t="shared" si="0"/>
        <v>1325</v>
      </c>
      <c r="P18" s="19">
        <f t="shared" si="1"/>
        <v>110.4</v>
      </c>
    </row>
    <row r="19" spans="2:16" ht="21.95" customHeight="1">
      <c r="B19" s="15">
        <v>2008</v>
      </c>
      <c r="C19" s="16">
        <v>13.6</v>
      </c>
      <c r="D19" s="16">
        <v>8.6999999999999993</v>
      </c>
      <c r="E19" s="16">
        <v>55.9</v>
      </c>
      <c r="F19" s="16">
        <v>42.2</v>
      </c>
      <c r="G19" s="16">
        <v>92.7</v>
      </c>
      <c r="H19" s="16">
        <v>198.4</v>
      </c>
      <c r="I19" s="16">
        <v>540.79999999999995</v>
      </c>
      <c r="J19" s="16">
        <v>217.2</v>
      </c>
      <c r="K19" s="16">
        <v>101.9</v>
      </c>
      <c r="L19" s="16">
        <v>35.6</v>
      </c>
      <c r="M19" s="16">
        <v>18.5</v>
      </c>
      <c r="N19" s="18">
        <v>17.399999999999999</v>
      </c>
      <c r="O19" s="12">
        <f t="shared" si="0"/>
        <v>1342.9</v>
      </c>
      <c r="P19" s="19">
        <f t="shared" si="1"/>
        <v>111.9</v>
      </c>
    </row>
    <row r="20" spans="2:16" ht="21.95" customHeight="1">
      <c r="B20" s="15">
        <v>2009</v>
      </c>
      <c r="C20" s="16">
        <v>7.9</v>
      </c>
      <c r="D20" s="16">
        <v>26.8</v>
      </c>
      <c r="E20" s="16">
        <v>59.5</v>
      </c>
      <c r="F20" s="16">
        <v>45</v>
      </c>
      <c r="G20" s="16">
        <v>102.4</v>
      </c>
      <c r="H20" s="16">
        <v>118.8</v>
      </c>
      <c r="I20" s="16">
        <v>766</v>
      </c>
      <c r="J20" s="16">
        <v>207.1</v>
      </c>
      <c r="K20" s="16">
        <v>56.3</v>
      </c>
      <c r="L20" s="16">
        <v>64.5</v>
      </c>
      <c r="M20" s="16">
        <v>68.2</v>
      </c>
      <c r="N20" s="18">
        <v>18.7</v>
      </c>
      <c r="O20" s="12">
        <f t="shared" si="0"/>
        <v>1541.2</v>
      </c>
      <c r="P20" s="19">
        <f t="shared" si="1"/>
        <v>128.4</v>
      </c>
    </row>
    <row r="21" spans="2:16" ht="21.95" customHeight="1">
      <c r="B21" s="15">
        <v>2010</v>
      </c>
      <c r="C21" s="16">
        <v>26.9</v>
      </c>
      <c r="D21" s="16">
        <v>56.7</v>
      </c>
      <c r="E21" s="16">
        <v>78.7</v>
      </c>
      <c r="F21" s="16">
        <v>58.6</v>
      </c>
      <c r="G21" s="16">
        <v>100.7</v>
      </c>
      <c r="H21" s="16">
        <v>116.1</v>
      </c>
      <c r="I21" s="16">
        <v>206.8</v>
      </c>
      <c r="J21" s="16">
        <v>372.8</v>
      </c>
      <c r="K21" s="16">
        <v>375.9</v>
      </c>
      <c r="L21" s="16">
        <v>30</v>
      </c>
      <c r="M21" s="16">
        <v>18.100000000000001</v>
      </c>
      <c r="N21" s="18">
        <v>29.3</v>
      </c>
      <c r="O21" s="12">
        <f t="shared" si="0"/>
        <v>1470.6</v>
      </c>
      <c r="P21" s="19">
        <f t="shared" si="1"/>
        <v>122.6</v>
      </c>
    </row>
    <row r="22" spans="2:16" ht="21.95" customHeight="1">
      <c r="B22" s="15">
        <v>2011</v>
      </c>
      <c r="C22" s="16">
        <v>11.3</v>
      </c>
      <c r="D22" s="16">
        <v>49.8</v>
      </c>
      <c r="E22" s="16">
        <v>23.4</v>
      </c>
      <c r="F22" s="16">
        <v>186.4</v>
      </c>
      <c r="G22" s="16">
        <v>74.2</v>
      </c>
      <c r="H22" s="16">
        <v>391.5</v>
      </c>
      <c r="I22" s="16">
        <v>794.3</v>
      </c>
      <c r="J22" s="16">
        <v>315.10000000000002</v>
      </c>
      <c r="K22" s="16">
        <v>32.799999999999997</v>
      </c>
      <c r="L22" s="16">
        <v>38.4</v>
      </c>
      <c r="M22" s="16">
        <v>46.3</v>
      </c>
      <c r="N22" s="18">
        <v>12.4</v>
      </c>
      <c r="O22" s="12">
        <f t="shared" si="0"/>
        <v>1975.9</v>
      </c>
      <c r="P22" s="19">
        <f t="shared" si="1"/>
        <v>164.7</v>
      </c>
    </row>
    <row r="23" spans="2:16" ht="21.95" customHeight="1">
      <c r="B23" s="15">
        <v>2012</v>
      </c>
      <c r="C23" s="16">
        <v>9.9</v>
      </c>
      <c r="D23" s="16">
        <v>0.7</v>
      </c>
      <c r="E23" s="16">
        <v>43.1</v>
      </c>
      <c r="F23" s="16">
        <v>125.5</v>
      </c>
      <c r="G23" s="16">
        <v>16.5</v>
      </c>
      <c r="H23" s="16">
        <v>100.8</v>
      </c>
      <c r="I23" s="16">
        <v>572.29999999999995</v>
      </c>
      <c r="J23" s="16">
        <v>426.2</v>
      </c>
      <c r="K23" s="16">
        <v>241</v>
      </c>
      <c r="L23" s="16">
        <v>98.6</v>
      </c>
      <c r="M23" s="16">
        <v>66.5</v>
      </c>
      <c r="N23" s="18">
        <v>47.2</v>
      </c>
      <c r="O23" s="12">
        <f t="shared" si="0"/>
        <v>1748.3</v>
      </c>
      <c r="P23" s="19">
        <f t="shared" si="1"/>
        <v>145.69999999999999</v>
      </c>
    </row>
    <row r="24" spans="2:16" ht="21.95" customHeight="1">
      <c r="B24" s="15">
        <v>2013</v>
      </c>
      <c r="C24" s="16">
        <v>23.1</v>
      </c>
      <c r="D24" s="16">
        <v>53.4</v>
      </c>
      <c r="E24" s="16">
        <v>48.2</v>
      </c>
      <c r="F24" s="16">
        <v>69.5</v>
      </c>
      <c r="G24" s="16">
        <v>129</v>
      </c>
      <c r="H24" s="16">
        <v>69.599999999999994</v>
      </c>
      <c r="I24" s="16">
        <v>405.9</v>
      </c>
      <c r="J24" s="16">
        <v>157</v>
      </c>
      <c r="K24" s="16">
        <v>183.6</v>
      </c>
      <c r="L24" s="16">
        <v>5.4</v>
      </c>
      <c r="M24" s="16">
        <v>61.9</v>
      </c>
      <c r="N24" s="18">
        <v>33.5</v>
      </c>
      <c r="O24" s="12">
        <f t="shared" si="0"/>
        <v>1240.0999999999999</v>
      </c>
      <c r="P24" s="19">
        <f t="shared" si="1"/>
        <v>103.3</v>
      </c>
    </row>
    <row r="25" spans="2:16" ht="21.95" customHeight="1">
      <c r="B25" s="15">
        <v>2014</v>
      </c>
      <c r="C25" s="16">
        <v>9.9</v>
      </c>
      <c r="D25" s="16">
        <v>16.5</v>
      </c>
      <c r="E25" s="16">
        <v>10.9</v>
      </c>
      <c r="F25" s="16">
        <v>55.7</v>
      </c>
      <c r="G25" s="16">
        <v>64.400000000000006</v>
      </c>
      <c r="H25" s="16">
        <v>68.099999999999994</v>
      </c>
      <c r="I25" s="16">
        <v>264</v>
      </c>
      <c r="J25" s="16">
        <v>290.89999999999998</v>
      </c>
      <c r="K25" s="16">
        <v>92</v>
      </c>
      <c r="L25" s="16">
        <v>85.4</v>
      </c>
      <c r="M25" s="16">
        <v>44.2</v>
      </c>
      <c r="N25" s="18">
        <v>27.1</v>
      </c>
      <c r="O25" s="12">
        <f t="shared" si="0"/>
        <v>1029.0999999999999</v>
      </c>
      <c r="P25" s="19">
        <f t="shared" si="1"/>
        <v>85.8</v>
      </c>
    </row>
    <row r="26" spans="2:16" ht="21.95" customHeight="1">
      <c r="B26" s="15">
        <v>2015</v>
      </c>
      <c r="C26" s="16">
        <v>17.5</v>
      </c>
      <c r="D26" s="16">
        <v>22.7</v>
      </c>
      <c r="E26" s="16">
        <v>12.5</v>
      </c>
      <c r="F26" s="16">
        <v>99.2</v>
      </c>
      <c r="G26" s="16">
        <v>32.6</v>
      </c>
      <c r="H26" s="16">
        <v>30.2</v>
      </c>
      <c r="I26" s="16">
        <v>225.8</v>
      </c>
      <c r="J26" s="16">
        <v>71</v>
      </c>
      <c r="K26" s="16">
        <v>6.9</v>
      </c>
      <c r="L26" s="16">
        <v>67.400000000000006</v>
      </c>
      <c r="M26" s="16">
        <v>116</v>
      </c>
      <c r="N26" s="18">
        <v>49.3</v>
      </c>
      <c r="O26" s="12">
        <f t="shared" si="0"/>
        <v>751.1</v>
      </c>
      <c r="P26" s="19">
        <f t="shared" si="1"/>
        <v>62.6</v>
      </c>
    </row>
    <row r="27" spans="2:16" ht="21.95" customHeight="1">
      <c r="B27" s="15">
        <v>2016</v>
      </c>
      <c r="C27" s="16">
        <v>4.5999999999999996</v>
      </c>
      <c r="D27" s="16">
        <v>52.6</v>
      </c>
      <c r="E27" s="16">
        <v>54.8</v>
      </c>
      <c r="F27" s="16">
        <v>79.2</v>
      </c>
      <c r="G27" s="16">
        <v>156.4</v>
      </c>
      <c r="H27" s="16">
        <v>37.4</v>
      </c>
      <c r="I27" s="16">
        <v>317.7</v>
      </c>
      <c r="J27" s="16">
        <v>73</v>
      </c>
      <c r="K27" s="16">
        <v>67.8</v>
      </c>
      <c r="L27" s="16">
        <v>99.1</v>
      </c>
      <c r="M27" s="16">
        <v>17.399999999999999</v>
      </c>
      <c r="N27" s="18">
        <v>63.4</v>
      </c>
      <c r="O27" s="12">
        <f t="shared" si="0"/>
        <v>1023.4</v>
      </c>
      <c r="P27" s="19">
        <f t="shared" si="1"/>
        <v>85.3</v>
      </c>
    </row>
    <row r="28" spans="2:16" ht="21.95" customHeight="1">
      <c r="B28" s="15">
        <v>2017</v>
      </c>
      <c r="C28" s="16">
        <v>19.399999999999999</v>
      </c>
      <c r="D28" s="16">
        <v>22.5</v>
      </c>
      <c r="E28" s="16">
        <v>9</v>
      </c>
      <c r="F28" s="16">
        <v>52.5</v>
      </c>
      <c r="G28" s="16">
        <v>22.5</v>
      </c>
      <c r="H28" s="16">
        <v>27.6</v>
      </c>
      <c r="I28" s="16">
        <v>684.5</v>
      </c>
      <c r="J28" s="16">
        <v>359.7</v>
      </c>
      <c r="K28" s="16">
        <v>26.1</v>
      </c>
      <c r="L28" s="16">
        <v>28.7</v>
      </c>
      <c r="M28" s="16">
        <v>37.6</v>
      </c>
      <c r="N28" s="18">
        <v>38.5</v>
      </c>
      <c r="O28" s="12">
        <f t="shared" si="0"/>
        <v>1328.6</v>
      </c>
      <c r="P28" s="19">
        <f t="shared" si="1"/>
        <v>110.7</v>
      </c>
    </row>
    <row r="29" spans="2:16" ht="21.95" customHeight="1">
      <c r="B29" s="15">
        <v>2018</v>
      </c>
      <c r="C29" s="16">
        <v>7.9</v>
      </c>
      <c r="D29" s="16">
        <v>29.1</v>
      </c>
      <c r="E29" s="16">
        <v>86</v>
      </c>
      <c r="F29" s="16">
        <v>128.80000000000001</v>
      </c>
      <c r="G29" s="16">
        <v>196.4</v>
      </c>
      <c r="H29" s="16">
        <v>107</v>
      </c>
      <c r="I29" s="16">
        <v>222.7</v>
      </c>
      <c r="J29" s="16">
        <v>218.6</v>
      </c>
      <c r="K29" s="16">
        <v>61.7</v>
      </c>
      <c r="L29" s="16">
        <v>132.69999999999999</v>
      </c>
      <c r="M29" s="16">
        <v>78.099999999999994</v>
      </c>
      <c r="N29" s="18">
        <v>24.1</v>
      </c>
      <c r="O29" s="12">
        <f t="shared" si="0"/>
        <v>1293.0999999999999</v>
      </c>
      <c r="P29" s="19">
        <f t="shared" si="1"/>
        <v>107.8</v>
      </c>
    </row>
    <row r="30" spans="2:16" ht="21.95" customHeight="1">
      <c r="B30" s="15">
        <v>2019</v>
      </c>
      <c r="C30" s="16">
        <v>0.5</v>
      </c>
      <c r="D30" s="16">
        <v>33.4</v>
      </c>
      <c r="E30" s="16">
        <v>39.6</v>
      </c>
      <c r="F30" s="16">
        <v>43.6</v>
      </c>
      <c r="G30" s="16">
        <v>26.7</v>
      </c>
      <c r="H30" s="16">
        <v>68.8</v>
      </c>
      <c r="I30" s="16">
        <v>190.9</v>
      </c>
      <c r="J30" s="16">
        <v>117.9</v>
      </c>
      <c r="K30" s="16">
        <v>201.9</v>
      </c>
      <c r="L30" s="16">
        <v>73.099999999999994</v>
      </c>
      <c r="M30" s="16">
        <v>93.2</v>
      </c>
      <c r="N30" s="18">
        <v>26.2</v>
      </c>
      <c r="O30" s="12">
        <f t="shared" si="0"/>
        <v>915.8</v>
      </c>
      <c r="P30" s="19">
        <f t="shared" si="1"/>
        <v>76.3</v>
      </c>
    </row>
    <row r="31" spans="2:16" ht="21.95" customHeight="1">
      <c r="B31" s="15">
        <v>2020</v>
      </c>
      <c r="C31" s="16">
        <v>61</v>
      </c>
      <c r="D31" s="16">
        <v>59.2</v>
      </c>
      <c r="E31" s="16">
        <v>19.5</v>
      </c>
      <c r="F31" s="16">
        <v>15.8</v>
      </c>
      <c r="G31" s="16">
        <v>97.9</v>
      </c>
      <c r="H31" s="16">
        <v>91.1</v>
      </c>
      <c r="I31" s="16">
        <v>384.7</v>
      </c>
      <c r="J31" s="16">
        <v>659.3</v>
      </c>
      <c r="K31" s="16">
        <v>163.4</v>
      </c>
      <c r="L31" s="16">
        <v>22.2</v>
      </c>
      <c r="M31" s="16">
        <v>56.8</v>
      </c>
      <c r="N31" s="18">
        <v>4.5999999999999996</v>
      </c>
      <c r="O31" s="12">
        <f t="shared" si="0"/>
        <v>1635.5</v>
      </c>
      <c r="P31" s="19">
        <f t="shared" si="1"/>
        <v>136.30000000000001</v>
      </c>
    </row>
    <row r="32" spans="2:16" ht="21.95" customHeight="1">
      <c r="B32" s="15">
        <v>2021</v>
      </c>
      <c r="C32" s="16">
        <v>24.1</v>
      </c>
      <c r="D32" s="16">
        <v>9.6999999999999993</v>
      </c>
      <c r="E32" s="16">
        <v>102.8</v>
      </c>
      <c r="F32" s="16">
        <v>106.4</v>
      </c>
      <c r="G32" s="16">
        <v>179.2</v>
      </c>
      <c r="H32" s="16">
        <v>50.1</v>
      </c>
      <c r="I32" s="16">
        <v>134.4</v>
      </c>
      <c r="J32" s="16">
        <v>161.1</v>
      </c>
      <c r="K32" s="16">
        <v>164.1</v>
      </c>
      <c r="L32" s="16">
        <v>36</v>
      </c>
      <c r="M32" s="16">
        <v>104.2</v>
      </c>
      <c r="N32" s="18">
        <v>12.3</v>
      </c>
      <c r="O32" s="12">
        <f t="shared" si="0"/>
        <v>1084.4000000000001</v>
      </c>
      <c r="P32" s="19">
        <f t="shared" si="1"/>
        <v>90.4</v>
      </c>
    </row>
    <row r="33" spans="2:16" ht="21.95" customHeight="1">
      <c r="B33" s="15">
        <v>2022</v>
      </c>
      <c r="C33" s="16">
        <v>3.9</v>
      </c>
      <c r="D33" s="16">
        <v>4</v>
      </c>
      <c r="E33" s="16">
        <v>74.7</v>
      </c>
      <c r="F33" s="16">
        <v>42.4</v>
      </c>
      <c r="G33" s="16">
        <v>13.4</v>
      </c>
      <c r="H33" s="16">
        <v>472.1</v>
      </c>
      <c r="I33" s="16">
        <v>243</v>
      </c>
      <c r="J33" s="16">
        <v>640.79999999999995</v>
      </c>
      <c r="K33" s="16">
        <v>190.1</v>
      </c>
      <c r="L33" s="16">
        <v>108.5</v>
      </c>
      <c r="M33" s="16">
        <v>51.4</v>
      </c>
      <c r="N33" s="18">
        <v>19.7</v>
      </c>
      <c r="O33" s="12">
        <f t="shared" si="0"/>
        <v>1864</v>
      </c>
      <c r="P33" s="19">
        <f t="shared" si="1"/>
        <v>155.30000000000001</v>
      </c>
    </row>
    <row r="34" spans="2:16" ht="21.95" customHeight="1">
      <c r="B34" s="15">
        <v>2023</v>
      </c>
      <c r="C34" s="16">
        <v>38.9</v>
      </c>
      <c r="D34" s="16">
        <v>0.7</v>
      </c>
      <c r="E34" s="16">
        <v>5.5</v>
      </c>
      <c r="F34" s="16">
        <v>67.400000000000006</v>
      </c>
      <c r="G34" s="16">
        <v>120.3</v>
      </c>
      <c r="H34" s="16">
        <v>131.5</v>
      </c>
      <c r="I34" s="16">
        <v>490.5</v>
      </c>
      <c r="J34" s="16">
        <v>200.7</v>
      </c>
      <c r="K34" s="16">
        <v>135.6</v>
      </c>
      <c r="L34" s="16">
        <v>35.799999999999997</v>
      </c>
      <c r="M34" s="16">
        <v>99</v>
      </c>
      <c r="N34" s="18">
        <v>83.5</v>
      </c>
      <c r="O34" s="12">
        <f t="shared" si="0"/>
        <v>1409.4</v>
      </c>
      <c r="P34" s="19">
        <f t="shared" si="1"/>
        <v>117.5</v>
      </c>
    </row>
    <row r="35" spans="2:16" ht="21.95" customHeight="1" thickBot="1">
      <c r="B35" s="33">
        <v>2024</v>
      </c>
      <c r="C35" s="34">
        <v>21.2</v>
      </c>
      <c r="D35" s="34">
        <v>74.8</v>
      </c>
      <c r="E35" s="34">
        <v>30.2</v>
      </c>
      <c r="F35" s="34">
        <v>55</v>
      </c>
      <c r="G35" s="34">
        <v>109.4</v>
      </c>
      <c r="H35" s="34">
        <v>137.5</v>
      </c>
      <c r="I35" s="34">
        <v>403.3</v>
      </c>
      <c r="J35" s="34">
        <v>127.6</v>
      </c>
      <c r="K35" s="34">
        <v>219.4</v>
      </c>
      <c r="L35" s="34">
        <v>97.2</v>
      </c>
      <c r="M35" s="34">
        <v>98.1</v>
      </c>
      <c r="N35" s="35">
        <v>4.5</v>
      </c>
      <c r="O35" s="36">
        <f t="shared" si="0"/>
        <v>1378.2</v>
      </c>
      <c r="P35" s="37">
        <f t="shared" si="1"/>
        <v>114.9</v>
      </c>
    </row>
    <row r="36" spans="2:16" ht="21.95" customHeight="1">
      <c r="B36" s="38" t="s">
        <v>13</v>
      </c>
      <c r="C36" s="39">
        <f>ROUND(MAX(C6:C35),1)</f>
        <v>61</v>
      </c>
      <c r="D36" s="39">
        <f t="shared" ref="D36:N36" si="2">ROUND(MAX(D6:D35),1)</f>
        <v>74.8</v>
      </c>
      <c r="E36" s="39">
        <f t="shared" si="2"/>
        <v>135.30000000000001</v>
      </c>
      <c r="F36" s="39">
        <f t="shared" si="2"/>
        <v>186.4</v>
      </c>
      <c r="G36" s="39">
        <f t="shared" si="2"/>
        <v>260.3</v>
      </c>
      <c r="H36" s="39">
        <f t="shared" si="2"/>
        <v>472.1</v>
      </c>
      <c r="I36" s="39">
        <f t="shared" si="2"/>
        <v>794.3</v>
      </c>
      <c r="J36" s="39">
        <f t="shared" si="2"/>
        <v>967.9</v>
      </c>
      <c r="K36" s="39">
        <f t="shared" si="2"/>
        <v>402.2</v>
      </c>
      <c r="L36" s="39">
        <f t="shared" si="2"/>
        <v>132.69999999999999</v>
      </c>
      <c r="M36" s="39">
        <f t="shared" si="2"/>
        <v>116</v>
      </c>
      <c r="N36" s="40">
        <f t="shared" si="2"/>
        <v>83.5</v>
      </c>
      <c r="O36" s="41">
        <f>ROUND(MAX(O6:O35),1)</f>
        <v>1975.9</v>
      </c>
      <c r="P36" s="42">
        <f>ROUND(MAX(P6:P35),1)</f>
        <v>164.7</v>
      </c>
    </row>
    <row r="37" spans="2:16" ht="21.95" customHeight="1">
      <c r="B37" s="43" t="s">
        <v>14</v>
      </c>
      <c r="C37" s="44">
        <f>ROUND(MIN(C6:C35),1)</f>
        <v>0.5</v>
      </c>
      <c r="D37" s="44">
        <f t="shared" ref="D37:N37" si="3">ROUND(MIN(D6:D35),1)</f>
        <v>0.7</v>
      </c>
      <c r="E37" s="44">
        <f t="shared" si="3"/>
        <v>3.1</v>
      </c>
      <c r="F37" s="44">
        <f t="shared" si="3"/>
        <v>12.9</v>
      </c>
      <c r="G37" s="44">
        <f t="shared" si="3"/>
        <v>13.4</v>
      </c>
      <c r="H37" s="44">
        <f t="shared" si="3"/>
        <v>27.6</v>
      </c>
      <c r="I37" s="44">
        <f t="shared" si="3"/>
        <v>134.4</v>
      </c>
      <c r="J37" s="44">
        <f t="shared" si="3"/>
        <v>66.400000000000006</v>
      </c>
      <c r="K37" s="44">
        <f t="shared" si="3"/>
        <v>6.9</v>
      </c>
      <c r="L37" s="44">
        <f t="shared" si="3"/>
        <v>2</v>
      </c>
      <c r="M37" s="44">
        <f t="shared" si="3"/>
        <v>12.2</v>
      </c>
      <c r="N37" s="19">
        <f t="shared" si="3"/>
        <v>3.1</v>
      </c>
      <c r="O37" s="45">
        <f>ROUND(MIN(O6:O35),1)</f>
        <v>751.1</v>
      </c>
      <c r="P37" s="46">
        <f>ROUND(MIN(P6:P35),1)</f>
        <v>62.6</v>
      </c>
    </row>
    <row r="38" spans="2:16" ht="21.95" customHeight="1" thickBot="1">
      <c r="B38" s="47" t="s">
        <v>18</v>
      </c>
      <c r="C38" s="48">
        <f>ROUND(AVERAGE(C6:C35),1)</f>
        <v>19.8</v>
      </c>
      <c r="D38" s="48">
        <f t="shared" ref="D38:P38" si="4">ROUND(AVERAGE(D6:D35),1)</f>
        <v>26.8</v>
      </c>
      <c r="E38" s="48">
        <f t="shared" si="4"/>
        <v>43.1</v>
      </c>
      <c r="F38" s="48">
        <f t="shared" si="4"/>
        <v>73.3</v>
      </c>
      <c r="G38" s="48">
        <f t="shared" si="4"/>
        <v>93.4</v>
      </c>
      <c r="H38" s="48">
        <f t="shared" si="4"/>
        <v>136.30000000000001</v>
      </c>
      <c r="I38" s="48">
        <f t="shared" si="4"/>
        <v>384.9</v>
      </c>
      <c r="J38" s="48">
        <f t="shared" si="4"/>
        <v>304.7</v>
      </c>
      <c r="K38" s="48">
        <f t="shared" si="4"/>
        <v>140.30000000000001</v>
      </c>
      <c r="L38" s="48">
        <f t="shared" si="4"/>
        <v>54</v>
      </c>
      <c r="M38" s="48">
        <f t="shared" si="4"/>
        <v>54.6</v>
      </c>
      <c r="N38" s="49">
        <f t="shared" si="4"/>
        <v>24.9</v>
      </c>
      <c r="O38" s="50">
        <f t="shared" si="4"/>
        <v>1356.3</v>
      </c>
      <c r="P38" s="51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17.5</v>
      </c>
      <c r="D44" s="53">
        <f t="shared" si="5"/>
        <v>22.7</v>
      </c>
      <c r="E44" s="53">
        <f t="shared" si="5"/>
        <v>12.5</v>
      </c>
      <c r="F44" s="53">
        <f t="shared" si="5"/>
        <v>99.2</v>
      </c>
      <c r="G44" s="53">
        <f t="shared" si="5"/>
        <v>32.6</v>
      </c>
      <c r="H44" s="53">
        <f t="shared" si="5"/>
        <v>30.2</v>
      </c>
      <c r="I44" s="53">
        <f t="shared" si="5"/>
        <v>225.8</v>
      </c>
      <c r="J44" s="53">
        <f t="shared" si="5"/>
        <v>71</v>
      </c>
      <c r="K44" s="53">
        <f t="shared" si="5"/>
        <v>6.9</v>
      </c>
      <c r="L44" s="53">
        <f t="shared" si="5"/>
        <v>67.400000000000006</v>
      </c>
      <c r="M44" s="53">
        <f t="shared" si="5"/>
        <v>116</v>
      </c>
      <c r="N44" s="54">
        <f t="shared" si="5"/>
        <v>49.3</v>
      </c>
      <c r="O44" s="55">
        <f>ROUND(SUM(C44:N44),1)</f>
        <v>751.1</v>
      </c>
      <c r="P44" s="46">
        <f>ROUND(O44/12,1)</f>
        <v>62.6</v>
      </c>
    </row>
    <row r="45" spans="2:16" ht="21.95" customHeight="1">
      <c r="B45" s="52">
        <f t="shared" ref="B45:N53" si="6">B27</f>
        <v>2016</v>
      </c>
      <c r="C45" s="53">
        <f t="shared" si="6"/>
        <v>4.5999999999999996</v>
      </c>
      <c r="D45" s="53">
        <f t="shared" si="6"/>
        <v>52.6</v>
      </c>
      <c r="E45" s="53">
        <f t="shared" si="6"/>
        <v>54.8</v>
      </c>
      <c r="F45" s="53">
        <f t="shared" si="6"/>
        <v>79.2</v>
      </c>
      <c r="G45" s="53">
        <f t="shared" si="6"/>
        <v>156.4</v>
      </c>
      <c r="H45" s="53">
        <f t="shared" si="6"/>
        <v>37.4</v>
      </c>
      <c r="I45" s="53">
        <f t="shared" si="6"/>
        <v>317.7</v>
      </c>
      <c r="J45" s="53">
        <f t="shared" si="6"/>
        <v>73</v>
      </c>
      <c r="K45" s="53">
        <f t="shared" si="6"/>
        <v>67.8</v>
      </c>
      <c r="L45" s="53">
        <f t="shared" si="6"/>
        <v>99.1</v>
      </c>
      <c r="M45" s="53">
        <f t="shared" si="6"/>
        <v>17.399999999999999</v>
      </c>
      <c r="N45" s="54">
        <f t="shared" si="6"/>
        <v>63.4</v>
      </c>
      <c r="O45" s="55">
        <f t="shared" ref="O45:O53" si="7">ROUND(SUM(C45:N45),1)</f>
        <v>1023.4</v>
      </c>
      <c r="P45" s="46">
        <f t="shared" ref="P45:P53" si="8">ROUND(O45/12,1)</f>
        <v>85.3</v>
      </c>
    </row>
    <row r="46" spans="2:16" ht="21.95" customHeight="1">
      <c r="B46" s="52">
        <f t="shared" si="6"/>
        <v>2017</v>
      </c>
      <c r="C46" s="53">
        <f t="shared" si="6"/>
        <v>19.399999999999999</v>
      </c>
      <c r="D46" s="53">
        <f t="shared" si="6"/>
        <v>22.5</v>
      </c>
      <c r="E46" s="53">
        <f t="shared" si="6"/>
        <v>9</v>
      </c>
      <c r="F46" s="53">
        <f t="shared" si="6"/>
        <v>52.5</v>
      </c>
      <c r="G46" s="53">
        <f t="shared" si="6"/>
        <v>22.5</v>
      </c>
      <c r="H46" s="53">
        <f t="shared" si="6"/>
        <v>27.6</v>
      </c>
      <c r="I46" s="53">
        <f t="shared" si="6"/>
        <v>684.5</v>
      </c>
      <c r="J46" s="53">
        <f t="shared" si="6"/>
        <v>359.7</v>
      </c>
      <c r="K46" s="53">
        <f t="shared" si="6"/>
        <v>26.1</v>
      </c>
      <c r="L46" s="53">
        <f t="shared" si="6"/>
        <v>28.7</v>
      </c>
      <c r="M46" s="53">
        <f t="shared" si="6"/>
        <v>37.6</v>
      </c>
      <c r="N46" s="54">
        <f t="shared" si="6"/>
        <v>38.5</v>
      </c>
      <c r="O46" s="55">
        <f t="shared" si="7"/>
        <v>1328.6</v>
      </c>
      <c r="P46" s="46">
        <f t="shared" si="8"/>
        <v>110.7</v>
      </c>
    </row>
    <row r="47" spans="2:16" ht="21.95" customHeight="1">
      <c r="B47" s="52">
        <f t="shared" si="6"/>
        <v>2018</v>
      </c>
      <c r="C47" s="53">
        <f t="shared" si="6"/>
        <v>7.9</v>
      </c>
      <c r="D47" s="53">
        <f t="shared" si="6"/>
        <v>29.1</v>
      </c>
      <c r="E47" s="53">
        <f t="shared" si="6"/>
        <v>86</v>
      </c>
      <c r="F47" s="53">
        <f t="shared" si="6"/>
        <v>128.80000000000001</v>
      </c>
      <c r="G47" s="53">
        <f t="shared" si="6"/>
        <v>196.4</v>
      </c>
      <c r="H47" s="53">
        <f t="shared" si="6"/>
        <v>107</v>
      </c>
      <c r="I47" s="53">
        <f t="shared" si="6"/>
        <v>222.7</v>
      </c>
      <c r="J47" s="53">
        <f t="shared" si="6"/>
        <v>218.6</v>
      </c>
      <c r="K47" s="53">
        <f t="shared" si="6"/>
        <v>61.7</v>
      </c>
      <c r="L47" s="53">
        <f t="shared" si="6"/>
        <v>132.69999999999999</v>
      </c>
      <c r="M47" s="53">
        <f t="shared" si="6"/>
        <v>78.099999999999994</v>
      </c>
      <c r="N47" s="54">
        <f t="shared" si="6"/>
        <v>24.1</v>
      </c>
      <c r="O47" s="55">
        <f>ROUND(SUM(C47:N47),1)</f>
        <v>1293.0999999999999</v>
      </c>
      <c r="P47" s="46">
        <f t="shared" si="8"/>
        <v>107.8</v>
      </c>
    </row>
    <row r="48" spans="2:16" ht="21.95" customHeight="1">
      <c r="B48" s="52">
        <f t="shared" si="6"/>
        <v>2019</v>
      </c>
      <c r="C48" s="53">
        <f t="shared" si="6"/>
        <v>0.5</v>
      </c>
      <c r="D48" s="53">
        <f t="shared" si="6"/>
        <v>33.4</v>
      </c>
      <c r="E48" s="53">
        <f t="shared" si="6"/>
        <v>39.6</v>
      </c>
      <c r="F48" s="53">
        <f t="shared" si="6"/>
        <v>43.6</v>
      </c>
      <c r="G48" s="53">
        <f t="shared" si="6"/>
        <v>26.7</v>
      </c>
      <c r="H48" s="53">
        <f t="shared" si="6"/>
        <v>68.8</v>
      </c>
      <c r="I48" s="53">
        <f t="shared" si="6"/>
        <v>190.9</v>
      </c>
      <c r="J48" s="53">
        <f t="shared" si="6"/>
        <v>117.9</v>
      </c>
      <c r="K48" s="53">
        <f t="shared" si="6"/>
        <v>201.9</v>
      </c>
      <c r="L48" s="53">
        <f t="shared" si="6"/>
        <v>73.099999999999994</v>
      </c>
      <c r="M48" s="53">
        <f t="shared" si="6"/>
        <v>93.2</v>
      </c>
      <c r="N48" s="54">
        <f t="shared" si="6"/>
        <v>26.2</v>
      </c>
      <c r="O48" s="55">
        <f t="shared" si="7"/>
        <v>915.8</v>
      </c>
      <c r="P48" s="46">
        <f t="shared" si="8"/>
        <v>76.3</v>
      </c>
    </row>
    <row r="49" spans="2:16" ht="21.95" customHeight="1">
      <c r="B49" s="52">
        <f t="shared" si="6"/>
        <v>2020</v>
      </c>
      <c r="C49" s="53">
        <f t="shared" si="6"/>
        <v>61</v>
      </c>
      <c r="D49" s="53">
        <f t="shared" si="6"/>
        <v>59.2</v>
      </c>
      <c r="E49" s="53">
        <f t="shared" si="6"/>
        <v>19.5</v>
      </c>
      <c r="F49" s="53">
        <f t="shared" si="6"/>
        <v>15.8</v>
      </c>
      <c r="G49" s="53">
        <f t="shared" si="6"/>
        <v>97.9</v>
      </c>
      <c r="H49" s="53">
        <f t="shared" si="6"/>
        <v>91.1</v>
      </c>
      <c r="I49" s="53">
        <f t="shared" si="6"/>
        <v>384.7</v>
      </c>
      <c r="J49" s="53">
        <f t="shared" si="6"/>
        <v>659.3</v>
      </c>
      <c r="K49" s="53">
        <f t="shared" si="6"/>
        <v>163.4</v>
      </c>
      <c r="L49" s="53">
        <f t="shared" si="6"/>
        <v>22.2</v>
      </c>
      <c r="M49" s="53">
        <f t="shared" si="6"/>
        <v>56.8</v>
      </c>
      <c r="N49" s="54">
        <f t="shared" si="6"/>
        <v>4.5999999999999996</v>
      </c>
      <c r="O49" s="55">
        <f t="shared" si="7"/>
        <v>1635.5</v>
      </c>
      <c r="P49" s="46">
        <f t="shared" si="8"/>
        <v>136.30000000000001</v>
      </c>
    </row>
    <row r="50" spans="2:16" ht="21.95" customHeight="1">
      <c r="B50" s="52">
        <f t="shared" si="6"/>
        <v>2021</v>
      </c>
      <c r="C50" s="53">
        <f t="shared" si="6"/>
        <v>24.1</v>
      </c>
      <c r="D50" s="53">
        <f t="shared" si="6"/>
        <v>9.6999999999999993</v>
      </c>
      <c r="E50" s="53">
        <f t="shared" si="6"/>
        <v>102.8</v>
      </c>
      <c r="F50" s="53">
        <f t="shared" si="6"/>
        <v>106.4</v>
      </c>
      <c r="G50" s="53">
        <f t="shared" si="6"/>
        <v>179.2</v>
      </c>
      <c r="H50" s="53">
        <f t="shared" si="6"/>
        <v>50.1</v>
      </c>
      <c r="I50" s="53">
        <f t="shared" si="6"/>
        <v>134.4</v>
      </c>
      <c r="J50" s="53">
        <f t="shared" si="6"/>
        <v>161.1</v>
      </c>
      <c r="K50" s="53">
        <f t="shared" si="6"/>
        <v>164.1</v>
      </c>
      <c r="L50" s="53">
        <f t="shared" si="6"/>
        <v>36</v>
      </c>
      <c r="M50" s="53">
        <f t="shared" si="6"/>
        <v>104.2</v>
      </c>
      <c r="N50" s="54">
        <f t="shared" si="6"/>
        <v>12.3</v>
      </c>
      <c r="O50" s="55">
        <f t="shared" si="7"/>
        <v>1084.4000000000001</v>
      </c>
      <c r="P50" s="46">
        <f t="shared" si="8"/>
        <v>90.4</v>
      </c>
    </row>
    <row r="51" spans="2:16" ht="21.95" customHeight="1">
      <c r="B51" s="52">
        <f t="shared" si="6"/>
        <v>2022</v>
      </c>
      <c r="C51" s="53">
        <f t="shared" si="6"/>
        <v>3.9</v>
      </c>
      <c r="D51" s="53">
        <f t="shared" si="6"/>
        <v>4</v>
      </c>
      <c r="E51" s="53">
        <f t="shared" si="6"/>
        <v>74.7</v>
      </c>
      <c r="F51" s="53">
        <f t="shared" si="6"/>
        <v>42.4</v>
      </c>
      <c r="G51" s="53">
        <f t="shared" si="6"/>
        <v>13.4</v>
      </c>
      <c r="H51" s="53">
        <f t="shared" si="6"/>
        <v>472.1</v>
      </c>
      <c r="I51" s="53">
        <f t="shared" si="6"/>
        <v>243</v>
      </c>
      <c r="J51" s="53">
        <f t="shared" si="6"/>
        <v>640.79999999999995</v>
      </c>
      <c r="K51" s="53">
        <f t="shared" si="6"/>
        <v>190.1</v>
      </c>
      <c r="L51" s="53">
        <f t="shared" si="6"/>
        <v>108.5</v>
      </c>
      <c r="M51" s="53">
        <f t="shared" si="6"/>
        <v>51.4</v>
      </c>
      <c r="N51" s="54">
        <f t="shared" si="6"/>
        <v>19.7</v>
      </c>
      <c r="O51" s="55">
        <f t="shared" si="7"/>
        <v>1864</v>
      </c>
      <c r="P51" s="46">
        <f t="shared" si="8"/>
        <v>155.30000000000001</v>
      </c>
    </row>
    <row r="52" spans="2:16" ht="21.95" customHeight="1">
      <c r="B52" s="52">
        <f t="shared" si="6"/>
        <v>2023</v>
      </c>
      <c r="C52" s="53">
        <f t="shared" si="6"/>
        <v>38.9</v>
      </c>
      <c r="D52" s="53">
        <f t="shared" si="6"/>
        <v>0.7</v>
      </c>
      <c r="E52" s="53">
        <f t="shared" si="6"/>
        <v>5.5</v>
      </c>
      <c r="F52" s="53">
        <f t="shared" si="6"/>
        <v>67.400000000000006</v>
      </c>
      <c r="G52" s="53">
        <f t="shared" si="6"/>
        <v>120.3</v>
      </c>
      <c r="H52" s="53">
        <f t="shared" si="6"/>
        <v>131.5</v>
      </c>
      <c r="I52" s="53">
        <f t="shared" si="6"/>
        <v>490.5</v>
      </c>
      <c r="J52" s="53">
        <f t="shared" si="6"/>
        <v>200.7</v>
      </c>
      <c r="K52" s="53">
        <f t="shared" si="6"/>
        <v>135.6</v>
      </c>
      <c r="L52" s="53">
        <f t="shared" si="6"/>
        <v>35.799999999999997</v>
      </c>
      <c r="M52" s="53">
        <f t="shared" si="6"/>
        <v>99</v>
      </c>
      <c r="N52" s="54">
        <f t="shared" si="6"/>
        <v>83.5</v>
      </c>
      <c r="O52" s="55">
        <f t="shared" si="7"/>
        <v>1409.4</v>
      </c>
      <c r="P52" s="46">
        <f t="shared" si="8"/>
        <v>117.5</v>
      </c>
    </row>
    <row r="53" spans="2:16" ht="21.95" customHeight="1" thickBot="1">
      <c r="B53" s="56">
        <f t="shared" si="6"/>
        <v>2024</v>
      </c>
      <c r="C53" s="57">
        <f t="shared" si="6"/>
        <v>21.2</v>
      </c>
      <c r="D53" s="57">
        <f t="shared" si="6"/>
        <v>74.8</v>
      </c>
      <c r="E53" s="57">
        <f t="shared" si="6"/>
        <v>30.2</v>
      </c>
      <c r="F53" s="57">
        <f t="shared" si="6"/>
        <v>55</v>
      </c>
      <c r="G53" s="57">
        <f t="shared" si="6"/>
        <v>109.4</v>
      </c>
      <c r="H53" s="57">
        <f t="shared" si="6"/>
        <v>137.5</v>
      </c>
      <c r="I53" s="57">
        <f t="shared" si="6"/>
        <v>403.3</v>
      </c>
      <c r="J53" s="57">
        <f t="shared" si="6"/>
        <v>127.6</v>
      </c>
      <c r="K53" s="57">
        <f t="shared" si="6"/>
        <v>219.4</v>
      </c>
      <c r="L53" s="57">
        <f t="shared" si="6"/>
        <v>97.2</v>
      </c>
      <c r="M53" s="57">
        <f t="shared" si="6"/>
        <v>98.1</v>
      </c>
      <c r="N53" s="58">
        <f t="shared" si="6"/>
        <v>4.5</v>
      </c>
      <c r="O53" s="59">
        <f t="shared" si="7"/>
        <v>1378.2</v>
      </c>
      <c r="P53" s="51">
        <f t="shared" si="8"/>
        <v>114.9</v>
      </c>
    </row>
    <row r="54" spans="2:16" ht="21.95" customHeight="1">
      <c r="B54" s="60" t="s">
        <v>19</v>
      </c>
      <c r="C54" s="61">
        <f>MAX(C44:C53)</f>
        <v>61</v>
      </c>
      <c r="D54" s="61">
        <f t="shared" ref="D54:P54" si="9">MAX(D44:D53)</f>
        <v>74.8</v>
      </c>
      <c r="E54" s="61">
        <f t="shared" si="9"/>
        <v>102.8</v>
      </c>
      <c r="F54" s="61">
        <f t="shared" si="9"/>
        <v>128.80000000000001</v>
      </c>
      <c r="G54" s="61">
        <f t="shared" si="9"/>
        <v>196.4</v>
      </c>
      <c r="H54" s="61">
        <f t="shared" si="9"/>
        <v>472.1</v>
      </c>
      <c r="I54" s="61">
        <f t="shared" si="9"/>
        <v>684.5</v>
      </c>
      <c r="J54" s="61">
        <f t="shared" si="9"/>
        <v>659.3</v>
      </c>
      <c r="K54" s="61">
        <f t="shared" si="9"/>
        <v>219.4</v>
      </c>
      <c r="L54" s="61">
        <f t="shared" si="9"/>
        <v>132.69999999999999</v>
      </c>
      <c r="M54" s="61">
        <f t="shared" si="9"/>
        <v>116</v>
      </c>
      <c r="N54" s="62">
        <f t="shared" si="9"/>
        <v>83.5</v>
      </c>
      <c r="O54" s="63">
        <f t="shared" si="9"/>
        <v>1864</v>
      </c>
      <c r="P54" s="62">
        <f t="shared" si="9"/>
        <v>155.30000000000001</v>
      </c>
    </row>
    <row r="55" spans="2:16" ht="21.95" customHeight="1">
      <c r="B55" s="64" t="s">
        <v>20</v>
      </c>
      <c r="C55" s="65">
        <f>MIN(C44:C53)</f>
        <v>0.5</v>
      </c>
      <c r="D55" s="65">
        <f t="shared" ref="D55:P55" si="10">MIN(D44:D53)</f>
        <v>0.7</v>
      </c>
      <c r="E55" s="65">
        <f t="shared" si="10"/>
        <v>5.5</v>
      </c>
      <c r="F55" s="65">
        <f t="shared" si="10"/>
        <v>15.8</v>
      </c>
      <c r="G55" s="65">
        <f t="shared" si="10"/>
        <v>13.4</v>
      </c>
      <c r="H55" s="65">
        <f t="shared" si="10"/>
        <v>27.6</v>
      </c>
      <c r="I55" s="65">
        <f t="shared" si="10"/>
        <v>134.4</v>
      </c>
      <c r="J55" s="65">
        <f t="shared" si="10"/>
        <v>71</v>
      </c>
      <c r="K55" s="65">
        <f t="shared" si="10"/>
        <v>6.9</v>
      </c>
      <c r="L55" s="65">
        <f t="shared" si="10"/>
        <v>22.2</v>
      </c>
      <c r="M55" s="65">
        <f t="shared" si="10"/>
        <v>17.399999999999999</v>
      </c>
      <c r="N55" s="46">
        <f t="shared" si="10"/>
        <v>4.5</v>
      </c>
      <c r="O55" s="55">
        <f>MIN(O44:O53)</f>
        <v>751.1</v>
      </c>
      <c r="P55" s="46">
        <f t="shared" si="10"/>
        <v>62.6</v>
      </c>
    </row>
    <row r="56" spans="2:16" ht="21.95" customHeight="1" thickBot="1">
      <c r="B56" s="66" t="s">
        <v>7</v>
      </c>
      <c r="C56" s="67">
        <f>ROUND(AVERAGE(C44:C53),1)</f>
        <v>19.899999999999999</v>
      </c>
      <c r="D56" s="67">
        <f t="shared" ref="D56:N56" si="11">ROUND(AVERAGE(D44:D53),1)</f>
        <v>30.9</v>
      </c>
      <c r="E56" s="67">
        <f t="shared" si="11"/>
        <v>43.5</v>
      </c>
      <c r="F56" s="67">
        <f t="shared" si="11"/>
        <v>69</v>
      </c>
      <c r="G56" s="67">
        <f t="shared" si="11"/>
        <v>95.5</v>
      </c>
      <c r="H56" s="67">
        <f t="shared" si="11"/>
        <v>115.3</v>
      </c>
      <c r="I56" s="67">
        <f t="shared" si="11"/>
        <v>329.8</v>
      </c>
      <c r="J56" s="67">
        <f t="shared" si="11"/>
        <v>263</v>
      </c>
      <c r="K56" s="67">
        <f t="shared" si="11"/>
        <v>123.7</v>
      </c>
      <c r="L56" s="67">
        <f t="shared" si="11"/>
        <v>70.099999999999994</v>
      </c>
      <c r="M56" s="67">
        <f t="shared" si="11"/>
        <v>75.2</v>
      </c>
      <c r="N56" s="51">
        <f t="shared" si="11"/>
        <v>32.6</v>
      </c>
      <c r="O56" s="59">
        <f>ROUND(AVERAGE(O44:O53),1)</f>
        <v>1268.4000000000001</v>
      </c>
      <c r="P56" s="51">
        <f>ROUND(AVERAGE(P44:P53),1)</f>
        <v>105.7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466AE-BB24-44CF-B381-0237ED5C10EA}">
  <sheetPr codeName="Sheet25">
    <tabColor rgb="FFFFC0CB"/>
  </sheetPr>
  <dimension ref="A2:Q983"/>
  <sheetViews>
    <sheetView topLeftCell="A5" zoomScaleNormal="100" workbookViewId="0">
      <selection activeCell="K34" sqref="K34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19</v>
      </c>
      <c r="D6" s="9">
        <v>8.1999999999999993</v>
      </c>
      <c r="E6" s="9">
        <v>25.3</v>
      </c>
      <c r="F6" s="9">
        <v>47</v>
      </c>
      <c r="G6" s="9">
        <v>48</v>
      </c>
      <c r="H6" s="9">
        <v>14.5</v>
      </c>
      <c r="I6" s="9">
        <v>239.9</v>
      </c>
      <c r="J6" s="10">
        <v>1082.5</v>
      </c>
      <c r="K6" s="9">
        <v>29</v>
      </c>
      <c r="L6" s="9">
        <v>23.5</v>
      </c>
      <c r="M6" s="9">
        <v>40.200000000000003</v>
      </c>
      <c r="N6" s="11">
        <v>8.9</v>
      </c>
      <c r="O6" s="12">
        <f t="shared" ref="O6:O35" si="0">ROUND(SUM(C6:N6),1)</f>
        <v>1586</v>
      </c>
      <c r="P6" s="13">
        <f>ROUND(O6/12,1)</f>
        <v>132.19999999999999</v>
      </c>
      <c r="Q6" s="14"/>
    </row>
    <row r="7" spans="2:17" ht="21.95" customHeight="1">
      <c r="B7" s="15">
        <v>1996</v>
      </c>
      <c r="C7" s="16">
        <v>29.5</v>
      </c>
      <c r="D7" s="16">
        <v>10.199999999999999</v>
      </c>
      <c r="E7" s="16">
        <v>115</v>
      </c>
      <c r="F7" s="16">
        <v>54.5</v>
      </c>
      <c r="G7" s="16">
        <v>19</v>
      </c>
      <c r="H7" s="16">
        <v>237</v>
      </c>
      <c r="I7" s="16">
        <v>177.5</v>
      </c>
      <c r="J7" s="17">
        <v>116.5</v>
      </c>
      <c r="K7" s="16">
        <v>8</v>
      </c>
      <c r="L7" s="16">
        <v>102.5</v>
      </c>
      <c r="M7" s="16">
        <v>71.599999999999994</v>
      </c>
      <c r="N7" s="18">
        <v>26.2</v>
      </c>
      <c r="O7" s="12">
        <f t="shared" si="0"/>
        <v>967.5</v>
      </c>
      <c r="P7" s="19">
        <f t="shared" ref="P7:P35" si="1">ROUND(O7/12,1)</f>
        <v>80.599999999999994</v>
      </c>
      <c r="Q7" s="14"/>
    </row>
    <row r="8" spans="2:17" ht="21.95" customHeight="1">
      <c r="B8" s="15">
        <v>1997</v>
      </c>
      <c r="C8" s="16">
        <v>10.7</v>
      </c>
      <c r="D8" s="16">
        <v>44.1</v>
      </c>
      <c r="E8" s="16">
        <v>30</v>
      </c>
      <c r="F8" s="16">
        <v>66.5</v>
      </c>
      <c r="G8" s="16">
        <v>211</v>
      </c>
      <c r="H8" s="16">
        <v>191.5</v>
      </c>
      <c r="I8" s="16">
        <v>305</v>
      </c>
      <c r="J8" s="16">
        <v>175.5</v>
      </c>
      <c r="K8" s="16">
        <v>14.5</v>
      </c>
      <c r="L8" s="16">
        <v>23</v>
      </c>
      <c r="M8" s="16">
        <v>153.5</v>
      </c>
      <c r="N8" s="18">
        <v>43.5</v>
      </c>
      <c r="O8" s="12">
        <f t="shared" si="0"/>
        <v>1268.8</v>
      </c>
      <c r="P8" s="19">
        <f t="shared" si="1"/>
        <v>105.7</v>
      </c>
      <c r="Q8" s="14"/>
    </row>
    <row r="9" spans="2:17" ht="21.95" customHeight="1">
      <c r="B9" s="15">
        <v>1998</v>
      </c>
      <c r="C9" s="16">
        <v>20.399999999999999</v>
      </c>
      <c r="D9" s="16">
        <v>27.9</v>
      </c>
      <c r="E9" s="16">
        <v>29.5</v>
      </c>
      <c r="F9" s="16">
        <v>120.5</v>
      </c>
      <c r="G9" s="16">
        <v>85</v>
      </c>
      <c r="H9" s="16">
        <v>219.5</v>
      </c>
      <c r="I9" s="16">
        <v>277</v>
      </c>
      <c r="J9" s="16">
        <v>408.1</v>
      </c>
      <c r="K9" s="16">
        <v>283</v>
      </c>
      <c r="L9" s="16">
        <v>51.5</v>
      </c>
      <c r="M9" s="16">
        <v>52.8</v>
      </c>
      <c r="N9" s="18">
        <v>8.5</v>
      </c>
      <c r="O9" s="12">
        <f t="shared" si="0"/>
        <v>1583.7</v>
      </c>
      <c r="P9" s="19">
        <f t="shared" si="1"/>
        <v>132</v>
      </c>
      <c r="Q9" s="14"/>
    </row>
    <row r="10" spans="2:17" ht="21.95" customHeight="1">
      <c r="B10" s="15">
        <v>1999</v>
      </c>
      <c r="C10" s="16">
        <v>2.7</v>
      </c>
      <c r="D10" s="16">
        <v>2.8</v>
      </c>
      <c r="E10" s="16">
        <v>46.5</v>
      </c>
      <c r="F10" s="16">
        <v>88.5</v>
      </c>
      <c r="G10" s="16">
        <v>121.5</v>
      </c>
      <c r="H10" s="16">
        <v>163.69999999999999</v>
      </c>
      <c r="I10" s="16">
        <v>138.5</v>
      </c>
      <c r="J10" s="16">
        <v>313.5</v>
      </c>
      <c r="K10" s="16">
        <v>324.5</v>
      </c>
      <c r="L10" s="16">
        <v>134.5</v>
      </c>
      <c r="M10" s="16">
        <v>16.5</v>
      </c>
      <c r="N10" s="18">
        <v>11.9</v>
      </c>
      <c r="O10" s="12">
        <f t="shared" si="0"/>
        <v>1365.1</v>
      </c>
      <c r="P10" s="19">
        <f t="shared" si="1"/>
        <v>113.8</v>
      </c>
      <c r="Q10" s="14"/>
    </row>
    <row r="11" spans="2:17" ht="21.95" customHeight="1">
      <c r="B11" s="15">
        <v>2000</v>
      </c>
      <c r="C11" s="16">
        <v>52.3</v>
      </c>
      <c r="D11" s="16">
        <v>2.7</v>
      </c>
      <c r="E11" s="16">
        <v>7.1</v>
      </c>
      <c r="F11" s="16">
        <v>36</v>
      </c>
      <c r="G11" s="16">
        <v>36</v>
      </c>
      <c r="H11" s="16">
        <v>181</v>
      </c>
      <c r="I11" s="16">
        <v>83</v>
      </c>
      <c r="J11" s="16">
        <v>636</v>
      </c>
      <c r="K11" s="16">
        <v>287.5</v>
      </c>
      <c r="L11" s="16">
        <v>32</v>
      </c>
      <c r="M11" s="16">
        <v>32</v>
      </c>
      <c r="N11" s="18">
        <v>22.5</v>
      </c>
      <c r="O11" s="12">
        <f t="shared" si="0"/>
        <v>1408.1</v>
      </c>
      <c r="P11" s="19">
        <f t="shared" si="1"/>
        <v>117.3</v>
      </c>
      <c r="Q11" s="14"/>
    </row>
    <row r="12" spans="2:17" ht="21.95" customHeight="1">
      <c r="B12" s="15">
        <v>2001</v>
      </c>
      <c r="C12" s="16">
        <v>43.5</v>
      </c>
      <c r="D12" s="16">
        <v>44</v>
      </c>
      <c r="E12" s="16">
        <v>16.5</v>
      </c>
      <c r="F12" s="16">
        <v>19</v>
      </c>
      <c r="G12" s="16">
        <v>15</v>
      </c>
      <c r="H12" s="16">
        <v>227.5</v>
      </c>
      <c r="I12" s="16">
        <v>178</v>
      </c>
      <c r="J12" s="16">
        <v>194.5</v>
      </c>
      <c r="K12" s="16">
        <v>12</v>
      </c>
      <c r="L12" s="16">
        <v>63.5</v>
      </c>
      <c r="M12" s="16">
        <v>6.3</v>
      </c>
      <c r="N12" s="18">
        <v>18.399999999999999</v>
      </c>
      <c r="O12" s="12">
        <f t="shared" si="0"/>
        <v>838.2</v>
      </c>
      <c r="P12" s="19">
        <f t="shared" si="1"/>
        <v>69.900000000000006</v>
      </c>
    </row>
    <row r="13" spans="2:17" ht="21.95" customHeight="1">
      <c r="B13" s="15">
        <v>2002</v>
      </c>
      <c r="C13" s="16">
        <v>45.3</v>
      </c>
      <c r="D13" s="16">
        <v>6</v>
      </c>
      <c r="E13" s="16">
        <v>25.5</v>
      </c>
      <c r="F13" s="16">
        <v>128</v>
      </c>
      <c r="G13" s="16">
        <v>104</v>
      </c>
      <c r="H13" s="16">
        <v>54</v>
      </c>
      <c r="I13" s="16">
        <v>229.5</v>
      </c>
      <c r="J13" s="16">
        <v>481.5</v>
      </c>
      <c r="K13" s="16">
        <v>57</v>
      </c>
      <c r="L13" s="16">
        <v>91.5</v>
      </c>
      <c r="M13" s="16">
        <v>42.1</v>
      </c>
      <c r="N13" s="18">
        <v>48.1</v>
      </c>
      <c r="O13" s="12">
        <f t="shared" si="0"/>
        <v>1312.5</v>
      </c>
      <c r="P13" s="19">
        <f t="shared" si="1"/>
        <v>109.4</v>
      </c>
    </row>
    <row r="14" spans="2:17" ht="21.95" customHeight="1">
      <c r="B14" s="15">
        <v>2003</v>
      </c>
      <c r="C14" s="16">
        <v>18.600000000000001</v>
      </c>
      <c r="D14" s="16">
        <v>44</v>
      </c>
      <c r="E14" s="16">
        <v>38.1</v>
      </c>
      <c r="F14" s="16">
        <v>172.3</v>
      </c>
      <c r="G14" s="16">
        <v>106</v>
      </c>
      <c r="H14" s="16">
        <v>178.6</v>
      </c>
      <c r="I14" s="16">
        <v>381.2</v>
      </c>
      <c r="J14" s="16">
        <v>334.6</v>
      </c>
      <c r="K14" s="16">
        <v>264.2</v>
      </c>
      <c r="L14" s="16">
        <v>27</v>
      </c>
      <c r="M14" s="16">
        <v>46.7</v>
      </c>
      <c r="N14" s="18">
        <v>17</v>
      </c>
      <c r="O14" s="12">
        <f t="shared" si="0"/>
        <v>1628.3</v>
      </c>
      <c r="P14" s="19">
        <f t="shared" si="1"/>
        <v>135.69999999999999</v>
      </c>
    </row>
    <row r="15" spans="2:17" ht="21.95" customHeight="1">
      <c r="B15" s="15">
        <v>2004</v>
      </c>
      <c r="C15" s="16">
        <v>16.399999999999999</v>
      </c>
      <c r="D15" s="16">
        <v>21.3</v>
      </c>
      <c r="E15" s="16">
        <v>21.5</v>
      </c>
      <c r="F15" s="16">
        <v>67.5</v>
      </c>
      <c r="G15" s="16">
        <v>127.6</v>
      </c>
      <c r="H15" s="16">
        <v>235</v>
      </c>
      <c r="I15" s="16">
        <v>365.2</v>
      </c>
      <c r="J15" s="16">
        <v>229.3</v>
      </c>
      <c r="K15" s="16">
        <v>189</v>
      </c>
      <c r="L15" s="16">
        <v>4.5</v>
      </c>
      <c r="M15" s="16">
        <v>53</v>
      </c>
      <c r="N15" s="18">
        <v>33</v>
      </c>
      <c r="O15" s="12">
        <f t="shared" si="0"/>
        <v>1363.3</v>
      </c>
      <c r="P15" s="19">
        <f t="shared" si="1"/>
        <v>113.6</v>
      </c>
    </row>
    <row r="16" spans="2:17" ht="21.95" customHeight="1">
      <c r="B16" s="15">
        <v>2005</v>
      </c>
      <c r="C16" s="16">
        <v>3</v>
      </c>
      <c r="D16" s="16">
        <v>29.8</v>
      </c>
      <c r="E16" s="16">
        <v>37</v>
      </c>
      <c r="F16" s="16">
        <v>53.7</v>
      </c>
      <c r="G16" s="16">
        <v>48</v>
      </c>
      <c r="H16" s="16">
        <v>183</v>
      </c>
      <c r="I16" s="16">
        <v>313.8</v>
      </c>
      <c r="J16" s="16">
        <v>202</v>
      </c>
      <c r="K16" s="16">
        <v>377.5</v>
      </c>
      <c r="L16" s="16">
        <v>26.7</v>
      </c>
      <c r="M16" s="16">
        <v>23.5</v>
      </c>
      <c r="N16" s="18">
        <v>11.3</v>
      </c>
      <c r="O16" s="12">
        <f t="shared" si="0"/>
        <v>1309.3</v>
      </c>
      <c r="P16" s="19">
        <f t="shared" si="1"/>
        <v>109.1</v>
      </c>
    </row>
    <row r="17" spans="2:16" ht="21.95" customHeight="1">
      <c r="B17" s="15">
        <v>2006</v>
      </c>
      <c r="C17" s="16">
        <v>25.2</v>
      </c>
      <c r="D17" s="16">
        <v>18.5</v>
      </c>
      <c r="E17" s="16">
        <v>6.1</v>
      </c>
      <c r="F17" s="16">
        <v>78.599999999999994</v>
      </c>
      <c r="G17" s="16">
        <v>79</v>
      </c>
      <c r="H17" s="16">
        <v>120</v>
      </c>
      <c r="I17" s="16">
        <v>535.1</v>
      </c>
      <c r="J17" s="16">
        <v>63.5</v>
      </c>
      <c r="K17" s="16">
        <v>22.2</v>
      </c>
      <c r="L17" s="16">
        <v>21.6</v>
      </c>
      <c r="M17" s="16">
        <v>56.3</v>
      </c>
      <c r="N17" s="18">
        <v>17.2</v>
      </c>
      <c r="O17" s="12">
        <f t="shared" si="0"/>
        <v>1043.3</v>
      </c>
      <c r="P17" s="19">
        <f t="shared" si="1"/>
        <v>86.9</v>
      </c>
    </row>
    <row r="18" spans="2:16" ht="21.95" customHeight="1">
      <c r="B18" s="15">
        <v>2007</v>
      </c>
      <c r="C18" s="16">
        <v>9.4</v>
      </c>
      <c r="D18" s="16">
        <v>34.1</v>
      </c>
      <c r="E18" s="16">
        <v>108.3</v>
      </c>
      <c r="F18" s="16">
        <v>35.299999999999997</v>
      </c>
      <c r="G18" s="16">
        <v>126.2</v>
      </c>
      <c r="H18" s="16">
        <v>106.7</v>
      </c>
      <c r="I18" s="16">
        <v>215.6</v>
      </c>
      <c r="J18" s="16">
        <v>470.6</v>
      </c>
      <c r="K18" s="16">
        <v>353.3</v>
      </c>
      <c r="L18" s="16">
        <v>43.4</v>
      </c>
      <c r="M18" s="16">
        <v>15.6</v>
      </c>
      <c r="N18" s="18">
        <v>43.9</v>
      </c>
      <c r="O18" s="12">
        <f t="shared" si="0"/>
        <v>1562.4</v>
      </c>
      <c r="P18" s="19">
        <f t="shared" si="1"/>
        <v>130.19999999999999</v>
      </c>
    </row>
    <row r="19" spans="2:16" ht="21.95" customHeight="1">
      <c r="B19" s="15">
        <v>2008</v>
      </c>
      <c r="C19" s="16">
        <v>17.5</v>
      </c>
      <c r="D19" s="16">
        <v>11.1</v>
      </c>
      <c r="E19" s="16">
        <v>40.1</v>
      </c>
      <c r="F19" s="16">
        <v>34</v>
      </c>
      <c r="G19" s="16">
        <v>62.6</v>
      </c>
      <c r="H19" s="16">
        <v>126.7</v>
      </c>
      <c r="I19" s="16">
        <v>287.2</v>
      </c>
      <c r="J19" s="16">
        <v>138.80000000000001</v>
      </c>
      <c r="K19" s="16">
        <v>89.3</v>
      </c>
      <c r="L19" s="16">
        <v>30.4</v>
      </c>
      <c r="M19" s="16">
        <v>16.600000000000001</v>
      </c>
      <c r="N19" s="18">
        <v>15.8</v>
      </c>
      <c r="O19" s="12">
        <f t="shared" si="0"/>
        <v>870.1</v>
      </c>
      <c r="P19" s="19">
        <f t="shared" si="1"/>
        <v>72.5</v>
      </c>
    </row>
    <row r="20" spans="2:16" ht="21.95" customHeight="1">
      <c r="B20" s="15">
        <v>2009</v>
      </c>
      <c r="C20" s="16">
        <v>13.3</v>
      </c>
      <c r="D20" s="16">
        <v>16</v>
      </c>
      <c r="E20" s="16">
        <v>51.6</v>
      </c>
      <c r="F20" s="16">
        <v>30.6</v>
      </c>
      <c r="G20" s="16">
        <v>112.6</v>
      </c>
      <c r="H20" s="16">
        <v>55.6</v>
      </c>
      <c r="I20" s="16">
        <v>335.8</v>
      </c>
      <c r="J20" s="16">
        <v>212.3</v>
      </c>
      <c r="K20" s="16">
        <v>30.8</v>
      </c>
      <c r="L20" s="16">
        <v>61.1</v>
      </c>
      <c r="M20" s="16">
        <v>39.700000000000003</v>
      </c>
      <c r="N20" s="18">
        <v>40.5</v>
      </c>
      <c r="O20" s="12">
        <f t="shared" si="0"/>
        <v>999.9</v>
      </c>
      <c r="P20" s="19">
        <f t="shared" si="1"/>
        <v>83.3</v>
      </c>
    </row>
    <row r="21" spans="2:16" ht="21.95" customHeight="1">
      <c r="B21" s="15">
        <v>2010</v>
      </c>
      <c r="C21" s="16">
        <v>40.700000000000003</v>
      </c>
      <c r="D21" s="16">
        <v>50.4</v>
      </c>
      <c r="E21" s="16">
        <v>73.8</v>
      </c>
      <c r="F21" s="16">
        <v>61</v>
      </c>
      <c r="G21" s="16">
        <v>84</v>
      </c>
      <c r="H21" s="16">
        <v>37</v>
      </c>
      <c r="I21" s="16">
        <v>171</v>
      </c>
      <c r="J21" s="16">
        <v>486.1</v>
      </c>
      <c r="K21" s="16">
        <v>316.89999999999998</v>
      </c>
      <c r="L21" s="16">
        <v>19.399999999999999</v>
      </c>
      <c r="M21" s="16">
        <v>13.5</v>
      </c>
      <c r="N21" s="18">
        <v>24.5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7.9</v>
      </c>
      <c r="D22" s="16">
        <v>31</v>
      </c>
      <c r="E22" s="16">
        <v>26.5</v>
      </c>
      <c r="F22" s="16">
        <v>133.19999999999999</v>
      </c>
      <c r="G22" s="16">
        <v>103.3</v>
      </c>
      <c r="H22" s="16">
        <v>374.6</v>
      </c>
      <c r="I22" s="16">
        <v>645.1</v>
      </c>
      <c r="J22" s="16">
        <v>268.2</v>
      </c>
      <c r="K22" s="16">
        <v>153.19999999999999</v>
      </c>
      <c r="L22" s="16">
        <v>26.5</v>
      </c>
      <c r="M22" s="16">
        <v>65.8</v>
      </c>
      <c r="N22" s="18">
        <v>10.5</v>
      </c>
      <c r="O22" s="12">
        <f t="shared" si="0"/>
        <v>1845.8</v>
      </c>
      <c r="P22" s="19">
        <f t="shared" si="1"/>
        <v>153.80000000000001</v>
      </c>
    </row>
    <row r="23" spans="2:16" ht="21.95" customHeight="1">
      <c r="B23" s="15">
        <v>2012</v>
      </c>
      <c r="C23" s="16">
        <v>14.5</v>
      </c>
      <c r="D23" s="16">
        <v>2.2999999999999998</v>
      </c>
      <c r="E23" s="16">
        <v>44.9</v>
      </c>
      <c r="F23" s="16">
        <v>81.599999999999994</v>
      </c>
      <c r="G23" s="16">
        <v>16.8</v>
      </c>
      <c r="H23" s="16">
        <v>75.099999999999994</v>
      </c>
      <c r="I23" s="16">
        <v>252.5</v>
      </c>
      <c r="J23" s="16">
        <v>483.7</v>
      </c>
      <c r="K23" s="16">
        <v>190.1</v>
      </c>
      <c r="L23" s="16">
        <v>66.599999999999994</v>
      </c>
      <c r="M23" s="16">
        <v>52.6</v>
      </c>
      <c r="N23" s="18">
        <v>56</v>
      </c>
      <c r="O23" s="12">
        <f t="shared" si="0"/>
        <v>1336.7</v>
      </c>
      <c r="P23" s="19">
        <f t="shared" si="1"/>
        <v>111.4</v>
      </c>
    </row>
    <row r="24" spans="2:16" ht="21.95" customHeight="1">
      <c r="B24" s="15">
        <v>2013</v>
      </c>
      <c r="C24" s="16">
        <v>28.5</v>
      </c>
      <c r="D24" s="16">
        <v>35.200000000000003</v>
      </c>
      <c r="E24" s="16">
        <v>40</v>
      </c>
      <c r="F24" s="16">
        <v>56.3</v>
      </c>
      <c r="G24" s="16">
        <v>123.5</v>
      </c>
      <c r="H24" s="16">
        <v>102.1</v>
      </c>
      <c r="I24" s="16">
        <v>308.2</v>
      </c>
      <c r="J24" s="16">
        <v>173.6</v>
      </c>
      <c r="K24" s="16">
        <v>117.5</v>
      </c>
      <c r="L24" s="16">
        <v>12.2</v>
      </c>
      <c r="M24" s="16">
        <v>58.2</v>
      </c>
      <c r="N24" s="18">
        <v>40.299999999999997</v>
      </c>
      <c r="O24" s="12">
        <f t="shared" si="0"/>
        <v>1095.5999999999999</v>
      </c>
      <c r="P24" s="19">
        <f t="shared" si="1"/>
        <v>91.3</v>
      </c>
    </row>
    <row r="25" spans="2:16" ht="21.95" customHeight="1">
      <c r="B25" s="15">
        <v>2014</v>
      </c>
      <c r="C25" s="16">
        <v>4.9000000000000004</v>
      </c>
      <c r="D25" s="16">
        <v>14.7</v>
      </c>
      <c r="E25" s="16">
        <v>40.9</v>
      </c>
      <c r="F25" s="16">
        <v>62.1</v>
      </c>
      <c r="G25" s="16">
        <v>34.6</v>
      </c>
      <c r="H25" s="16">
        <v>73.900000000000006</v>
      </c>
      <c r="I25" s="16">
        <v>239</v>
      </c>
      <c r="J25" s="16">
        <v>218.7</v>
      </c>
      <c r="K25" s="16">
        <v>144</v>
      </c>
      <c r="L25" s="16">
        <v>119.5</v>
      </c>
      <c r="M25" s="16">
        <v>28.9</v>
      </c>
      <c r="N25" s="18">
        <v>38.9</v>
      </c>
      <c r="O25" s="12">
        <f t="shared" si="0"/>
        <v>1020.1</v>
      </c>
      <c r="P25" s="19">
        <f t="shared" si="1"/>
        <v>85</v>
      </c>
    </row>
    <row r="26" spans="2:16" ht="21.95" customHeight="1">
      <c r="B26" s="15">
        <v>2015</v>
      </c>
      <c r="C26" s="16">
        <v>12.7</v>
      </c>
      <c r="D26" s="16">
        <v>21.5</v>
      </c>
      <c r="E26" s="16">
        <v>23.3</v>
      </c>
      <c r="F26" s="16">
        <v>87.6</v>
      </c>
      <c r="G26" s="16">
        <v>27.5</v>
      </c>
      <c r="H26" s="16">
        <v>86</v>
      </c>
      <c r="I26" s="16">
        <v>136.80000000000001</v>
      </c>
      <c r="J26" s="16">
        <v>64.2</v>
      </c>
      <c r="K26" s="16">
        <v>29</v>
      </c>
      <c r="L26" s="16">
        <v>69</v>
      </c>
      <c r="M26" s="16">
        <v>128.6</v>
      </c>
      <c r="N26" s="18">
        <v>41.8</v>
      </c>
      <c r="O26" s="12">
        <f t="shared" si="0"/>
        <v>728</v>
      </c>
      <c r="P26" s="19">
        <f t="shared" si="1"/>
        <v>60.7</v>
      </c>
    </row>
    <row r="27" spans="2:16" ht="21.95" customHeight="1">
      <c r="B27" s="15">
        <v>2016</v>
      </c>
      <c r="C27" s="16">
        <v>8</v>
      </c>
      <c r="D27" s="16">
        <v>43.6</v>
      </c>
      <c r="E27" s="16">
        <v>16.5</v>
      </c>
      <c r="F27" s="16">
        <v>118.3</v>
      </c>
      <c r="G27" s="16">
        <v>107.2</v>
      </c>
      <c r="H27" s="16">
        <v>36.200000000000003</v>
      </c>
      <c r="I27" s="16">
        <v>364.3</v>
      </c>
      <c r="J27" s="16">
        <v>82</v>
      </c>
      <c r="K27" s="16">
        <v>55</v>
      </c>
      <c r="L27" s="16">
        <v>95.9</v>
      </c>
      <c r="M27" s="16">
        <v>33.5</v>
      </c>
      <c r="N27" s="18">
        <v>44.3</v>
      </c>
      <c r="O27" s="12">
        <f t="shared" si="0"/>
        <v>1004.8</v>
      </c>
      <c r="P27" s="19">
        <f t="shared" si="1"/>
        <v>83.7</v>
      </c>
    </row>
    <row r="28" spans="2:16" ht="21.95" customHeight="1">
      <c r="B28" s="15">
        <v>2017</v>
      </c>
      <c r="C28" s="16">
        <v>13.9</v>
      </c>
      <c r="D28" s="16">
        <v>32.200000000000003</v>
      </c>
      <c r="E28" s="16">
        <v>6.5</v>
      </c>
      <c r="F28" s="16">
        <v>42.9</v>
      </c>
      <c r="G28" s="16">
        <v>14.3</v>
      </c>
      <c r="H28" s="16">
        <v>15.6</v>
      </c>
      <c r="I28" s="16">
        <v>788.1</v>
      </c>
      <c r="J28" s="16">
        <v>291.5</v>
      </c>
      <c r="K28" s="16">
        <v>43.3</v>
      </c>
      <c r="L28" s="16">
        <v>14.1</v>
      </c>
      <c r="M28" s="16">
        <v>23.8</v>
      </c>
      <c r="N28" s="18">
        <v>18.8</v>
      </c>
      <c r="O28" s="12">
        <f t="shared" si="0"/>
        <v>1305</v>
      </c>
      <c r="P28" s="19">
        <f t="shared" si="1"/>
        <v>108.8</v>
      </c>
    </row>
    <row r="29" spans="2:16" ht="21.95" customHeight="1">
      <c r="B29" s="15">
        <v>2018</v>
      </c>
      <c r="C29" s="16">
        <v>14</v>
      </c>
      <c r="D29" s="16">
        <v>31.6</v>
      </c>
      <c r="E29" s="16">
        <v>62.2</v>
      </c>
      <c r="F29" s="16">
        <v>117</v>
      </c>
      <c r="G29" s="16">
        <v>82.7</v>
      </c>
      <c r="H29" s="16">
        <v>88.9</v>
      </c>
      <c r="I29" s="16">
        <v>185.8</v>
      </c>
      <c r="J29" s="16">
        <v>282.7</v>
      </c>
      <c r="K29" s="16">
        <v>124.6</v>
      </c>
      <c r="L29" s="16">
        <v>99.8</v>
      </c>
      <c r="M29" s="16">
        <v>48.3</v>
      </c>
      <c r="N29" s="18">
        <v>25.8</v>
      </c>
      <c r="O29" s="12">
        <f t="shared" si="0"/>
        <v>1163.4000000000001</v>
      </c>
      <c r="P29" s="19">
        <f t="shared" si="1"/>
        <v>97</v>
      </c>
    </row>
    <row r="30" spans="2:16" ht="21.95" customHeight="1">
      <c r="B30" s="15">
        <v>2019</v>
      </c>
      <c r="C30" s="16">
        <v>0.6</v>
      </c>
      <c r="D30" s="16">
        <v>25.5</v>
      </c>
      <c r="E30" s="16">
        <v>26.9</v>
      </c>
      <c r="F30" s="16">
        <v>43.9</v>
      </c>
      <c r="G30" s="16">
        <v>15.1</v>
      </c>
      <c r="H30" s="16">
        <v>84.9</v>
      </c>
      <c r="I30" s="16">
        <v>234.7</v>
      </c>
      <c r="J30" s="16">
        <v>90.7</v>
      </c>
      <c r="K30" s="16">
        <v>102.8</v>
      </c>
      <c r="L30" s="16">
        <v>81.900000000000006</v>
      </c>
      <c r="M30" s="16">
        <v>120.6</v>
      </c>
      <c r="N30" s="18">
        <v>18</v>
      </c>
      <c r="O30" s="12">
        <f t="shared" si="0"/>
        <v>845.6</v>
      </c>
      <c r="P30" s="19">
        <f t="shared" si="1"/>
        <v>70.5</v>
      </c>
    </row>
    <row r="31" spans="2:16" ht="21.95" customHeight="1">
      <c r="B31" s="15">
        <v>2020</v>
      </c>
      <c r="C31" s="16">
        <v>59.7</v>
      </c>
      <c r="D31" s="16">
        <v>63.1</v>
      </c>
      <c r="E31" s="16">
        <v>21.7</v>
      </c>
      <c r="F31" s="16">
        <v>15.1</v>
      </c>
      <c r="G31" s="16">
        <v>86.4</v>
      </c>
      <c r="H31" s="16">
        <v>121.9</v>
      </c>
      <c r="I31" s="16">
        <v>356.4</v>
      </c>
      <c r="J31" s="16">
        <v>481.7</v>
      </c>
      <c r="K31" s="16">
        <v>167.2</v>
      </c>
      <c r="L31" s="16">
        <v>18.899999999999999</v>
      </c>
      <c r="M31" s="16">
        <v>45.9</v>
      </c>
      <c r="N31" s="18">
        <v>5.5</v>
      </c>
      <c r="O31" s="12">
        <f t="shared" si="0"/>
        <v>1443.5</v>
      </c>
      <c r="P31" s="19">
        <f t="shared" si="1"/>
        <v>120.3</v>
      </c>
    </row>
    <row r="32" spans="2:16" ht="21.95" customHeight="1">
      <c r="B32" s="15">
        <v>2021</v>
      </c>
      <c r="C32" s="16">
        <v>17.8</v>
      </c>
      <c r="D32" s="16">
        <v>9.1999999999999993</v>
      </c>
      <c r="E32" s="16">
        <v>75.3</v>
      </c>
      <c r="F32" s="16">
        <v>54.7</v>
      </c>
      <c r="G32" s="16">
        <v>135.9</v>
      </c>
      <c r="H32" s="16">
        <v>44.8</v>
      </c>
      <c r="I32" s="16">
        <v>117.6</v>
      </c>
      <c r="J32" s="16">
        <v>230</v>
      </c>
      <c r="K32" s="16">
        <v>250.8</v>
      </c>
      <c r="L32" s="16">
        <v>49.5</v>
      </c>
      <c r="M32" s="16">
        <v>67.900000000000006</v>
      </c>
      <c r="N32" s="18">
        <v>5.4</v>
      </c>
      <c r="O32" s="12">
        <f t="shared" si="0"/>
        <v>1058.9000000000001</v>
      </c>
      <c r="P32" s="19">
        <f t="shared" si="1"/>
        <v>88.2</v>
      </c>
    </row>
    <row r="33" spans="2:16" ht="21.95" customHeight="1">
      <c r="B33" s="15">
        <v>2022</v>
      </c>
      <c r="C33" s="16">
        <v>3.3</v>
      </c>
      <c r="D33" s="16">
        <v>3.3</v>
      </c>
      <c r="E33" s="16">
        <v>57.6</v>
      </c>
      <c r="F33" s="16">
        <v>51.6</v>
      </c>
      <c r="G33" s="16">
        <v>9.8000000000000007</v>
      </c>
      <c r="H33" s="16">
        <v>168</v>
      </c>
      <c r="I33" s="16">
        <v>117</v>
      </c>
      <c r="J33" s="16">
        <v>366.6</v>
      </c>
      <c r="K33" s="16">
        <v>133.30000000000001</v>
      </c>
      <c r="L33" s="16">
        <v>98.2</v>
      </c>
      <c r="M33" s="16">
        <v>43.2</v>
      </c>
      <c r="N33" s="18">
        <v>28.8</v>
      </c>
      <c r="O33" s="12">
        <f t="shared" si="0"/>
        <v>1080.7</v>
      </c>
      <c r="P33" s="19">
        <f t="shared" si="1"/>
        <v>90.1</v>
      </c>
    </row>
    <row r="34" spans="2:16" ht="21.95" customHeight="1">
      <c r="B34" s="15">
        <v>2023</v>
      </c>
      <c r="C34" s="16">
        <v>31</v>
      </c>
      <c r="D34" s="16">
        <v>3.1</v>
      </c>
      <c r="E34" s="16">
        <v>16.399999999999999</v>
      </c>
      <c r="F34" s="16">
        <v>29.6</v>
      </c>
      <c r="G34" s="16">
        <v>116.9</v>
      </c>
      <c r="H34" s="16">
        <v>178.9</v>
      </c>
      <c r="I34" s="16">
        <v>574.9</v>
      </c>
      <c r="J34" s="16">
        <v>196.5</v>
      </c>
      <c r="K34" s="16">
        <v>180.1</v>
      </c>
      <c r="L34" s="16">
        <v>28.7</v>
      </c>
      <c r="M34" s="16">
        <v>56.9</v>
      </c>
      <c r="N34" s="18">
        <v>89.5</v>
      </c>
      <c r="O34" s="12">
        <f t="shared" si="0"/>
        <v>1502.5</v>
      </c>
      <c r="P34" s="19">
        <f t="shared" si="1"/>
        <v>125.2</v>
      </c>
    </row>
    <row r="35" spans="2:16" ht="21.95" customHeight="1" thickBot="1">
      <c r="B35" s="33">
        <v>2024</v>
      </c>
      <c r="C35" s="34">
        <v>34.9</v>
      </c>
      <c r="D35" s="34">
        <v>89.7</v>
      </c>
      <c r="E35" s="34">
        <v>41.3</v>
      </c>
      <c r="F35" s="34">
        <v>48.2</v>
      </c>
      <c r="G35" s="34">
        <v>107.7</v>
      </c>
      <c r="H35" s="34">
        <v>106.4</v>
      </c>
      <c r="I35" s="34">
        <v>509.9</v>
      </c>
      <c r="J35" s="34">
        <v>66.400000000000006</v>
      </c>
      <c r="K35" s="34">
        <v>318</v>
      </c>
      <c r="L35" s="34">
        <v>99.7</v>
      </c>
      <c r="M35" s="34">
        <v>39.5</v>
      </c>
      <c r="N35" s="35">
        <v>15.2</v>
      </c>
      <c r="O35" s="36">
        <f t="shared" si="0"/>
        <v>1476.9</v>
      </c>
      <c r="P35" s="37">
        <f t="shared" si="1"/>
        <v>123.1</v>
      </c>
    </row>
    <row r="36" spans="2:16" ht="21.95" customHeight="1">
      <c r="B36" s="38" t="s">
        <v>13</v>
      </c>
      <c r="C36" s="39">
        <f>ROUND(MAX(C6:C35),1)</f>
        <v>59.7</v>
      </c>
      <c r="D36" s="39">
        <f t="shared" ref="D36:N36" si="2">ROUND(MAX(D6:D35),1)</f>
        <v>89.7</v>
      </c>
      <c r="E36" s="39">
        <f t="shared" si="2"/>
        <v>115</v>
      </c>
      <c r="F36" s="39">
        <f t="shared" si="2"/>
        <v>172.3</v>
      </c>
      <c r="G36" s="39">
        <f t="shared" si="2"/>
        <v>211</v>
      </c>
      <c r="H36" s="39">
        <f t="shared" si="2"/>
        <v>374.6</v>
      </c>
      <c r="I36" s="39">
        <f t="shared" si="2"/>
        <v>788.1</v>
      </c>
      <c r="J36" s="39">
        <f t="shared" si="2"/>
        <v>1082.5</v>
      </c>
      <c r="K36" s="39">
        <f t="shared" si="2"/>
        <v>377.5</v>
      </c>
      <c r="L36" s="39">
        <f t="shared" si="2"/>
        <v>134.5</v>
      </c>
      <c r="M36" s="39">
        <f t="shared" si="2"/>
        <v>153.5</v>
      </c>
      <c r="N36" s="40">
        <f t="shared" si="2"/>
        <v>89.5</v>
      </c>
      <c r="O36" s="41">
        <f>ROUND(MAX(O6:O35),1)</f>
        <v>1845.8</v>
      </c>
      <c r="P36" s="42">
        <f>ROUND(MAX(P6:P35),1)</f>
        <v>153.80000000000001</v>
      </c>
    </row>
    <row r="37" spans="2:16" ht="21.95" customHeight="1">
      <c r="B37" s="43" t="s">
        <v>14</v>
      </c>
      <c r="C37" s="44">
        <f>ROUND(MIN(C6:C35),1)</f>
        <v>0.6</v>
      </c>
      <c r="D37" s="44">
        <f t="shared" ref="D37:N37" si="3">ROUND(MIN(D6:D35),1)</f>
        <v>2.2999999999999998</v>
      </c>
      <c r="E37" s="44">
        <f t="shared" si="3"/>
        <v>6.1</v>
      </c>
      <c r="F37" s="44">
        <f t="shared" si="3"/>
        <v>15.1</v>
      </c>
      <c r="G37" s="44">
        <f t="shared" si="3"/>
        <v>9.8000000000000007</v>
      </c>
      <c r="H37" s="44">
        <f t="shared" si="3"/>
        <v>14.5</v>
      </c>
      <c r="I37" s="44">
        <f t="shared" si="3"/>
        <v>83</v>
      </c>
      <c r="J37" s="44">
        <f t="shared" si="3"/>
        <v>63.5</v>
      </c>
      <c r="K37" s="44">
        <f t="shared" si="3"/>
        <v>8</v>
      </c>
      <c r="L37" s="44">
        <f t="shared" si="3"/>
        <v>4.5</v>
      </c>
      <c r="M37" s="44">
        <f t="shared" si="3"/>
        <v>6.3</v>
      </c>
      <c r="N37" s="19">
        <f t="shared" si="3"/>
        <v>5.4</v>
      </c>
      <c r="O37" s="45">
        <f>ROUND(MIN(O6:O35),1)</f>
        <v>728</v>
      </c>
      <c r="P37" s="46">
        <f>ROUND(MIN(P6:P35),1)</f>
        <v>60.7</v>
      </c>
    </row>
    <row r="38" spans="2:16" ht="21.95" customHeight="1" thickBot="1">
      <c r="B38" s="47" t="s">
        <v>18</v>
      </c>
      <c r="C38" s="48">
        <f>ROUND(AVERAGE(C6:C35),1)</f>
        <v>20.6</v>
      </c>
      <c r="D38" s="48">
        <f t="shared" ref="D38:P38" si="4">ROUND(AVERAGE(D6:D35),1)</f>
        <v>25.9</v>
      </c>
      <c r="E38" s="48">
        <f t="shared" si="4"/>
        <v>39.1</v>
      </c>
      <c r="F38" s="48">
        <f t="shared" si="4"/>
        <v>67.8</v>
      </c>
      <c r="G38" s="48">
        <f t="shared" si="4"/>
        <v>78.900000000000006</v>
      </c>
      <c r="H38" s="48">
        <f t="shared" si="4"/>
        <v>129.6</v>
      </c>
      <c r="I38" s="48">
        <f t="shared" si="4"/>
        <v>302.10000000000002</v>
      </c>
      <c r="J38" s="48">
        <f t="shared" si="4"/>
        <v>294.7</v>
      </c>
      <c r="K38" s="48">
        <f t="shared" si="4"/>
        <v>155.6</v>
      </c>
      <c r="L38" s="48">
        <f t="shared" si="4"/>
        <v>54.6</v>
      </c>
      <c r="M38" s="48">
        <f t="shared" si="4"/>
        <v>49.8</v>
      </c>
      <c r="N38" s="49">
        <f t="shared" si="4"/>
        <v>27.7</v>
      </c>
      <c r="O38" s="50">
        <f t="shared" si="4"/>
        <v>1246.4000000000001</v>
      </c>
      <c r="P38" s="51">
        <f t="shared" si="4"/>
        <v>103.9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12.7</v>
      </c>
      <c r="D44" s="53">
        <f t="shared" si="5"/>
        <v>21.5</v>
      </c>
      <c r="E44" s="53">
        <f t="shared" si="5"/>
        <v>23.3</v>
      </c>
      <c r="F44" s="53">
        <f t="shared" si="5"/>
        <v>87.6</v>
      </c>
      <c r="G44" s="53">
        <f t="shared" si="5"/>
        <v>27.5</v>
      </c>
      <c r="H44" s="53">
        <f t="shared" si="5"/>
        <v>86</v>
      </c>
      <c r="I44" s="53">
        <f t="shared" si="5"/>
        <v>136.80000000000001</v>
      </c>
      <c r="J44" s="53">
        <f t="shared" si="5"/>
        <v>64.2</v>
      </c>
      <c r="K44" s="53">
        <f t="shared" si="5"/>
        <v>29</v>
      </c>
      <c r="L44" s="53">
        <f t="shared" si="5"/>
        <v>69</v>
      </c>
      <c r="M44" s="53">
        <f t="shared" si="5"/>
        <v>128.6</v>
      </c>
      <c r="N44" s="54">
        <f t="shared" si="5"/>
        <v>41.8</v>
      </c>
      <c r="O44" s="55">
        <f>ROUND(SUM(C44:N44),1)</f>
        <v>728</v>
      </c>
      <c r="P44" s="46">
        <f>ROUND(O44/12,1)</f>
        <v>60.7</v>
      </c>
    </row>
    <row r="45" spans="2:16" ht="21.95" customHeight="1">
      <c r="B45" s="52">
        <f t="shared" ref="B45:N53" si="6">B27</f>
        <v>2016</v>
      </c>
      <c r="C45" s="53">
        <f t="shared" si="6"/>
        <v>8</v>
      </c>
      <c r="D45" s="53">
        <f t="shared" si="6"/>
        <v>43.6</v>
      </c>
      <c r="E45" s="53">
        <f t="shared" si="6"/>
        <v>16.5</v>
      </c>
      <c r="F45" s="53">
        <f t="shared" si="6"/>
        <v>118.3</v>
      </c>
      <c r="G45" s="53">
        <f t="shared" si="6"/>
        <v>107.2</v>
      </c>
      <c r="H45" s="53">
        <f t="shared" si="6"/>
        <v>36.200000000000003</v>
      </c>
      <c r="I45" s="53">
        <f t="shared" si="6"/>
        <v>364.3</v>
      </c>
      <c r="J45" s="53">
        <f t="shared" si="6"/>
        <v>82</v>
      </c>
      <c r="K45" s="53">
        <f t="shared" si="6"/>
        <v>55</v>
      </c>
      <c r="L45" s="53">
        <f t="shared" si="6"/>
        <v>95.9</v>
      </c>
      <c r="M45" s="53">
        <f t="shared" si="6"/>
        <v>33.5</v>
      </c>
      <c r="N45" s="54">
        <f t="shared" si="6"/>
        <v>44.3</v>
      </c>
      <c r="O45" s="55">
        <f t="shared" ref="O45:O53" si="7">ROUND(SUM(C45:N45),1)</f>
        <v>1004.8</v>
      </c>
      <c r="P45" s="46">
        <f t="shared" ref="P45:P53" si="8">ROUND(O45/12,1)</f>
        <v>83.7</v>
      </c>
    </row>
    <row r="46" spans="2:16" ht="21.95" customHeight="1">
      <c r="B46" s="52">
        <f t="shared" si="6"/>
        <v>2017</v>
      </c>
      <c r="C46" s="53">
        <f t="shared" si="6"/>
        <v>13.9</v>
      </c>
      <c r="D46" s="53">
        <f t="shared" si="6"/>
        <v>32.200000000000003</v>
      </c>
      <c r="E46" s="53">
        <f t="shared" si="6"/>
        <v>6.5</v>
      </c>
      <c r="F46" s="53">
        <f t="shared" si="6"/>
        <v>42.9</v>
      </c>
      <c r="G46" s="53">
        <f t="shared" si="6"/>
        <v>14.3</v>
      </c>
      <c r="H46" s="53">
        <f t="shared" si="6"/>
        <v>15.6</v>
      </c>
      <c r="I46" s="53">
        <f t="shared" si="6"/>
        <v>788.1</v>
      </c>
      <c r="J46" s="53">
        <f t="shared" si="6"/>
        <v>291.5</v>
      </c>
      <c r="K46" s="53">
        <f t="shared" si="6"/>
        <v>43.3</v>
      </c>
      <c r="L46" s="53">
        <f t="shared" si="6"/>
        <v>14.1</v>
      </c>
      <c r="M46" s="53">
        <f t="shared" si="6"/>
        <v>23.8</v>
      </c>
      <c r="N46" s="54">
        <f t="shared" si="6"/>
        <v>18.8</v>
      </c>
      <c r="O46" s="55">
        <f t="shared" si="7"/>
        <v>1305</v>
      </c>
      <c r="P46" s="46">
        <f t="shared" si="8"/>
        <v>108.8</v>
      </c>
    </row>
    <row r="47" spans="2:16" ht="21.95" customHeight="1">
      <c r="B47" s="52">
        <f t="shared" si="6"/>
        <v>2018</v>
      </c>
      <c r="C47" s="53">
        <f t="shared" si="6"/>
        <v>14</v>
      </c>
      <c r="D47" s="53">
        <f t="shared" si="6"/>
        <v>31.6</v>
      </c>
      <c r="E47" s="53">
        <f t="shared" si="6"/>
        <v>62.2</v>
      </c>
      <c r="F47" s="53">
        <f t="shared" si="6"/>
        <v>117</v>
      </c>
      <c r="G47" s="53">
        <f t="shared" si="6"/>
        <v>82.7</v>
      </c>
      <c r="H47" s="53">
        <f t="shared" si="6"/>
        <v>88.9</v>
      </c>
      <c r="I47" s="53">
        <f t="shared" si="6"/>
        <v>185.8</v>
      </c>
      <c r="J47" s="53">
        <f t="shared" si="6"/>
        <v>282.7</v>
      </c>
      <c r="K47" s="53">
        <f t="shared" si="6"/>
        <v>124.6</v>
      </c>
      <c r="L47" s="53">
        <f t="shared" si="6"/>
        <v>99.8</v>
      </c>
      <c r="M47" s="53">
        <f t="shared" si="6"/>
        <v>48.3</v>
      </c>
      <c r="N47" s="54">
        <f t="shared" si="6"/>
        <v>25.8</v>
      </c>
      <c r="O47" s="55">
        <f>ROUND(SUM(C47:N47),1)</f>
        <v>1163.4000000000001</v>
      </c>
      <c r="P47" s="46">
        <f t="shared" si="8"/>
        <v>97</v>
      </c>
    </row>
    <row r="48" spans="2:16" ht="21.95" customHeight="1">
      <c r="B48" s="52">
        <f t="shared" si="6"/>
        <v>2019</v>
      </c>
      <c r="C48" s="53">
        <f t="shared" si="6"/>
        <v>0.6</v>
      </c>
      <c r="D48" s="53">
        <f t="shared" si="6"/>
        <v>25.5</v>
      </c>
      <c r="E48" s="53">
        <f t="shared" si="6"/>
        <v>26.9</v>
      </c>
      <c r="F48" s="53">
        <f t="shared" si="6"/>
        <v>43.9</v>
      </c>
      <c r="G48" s="53">
        <f t="shared" si="6"/>
        <v>15.1</v>
      </c>
      <c r="H48" s="53">
        <f t="shared" si="6"/>
        <v>84.9</v>
      </c>
      <c r="I48" s="53">
        <f t="shared" si="6"/>
        <v>234.7</v>
      </c>
      <c r="J48" s="53">
        <f t="shared" si="6"/>
        <v>90.7</v>
      </c>
      <c r="K48" s="53">
        <f t="shared" si="6"/>
        <v>102.8</v>
      </c>
      <c r="L48" s="53">
        <f t="shared" si="6"/>
        <v>81.900000000000006</v>
      </c>
      <c r="M48" s="53">
        <f t="shared" si="6"/>
        <v>120.6</v>
      </c>
      <c r="N48" s="54">
        <f t="shared" si="6"/>
        <v>18</v>
      </c>
      <c r="O48" s="55">
        <f t="shared" si="7"/>
        <v>845.6</v>
      </c>
      <c r="P48" s="46">
        <f t="shared" si="8"/>
        <v>70.5</v>
      </c>
    </row>
    <row r="49" spans="2:16" ht="21.95" customHeight="1">
      <c r="B49" s="52">
        <f t="shared" si="6"/>
        <v>2020</v>
      </c>
      <c r="C49" s="53">
        <f t="shared" si="6"/>
        <v>59.7</v>
      </c>
      <c r="D49" s="53">
        <f t="shared" si="6"/>
        <v>63.1</v>
      </c>
      <c r="E49" s="53">
        <f t="shared" si="6"/>
        <v>21.7</v>
      </c>
      <c r="F49" s="53">
        <f t="shared" si="6"/>
        <v>15.1</v>
      </c>
      <c r="G49" s="53">
        <f t="shared" si="6"/>
        <v>86.4</v>
      </c>
      <c r="H49" s="53">
        <f t="shared" si="6"/>
        <v>121.9</v>
      </c>
      <c r="I49" s="53">
        <f t="shared" si="6"/>
        <v>356.4</v>
      </c>
      <c r="J49" s="53">
        <f t="shared" si="6"/>
        <v>481.7</v>
      </c>
      <c r="K49" s="53">
        <f t="shared" si="6"/>
        <v>167.2</v>
      </c>
      <c r="L49" s="53">
        <f t="shared" si="6"/>
        <v>18.899999999999999</v>
      </c>
      <c r="M49" s="53">
        <f t="shared" si="6"/>
        <v>45.9</v>
      </c>
      <c r="N49" s="54">
        <f t="shared" si="6"/>
        <v>5.5</v>
      </c>
      <c r="O49" s="55">
        <f t="shared" si="7"/>
        <v>1443.5</v>
      </c>
      <c r="P49" s="46">
        <f t="shared" si="8"/>
        <v>120.3</v>
      </c>
    </row>
    <row r="50" spans="2:16" ht="21.95" customHeight="1">
      <c r="B50" s="52">
        <f t="shared" si="6"/>
        <v>2021</v>
      </c>
      <c r="C50" s="53">
        <f t="shared" si="6"/>
        <v>17.8</v>
      </c>
      <c r="D50" s="53">
        <f t="shared" si="6"/>
        <v>9.1999999999999993</v>
      </c>
      <c r="E50" s="53">
        <f t="shared" si="6"/>
        <v>75.3</v>
      </c>
      <c r="F50" s="53">
        <f t="shared" si="6"/>
        <v>54.7</v>
      </c>
      <c r="G50" s="53">
        <f t="shared" si="6"/>
        <v>135.9</v>
      </c>
      <c r="H50" s="53">
        <f t="shared" si="6"/>
        <v>44.8</v>
      </c>
      <c r="I50" s="53">
        <f t="shared" si="6"/>
        <v>117.6</v>
      </c>
      <c r="J50" s="53">
        <f t="shared" si="6"/>
        <v>230</v>
      </c>
      <c r="K50" s="53">
        <f t="shared" si="6"/>
        <v>250.8</v>
      </c>
      <c r="L50" s="53">
        <f t="shared" si="6"/>
        <v>49.5</v>
      </c>
      <c r="M50" s="53">
        <f t="shared" si="6"/>
        <v>67.900000000000006</v>
      </c>
      <c r="N50" s="54">
        <f t="shared" si="6"/>
        <v>5.4</v>
      </c>
      <c r="O50" s="55">
        <f t="shared" si="7"/>
        <v>1058.9000000000001</v>
      </c>
      <c r="P50" s="46">
        <f t="shared" si="8"/>
        <v>88.2</v>
      </c>
    </row>
    <row r="51" spans="2:16" ht="21.95" customHeight="1">
      <c r="B51" s="52">
        <f t="shared" si="6"/>
        <v>2022</v>
      </c>
      <c r="C51" s="53">
        <f t="shared" si="6"/>
        <v>3.3</v>
      </c>
      <c r="D51" s="53">
        <f t="shared" si="6"/>
        <v>3.3</v>
      </c>
      <c r="E51" s="53">
        <f t="shared" si="6"/>
        <v>57.6</v>
      </c>
      <c r="F51" s="53">
        <f t="shared" si="6"/>
        <v>51.6</v>
      </c>
      <c r="G51" s="53">
        <f t="shared" si="6"/>
        <v>9.8000000000000007</v>
      </c>
      <c r="H51" s="53">
        <f t="shared" si="6"/>
        <v>168</v>
      </c>
      <c r="I51" s="53">
        <f t="shared" si="6"/>
        <v>117</v>
      </c>
      <c r="J51" s="53">
        <f t="shared" si="6"/>
        <v>366.6</v>
      </c>
      <c r="K51" s="53">
        <f t="shared" si="6"/>
        <v>133.30000000000001</v>
      </c>
      <c r="L51" s="53">
        <f t="shared" si="6"/>
        <v>98.2</v>
      </c>
      <c r="M51" s="53">
        <f t="shared" si="6"/>
        <v>43.2</v>
      </c>
      <c r="N51" s="54">
        <f t="shared" si="6"/>
        <v>28.8</v>
      </c>
      <c r="O51" s="55">
        <f t="shared" si="7"/>
        <v>1080.7</v>
      </c>
      <c r="P51" s="46">
        <f t="shared" si="8"/>
        <v>90.1</v>
      </c>
    </row>
    <row r="52" spans="2:16" ht="21.95" customHeight="1">
      <c r="B52" s="52">
        <f t="shared" si="6"/>
        <v>2023</v>
      </c>
      <c r="C52" s="53">
        <f t="shared" si="6"/>
        <v>31</v>
      </c>
      <c r="D52" s="53">
        <f t="shared" si="6"/>
        <v>3.1</v>
      </c>
      <c r="E52" s="53">
        <f t="shared" si="6"/>
        <v>16.399999999999999</v>
      </c>
      <c r="F52" s="53">
        <f t="shared" si="6"/>
        <v>29.6</v>
      </c>
      <c r="G52" s="53">
        <f t="shared" si="6"/>
        <v>116.9</v>
      </c>
      <c r="H52" s="53">
        <f t="shared" si="6"/>
        <v>178.9</v>
      </c>
      <c r="I52" s="53">
        <f t="shared" si="6"/>
        <v>574.9</v>
      </c>
      <c r="J52" s="53">
        <f t="shared" si="6"/>
        <v>196.5</v>
      </c>
      <c r="K52" s="53">
        <f t="shared" si="6"/>
        <v>180.1</v>
      </c>
      <c r="L52" s="53">
        <f t="shared" si="6"/>
        <v>28.7</v>
      </c>
      <c r="M52" s="53">
        <f t="shared" si="6"/>
        <v>56.9</v>
      </c>
      <c r="N52" s="54">
        <f t="shared" si="6"/>
        <v>89.5</v>
      </c>
      <c r="O52" s="55">
        <f t="shared" si="7"/>
        <v>1502.5</v>
      </c>
      <c r="P52" s="46">
        <f t="shared" si="8"/>
        <v>125.2</v>
      </c>
    </row>
    <row r="53" spans="2:16" ht="21.95" customHeight="1" thickBot="1">
      <c r="B53" s="56">
        <f t="shared" si="6"/>
        <v>2024</v>
      </c>
      <c r="C53" s="57">
        <f t="shared" si="6"/>
        <v>34.9</v>
      </c>
      <c r="D53" s="57">
        <f t="shared" si="6"/>
        <v>89.7</v>
      </c>
      <c r="E53" s="57">
        <f t="shared" si="6"/>
        <v>41.3</v>
      </c>
      <c r="F53" s="57">
        <f t="shared" si="6"/>
        <v>48.2</v>
      </c>
      <c r="G53" s="57">
        <f t="shared" si="6"/>
        <v>107.7</v>
      </c>
      <c r="H53" s="57">
        <f t="shared" si="6"/>
        <v>106.4</v>
      </c>
      <c r="I53" s="57">
        <f t="shared" si="6"/>
        <v>509.9</v>
      </c>
      <c r="J53" s="57">
        <f t="shared" si="6"/>
        <v>66.400000000000006</v>
      </c>
      <c r="K53" s="57">
        <f t="shared" si="6"/>
        <v>318</v>
      </c>
      <c r="L53" s="57">
        <f t="shared" si="6"/>
        <v>99.7</v>
      </c>
      <c r="M53" s="57">
        <f t="shared" si="6"/>
        <v>39.5</v>
      </c>
      <c r="N53" s="58">
        <f t="shared" si="6"/>
        <v>15.2</v>
      </c>
      <c r="O53" s="59">
        <f t="shared" si="7"/>
        <v>1476.9</v>
      </c>
      <c r="P53" s="51">
        <f t="shared" si="8"/>
        <v>123.1</v>
      </c>
    </row>
    <row r="54" spans="2:16" ht="21.95" customHeight="1">
      <c r="B54" s="60" t="s">
        <v>19</v>
      </c>
      <c r="C54" s="61">
        <f>MAX(C44:C53)</f>
        <v>59.7</v>
      </c>
      <c r="D54" s="61">
        <f t="shared" ref="D54:P54" si="9">MAX(D44:D53)</f>
        <v>89.7</v>
      </c>
      <c r="E54" s="61">
        <f t="shared" si="9"/>
        <v>75.3</v>
      </c>
      <c r="F54" s="61">
        <f t="shared" si="9"/>
        <v>118.3</v>
      </c>
      <c r="G54" s="61">
        <f t="shared" si="9"/>
        <v>135.9</v>
      </c>
      <c r="H54" s="61">
        <f t="shared" si="9"/>
        <v>178.9</v>
      </c>
      <c r="I54" s="61">
        <f t="shared" si="9"/>
        <v>788.1</v>
      </c>
      <c r="J54" s="61">
        <f t="shared" si="9"/>
        <v>481.7</v>
      </c>
      <c r="K54" s="61">
        <f t="shared" si="9"/>
        <v>318</v>
      </c>
      <c r="L54" s="61">
        <f t="shared" si="9"/>
        <v>99.8</v>
      </c>
      <c r="M54" s="61">
        <f t="shared" si="9"/>
        <v>128.6</v>
      </c>
      <c r="N54" s="62">
        <f t="shared" si="9"/>
        <v>89.5</v>
      </c>
      <c r="O54" s="63">
        <f t="shared" si="9"/>
        <v>1502.5</v>
      </c>
      <c r="P54" s="62">
        <f t="shared" si="9"/>
        <v>125.2</v>
      </c>
    </row>
    <row r="55" spans="2:16" ht="21.95" customHeight="1">
      <c r="B55" s="64" t="s">
        <v>20</v>
      </c>
      <c r="C55" s="65">
        <f>MIN(C44:C53)</f>
        <v>0.6</v>
      </c>
      <c r="D55" s="65">
        <f t="shared" ref="D55:P55" si="10">MIN(D44:D53)</f>
        <v>3.1</v>
      </c>
      <c r="E55" s="65">
        <f t="shared" si="10"/>
        <v>6.5</v>
      </c>
      <c r="F55" s="65">
        <f t="shared" si="10"/>
        <v>15.1</v>
      </c>
      <c r="G55" s="65">
        <f t="shared" si="10"/>
        <v>9.8000000000000007</v>
      </c>
      <c r="H55" s="65">
        <f t="shared" si="10"/>
        <v>15.6</v>
      </c>
      <c r="I55" s="65">
        <f t="shared" si="10"/>
        <v>117</v>
      </c>
      <c r="J55" s="65">
        <f t="shared" si="10"/>
        <v>64.2</v>
      </c>
      <c r="K55" s="65">
        <f t="shared" si="10"/>
        <v>29</v>
      </c>
      <c r="L55" s="65">
        <f t="shared" si="10"/>
        <v>14.1</v>
      </c>
      <c r="M55" s="65">
        <f t="shared" si="10"/>
        <v>23.8</v>
      </c>
      <c r="N55" s="46">
        <f t="shared" si="10"/>
        <v>5.4</v>
      </c>
      <c r="O55" s="55">
        <f>MIN(O44:O53)</f>
        <v>728</v>
      </c>
      <c r="P55" s="46">
        <f t="shared" si="10"/>
        <v>60.7</v>
      </c>
    </row>
    <row r="56" spans="2:16" ht="21.95" customHeight="1" thickBot="1">
      <c r="B56" s="66" t="s">
        <v>7</v>
      </c>
      <c r="C56" s="67">
        <f>ROUND(AVERAGE(C44:C53),1)</f>
        <v>19.600000000000001</v>
      </c>
      <c r="D56" s="67">
        <f t="shared" ref="D56:N56" si="11">ROUND(AVERAGE(D44:D53),1)</f>
        <v>32.299999999999997</v>
      </c>
      <c r="E56" s="67">
        <f t="shared" si="11"/>
        <v>34.799999999999997</v>
      </c>
      <c r="F56" s="67">
        <f t="shared" si="11"/>
        <v>60.9</v>
      </c>
      <c r="G56" s="67">
        <f t="shared" si="11"/>
        <v>70.400000000000006</v>
      </c>
      <c r="H56" s="67">
        <f t="shared" si="11"/>
        <v>93.2</v>
      </c>
      <c r="I56" s="67">
        <f t="shared" si="11"/>
        <v>338.6</v>
      </c>
      <c r="J56" s="67">
        <f t="shared" si="11"/>
        <v>215.2</v>
      </c>
      <c r="K56" s="67">
        <f t="shared" si="11"/>
        <v>140.4</v>
      </c>
      <c r="L56" s="67">
        <f t="shared" si="11"/>
        <v>65.599999999999994</v>
      </c>
      <c r="M56" s="67">
        <f t="shared" si="11"/>
        <v>60.8</v>
      </c>
      <c r="N56" s="51">
        <f t="shared" si="11"/>
        <v>29.3</v>
      </c>
      <c r="O56" s="59">
        <f>ROUND(AVERAGE(O44:O53),1)</f>
        <v>1160.9000000000001</v>
      </c>
      <c r="P56" s="51">
        <f>ROUND(AVERAGE(P44:P53),1)</f>
        <v>96.8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FCDFA-7F6C-437F-9649-92061A03F7F6}">
  <sheetPr codeName="Sheet24">
    <tabColor rgb="FF00B05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22.7</v>
      </c>
      <c r="D6" s="9">
        <v>7.2</v>
      </c>
      <c r="E6" s="9">
        <v>37.299999999999997</v>
      </c>
      <c r="F6" s="9">
        <v>48.2</v>
      </c>
      <c r="G6" s="9">
        <v>67.099999999999994</v>
      </c>
      <c r="H6" s="9">
        <v>24.5</v>
      </c>
      <c r="I6" s="9">
        <v>144.1</v>
      </c>
      <c r="J6" s="10">
        <v>992.7</v>
      </c>
      <c r="K6" s="9">
        <v>20.2</v>
      </c>
      <c r="L6" s="9">
        <v>19.3</v>
      </c>
      <c r="M6" s="9">
        <v>49.9</v>
      </c>
      <c r="N6" s="11">
        <v>15.1</v>
      </c>
      <c r="O6" s="12">
        <f t="shared" ref="O6:O35" si="0">ROUND(SUM(C6:N6),1)</f>
        <v>1448.3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29.1</v>
      </c>
      <c r="D7" s="16">
        <v>5.7</v>
      </c>
      <c r="E7" s="16">
        <v>115.1</v>
      </c>
      <c r="F7" s="16">
        <v>48.1</v>
      </c>
      <c r="G7" s="16">
        <v>20</v>
      </c>
      <c r="H7" s="16">
        <v>179.2</v>
      </c>
      <c r="I7" s="16">
        <v>152.80000000000001</v>
      </c>
      <c r="J7" s="17">
        <v>74.099999999999994</v>
      </c>
      <c r="K7" s="16">
        <v>6.4</v>
      </c>
      <c r="L7" s="16">
        <v>92.2</v>
      </c>
      <c r="M7" s="16">
        <v>72.099999999999994</v>
      </c>
      <c r="N7" s="18">
        <v>35.299999999999997</v>
      </c>
      <c r="O7" s="12">
        <f t="shared" si="0"/>
        <v>830.1</v>
      </c>
      <c r="P7" s="19">
        <f t="shared" ref="P7:P35" si="1">ROUND(O7/12,1)</f>
        <v>69.2</v>
      </c>
      <c r="Q7" s="14"/>
    </row>
    <row r="8" spans="2:17" ht="21.95" customHeight="1">
      <c r="B8" s="15">
        <v>1997</v>
      </c>
      <c r="C8" s="16">
        <v>20.5</v>
      </c>
      <c r="D8" s="16">
        <v>32.5</v>
      </c>
      <c r="E8" s="16">
        <v>29.6</v>
      </c>
      <c r="F8" s="16">
        <v>69.5</v>
      </c>
      <c r="G8" s="16">
        <v>232.8</v>
      </c>
      <c r="H8" s="16">
        <v>204.4</v>
      </c>
      <c r="I8" s="16">
        <v>298.7</v>
      </c>
      <c r="J8" s="16">
        <v>87.2</v>
      </c>
      <c r="K8" s="16">
        <v>16.100000000000001</v>
      </c>
      <c r="L8" s="16">
        <v>8.6999999999999993</v>
      </c>
      <c r="M8" s="16">
        <v>116.7</v>
      </c>
      <c r="N8" s="18">
        <v>40.200000000000003</v>
      </c>
      <c r="O8" s="12">
        <f t="shared" si="0"/>
        <v>1156.9000000000001</v>
      </c>
      <c r="P8" s="19">
        <f t="shared" si="1"/>
        <v>96.4</v>
      </c>
      <c r="Q8" s="14"/>
    </row>
    <row r="9" spans="2:17" ht="21.95" customHeight="1">
      <c r="B9" s="15">
        <v>1998</v>
      </c>
      <c r="C9" s="16">
        <v>40.1</v>
      </c>
      <c r="D9" s="16">
        <v>54.2</v>
      </c>
      <c r="E9" s="16">
        <v>35</v>
      </c>
      <c r="F9" s="16">
        <v>160.6</v>
      </c>
      <c r="G9" s="16">
        <v>95.5</v>
      </c>
      <c r="H9" s="16">
        <v>281.7</v>
      </c>
      <c r="I9" s="16">
        <v>295.60000000000002</v>
      </c>
      <c r="J9" s="16">
        <v>491.8</v>
      </c>
      <c r="K9" s="16">
        <v>168</v>
      </c>
      <c r="L9" s="16">
        <v>24.3</v>
      </c>
      <c r="M9" s="16">
        <v>55.6</v>
      </c>
      <c r="N9" s="18">
        <v>9.1999999999999993</v>
      </c>
      <c r="O9" s="12">
        <f t="shared" si="0"/>
        <v>1711.6</v>
      </c>
      <c r="P9" s="19">
        <f t="shared" si="1"/>
        <v>142.6</v>
      </c>
      <c r="Q9" s="14"/>
    </row>
    <row r="10" spans="2:17" ht="21.95" customHeight="1">
      <c r="B10" s="15">
        <v>1999</v>
      </c>
      <c r="C10" s="16">
        <v>8</v>
      </c>
      <c r="D10" s="16">
        <v>7.8</v>
      </c>
      <c r="E10" s="16">
        <v>59.9</v>
      </c>
      <c r="F10" s="16">
        <v>90.1</v>
      </c>
      <c r="G10" s="16">
        <v>178.8</v>
      </c>
      <c r="H10" s="16">
        <v>105.1</v>
      </c>
      <c r="I10" s="16">
        <v>175.6</v>
      </c>
      <c r="J10" s="16">
        <v>497.4</v>
      </c>
      <c r="K10" s="16">
        <v>532.6</v>
      </c>
      <c r="L10" s="16">
        <v>111.3</v>
      </c>
      <c r="M10" s="16">
        <v>36.6</v>
      </c>
      <c r="N10" s="18">
        <v>23.4</v>
      </c>
      <c r="O10" s="12">
        <f t="shared" si="0"/>
        <v>1826.6</v>
      </c>
      <c r="P10" s="19">
        <f t="shared" si="1"/>
        <v>152.19999999999999</v>
      </c>
      <c r="Q10" s="14"/>
    </row>
    <row r="11" spans="2:17" ht="21.95" customHeight="1">
      <c r="B11" s="15">
        <v>2000</v>
      </c>
      <c r="C11" s="16">
        <v>63</v>
      </c>
      <c r="D11" s="16">
        <v>2.9</v>
      </c>
      <c r="E11" s="16">
        <v>3.7</v>
      </c>
      <c r="F11" s="16">
        <v>38.1</v>
      </c>
      <c r="G11" s="16">
        <v>62.1</v>
      </c>
      <c r="H11" s="16">
        <v>204.4</v>
      </c>
      <c r="I11" s="16">
        <v>60.8</v>
      </c>
      <c r="J11" s="16">
        <v>608.1</v>
      </c>
      <c r="K11" s="16">
        <v>298.10000000000002</v>
      </c>
      <c r="L11" s="16">
        <v>34.4</v>
      </c>
      <c r="M11" s="16">
        <v>24.8</v>
      </c>
      <c r="N11" s="18">
        <v>24.4</v>
      </c>
      <c r="O11" s="12">
        <f t="shared" si="0"/>
        <v>1424.8</v>
      </c>
      <c r="P11" s="19">
        <f t="shared" si="1"/>
        <v>118.7</v>
      </c>
      <c r="Q11" s="14"/>
    </row>
    <row r="12" spans="2:17" ht="21.95" customHeight="1">
      <c r="B12" s="15">
        <v>2001</v>
      </c>
      <c r="C12" s="16">
        <v>66.900000000000006</v>
      </c>
      <c r="D12" s="16">
        <v>40.4</v>
      </c>
      <c r="E12" s="16">
        <v>12.7</v>
      </c>
      <c r="F12" s="16">
        <v>18.7</v>
      </c>
      <c r="G12" s="16">
        <v>17.8</v>
      </c>
      <c r="H12" s="16">
        <v>200.2</v>
      </c>
      <c r="I12" s="16">
        <v>402</v>
      </c>
      <c r="J12" s="16">
        <v>136.6</v>
      </c>
      <c r="K12" s="16">
        <v>15</v>
      </c>
      <c r="L12" s="16">
        <v>47.5</v>
      </c>
      <c r="M12" s="16">
        <v>8.1999999999999993</v>
      </c>
      <c r="N12" s="18">
        <v>20.8</v>
      </c>
      <c r="O12" s="12">
        <f t="shared" si="0"/>
        <v>986.8</v>
      </c>
      <c r="P12" s="19">
        <f t="shared" si="1"/>
        <v>82.2</v>
      </c>
    </row>
    <row r="13" spans="2:17" ht="21.95" customHeight="1">
      <c r="B13" s="15">
        <v>2002</v>
      </c>
      <c r="C13" s="16">
        <v>22.5</v>
      </c>
      <c r="D13" s="16">
        <v>7</v>
      </c>
      <c r="E13" s="16">
        <v>29.3</v>
      </c>
      <c r="F13" s="16">
        <v>179.5</v>
      </c>
      <c r="G13" s="16">
        <v>177.3</v>
      </c>
      <c r="H13" s="16">
        <v>60.8</v>
      </c>
      <c r="I13" s="16">
        <v>296.10000000000002</v>
      </c>
      <c r="J13" s="16">
        <v>428.2</v>
      </c>
      <c r="K13" s="16">
        <v>57.5</v>
      </c>
      <c r="L13" s="16">
        <v>78.3</v>
      </c>
      <c r="M13" s="16">
        <v>36.299999999999997</v>
      </c>
      <c r="N13" s="18">
        <v>14.8</v>
      </c>
      <c r="O13" s="12">
        <f t="shared" si="0"/>
        <v>1387.6</v>
      </c>
      <c r="P13" s="19">
        <f t="shared" si="1"/>
        <v>115.6</v>
      </c>
    </row>
    <row r="14" spans="2:17" ht="21.95" customHeight="1">
      <c r="B14" s="15">
        <v>2003</v>
      </c>
      <c r="C14" s="16">
        <v>20.9</v>
      </c>
      <c r="D14" s="16">
        <v>39</v>
      </c>
      <c r="E14" s="16">
        <v>22.5</v>
      </c>
      <c r="F14" s="16">
        <v>180</v>
      </c>
      <c r="G14" s="16">
        <v>105.5</v>
      </c>
      <c r="H14" s="16">
        <v>221.8</v>
      </c>
      <c r="I14" s="16">
        <v>290.2</v>
      </c>
      <c r="J14" s="16">
        <v>257.89999999999998</v>
      </c>
      <c r="K14" s="16">
        <v>201.9</v>
      </c>
      <c r="L14" s="16">
        <v>23</v>
      </c>
      <c r="M14" s="16">
        <v>53.6</v>
      </c>
      <c r="N14" s="18">
        <v>17.100000000000001</v>
      </c>
      <c r="O14" s="12">
        <f t="shared" si="0"/>
        <v>1433.4</v>
      </c>
      <c r="P14" s="19">
        <f t="shared" si="1"/>
        <v>119.5</v>
      </c>
    </row>
    <row r="15" spans="2:17" ht="21.95" customHeight="1">
      <c r="B15" s="15">
        <v>2004</v>
      </c>
      <c r="C15" s="16">
        <v>27.3</v>
      </c>
      <c r="D15" s="16">
        <v>26.3</v>
      </c>
      <c r="E15" s="16">
        <v>15.7</v>
      </c>
      <c r="F15" s="16">
        <v>80.2</v>
      </c>
      <c r="G15" s="16">
        <v>140.30000000000001</v>
      </c>
      <c r="H15" s="16">
        <v>211.1</v>
      </c>
      <c r="I15" s="16">
        <v>321.89999999999998</v>
      </c>
      <c r="J15" s="16">
        <v>131.19999999999999</v>
      </c>
      <c r="K15" s="16">
        <v>282.60000000000002</v>
      </c>
      <c r="L15" s="16">
        <v>1.8</v>
      </c>
      <c r="M15" s="16">
        <v>70.5</v>
      </c>
      <c r="N15" s="18">
        <v>32</v>
      </c>
      <c r="O15" s="12">
        <f t="shared" si="0"/>
        <v>1340.9</v>
      </c>
      <c r="P15" s="19">
        <f t="shared" si="1"/>
        <v>111.7</v>
      </c>
    </row>
    <row r="16" spans="2:17" ht="21.95" customHeight="1">
      <c r="B16" s="15">
        <v>2005</v>
      </c>
      <c r="C16" s="16">
        <v>10.4</v>
      </c>
      <c r="D16" s="16">
        <v>34</v>
      </c>
      <c r="E16" s="16">
        <v>36.1</v>
      </c>
      <c r="F16" s="16">
        <v>77.2</v>
      </c>
      <c r="G16" s="16">
        <v>56.1</v>
      </c>
      <c r="H16" s="16">
        <v>147</v>
      </c>
      <c r="I16" s="16">
        <v>386.1</v>
      </c>
      <c r="J16" s="16">
        <v>270.5</v>
      </c>
      <c r="K16" s="16">
        <v>228.7</v>
      </c>
      <c r="L16" s="16">
        <v>30.9</v>
      </c>
      <c r="M16" s="16">
        <v>19.600000000000001</v>
      </c>
      <c r="N16" s="18">
        <v>37.6</v>
      </c>
      <c r="O16" s="12">
        <f t="shared" si="0"/>
        <v>1334.2</v>
      </c>
      <c r="P16" s="19">
        <f t="shared" si="1"/>
        <v>111.2</v>
      </c>
    </row>
    <row r="17" spans="2:16" ht="21.95" customHeight="1">
      <c r="B17" s="15">
        <v>2006</v>
      </c>
      <c r="C17" s="16">
        <v>29.7</v>
      </c>
      <c r="D17" s="16">
        <v>18.899999999999999</v>
      </c>
      <c r="E17" s="16">
        <v>5</v>
      </c>
      <c r="F17" s="16">
        <v>77.3</v>
      </c>
      <c r="G17" s="16">
        <v>133.5</v>
      </c>
      <c r="H17" s="16">
        <v>226.8</v>
      </c>
      <c r="I17" s="16">
        <v>494.5</v>
      </c>
      <c r="J17" s="16">
        <v>58.2</v>
      </c>
      <c r="K17" s="16">
        <v>10.1</v>
      </c>
      <c r="L17" s="16">
        <v>10.5</v>
      </c>
      <c r="M17" s="16">
        <v>55</v>
      </c>
      <c r="N17" s="18">
        <v>19.7</v>
      </c>
      <c r="O17" s="12">
        <f t="shared" si="0"/>
        <v>1139.2</v>
      </c>
      <c r="P17" s="19">
        <f t="shared" si="1"/>
        <v>94.9</v>
      </c>
    </row>
    <row r="18" spans="2:16" ht="21.95" customHeight="1">
      <c r="B18" s="15">
        <v>2007</v>
      </c>
      <c r="C18" s="16">
        <v>13</v>
      </c>
      <c r="D18" s="16">
        <v>25.5</v>
      </c>
      <c r="E18" s="16">
        <v>127.2</v>
      </c>
      <c r="F18" s="16">
        <v>28.1</v>
      </c>
      <c r="G18" s="16">
        <v>108.5</v>
      </c>
      <c r="H18" s="16">
        <v>123.5</v>
      </c>
      <c r="I18" s="16">
        <v>257</v>
      </c>
      <c r="J18" s="16">
        <v>414.6</v>
      </c>
      <c r="K18" s="16">
        <v>305.8</v>
      </c>
      <c r="L18" s="16">
        <v>30.7</v>
      </c>
      <c r="M18" s="16">
        <v>14.4</v>
      </c>
      <c r="N18" s="18">
        <v>22.8</v>
      </c>
      <c r="O18" s="12">
        <f t="shared" si="0"/>
        <v>1471.1</v>
      </c>
      <c r="P18" s="19">
        <f t="shared" si="1"/>
        <v>122.6</v>
      </c>
    </row>
    <row r="19" spans="2:16" ht="21.95" customHeight="1">
      <c r="B19" s="15">
        <v>2008</v>
      </c>
      <c r="C19" s="16">
        <v>15</v>
      </c>
      <c r="D19" s="16">
        <v>7</v>
      </c>
      <c r="E19" s="16">
        <v>26</v>
      </c>
      <c r="F19" s="16">
        <v>46.1</v>
      </c>
      <c r="G19" s="16">
        <v>88.5</v>
      </c>
      <c r="H19" s="16">
        <v>118.1</v>
      </c>
      <c r="I19" s="16">
        <v>335.5</v>
      </c>
      <c r="J19" s="16">
        <v>114.2</v>
      </c>
      <c r="K19" s="16">
        <v>62.7</v>
      </c>
      <c r="L19" s="16">
        <v>34</v>
      </c>
      <c r="M19" s="16">
        <v>34.6</v>
      </c>
      <c r="N19" s="18">
        <v>27.9</v>
      </c>
      <c r="O19" s="12">
        <f t="shared" si="0"/>
        <v>909.6</v>
      </c>
      <c r="P19" s="19">
        <f t="shared" si="1"/>
        <v>75.8</v>
      </c>
    </row>
    <row r="20" spans="2:16" ht="21.95" customHeight="1">
      <c r="B20" s="15">
        <v>2009</v>
      </c>
      <c r="C20" s="16">
        <v>15.2</v>
      </c>
      <c r="D20" s="16">
        <v>26.5</v>
      </c>
      <c r="E20" s="16">
        <v>67</v>
      </c>
      <c r="F20" s="16">
        <v>43</v>
      </c>
      <c r="G20" s="16">
        <v>117.9</v>
      </c>
      <c r="H20" s="16">
        <v>74.900000000000006</v>
      </c>
      <c r="I20" s="16">
        <v>364.9</v>
      </c>
      <c r="J20" s="16">
        <v>196.3</v>
      </c>
      <c r="K20" s="16">
        <v>16</v>
      </c>
      <c r="L20" s="16">
        <v>49.2</v>
      </c>
      <c r="M20" s="16">
        <v>59.1</v>
      </c>
      <c r="N20" s="18">
        <v>44.3</v>
      </c>
      <c r="O20" s="12">
        <f t="shared" si="0"/>
        <v>1074.3</v>
      </c>
      <c r="P20" s="19">
        <f t="shared" si="1"/>
        <v>89.5</v>
      </c>
    </row>
    <row r="21" spans="2:16" ht="21.95" customHeight="1">
      <c r="B21" s="15">
        <v>2010</v>
      </c>
      <c r="C21" s="16">
        <v>55.5</v>
      </c>
      <c r="D21" s="16">
        <v>58.4</v>
      </c>
      <c r="E21" s="16">
        <v>79.2</v>
      </c>
      <c r="F21" s="16">
        <v>52.2</v>
      </c>
      <c r="G21" s="16">
        <v>168</v>
      </c>
      <c r="H21" s="16">
        <v>94.9</v>
      </c>
      <c r="I21" s="16">
        <v>447.1</v>
      </c>
      <c r="J21" s="16">
        <v>707</v>
      </c>
      <c r="K21" s="16">
        <v>402</v>
      </c>
      <c r="L21" s="16">
        <v>29.1</v>
      </c>
      <c r="M21" s="16">
        <v>12</v>
      </c>
      <c r="N21" s="18">
        <v>36.4</v>
      </c>
      <c r="O21" s="12">
        <f t="shared" si="0"/>
        <v>2141.8000000000002</v>
      </c>
      <c r="P21" s="19">
        <f t="shared" si="1"/>
        <v>178.5</v>
      </c>
    </row>
    <row r="22" spans="2:16" ht="21.95" customHeight="1">
      <c r="B22" s="15">
        <v>2011</v>
      </c>
      <c r="C22" s="16">
        <v>8.8000000000000007</v>
      </c>
      <c r="D22" s="16">
        <v>55.8</v>
      </c>
      <c r="E22" s="16">
        <v>34.5</v>
      </c>
      <c r="F22" s="16">
        <v>96.2</v>
      </c>
      <c r="G22" s="16">
        <v>107.9</v>
      </c>
      <c r="H22" s="16">
        <v>462.6</v>
      </c>
      <c r="I22" s="16">
        <v>656.5</v>
      </c>
      <c r="J22" s="16">
        <v>151.19999999999999</v>
      </c>
      <c r="K22" s="16">
        <v>50.3</v>
      </c>
      <c r="L22" s="16">
        <v>18.100000000000001</v>
      </c>
      <c r="M22" s="16">
        <v>48.9</v>
      </c>
      <c r="N22" s="18">
        <v>13.6</v>
      </c>
      <c r="O22" s="12">
        <f t="shared" si="0"/>
        <v>1704.4</v>
      </c>
      <c r="P22" s="19">
        <f t="shared" si="1"/>
        <v>142</v>
      </c>
    </row>
    <row r="23" spans="2:16" ht="21.95" customHeight="1">
      <c r="B23" s="15">
        <v>2012</v>
      </c>
      <c r="C23" s="16">
        <v>15.1</v>
      </c>
      <c r="D23" s="16">
        <v>2.4</v>
      </c>
      <c r="E23" s="16">
        <v>41.6</v>
      </c>
      <c r="F23" s="16">
        <v>113.5</v>
      </c>
      <c r="G23" s="16">
        <v>14.5</v>
      </c>
      <c r="H23" s="16">
        <v>91.1</v>
      </c>
      <c r="I23" s="16">
        <v>266.8</v>
      </c>
      <c r="J23" s="16">
        <v>647.9</v>
      </c>
      <c r="K23" s="16">
        <v>201.5</v>
      </c>
      <c r="L23" s="16">
        <v>100.7</v>
      </c>
      <c r="M23" s="16">
        <v>82.1</v>
      </c>
      <c r="N23" s="18">
        <v>65.400000000000006</v>
      </c>
      <c r="O23" s="12">
        <f t="shared" si="0"/>
        <v>1642.6</v>
      </c>
      <c r="P23" s="19">
        <f t="shared" si="1"/>
        <v>136.9</v>
      </c>
    </row>
    <row r="24" spans="2:16" ht="21.95" customHeight="1">
      <c r="B24" s="15">
        <v>2013</v>
      </c>
      <c r="C24" s="16">
        <v>36.799999999999997</v>
      </c>
      <c r="D24" s="16">
        <v>64.8</v>
      </c>
      <c r="E24" s="16">
        <v>60.8</v>
      </c>
      <c r="F24" s="16">
        <v>61.8</v>
      </c>
      <c r="G24" s="16">
        <v>114.9</v>
      </c>
      <c r="H24" s="16">
        <v>94.4</v>
      </c>
      <c r="I24" s="16">
        <v>213.8</v>
      </c>
      <c r="J24" s="16">
        <v>120.6</v>
      </c>
      <c r="K24" s="16">
        <v>147.4</v>
      </c>
      <c r="L24" s="16">
        <v>5.7</v>
      </c>
      <c r="M24" s="16">
        <v>64.900000000000006</v>
      </c>
      <c r="N24" s="18">
        <v>32.799999999999997</v>
      </c>
      <c r="O24" s="12">
        <f t="shared" si="0"/>
        <v>1018.7</v>
      </c>
      <c r="P24" s="19">
        <f t="shared" si="1"/>
        <v>84.9</v>
      </c>
    </row>
    <row r="25" spans="2:16" ht="21.95" customHeight="1">
      <c r="B25" s="15">
        <v>2014</v>
      </c>
      <c r="C25" s="16">
        <v>7</v>
      </c>
      <c r="D25" s="16">
        <v>17</v>
      </c>
      <c r="E25" s="16">
        <v>31.2</v>
      </c>
      <c r="F25" s="16">
        <v>85.6</v>
      </c>
      <c r="G25" s="16">
        <v>52.7</v>
      </c>
      <c r="H25" s="16">
        <v>69.3</v>
      </c>
      <c r="I25" s="16">
        <v>151.69999999999999</v>
      </c>
      <c r="J25" s="16">
        <v>242.3</v>
      </c>
      <c r="K25" s="16">
        <v>106.7</v>
      </c>
      <c r="L25" s="16">
        <v>117.2</v>
      </c>
      <c r="M25" s="16">
        <v>37.799999999999997</v>
      </c>
      <c r="N25" s="18">
        <v>81.599999999999994</v>
      </c>
      <c r="O25" s="12">
        <f t="shared" si="0"/>
        <v>1000.1</v>
      </c>
      <c r="P25" s="19">
        <f t="shared" si="1"/>
        <v>83.3</v>
      </c>
    </row>
    <row r="26" spans="2:16" ht="21.95" customHeight="1">
      <c r="B26" s="15">
        <v>2015</v>
      </c>
      <c r="C26" s="16">
        <v>20.7</v>
      </c>
      <c r="D26" s="16">
        <v>23.1</v>
      </c>
      <c r="E26" s="16">
        <v>20.6</v>
      </c>
      <c r="F26" s="16">
        <v>116.8</v>
      </c>
      <c r="G26" s="16">
        <v>40.6</v>
      </c>
      <c r="H26" s="16">
        <v>64.099999999999994</v>
      </c>
      <c r="I26" s="16">
        <v>158.5</v>
      </c>
      <c r="J26" s="16">
        <v>63.1</v>
      </c>
      <c r="K26" s="16">
        <v>15.1</v>
      </c>
      <c r="L26" s="16">
        <v>73.099999999999994</v>
      </c>
      <c r="M26" s="16">
        <v>156.6</v>
      </c>
      <c r="N26" s="18">
        <v>63.6</v>
      </c>
      <c r="O26" s="12">
        <f t="shared" si="0"/>
        <v>815.9</v>
      </c>
      <c r="P26" s="19">
        <f t="shared" si="1"/>
        <v>68</v>
      </c>
    </row>
    <row r="27" spans="2:16" ht="21.95" customHeight="1">
      <c r="B27" s="15">
        <v>2016</v>
      </c>
      <c r="C27" s="16">
        <v>21.9</v>
      </c>
      <c r="D27" s="16">
        <v>61.7</v>
      </c>
      <c r="E27" s="16">
        <v>24.3</v>
      </c>
      <c r="F27" s="16">
        <v>87</v>
      </c>
      <c r="G27" s="16">
        <v>153.69999999999999</v>
      </c>
      <c r="H27" s="16">
        <v>36.799999999999997</v>
      </c>
      <c r="I27" s="16">
        <v>295.60000000000002</v>
      </c>
      <c r="J27" s="16">
        <v>34</v>
      </c>
      <c r="K27" s="16">
        <v>53.1</v>
      </c>
      <c r="L27" s="16">
        <v>73.8</v>
      </c>
      <c r="M27" s="16">
        <v>17.5</v>
      </c>
      <c r="N27" s="18">
        <v>62.7</v>
      </c>
      <c r="O27" s="12">
        <f t="shared" si="0"/>
        <v>922.1</v>
      </c>
      <c r="P27" s="19">
        <f t="shared" si="1"/>
        <v>76.8</v>
      </c>
    </row>
    <row r="28" spans="2:16" ht="21.95" customHeight="1">
      <c r="B28" s="15">
        <v>2017</v>
      </c>
      <c r="C28" s="16">
        <v>21.3</v>
      </c>
      <c r="D28" s="16">
        <v>31.4</v>
      </c>
      <c r="E28" s="16">
        <v>4.8</v>
      </c>
      <c r="F28" s="16">
        <v>38.9</v>
      </c>
      <c r="G28" s="16">
        <v>27.9</v>
      </c>
      <c r="H28" s="16">
        <v>23.3</v>
      </c>
      <c r="I28" s="16">
        <v>327.8</v>
      </c>
      <c r="J28" s="16">
        <v>231.3</v>
      </c>
      <c r="K28" s="16">
        <v>37.6</v>
      </c>
      <c r="L28" s="16">
        <v>25.5</v>
      </c>
      <c r="M28" s="16">
        <v>24.7</v>
      </c>
      <c r="N28" s="18">
        <v>35.9</v>
      </c>
      <c r="O28" s="12">
        <f t="shared" si="0"/>
        <v>830.4</v>
      </c>
      <c r="P28" s="19">
        <f t="shared" si="1"/>
        <v>69.2</v>
      </c>
    </row>
    <row r="29" spans="2:16" ht="21.95" customHeight="1">
      <c r="B29" s="15">
        <v>2018</v>
      </c>
      <c r="C29" s="16">
        <v>21</v>
      </c>
      <c r="D29" s="16">
        <v>40.5</v>
      </c>
      <c r="E29" s="16">
        <v>76.599999999999994</v>
      </c>
      <c r="F29" s="16">
        <v>132.80000000000001</v>
      </c>
      <c r="G29" s="16">
        <v>147.69999999999999</v>
      </c>
      <c r="H29" s="16">
        <v>162.30000000000001</v>
      </c>
      <c r="I29" s="16">
        <v>152.9</v>
      </c>
      <c r="J29" s="16">
        <v>156.80000000000001</v>
      </c>
      <c r="K29" s="16">
        <v>82.7</v>
      </c>
      <c r="L29" s="16">
        <v>153.19999999999999</v>
      </c>
      <c r="M29" s="16">
        <v>73.900000000000006</v>
      </c>
      <c r="N29" s="18">
        <v>26.8</v>
      </c>
      <c r="O29" s="12">
        <f t="shared" si="0"/>
        <v>1227.2</v>
      </c>
      <c r="P29" s="19">
        <f t="shared" si="1"/>
        <v>102.3</v>
      </c>
    </row>
    <row r="30" spans="2:16" ht="21.95" customHeight="1">
      <c r="B30" s="15">
        <v>2019</v>
      </c>
      <c r="C30" s="16">
        <v>1.1000000000000001</v>
      </c>
      <c r="D30" s="16">
        <v>30.2</v>
      </c>
      <c r="E30" s="16">
        <v>43.7</v>
      </c>
      <c r="F30" s="16">
        <v>43.9</v>
      </c>
      <c r="G30" s="16">
        <v>20.100000000000001</v>
      </c>
      <c r="H30" s="16">
        <v>56.3</v>
      </c>
      <c r="I30" s="16">
        <v>174.5</v>
      </c>
      <c r="J30" s="16">
        <v>121.1</v>
      </c>
      <c r="K30" s="16">
        <v>181.1</v>
      </c>
      <c r="L30" s="16">
        <v>81</v>
      </c>
      <c r="M30" s="16">
        <v>124.6</v>
      </c>
      <c r="N30" s="18">
        <v>37.4</v>
      </c>
      <c r="O30" s="12">
        <f t="shared" si="0"/>
        <v>915</v>
      </c>
      <c r="P30" s="19">
        <f t="shared" si="1"/>
        <v>76.3</v>
      </c>
    </row>
    <row r="31" spans="2:16" ht="21.95" customHeight="1">
      <c r="B31" s="15">
        <v>2020</v>
      </c>
      <c r="C31" s="16">
        <v>46</v>
      </c>
      <c r="D31" s="16">
        <v>72.3</v>
      </c>
      <c r="E31" s="16">
        <v>23</v>
      </c>
      <c r="F31" s="16">
        <v>20.7</v>
      </c>
      <c r="G31" s="16">
        <v>101.3</v>
      </c>
      <c r="H31" s="16">
        <v>144</v>
      </c>
      <c r="I31" s="16">
        <v>329.4</v>
      </c>
      <c r="J31" s="16">
        <v>400</v>
      </c>
      <c r="K31" s="16">
        <v>257.7</v>
      </c>
      <c r="L31" s="16">
        <v>12.6</v>
      </c>
      <c r="M31" s="16">
        <v>72</v>
      </c>
      <c r="N31" s="18">
        <v>9.6999999999999993</v>
      </c>
      <c r="O31" s="12">
        <f t="shared" si="0"/>
        <v>1488.7</v>
      </c>
      <c r="P31" s="19">
        <f t="shared" si="1"/>
        <v>124.1</v>
      </c>
    </row>
    <row r="32" spans="2:16" ht="21.95" customHeight="1">
      <c r="B32" s="15">
        <v>2021</v>
      </c>
      <c r="C32" s="16">
        <v>25.3</v>
      </c>
      <c r="D32" s="16">
        <v>9.6</v>
      </c>
      <c r="E32" s="16">
        <v>112.8</v>
      </c>
      <c r="F32" s="16">
        <v>110.6</v>
      </c>
      <c r="G32" s="16">
        <v>132.30000000000001</v>
      </c>
      <c r="H32" s="16">
        <v>70.900000000000006</v>
      </c>
      <c r="I32" s="16">
        <v>121.6</v>
      </c>
      <c r="J32" s="16">
        <v>217.8</v>
      </c>
      <c r="K32" s="16">
        <v>206</v>
      </c>
      <c r="L32" s="16">
        <v>55.9</v>
      </c>
      <c r="M32" s="16">
        <v>126.2</v>
      </c>
      <c r="N32" s="18">
        <v>18.3</v>
      </c>
      <c r="O32" s="12">
        <f t="shared" si="0"/>
        <v>1207.3</v>
      </c>
      <c r="P32" s="19">
        <f t="shared" si="1"/>
        <v>100.6</v>
      </c>
    </row>
    <row r="33" spans="2:16" ht="21.95" customHeight="1">
      <c r="B33" s="15">
        <v>2022</v>
      </c>
      <c r="C33" s="16">
        <v>8.6</v>
      </c>
      <c r="D33" s="16">
        <v>4.7</v>
      </c>
      <c r="E33" s="16">
        <v>72.099999999999994</v>
      </c>
      <c r="F33" s="16">
        <v>52.2</v>
      </c>
      <c r="G33" s="16">
        <v>2.9</v>
      </c>
      <c r="H33" s="16">
        <v>352.4</v>
      </c>
      <c r="I33" s="16">
        <v>178.4</v>
      </c>
      <c r="J33" s="16">
        <v>468.7</v>
      </c>
      <c r="K33" s="16">
        <v>165.9</v>
      </c>
      <c r="L33" s="16">
        <v>160</v>
      </c>
      <c r="M33" s="16">
        <v>72.900000000000006</v>
      </c>
      <c r="N33" s="18">
        <v>31.9</v>
      </c>
      <c r="O33" s="12">
        <f t="shared" si="0"/>
        <v>1570.7</v>
      </c>
      <c r="P33" s="19">
        <f t="shared" si="1"/>
        <v>130.9</v>
      </c>
    </row>
    <row r="34" spans="2:16" ht="21.95" customHeight="1">
      <c r="B34" s="15">
        <v>2023</v>
      </c>
      <c r="C34" s="16">
        <v>30.5</v>
      </c>
      <c r="D34" s="16">
        <v>0.1</v>
      </c>
      <c r="E34" s="16">
        <v>6.4</v>
      </c>
      <c r="F34" s="16">
        <v>54.6</v>
      </c>
      <c r="G34" s="16">
        <v>132.9</v>
      </c>
      <c r="H34" s="16">
        <v>138.1</v>
      </c>
      <c r="I34" s="16">
        <v>507</v>
      </c>
      <c r="J34" s="16">
        <v>225</v>
      </c>
      <c r="K34" s="16">
        <v>166.1</v>
      </c>
      <c r="L34" s="16">
        <v>39.6</v>
      </c>
      <c r="M34" s="16">
        <v>122.9</v>
      </c>
      <c r="N34" s="18">
        <v>106.5</v>
      </c>
      <c r="O34" s="12">
        <f t="shared" si="0"/>
        <v>1529.7</v>
      </c>
      <c r="P34" s="19">
        <f t="shared" si="1"/>
        <v>127.5</v>
      </c>
    </row>
    <row r="35" spans="2:16" ht="21.95" customHeight="1" thickBot="1">
      <c r="B35" s="33">
        <v>2024</v>
      </c>
      <c r="C35" s="34">
        <v>34.4</v>
      </c>
      <c r="D35" s="34">
        <v>86.4</v>
      </c>
      <c r="E35" s="34">
        <v>26.1</v>
      </c>
      <c r="F35" s="34">
        <v>45</v>
      </c>
      <c r="G35" s="34">
        <v>157.4</v>
      </c>
      <c r="H35" s="34">
        <v>120.4</v>
      </c>
      <c r="I35" s="34">
        <v>556.1</v>
      </c>
      <c r="J35" s="34">
        <v>197.6</v>
      </c>
      <c r="K35" s="34">
        <v>354.2</v>
      </c>
      <c r="L35" s="34">
        <v>150.30000000000001</v>
      </c>
      <c r="M35" s="34">
        <v>62.1</v>
      </c>
      <c r="N35" s="35">
        <v>16.100000000000001</v>
      </c>
      <c r="O35" s="36">
        <f t="shared" si="0"/>
        <v>1806.1</v>
      </c>
      <c r="P35" s="37">
        <f t="shared" si="1"/>
        <v>150.5</v>
      </c>
    </row>
    <row r="36" spans="2:16" ht="21.95" customHeight="1">
      <c r="B36" s="38" t="s">
        <v>13</v>
      </c>
      <c r="C36" s="39">
        <f>ROUND(MAX(C6:C35),1)</f>
        <v>66.900000000000006</v>
      </c>
      <c r="D36" s="39">
        <f t="shared" ref="D36:N36" si="2">ROUND(MAX(D6:D35),1)</f>
        <v>86.4</v>
      </c>
      <c r="E36" s="39">
        <f t="shared" si="2"/>
        <v>127.2</v>
      </c>
      <c r="F36" s="39">
        <f t="shared" si="2"/>
        <v>180</v>
      </c>
      <c r="G36" s="39">
        <f t="shared" si="2"/>
        <v>232.8</v>
      </c>
      <c r="H36" s="39">
        <f t="shared" si="2"/>
        <v>462.6</v>
      </c>
      <c r="I36" s="39">
        <f t="shared" si="2"/>
        <v>656.5</v>
      </c>
      <c r="J36" s="39">
        <f t="shared" si="2"/>
        <v>992.7</v>
      </c>
      <c r="K36" s="39">
        <f t="shared" si="2"/>
        <v>532.6</v>
      </c>
      <c r="L36" s="39">
        <f t="shared" si="2"/>
        <v>160</v>
      </c>
      <c r="M36" s="39">
        <f t="shared" si="2"/>
        <v>156.6</v>
      </c>
      <c r="N36" s="40">
        <f t="shared" si="2"/>
        <v>106.5</v>
      </c>
      <c r="O36" s="41">
        <f>ROUND(MAX(O6:O35),1)</f>
        <v>2141.8000000000002</v>
      </c>
      <c r="P36" s="42">
        <f>ROUND(MAX(P6:P35),1)</f>
        <v>178.5</v>
      </c>
    </row>
    <row r="37" spans="2:16" ht="21.95" customHeight="1">
      <c r="B37" s="43" t="s">
        <v>14</v>
      </c>
      <c r="C37" s="44">
        <f>ROUND(MIN(C6:C35),1)</f>
        <v>1.1000000000000001</v>
      </c>
      <c r="D37" s="44">
        <f t="shared" ref="D37:N37" si="3">ROUND(MIN(D6:D35),1)</f>
        <v>0.1</v>
      </c>
      <c r="E37" s="44">
        <f t="shared" si="3"/>
        <v>3.7</v>
      </c>
      <c r="F37" s="44">
        <f t="shared" si="3"/>
        <v>18.7</v>
      </c>
      <c r="G37" s="44">
        <f t="shared" si="3"/>
        <v>2.9</v>
      </c>
      <c r="H37" s="44">
        <f t="shared" si="3"/>
        <v>23.3</v>
      </c>
      <c r="I37" s="44">
        <f t="shared" si="3"/>
        <v>60.8</v>
      </c>
      <c r="J37" s="44">
        <f t="shared" si="3"/>
        <v>34</v>
      </c>
      <c r="K37" s="44">
        <f t="shared" si="3"/>
        <v>6.4</v>
      </c>
      <c r="L37" s="44">
        <f t="shared" si="3"/>
        <v>1.8</v>
      </c>
      <c r="M37" s="44">
        <f t="shared" si="3"/>
        <v>8.1999999999999993</v>
      </c>
      <c r="N37" s="19">
        <f t="shared" si="3"/>
        <v>9.1999999999999993</v>
      </c>
      <c r="O37" s="45">
        <f>ROUND(MIN(O6:O35),1)</f>
        <v>815.9</v>
      </c>
      <c r="P37" s="46">
        <f>ROUND(MIN(P6:P35),1)</f>
        <v>68</v>
      </c>
    </row>
    <row r="38" spans="2:16" ht="21.95" customHeight="1" thickBot="1">
      <c r="B38" s="47" t="s">
        <v>18</v>
      </c>
      <c r="C38" s="48">
        <f>ROUND(AVERAGE(C6:C35),1)</f>
        <v>25.3</v>
      </c>
      <c r="D38" s="48">
        <f t="shared" ref="D38:P38" si="4">ROUND(AVERAGE(D6:D35),1)</f>
        <v>29.8</v>
      </c>
      <c r="E38" s="48">
        <f t="shared" si="4"/>
        <v>42.7</v>
      </c>
      <c r="F38" s="48">
        <f t="shared" si="4"/>
        <v>76.599999999999994</v>
      </c>
      <c r="G38" s="48">
        <f t="shared" si="4"/>
        <v>99.2</v>
      </c>
      <c r="H38" s="48">
        <f t="shared" si="4"/>
        <v>145.5</v>
      </c>
      <c r="I38" s="48">
        <f t="shared" si="4"/>
        <v>293.8</v>
      </c>
      <c r="J38" s="48">
        <f t="shared" si="4"/>
        <v>291.39999999999998</v>
      </c>
      <c r="K38" s="48">
        <f t="shared" si="4"/>
        <v>155</v>
      </c>
      <c r="L38" s="48">
        <f t="shared" si="4"/>
        <v>56.4</v>
      </c>
      <c r="M38" s="48">
        <f t="shared" si="4"/>
        <v>60.2</v>
      </c>
      <c r="N38" s="49">
        <f t="shared" si="4"/>
        <v>34.1</v>
      </c>
      <c r="O38" s="50">
        <f t="shared" si="4"/>
        <v>1309.9000000000001</v>
      </c>
      <c r="P38" s="51">
        <f t="shared" si="4"/>
        <v>109.2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20.7</v>
      </c>
      <c r="D44" s="53">
        <f t="shared" si="5"/>
        <v>23.1</v>
      </c>
      <c r="E44" s="53">
        <f t="shared" si="5"/>
        <v>20.6</v>
      </c>
      <c r="F44" s="53">
        <f t="shared" si="5"/>
        <v>116.8</v>
      </c>
      <c r="G44" s="53">
        <f t="shared" si="5"/>
        <v>40.6</v>
      </c>
      <c r="H44" s="53">
        <f t="shared" si="5"/>
        <v>64.099999999999994</v>
      </c>
      <c r="I44" s="53">
        <f t="shared" si="5"/>
        <v>158.5</v>
      </c>
      <c r="J44" s="53">
        <f t="shared" si="5"/>
        <v>63.1</v>
      </c>
      <c r="K44" s="53">
        <f t="shared" si="5"/>
        <v>15.1</v>
      </c>
      <c r="L44" s="53">
        <f t="shared" si="5"/>
        <v>73.099999999999994</v>
      </c>
      <c r="M44" s="53">
        <f t="shared" si="5"/>
        <v>156.6</v>
      </c>
      <c r="N44" s="54">
        <f t="shared" si="5"/>
        <v>63.6</v>
      </c>
      <c r="O44" s="55">
        <f>ROUND(SUM(C44:N44),1)</f>
        <v>815.9</v>
      </c>
      <c r="P44" s="46">
        <f>ROUND(O44/12,1)</f>
        <v>68</v>
      </c>
    </row>
    <row r="45" spans="2:16" ht="21.95" customHeight="1">
      <c r="B45" s="52">
        <f t="shared" ref="B45:N53" si="6">B27</f>
        <v>2016</v>
      </c>
      <c r="C45" s="53">
        <f t="shared" si="6"/>
        <v>21.9</v>
      </c>
      <c r="D45" s="53">
        <f t="shared" si="6"/>
        <v>61.7</v>
      </c>
      <c r="E45" s="53">
        <f t="shared" si="6"/>
        <v>24.3</v>
      </c>
      <c r="F45" s="53">
        <f t="shared" si="6"/>
        <v>87</v>
      </c>
      <c r="G45" s="53">
        <f t="shared" si="6"/>
        <v>153.69999999999999</v>
      </c>
      <c r="H45" s="53">
        <f t="shared" si="6"/>
        <v>36.799999999999997</v>
      </c>
      <c r="I45" s="53">
        <f t="shared" si="6"/>
        <v>295.60000000000002</v>
      </c>
      <c r="J45" s="53">
        <f t="shared" si="6"/>
        <v>34</v>
      </c>
      <c r="K45" s="53">
        <f t="shared" si="6"/>
        <v>53.1</v>
      </c>
      <c r="L45" s="53">
        <f t="shared" si="6"/>
        <v>73.8</v>
      </c>
      <c r="M45" s="53">
        <f t="shared" si="6"/>
        <v>17.5</v>
      </c>
      <c r="N45" s="54">
        <f t="shared" si="6"/>
        <v>62.7</v>
      </c>
      <c r="O45" s="55">
        <f t="shared" ref="O45:O53" si="7">ROUND(SUM(C45:N45),1)</f>
        <v>922.1</v>
      </c>
      <c r="P45" s="46">
        <f t="shared" ref="P45:P53" si="8">ROUND(O45/12,1)</f>
        <v>76.8</v>
      </c>
    </row>
    <row r="46" spans="2:16" ht="21.95" customHeight="1">
      <c r="B46" s="52">
        <f t="shared" si="6"/>
        <v>2017</v>
      </c>
      <c r="C46" s="53">
        <f t="shared" si="6"/>
        <v>21.3</v>
      </c>
      <c r="D46" s="53">
        <f t="shared" si="6"/>
        <v>31.4</v>
      </c>
      <c r="E46" s="53">
        <f t="shared" si="6"/>
        <v>4.8</v>
      </c>
      <c r="F46" s="53">
        <f t="shared" si="6"/>
        <v>38.9</v>
      </c>
      <c r="G46" s="53">
        <f t="shared" si="6"/>
        <v>27.9</v>
      </c>
      <c r="H46" s="53">
        <f t="shared" si="6"/>
        <v>23.3</v>
      </c>
      <c r="I46" s="53">
        <f t="shared" si="6"/>
        <v>327.8</v>
      </c>
      <c r="J46" s="53">
        <f t="shared" si="6"/>
        <v>231.3</v>
      </c>
      <c r="K46" s="53">
        <f t="shared" si="6"/>
        <v>37.6</v>
      </c>
      <c r="L46" s="53">
        <f t="shared" si="6"/>
        <v>25.5</v>
      </c>
      <c r="M46" s="53">
        <f t="shared" si="6"/>
        <v>24.7</v>
      </c>
      <c r="N46" s="54">
        <f t="shared" si="6"/>
        <v>35.9</v>
      </c>
      <c r="O46" s="55">
        <f t="shared" si="7"/>
        <v>830.4</v>
      </c>
      <c r="P46" s="46">
        <f t="shared" si="8"/>
        <v>69.2</v>
      </c>
    </row>
    <row r="47" spans="2:16" ht="21.95" customHeight="1">
      <c r="B47" s="52">
        <f t="shared" si="6"/>
        <v>2018</v>
      </c>
      <c r="C47" s="53">
        <f t="shared" si="6"/>
        <v>21</v>
      </c>
      <c r="D47" s="53">
        <f t="shared" si="6"/>
        <v>40.5</v>
      </c>
      <c r="E47" s="53">
        <f t="shared" si="6"/>
        <v>76.599999999999994</v>
      </c>
      <c r="F47" s="53">
        <f t="shared" si="6"/>
        <v>132.80000000000001</v>
      </c>
      <c r="G47" s="53">
        <f t="shared" si="6"/>
        <v>147.69999999999999</v>
      </c>
      <c r="H47" s="53">
        <f t="shared" si="6"/>
        <v>162.30000000000001</v>
      </c>
      <c r="I47" s="53">
        <f t="shared" si="6"/>
        <v>152.9</v>
      </c>
      <c r="J47" s="53">
        <f t="shared" si="6"/>
        <v>156.80000000000001</v>
      </c>
      <c r="K47" s="53">
        <f t="shared" si="6"/>
        <v>82.7</v>
      </c>
      <c r="L47" s="53">
        <f t="shared" si="6"/>
        <v>153.19999999999999</v>
      </c>
      <c r="M47" s="53">
        <f t="shared" si="6"/>
        <v>73.900000000000006</v>
      </c>
      <c r="N47" s="54">
        <f t="shared" si="6"/>
        <v>26.8</v>
      </c>
      <c r="O47" s="55">
        <f>ROUND(SUM(C47:N47),1)</f>
        <v>1227.2</v>
      </c>
      <c r="P47" s="46">
        <f t="shared" si="8"/>
        <v>102.3</v>
      </c>
    </row>
    <row r="48" spans="2:16" ht="21.95" customHeight="1">
      <c r="B48" s="52">
        <f t="shared" si="6"/>
        <v>2019</v>
      </c>
      <c r="C48" s="53">
        <f t="shared" si="6"/>
        <v>1.1000000000000001</v>
      </c>
      <c r="D48" s="53">
        <f t="shared" si="6"/>
        <v>30.2</v>
      </c>
      <c r="E48" s="53">
        <f t="shared" si="6"/>
        <v>43.7</v>
      </c>
      <c r="F48" s="53">
        <f t="shared" si="6"/>
        <v>43.9</v>
      </c>
      <c r="G48" s="53">
        <f t="shared" si="6"/>
        <v>20.100000000000001</v>
      </c>
      <c r="H48" s="53">
        <f t="shared" si="6"/>
        <v>56.3</v>
      </c>
      <c r="I48" s="53">
        <f t="shared" si="6"/>
        <v>174.5</v>
      </c>
      <c r="J48" s="53">
        <f t="shared" si="6"/>
        <v>121.1</v>
      </c>
      <c r="K48" s="53">
        <f t="shared" si="6"/>
        <v>181.1</v>
      </c>
      <c r="L48" s="53">
        <f t="shared" si="6"/>
        <v>81</v>
      </c>
      <c r="M48" s="53">
        <f t="shared" si="6"/>
        <v>124.6</v>
      </c>
      <c r="N48" s="54">
        <f t="shared" si="6"/>
        <v>37.4</v>
      </c>
      <c r="O48" s="55">
        <f t="shared" si="7"/>
        <v>915</v>
      </c>
      <c r="P48" s="46">
        <f t="shared" si="8"/>
        <v>76.3</v>
      </c>
    </row>
    <row r="49" spans="2:16" ht="21.95" customHeight="1">
      <c r="B49" s="52">
        <f t="shared" si="6"/>
        <v>2020</v>
      </c>
      <c r="C49" s="53">
        <f t="shared" si="6"/>
        <v>46</v>
      </c>
      <c r="D49" s="53">
        <f t="shared" si="6"/>
        <v>72.3</v>
      </c>
      <c r="E49" s="53">
        <f t="shared" si="6"/>
        <v>23</v>
      </c>
      <c r="F49" s="53">
        <f t="shared" si="6"/>
        <v>20.7</v>
      </c>
      <c r="G49" s="53">
        <f t="shared" si="6"/>
        <v>101.3</v>
      </c>
      <c r="H49" s="53">
        <f t="shared" si="6"/>
        <v>144</v>
      </c>
      <c r="I49" s="53">
        <f t="shared" si="6"/>
        <v>329.4</v>
      </c>
      <c r="J49" s="53">
        <f t="shared" si="6"/>
        <v>400</v>
      </c>
      <c r="K49" s="53">
        <f t="shared" si="6"/>
        <v>257.7</v>
      </c>
      <c r="L49" s="53">
        <f t="shared" si="6"/>
        <v>12.6</v>
      </c>
      <c r="M49" s="53">
        <f t="shared" si="6"/>
        <v>72</v>
      </c>
      <c r="N49" s="54">
        <f t="shared" si="6"/>
        <v>9.6999999999999993</v>
      </c>
      <c r="O49" s="55">
        <f t="shared" si="7"/>
        <v>1488.7</v>
      </c>
      <c r="P49" s="46">
        <f t="shared" si="8"/>
        <v>124.1</v>
      </c>
    </row>
    <row r="50" spans="2:16" ht="21.95" customHeight="1">
      <c r="B50" s="52">
        <f t="shared" si="6"/>
        <v>2021</v>
      </c>
      <c r="C50" s="53">
        <f t="shared" si="6"/>
        <v>25.3</v>
      </c>
      <c r="D50" s="53">
        <f t="shared" si="6"/>
        <v>9.6</v>
      </c>
      <c r="E50" s="53">
        <f t="shared" si="6"/>
        <v>112.8</v>
      </c>
      <c r="F50" s="53">
        <f t="shared" si="6"/>
        <v>110.6</v>
      </c>
      <c r="G50" s="53">
        <f t="shared" si="6"/>
        <v>132.30000000000001</v>
      </c>
      <c r="H50" s="53">
        <f t="shared" si="6"/>
        <v>70.900000000000006</v>
      </c>
      <c r="I50" s="53">
        <f t="shared" si="6"/>
        <v>121.6</v>
      </c>
      <c r="J50" s="53">
        <f t="shared" si="6"/>
        <v>217.8</v>
      </c>
      <c r="K50" s="53">
        <f t="shared" si="6"/>
        <v>206</v>
      </c>
      <c r="L50" s="53">
        <f t="shared" si="6"/>
        <v>55.9</v>
      </c>
      <c r="M50" s="53">
        <f t="shared" si="6"/>
        <v>126.2</v>
      </c>
      <c r="N50" s="54">
        <f t="shared" si="6"/>
        <v>18.3</v>
      </c>
      <c r="O50" s="55">
        <f t="shared" si="7"/>
        <v>1207.3</v>
      </c>
      <c r="P50" s="46">
        <f t="shared" si="8"/>
        <v>100.6</v>
      </c>
    </row>
    <row r="51" spans="2:16" ht="21.95" customHeight="1">
      <c r="B51" s="52">
        <f t="shared" si="6"/>
        <v>2022</v>
      </c>
      <c r="C51" s="53">
        <f t="shared" si="6"/>
        <v>8.6</v>
      </c>
      <c r="D51" s="53">
        <f t="shared" si="6"/>
        <v>4.7</v>
      </c>
      <c r="E51" s="53">
        <f t="shared" si="6"/>
        <v>72.099999999999994</v>
      </c>
      <c r="F51" s="53">
        <f t="shared" si="6"/>
        <v>52.2</v>
      </c>
      <c r="G51" s="53">
        <f t="shared" si="6"/>
        <v>2.9</v>
      </c>
      <c r="H51" s="53">
        <f t="shared" si="6"/>
        <v>352.4</v>
      </c>
      <c r="I51" s="53">
        <f t="shared" si="6"/>
        <v>178.4</v>
      </c>
      <c r="J51" s="53">
        <f t="shared" si="6"/>
        <v>468.7</v>
      </c>
      <c r="K51" s="53">
        <f t="shared" si="6"/>
        <v>165.9</v>
      </c>
      <c r="L51" s="53">
        <f t="shared" si="6"/>
        <v>160</v>
      </c>
      <c r="M51" s="53">
        <f t="shared" si="6"/>
        <v>72.900000000000006</v>
      </c>
      <c r="N51" s="54">
        <f t="shared" si="6"/>
        <v>31.9</v>
      </c>
      <c r="O51" s="55">
        <f t="shared" si="7"/>
        <v>1570.7</v>
      </c>
      <c r="P51" s="46">
        <f t="shared" si="8"/>
        <v>130.9</v>
      </c>
    </row>
    <row r="52" spans="2:16" ht="21.95" customHeight="1">
      <c r="B52" s="52">
        <f t="shared" si="6"/>
        <v>2023</v>
      </c>
      <c r="C52" s="53">
        <f t="shared" si="6"/>
        <v>30.5</v>
      </c>
      <c r="D52" s="53">
        <f t="shared" si="6"/>
        <v>0.1</v>
      </c>
      <c r="E52" s="53">
        <f t="shared" si="6"/>
        <v>6.4</v>
      </c>
      <c r="F52" s="53">
        <f t="shared" si="6"/>
        <v>54.6</v>
      </c>
      <c r="G52" s="53">
        <f t="shared" si="6"/>
        <v>132.9</v>
      </c>
      <c r="H52" s="53">
        <f t="shared" si="6"/>
        <v>138.1</v>
      </c>
      <c r="I52" s="53">
        <f t="shared" si="6"/>
        <v>507</v>
      </c>
      <c r="J52" s="53">
        <f t="shared" si="6"/>
        <v>225</v>
      </c>
      <c r="K52" s="53">
        <f t="shared" si="6"/>
        <v>166.1</v>
      </c>
      <c r="L52" s="53">
        <f t="shared" si="6"/>
        <v>39.6</v>
      </c>
      <c r="M52" s="53">
        <f t="shared" si="6"/>
        <v>122.9</v>
      </c>
      <c r="N52" s="54">
        <f t="shared" si="6"/>
        <v>106.5</v>
      </c>
      <c r="O52" s="55">
        <f t="shared" si="7"/>
        <v>1529.7</v>
      </c>
      <c r="P52" s="46">
        <f t="shared" si="8"/>
        <v>127.5</v>
      </c>
    </row>
    <row r="53" spans="2:16" ht="21.95" customHeight="1" thickBot="1">
      <c r="B53" s="56">
        <f t="shared" si="6"/>
        <v>2024</v>
      </c>
      <c r="C53" s="57">
        <f t="shared" si="6"/>
        <v>34.4</v>
      </c>
      <c r="D53" s="57">
        <f t="shared" si="6"/>
        <v>86.4</v>
      </c>
      <c r="E53" s="57">
        <f t="shared" si="6"/>
        <v>26.1</v>
      </c>
      <c r="F53" s="57">
        <f t="shared" si="6"/>
        <v>45</v>
      </c>
      <c r="G53" s="57">
        <f t="shared" si="6"/>
        <v>157.4</v>
      </c>
      <c r="H53" s="57">
        <f t="shared" si="6"/>
        <v>120.4</v>
      </c>
      <c r="I53" s="57">
        <f t="shared" si="6"/>
        <v>556.1</v>
      </c>
      <c r="J53" s="57">
        <f t="shared" si="6"/>
        <v>197.6</v>
      </c>
      <c r="K53" s="57">
        <f t="shared" si="6"/>
        <v>354.2</v>
      </c>
      <c r="L53" s="57">
        <f t="shared" si="6"/>
        <v>150.30000000000001</v>
      </c>
      <c r="M53" s="57">
        <f t="shared" si="6"/>
        <v>62.1</v>
      </c>
      <c r="N53" s="58">
        <f t="shared" si="6"/>
        <v>16.100000000000001</v>
      </c>
      <c r="O53" s="59">
        <f t="shared" si="7"/>
        <v>1806.1</v>
      </c>
      <c r="P53" s="51">
        <f t="shared" si="8"/>
        <v>150.5</v>
      </c>
    </row>
    <row r="54" spans="2:16" ht="21.95" customHeight="1">
      <c r="B54" s="60" t="s">
        <v>19</v>
      </c>
      <c r="C54" s="61">
        <f>MAX(C44:C53)</f>
        <v>46</v>
      </c>
      <c r="D54" s="61">
        <f t="shared" ref="D54:P54" si="9">MAX(D44:D53)</f>
        <v>86.4</v>
      </c>
      <c r="E54" s="61">
        <f t="shared" si="9"/>
        <v>112.8</v>
      </c>
      <c r="F54" s="61">
        <f t="shared" si="9"/>
        <v>132.80000000000001</v>
      </c>
      <c r="G54" s="61">
        <f t="shared" si="9"/>
        <v>157.4</v>
      </c>
      <c r="H54" s="61">
        <f t="shared" si="9"/>
        <v>352.4</v>
      </c>
      <c r="I54" s="61">
        <f t="shared" si="9"/>
        <v>556.1</v>
      </c>
      <c r="J54" s="61">
        <f t="shared" si="9"/>
        <v>468.7</v>
      </c>
      <c r="K54" s="61">
        <f t="shared" si="9"/>
        <v>354.2</v>
      </c>
      <c r="L54" s="61">
        <f t="shared" si="9"/>
        <v>160</v>
      </c>
      <c r="M54" s="61">
        <f t="shared" si="9"/>
        <v>156.6</v>
      </c>
      <c r="N54" s="62">
        <f t="shared" si="9"/>
        <v>106.5</v>
      </c>
      <c r="O54" s="63">
        <f t="shared" si="9"/>
        <v>1806.1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1.1000000000000001</v>
      </c>
      <c r="D55" s="65">
        <f t="shared" ref="D55:P55" si="10">MIN(D44:D53)</f>
        <v>0.1</v>
      </c>
      <c r="E55" s="65">
        <f t="shared" si="10"/>
        <v>4.8</v>
      </c>
      <c r="F55" s="65">
        <f t="shared" si="10"/>
        <v>20.7</v>
      </c>
      <c r="G55" s="65">
        <f t="shared" si="10"/>
        <v>2.9</v>
      </c>
      <c r="H55" s="65">
        <f t="shared" si="10"/>
        <v>23.3</v>
      </c>
      <c r="I55" s="65">
        <f t="shared" si="10"/>
        <v>121.6</v>
      </c>
      <c r="J55" s="65">
        <f t="shared" si="10"/>
        <v>34</v>
      </c>
      <c r="K55" s="65">
        <f t="shared" si="10"/>
        <v>15.1</v>
      </c>
      <c r="L55" s="65">
        <f t="shared" si="10"/>
        <v>12.6</v>
      </c>
      <c r="M55" s="65">
        <f t="shared" si="10"/>
        <v>17.5</v>
      </c>
      <c r="N55" s="46">
        <f t="shared" si="10"/>
        <v>9.6999999999999993</v>
      </c>
      <c r="O55" s="55">
        <f>MIN(O44:O53)</f>
        <v>815.9</v>
      </c>
      <c r="P55" s="46">
        <f t="shared" si="10"/>
        <v>68</v>
      </c>
    </row>
    <row r="56" spans="2:16" ht="21.95" customHeight="1" thickBot="1">
      <c r="B56" s="66" t="s">
        <v>7</v>
      </c>
      <c r="C56" s="67">
        <f>ROUND(AVERAGE(C44:C53),1)</f>
        <v>23.1</v>
      </c>
      <c r="D56" s="67">
        <f t="shared" ref="D56:N56" si="11">ROUND(AVERAGE(D44:D53),1)</f>
        <v>36</v>
      </c>
      <c r="E56" s="67">
        <f t="shared" si="11"/>
        <v>41</v>
      </c>
      <c r="F56" s="67">
        <f t="shared" si="11"/>
        <v>70.3</v>
      </c>
      <c r="G56" s="67">
        <f t="shared" si="11"/>
        <v>91.7</v>
      </c>
      <c r="H56" s="67">
        <f t="shared" si="11"/>
        <v>116.9</v>
      </c>
      <c r="I56" s="67">
        <f t="shared" si="11"/>
        <v>280.2</v>
      </c>
      <c r="J56" s="67">
        <f t="shared" si="11"/>
        <v>211.5</v>
      </c>
      <c r="K56" s="67">
        <f t="shared" si="11"/>
        <v>152</v>
      </c>
      <c r="L56" s="67">
        <f t="shared" si="11"/>
        <v>82.5</v>
      </c>
      <c r="M56" s="67">
        <f t="shared" si="11"/>
        <v>85.3</v>
      </c>
      <c r="N56" s="51">
        <f t="shared" si="11"/>
        <v>40.9</v>
      </c>
      <c r="O56" s="59">
        <f>ROUND(AVERAGE(O44:O53),1)</f>
        <v>1231.3</v>
      </c>
      <c r="P56" s="51">
        <f>ROUND(AVERAGE(P44:P53),1)</f>
        <v>102.6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12FF-89A5-43E8-A602-F08F816FFCE0}">
  <sheetPr codeName="Sheet23">
    <tabColor rgb="FFFFA5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290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22.6</v>
      </c>
      <c r="D6" s="9">
        <v>23.5</v>
      </c>
      <c r="E6" s="9">
        <v>24.4</v>
      </c>
      <c r="F6" s="9">
        <v>62</v>
      </c>
      <c r="G6" s="9">
        <v>59.5</v>
      </c>
      <c r="H6" s="9">
        <v>34.5</v>
      </c>
      <c r="I6" s="9">
        <v>171.5</v>
      </c>
      <c r="J6" s="10">
        <v>839</v>
      </c>
      <c r="K6" s="9">
        <v>46.5</v>
      </c>
      <c r="L6" s="9">
        <v>22</v>
      </c>
      <c r="M6" s="9">
        <v>15</v>
      </c>
      <c r="N6" s="11">
        <v>5.7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17" ht="21.95" customHeight="1">
      <c r="B7" s="15">
        <v>1996</v>
      </c>
      <c r="C7" s="16">
        <v>26.4</v>
      </c>
      <c r="D7" s="16">
        <v>2.8</v>
      </c>
      <c r="E7" s="16">
        <v>131</v>
      </c>
      <c r="F7" s="16">
        <v>45</v>
      </c>
      <c r="G7" s="16">
        <v>33</v>
      </c>
      <c r="H7" s="16">
        <v>289</v>
      </c>
      <c r="I7" s="16">
        <v>235</v>
      </c>
      <c r="J7" s="17">
        <v>67</v>
      </c>
      <c r="K7" s="16">
        <v>16</v>
      </c>
      <c r="L7" s="16">
        <v>90.5</v>
      </c>
      <c r="M7" s="16">
        <v>76</v>
      </c>
      <c r="N7" s="18">
        <v>35</v>
      </c>
      <c r="O7" s="12">
        <f t="shared" si="0"/>
        <v>1046.7</v>
      </c>
      <c r="P7" s="19">
        <f t="shared" ref="P7:P35" si="1">ROUND(O7/12,1)</f>
        <v>87.2</v>
      </c>
      <c r="Q7" s="14"/>
    </row>
    <row r="8" spans="2:17" ht="21.95" customHeight="1">
      <c r="B8" s="15">
        <v>1997</v>
      </c>
      <c r="C8" s="16">
        <v>9</v>
      </c>
      <c r="D8" s="16">
        <v>54.9</v>
      </c>
      <c r="E8" s="16">
        <v>44</v>
      </c>
      <c r="F8" s="16">
        <v>70</v>
      </c>
      <c r="G8" s="16">
        <v>229.5</v>
      </c>
      <c r="H8" s="16">
        <v>236.5</v>
      </c>
      <c r="I8" s="16">
        <v>404.5</v>
      </c>
      <c r="J8" s="16">
        <v>263</v>
      </c>
      <c r="K8" s="16">
        <v>24.5</v>
      </c>
      <c r="L8" s="16">
        <v>8</v>
      </c>
      <c r="M8" s="16">
        <v>219.5</v>
      </c>
      <c r="N8" s="18">
        <v>39.5</v>
      </c>
      <c r="O8" s="12">
        <f t="shared" si="0"/>
        <v>1602.9</v>
      </c>
      <c r="P8" s="19">
        <f t="shared" si="1"/>
        <v>133.6</v>
      </c>
      <c r="Q8" s="14"/>
    </row>
    <row r="9" spans="2:17" ht="21.95" customHeight="1">
      <c r="B9" s="15">
        <v>1998</v>
      </c>
      <c r="C9" s="16">
        <v>40.6</v>
      </c>
      <c r="D9" s="16">
        <v>47</v>
      </c>
      <c r="E9" s="16">
        <v>45</v>
      </c>
      <c r="F9" s="16">
        <v>200.5</v>
      </c>
      <c r="G9" s="16">
        <v>130.5</v>
      </c>
      <c r="H9" s="16">
        <v>324</v>
      </c>
      <c r="I9" s="16">
        <v>323</v>
      </c>
      <c r="J9" s="16">
        <v>451.3</v>
      </c>
      <c r="K9" s="16">
        <v>313.10000000000002</v>
      </c>
      <c r="L9" s="16">
        <v>75.5</v>
      </c>
      <c r="M9" s="16">
        <v>46.3</v>
      </c>
      <c r="N9" s="18">
        <v>3.5</v>
      </c>
      <c r="O9" s="12">
        <f t="shared" si="0"/>
        <v>2000.3</v>
      </c>
      <c r="P9" s="19">
        <f t="shared" si="1"/>
        <v>166.7</v>
      </c>
      <c r="Q9" s="14"/>
    </row>
    <row r="10" spans="2:17" ht="21.95" customHeight="1">
      <c r="B10" s="15">
        <v>1999</v>
      </c>
      <c r="C10" s="16">
        <v>3.5</v>
      </c>
      <c r="D10" s="16">
        <v>10</v>
      </c>
      <c r="E10" s="16">
        <v>75.7</v>
      </c>
      <c r="F10" s="16">
        <v>92.5</v>
      </c>
      <c r="G10" s="16">
        <v>127.5</v>
      </c>
      <c r="H10" s="16">
        <v>203</v>
      </c>
      <c r="I10" s="16">
        <v>149</v>
      </c>
      <c r="J10" s="16">
        <v>119.5</v>
      </c>
      <c r="K10" s="16">
        <v>426</v>
      </c>
      <c r="L10" s="16">
        <v>290</v>
      </c>
      <c r="M10" s="16">
        <v>15.5</v>
      </c>
      <c r="N10" s="18">
        <v>17.399999999999999</v>
      </c>
      <c r="O10" s="12">
        <f t="shared" si="0"/>
        <v>1529.6</v>
      </c>
      <c r="P10" s="19">
        <f t="shared" si="1"/>
        <v>127.5</v>
      </c>
      <c r="Q10" s="14"/>
    </row>
    <row r="11" spans="2:17" ht="21.95" customHeight="1">
      <c r="B11" s="15">
        <v>2000</v>
      </c>
      <c r="C11" s="16">
        <v>41.4</v>
      </c>
      <c r="D11" s="16">
        <v>2.2999999999999998</v>
      </c>
      <c r="E11" s="16">
        <v>14.1</v>
      </c>
      <c r="F11" s="16">
        <v>62</v>
      </c>
      <c r="G11" s="16">
        <v>40</v>
      </c>
      <c r="H11" s="16">
        <v>248.5</v>
      </c>
      <c r="I11" s="16">
        <v>248.5</v>
      </c>
      <c r="J11" s="16">
        <v>543</v>
      </c>
      <c r="K11" s="16">
        <v>238.5</v>
      </c>
      <c r="L11" s="16">
        <v>39</v>
      </c>
      <c r="M11" s="16">
        <v>29.5</v>
      </c>
      <c r="N11" s="18">
        <v>13.8</v>
      </c>
      <c r="O11" s="12">
        <f t="shared" si="0"/>
        <v>1520.6</v>
      </c>
      <c r="P11" s="19">
        <f t="shared" si="1"/>
        <v>126.7</v>
      </c>
      <c r="Q11" s="14"/>
    </row>
    <row r="12" spans="2:17" ht="21.95" customHeight="1">
      <c r="B12" s="15">
        <v>2001</v>
      </c>
      <c r="C12" s="16">
        <v>65</v>
      </c>
      <c r="D12" s="16">
        <v>69.5</v>
      </c>
      <c r="E12" s="16">
        <v>9.8000000000000007</v>
      </c>
      <c r="F12" s="16">
        <v>25</v>
      </c>
      <c r="G12" s="16">
        <v>23.5</v>
      </c>
      <c r="H12" s="16">
        <v>132</v>
      </c>
      <c r="I12" s="16">
        <v>216</v>
      </c>
      <c r="J12" s="16">
        <v>98</v>
      </c>
      <c r="K12" s="16">
        <v>10.5</v>
      </c>
      <c r="L12" s="16">
        <v>76.5</v>
      </c>
      <c r="M12" s="16">
        <v>10.5</v>
      </c>
      <c r="N12" s="18">
        <v>16.3</v>
      </c>
      <c r="O12" s="12">
        <f t="shared" si="0"/>
        <v>752.6</v>
      </c>
      <c r="P12" s="19">
        <f t="shared" si="1"/>
        <v>62.7</v>
      </c>
    </row>
    <row r="13" spans="2:17" ht="21.95" customHeight="1">
      <c r="B13" s="15">
        <v>2002</v>
      </c>
      <c r="C13" s="16">
        <v>72.3</v>
      </c>
      <c r="D13" s="16">
        <v>6</v>
      </c>
      <c r="E13" s="16">
        <v>32.5</v>
      </c>
      <c r="F13" s="16">
        <v>142.5</v>
      </c>
      <c r="G13" s="16">
        <v>159</v>
      </c>
      <c r="H13" s="16">
        <v>70.5</v>
      </c>
      <c r="I13" s="16">
        <v>208</v>
      </c>
      <c r="J13" s="16">
        <v>358.5</v>
      </c>
      <c r="K13" s="16">
        <v>57.5</v>
      </c>
      <c r="L13" s="16">
        <v>78.5</v>
      </c>
      <c r="M13" s="16">
        <v>31.5</v>
      </c>
      <c r="N13" s="18">
        <v>57.2</v>
      </c>
      <c r="O13" s="12">
        <f t="shared" si="0"/>
        <v>1274</v>
      </c>
      <c r="P13" s="19">
        <f t="shared" si="1"/>
        <v>106.2</v>
      </c>
    </row>
    <row r="14" spans="2:17" ht="21.95" customHeight="1">
      <c r="B14" s="15">
        <v>2003</v>
      </c>
      <c r="C14" s="16">
        <v>24.2</v>
      </c>
      <c r="D14" s="16">
        <v>59</v>
      </c>
      <c r="E14" s="16">
        <v>52</v>
      </c>
      <c r="F14" s="16">
        <v>208.5</v>
      </c>
      <c r="G14" s="16">
        <v>144.5</v>
      </c>
      <c r="H14" s="16">
        <v>228</v>
      </c>
      <c r="I14" s="16">
        <v>626.5</v>
      </c>
      <c r="J14" s="16">
        <v>202</v>
      </c>
      <c r="K14" s="16">
        <v>167.5</v>
      </c>
      <c r="L14" s="16">
        <v>24.5</v>
      </c>
      <c r="M14" s="16">
        <v>29.5</v>
      </c>
      <c r="N14" s="18">
        <v>13.8</v>
      </c>
      <c r="O14" s="12">
        <f t="shared" si="0"/>
        <v>1780</v>
      </c>
      <c r="P14" s="19">
        <f t="shared" si="1"/>
        <v>148.30000000000001</v>
      </c>
    </row>
    <row r="15" spans="2:17" ht="21.95" customHeight="1">
      <c r="B15" s="15">
        <v>2004</v>
      </c>
      <c r="C15" s="16">
        <v>18.100000000000001</v>
      </c>
      <c r="D15" s="16">
        <v>26.2</v>
      </c>
      <c r="E15" s="16">
        <v>63.1</v>
      </c>
      <c r="F15" s="16">
        <v>73.5</v>
      </c>
      <c r="G15" s="16">
        <v>109</v>
      </c>
      <c r="H15" s="16">
        <v>388</v>
      </c>
      <c r="I15" s="16">
        <v>296</v>
      </c>
      <c r="J15" s="16">
        <v>249</v>
      </c>
      <c r="K15" s="16">
        <v>176.5</v>
      </c>
      <c r="L15" s="16">
        <v>1</v>
      </c>
      <c r="M15" s="16">
        <v>50.5</v>
      </c>
      <c r="N15" s="18">
        <v>43</v>
      </c>
      <c r="O15" s="12">
        <f t="shared" si="0"/>
        <v>1493.9</v>
      </c>
      <c r="P15" s="19">
        <f t="shared" si="1"/>
        <v>124.5</v>
      </c>
    </row>
    <row r="16" spans="2:17" ht="21.95" customHeight="1">
      <c r="B16" s="15">
        <v>2005</v>
      </c>
      <c r="C16" s="16">
        <v>6</v>
      </c>
      <c r="D16" s="16">
        <v>39</v>
      </c>
      <c r="E16" s="16">
        <v>26.5</v>
      </c>
      <c r="F16" s="16">
        <v>75</v>
      </c>
      <c r="G16" s="16">
        <v>65.5</v>
      </c>
      <c r="H16" s="16">
        <v>186</v>
      </c>
      <c r="I16" s="16">
        <v>448.5</v>
      </c>
      <c r="J16" s="16">
        <v>381.5</v>
      </c>
      <c r="K16" s="16">
        <v>225.5</v>
      </c>
      <c r="L16" s="16">
        <v>30.5</v>
      </c>
      <c r="M16" s="16">
        <v>21</v>
      </c>
      <c r="N16" s="18">
        <v>22</v>
      </c>
      <c r="O16" s="12">
        <f t="shared" si="0"/>
        <v>1527</v>
      </c>
      <c r="P16" s="19">
        <f t="shared" si="1"/>
        <v>127.3</v>
      </c>
    </row>
    <row r="17" spans="2:16" ht="21.95" customHeight="1">
      <c r="B17" s="15">
        <v>2006</v>
      </c>
      <c r="C17" s="16">
        <v>30.2</v>
      </c>
      <c r="D17" s="16">
        <v>29.5</v>
      </c>
      <c r="E17" s="16">
        <v>7.8</v>
      </c>
      <c r="F17" s="16">
        <v>99</v>
      </c>
      <c r="G17" s="16">
        <v>81.5</v>
      </c>
      <c r="H17" s="16">
        <v>111</v>
      </c>
      <c r="I17" s="16">
        <v>503</v>
      </c>
      <c r="J17" s="16">
        <v>83.5</v>
      </c>
      <c r="K17" s="16">
        <v>37.5</v>
      </c>
      <c r="L17" s="16">
        <v>15</v>
      </c>
      <c r="M17" s="16">
        <v>51</v>
      </c>
      <c r="N17" s="18">
        <v>27.5</v>
      </c>
      <c r="O17" s="12">
        <f t="shared" si="0"/>
        <v>1076.5</v>
      </c>
      <c r="P17" s="19">
        <f t="shared" si="1"/>
        <v>89.7</v>
      </c>
    </row>
    <row r="18" spans="2:16" ht="21.95" customHeight="1">
      <c r="B18" s="15">
        <v>2007</v>
      </c>
      <c r="C18" s="16">
        <v>21.8</v>
      </c>
      <c r="D18" s="16">
        <v>47.8</v>
      </c>
      <c r="E18" s="16">
        <v>159</v>
      </c>
      <c r="F18" s="16">
        <v>28</v>
      </c>
      <c r="G18" s="16">
        <v>104</v>
      </c>
      <c r="H18" s="16">
        <v>101</v>
      </c>
      <c r="I18" s="16">
        <v>286</v>
      </c>
      <c r="J18" s="16">
        <v>319.5</v>
      </c>
      <c r="K18" s="16">
        <v>502.5</v>
      </c>
      <c r="L18" s="16">
        <v>37</v>
      </c>
      <c r="M18" s="16">
        <v>13</v>
      </c>
      <c r="N18" s="18">
        <v>31.7</v>
      </c>
      <c r="O18" s="12">
        <f t="shared" si="0"/>
        <v>1651.3</v>
      </c>
      <c r="P18" s="19">
        <f t="shared" si="1"/>
        <v>137.6</v>
      </c>
    </row>
    <row r="19" spans="2:16" ht="21.95" customHeight="1">
      <c r="B19" s="15">
        <v>2008</v>
      </c>
      <c r="C19" s="16">
        <v>39.6</v>
      </c>
      <c r="D19" s="16">
        <v>11.2</v>
      </c>
      <c r="E19" s="16">
        <v>42.2</v>
      </c>
      <c r="F19" s="16">
        <v>38.799999999999997</v>
      </c>
      <c r="G19" s="16">
        <v>51.6</v>
      </c>
      <c r="H19" s="16">
        <v>260</v>
      </c>
      <c r="I19" s="16">
        <v>194.3</v>
      </c>
      <c r="J19" s="16">
        <v>154</v>
      </c>
      <c r="K19" s="16">
        <v>48.8</v>
      </c>
      <c r="L19" s="16">
        <v>24.1</v>
      </c>
      <c r="M19" s="16">
        <v>14.1</v>
      </c>
      <c r="N19" s="18">
        <v>23.4</v>
      </c>
      <c r="O19" s="12">
        <f t="shared" si="0"/>
        <v>902.1</v>
      </c>
      <c r="P19" s="19">
        <f t="shared" si="1"/>
        <v>75.2</v>
      </c>
    </row>
    <row r="20" spans="2:16" ht="21.95" customHeight="1">
      <c r="B20" s="15">
        <v>2009</v>
      </c>
      <c r="C20" s="16">
        <v>10.6</v>
      </c>
      <c r="D20" s="16">
        <v>23.6</v>
      </c>
      <c r="E20" s="16">
        <v>63.9</v>
      </c>
      <c r="F20" s="16">
        <v>51</v>
      </c>
      <c r="G20" s="16">
        <v>135.5</v>
      </c>
      <c r="H20" s="16">
        <v>113.2</v>
      </c>
      <c r="I20" s="16">
        <v>408</v>
      </c>
      <c r="J20" s="16">
        <v>140.19999999999999</v>
      </c>
      <c r="K20" s="16">
        <v>30.5</v>
      </c>
      <c r="L20" s="16">
        <v>23.7</v>
      </c>
      <c r="M20" s="16">
        <v>54.5</v>
      </c>
      <c r="N20" s="18">
        <v>34.9</v>
      </c>
      <c r="O20" s="12">
        <f t="shared" si="0"/>
        <v>1089.5999999999999</v>
      </c>
      <c r="P20" s="19">
        <f t="shared" si="1"/>
        <v>90.8</v>
      </c>
    </row>
    <row r="21" spans="2:16" ht="21.95" customHeight="1">
      <c r="B21" s="15">
        <v>2010</v>
      </c>
      <c r="C21" s="16">
        <v>37.1</v>
      </c>
      <c r="D21" s="16">
        <v>89.5</v>
      </c>
      <c r="E21" s="16">
        <v>94.9</v>
      </c>
      <c r="F21" s="16">
        <v>69.599999999999994</v>
      </c>
      <c r="G21" s="16">
        <v>140.69999999999999</v>
      </c>
      <c r="H21" s="16">
        <v>36.1</v>
      </c>
      <c r="I21" s="16">
        <v>262.10000000000002</v>
      </c>
      <c r="J21" s="16">
        <v>431.1</v>
      </c>
      <c r="K21" s="16">
        <v>149.80000000000001</v>
      </c>
      <c r="L21" s="16">
        <v>17.8</v>
      </c>
      <c r="M21" s="16">
        <v>18.600000000000001</v>
      </c>
      <c r="N21" s="18">
        <v>31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3.7</v>
      </c>
      <c r="D22" s="16">
        <v>60.7</v>
      </c>
      <c r="E22" s="16">
        <v>16</v>
      </c>
      <c r="F22" s="16">
        <v>70</v>
      </c>
      <c r="G22" s="16">
        <v>111.2</v>
      </c>
      <c r="H22" s="16">
        <v>316</v>
      </c>
      <c r="I22" s="16">
        <v>599.6</v>
      </c>
      <c r="J22" s="16">
        <v>618.1</v>
      </c>
      <c r="K22" s="16">
        <v>104.2</v>
      </c>
      <c r="L22" s="16">
        <v>26.6</v>
      </c>
      <c r="M22" s="16">
        <v>81.599999999999994</v>
      </c>
      <c r="N22" s="18">
        <v>7</v>
      </c>
      <c r="O22" s="12">
        <f t="shared" si="0"/>
        <v>2014.7</v>
      </c>
      <c r="P22" s="19">
        <f t="shared" si="1"/>
        <v>167.9</v>
      </c>
    </row>
    <row r="23" spans="2:16" ht="21.95" customHeight="1">
      <c r="B23" s="15">
        <v>2012</v>
      </c>
      <c r="C23" s="16">
        <v>16</v>
      </c>
      <c r="D23" s="16">
        <v>3.2</v>
      </c>
      <c r="E23" s="16">
        <v>60.2</v>
      </c>
      <c r="F23" s="16">
        <v>109.3</v>
      </c>
      <c r="G23" s="16">
        <v>19.5</v>
      </c>
      <c r="H23" s="16">
        <v>71.3</v>
      </c>
      <c r="I23" s="16">
        <v>302.89999999999998</v>
      </c>
      <c r="J23" s="16">
        <v>573.29999999999995</v>
      </c>
      <c r="K23" s="16">
        <v>186.2</v>
      </c>
      <c r="L23" s="16">
        <v>83</v>
      </c>
      <c r="M23" s="16">
        <v>60.7</v>
      </c>
      <c r="N23" s="18">
        <v>60.2</v>
      </c>
      <c r="O23" s="12">
        <f t="shared" si="0"/>
        <v>1545.8</v>
      </c>
      <c r="P23" s="19">
        <f t="shared" si="1"/>
        <v>128.80000000000001</v>
      </c>
    </row>
    <row r="24" spans="2:16" ht="21.95" customHeight="1">
      <c r="B24" s="15">
        <v>2013</v>
      </c>
      <c r="C24" s="16">
        <v>45.4</v>
      </c>
      <c r="D24" s="16">
        <v>58.7</v>
      </c>
      <c r="E24" s="16">
        <v>50.3</v>
      </c>
      <c r="F24" s="16">
        <v>93.7</v>
      </c>
      <c r="G24" s="16">
        <v>159</v>
      </c>
      <c r="H24" s="16">
        <v>151.69999999999999</v>
      </c>
      <c r="I24" s="16">
        <v>240.4</v>
      </c>
      <c r="J24" s="16">
        <v>119.5</v>
      </c>
      <c r="K24" s="16">
        <v>184.8</v>
      </c>
      <c r="L24" s="16">
        <v>17.5</v>
      </c>
      <c r="M24" s="16">
        <v>79.400000000000006</v>
      </c>
      <c r="N24" s="18">
        <v>35.9</v>
      </c>
      <c r="O24" s="12">
        <f t="shared" si="0"/>
        <v>1236.3</v>
      </c>
      <c r="P24" s="19">
        <f t="shared" si="1"/>
        <v>103</v>
      </c>
    </row>
    <row r="25" spans="2:16" ht="21.95" customHeight="1">
      <c r="B25" s="15">
        <v>2014</v>
      </c>
      <c r="C25" s="16">
        <v>2.2000000000000002</v>
      </c>
      <c r="D25" s="16">
        <v>15.3</v>
      </c>
      <c r="E25" s="16">
        <v>69.3</v>
      </c>
      <c r="F25" s="16">
        <v>94.1</v>
      </c>
      <c r="G25" s="16">
        <v>61.5</v>
      </c>
      <c r="H25" s="16">
        <v>77.8</v>
      </c>
      <c r="I25" s="16">
        <v>174.7</v>
      </c>
      <c r="J25" s="16">
        <v>225.1</v>
      </c>
      <c r="K25" s="16">
        <v>157.5</v>
      </c>
      <c r="L25" s="16">
        <v>170.5</v>
      </c>
      <c r="M25" s="16">
        <v>42.4</v>
      </c>
      <c r="N25" s="18">
        <v>51.7</v>
      </c>
      <c r="O25" s="12">
        <f t="shared" si="0"/>
        <v>1142.0999999999999</v>
      </c>
      <c r="P25" s="19">
        <f t="shared" si="1"/>
        <v>95.2</v>
      </c>
    </row>
    <row r="26" spans="2:16" ht="21.95" customHeight="1">
      <c r="B26" s="15">
        <v>2015</v>
      </c>
      <c r="C26" s="16">
        <v>35.4</v>
      </c>
      <c r="D26" s="16">
        <v>35.6</v>
      </c>
      <c r="E26" s="16">
        <v>42.4</v>
      </c>
      <c r="F26" s="16">
        <v>99.5</v>
      </c>
      <c r="G26" s="16">
        <v>53.5</v>
      </c>
      <c r="H26" s="16">
        <v>92.7</v>
      </c>
      <c r="I26" s="16">
        <v>119.9</v>
      </c>
      <c r="J26" s="16">
        <v>56.9</v>
      </c>
      <c r="K26" s="16">
        <v>22</v>
      </c>
      <c r="L26" s="16">
        <v>104</v>
      </c>
      <c r="M26" s="16">
        <v>130</v>
      </c>
      <c r="N26" s="18">
        <v>56.9</v>
      </c>
      <c r="O26" s="12">
        <f t="shared" si="0"/>
        <v>848.8</v>
      </c>
      <c r="P26" s="19">
        <f t="shared" si="1"/>
        <v>70.7</v>
      </c>
    </row>
    <row r="27" spans="2:16" ht="21.95" customHeight="1">
      <c r="B27" s="15">
        <v>2016</v>
      </c>
      <c r="C27" s="16">
        <v>6.6</v>
      </c>
      <c r="D27" s="16">
        <v>59.6</v>
      </c>
      <c r="E27" s="16">
        <v>19</v>
      </c>
      <c r="F27" s="16">
        <v>164.6</v>
      </c>
      <c r="G27" s="16">
        <v>121.6</v>
      </c>
      <c r="H27" s="16">
        <v>49.4</v>
      </c>
      <c r="I27" s="16">
        <v>341.1</v>
      </c>
      <c r="J27" s="16">
        <v>33.4</v>
      </c>
      <c r="K27" s="16">
        <v>133.69999999999999</v>
      </c>
      <c r="L27" s="16">
        <v>120.1</v>
      </c>
      <c r="M27" s="16">
        <v>17.100000000000001</v>
      </c>
      <c r="N27" s="18">
        <v>63.1</v>
      </c>
      <c r="O27" s="12">
        <f t="shared" si="0"/>
        <v>1129.3</v>
      </c>
      <c r="P27" s="19">
        <f t="shared" si="1"/>
        <v>94.1</v>
      </c>
    </row>
    <row r="28" spans="2:16" ht="21.95" customHeight="1">
      <c r="B28" s="15">
        <v>2017</v>
      </c>
      <c r="C28" s="16">
        <v>16</v>
      </c>
      <c r="D28" s="16">
        <v>28.5</v>
      </c>
      <c r="E28" s="16">
        <v>8.8000000000000007</v>
      </c>
      <c r="F28" s="16">
        <v>78.400000000000006</v>
      </c>
      <c r="G28" s="16">
        <v>35.799999999999997</v>
      </c>
      <c r="H28" s="16">
        <v>51.4</v>
      </c>
      <c r="I28" s="16">
        <v>326.7</v>
      </c>
      <c r="J28" s="16">
        <v>358.5</v>
      </c>
      <c r="K28" s="16">
        <v>97.1</v>
      </c>
      <c r="L28" s="16">
        <v>51.9</v>
      </c>
      <c r="M28" s="16">
        <v>22.8</v>
      </c>
      <c r="N28" s="18">
        <v>36.1</v>
      </c>
      <c r="O28" s="12">
        <f t="shared" si="0"/>
        <v>1112</v>
      </c>
      <c r="P28" s="19">
        <f t="shared" si="1"/>
        <v>92.7</v>
      </c>
    </row>
    <row r="29" spans="2:16" ht="21.95" customHeight="1">
      <c r="B29" s="15">
        <v>2018</v>
      </c>
      <c r="C29" s="16">
        <v>25</v>
      </c>
      <c r="D29" s="16">
        <v>43.1</v>
      </c>
      <c r="E29" s="16">
        <v>99.3</v>
      </c>
      <c r="F29" s="16">
        <v>156.5</v>
      </c>
      <c r="G29" s="16">
        <v>116.1</v>
      </c>
      <c r="H29" s="16">
        <v>107.1</v>
      </c>
      <c r="I29" s="16">
        <v>278.8</v>
      </c>
      <c r="J29" s="16">
        <v>277</v>
      </c>
      <c r="K29" s="16">
        <v>98.3</v>
      </c>
      <c r="L29" s="16">
        <v>159.19999999999999</v>
      </c>
      <c r="M29" s="16">
        <v>66</v>
      </c>
      <c r="N29" s="18">
        <v>31.5</v>
      </c>
      <c r="O29" s="12">
        <f t="shared" si="0"/>
        <v>1457.9</v>
      </c>
      <c r="P29" s="19">
        <f t="shared" si="1"/>
        <v>121.5</v>
      </c>
    </row>
    <row r="30" spans="2:16" ht="21.95" customHeight="1">
      <c r="B30" s="15">
        <v>2019</v>
      </c>
      <c r="C30" s="16">
        <v>0.5</v>
      </c>
      <c r="D30" s="16">
        <v>37.6</v>
      </c>
      <c r="E30" s="16">
        <v>35</v>
      </c>
      <c r="F30" s="16">
        <v>73.7</v>
      </c>
      <c r="G30" s="16">
        <v>44.3</v>
      </c>
      <c r="H30" s="16">
        <v>59.9</v>
      </c>
      <c r="I30" s="16">
        <v>216.7</v>
      </c>
      <c r="J30" s="16">
        <v>102.1</v>
      </c>
      <c r="K30" s="16">
        <v>191.9</v>
      </c>
      <c r="L30" s="16">
        <v>85.6</v>
      </c>
      <c r="M30" s="16">
        <v>113.5</v>
      </c>
      <c r="N30" s="18">
        <v>31.2</v>
      </c>
      <c r="O30" s="12">
        <f t="shared" si="0"/>
        <v>992</v>
      </c>
      <c r="P30" s="19">
        <f t="shared" si="1"/>
        <v>82.7</v>
      </c>
    </row>
    <row r="31" spans="2:16" ht="21.95" customHeight="1">
      <c r="B31" s="15">
        <v>2020</v>
      </c>
      <c r="C31" s="16">
        <v>79.599999999999994</v>
      </c>
      <c r="D31" s="16">
        <v>92.4</v>
      </c>
      <c r="E31" s="16">
        <v>19.3</v>
      </c>
      <c r="F31" s="16">
        <v>17.7</v>
      </c>
      <c r="G31" s="16">
        <v>108.5</v>
      </c>
      <c r="H31" s="16">
        <v>188.4</v>
      </c>
      <c r="I31" s="16">
        <v>492.6</v>
      </c>
      <c r="J31" s="16">
        <v>367.8</v>
      </c>
      <c r="K31" s="16">
        <v>208.9</v>
      </c>
      <c r="L31" s="16">
        <v>4.4000000000000004</v>
      </c>
      <c r="M31" s="16">
        <v>41.8</v>
      </c>
      <c r="N31" s="18">
        <v>3.4</v>
      </c>
      <c r="O31" s="12">
        <f t="shared" si="0"/>
        <v>1624.8</v>
      </c>
      <c r="P31" s="19">
        <f t="shared" si="1"/>
        <v>135.4</v>
      </c>
    </row>
    <row r="32" spans="2:16" ht="21.95" customHeight="1">
      <c r="B32" s="15">
        <v>2021</v>
      </c>
      <c r="C32" s="16">
        <v>32.1</v>
      </c>
      <c r="D32" s="16">
        <v>18.100000000000001</v>
      </c>
      <c r="E32" s="16">
        <v>95.7</v>
      </c>
      <c r="F32" s="16">
        <v>42.3</v>
      </c>
      <c r="G32" s="16">
        <v>136.9</v>
      </c>
      <c r="H32" s="16">
        <v>76.900000000000006</v>
      </c>
      <c r="I32" s="16">
        <v>187.7</v>
      </c>
      <c r="J32" s="16">
        <v>227.6</v>
      </c>
      <c r="K32" s="16">
        <v>187.1</v>
      </c>
      <c r="L32" s="16">
        <v>36.9</v>
      </c>
      <c r="M32" s="16">
        <v>73.400000000000006</v>
      </c>
      <c r="N32" s="18">
        <v>8.6999999999999993</v>
      </c>
      <c r="O32" s="12">
        <f t="shared" si="0"/>
        <v>1123.4000000000001</v>
      </c>
      <c r="P32" s="19">
        <f t="shared" si="1"/>
        <v>93.6</v>
      </c>
    </row>
    <row r="33" spans="2:16" ht="21.95" customHeight="1">
      <c r="B33" s="15">
        <v>2022</v>
      </c>
      <c r="C33" s="16">
        <v>3.5</v>
      </c>
      <c r="D33" s="16">
        <v>2.5</v>
      </c>
      <c r="E33" s="16">
        <v>76.099999999999994</v>
      </c>
      <c r="F33" s="16">
        <v>62.6</v>
      </c>
      <c r="G33" s="16">
        <v>4</v>
      </c>
      <c r="H33" s="16">
        <v>123.4</v>
      </c>
      <c r="I33" s="16">
        <v>168.5</v>
      </c>
      <c r="J33" s="16">
        <v>615.6</v>
      </c>
      <c r="K33" s="16">
        <v>87</v>
      </c>
      <c r="L33" s="16">
        <v>103.7</v>
      </c>
      <c r="M33" s="16">
        <v>36.4</v>
      </c>
      <c r="N33" s="18">
        <v>17.8</v>
      </c>
      <c r="O33" s="12">
        <f t="shared" si="0"/>
        <v>1301.0999999999999</v>
      </c>
      <c r="P33" s="19">
        <f t="shared" si="1"/>
        <v>108.4</v>
      </c>
    </row>
    <row r="34" spans="2:16" ht="21.95" customHeight="1">
      <c r="B34" s="15">
        <v>2023</v>
      </c>
      <c r="C34" s="16">
        <v>35.700000000000003</v>
      </c>
      <c r="D34" s="16">
        <v>4.3</v>
      </c>
      <c r="E34" s="16">
        <v>13.2</v>
      </c>
      <c r="F34" s="16">
        <v>60.6</v>
      </c>
      <c r="G34" s="16">
        <v>248.1</v>
      </c>
      <c r="H34" s="16">
        <v>122.2</v>
      </c>
      <c r="I34" s="16">
        <v>880.3</v>
      </c>
      <c r="J34" s="16">
        <v>300.60000000000002</v>
      </c>
      <c r="K34" s="16">
        <v>303</v>
      </c>
      <c r="L34" s="16">
        <v>16.7</v>
      </c>
      <c r="M34" s="16">
        <v>58.1</v>
      </c>
      <c r="N34" s="18">
        <v>122.2</v>
      </c>
      <c r="O34" s="12">
        <f t="shared" si="0"/>
        <v>2165</v>
      </c>
      <c r="P34" s="19">
        <f t="shared" si="1"/>
        <v>180.4</v>
      </c>
    </row>
    <row r="35" spans="2:16" ht="21.95" customHeight="1" thickBot="1">
      <c r="B35" s="33">
        <v>2024</v>
      </c>
      <c r="C35" s="34">
        <v>43.9</v>
      </c>
      <c r="D35" s="34">
        <v>135.80000000000001</v>
      </c>
      <c r="E35" s="34">
        <v>49.8</v>
      </c>
      <c r="F35" s="34">
        <v>58.7</v>
      </c>
      <c r="G35" s="34">
        <v>134</v>
      </c>
      <c r="H35" s="34">
        <v>91.2</v>
      </c>
      <c r="I35" s="34">
        <v>470.8</v>
      </c>
      <c r="J35" s="34">
        <v>40.799999999999997</v>
      </c>
      <c r="K35" s="34">
        <v>162.6</v>
      </c>
      <c r="L35" s="34">
        <v>84.5</v>
      </c>
      <c r="M35" s="34">
        <v>46</v>
      </c>
      <c r="N35" s="35">
        <v>16.100000000000001</v>
      </c>
      <c r="O35" s="36">
        <f t="shared" si="0"/>
        <v>1334.2</v>
      </c>
      <c r="P35" s="37">
        <f t="shared" si="1"/>
        <v>111.2</v>
      </c>
    </row>
    <row r="36" spans="2:16" ht="21.95" customHeight="1">
      <c r="B36" s="38" t="s">
        <v>13</v>
      </c>
      <c r="C36" s="39">
        <f>ROUND(MAX(C6:C35),1)</f>
        <v>79.599999999999994</v>
      </c>
      <c r="D36" s="39">
        <f t="shared" ref="D36:N36" si="2">ROUND(MAX(D6:D35),1)</f>
        <v>135.80000000000001</v>
      </c>
      <c r="E36" s="39">
        <f t="shared" si="2"/>
        <v>159</v>
      </c>
      <c r="F36" s="39">
        <f t="shared" si="2"/>
        <v>208.5</v>
      </c>
      <c r="G36" s="39">
        <f t="shared" si="2"/>
        <v>248.1</v>
      </c>
      <c r="H36" s="39">
        <f t="shared" si="2"/>
        <v>388</v>
      </c>
      <c r="I36" s="39">
        <f t="shared" si="2"/>
        <v>880.3</v>
      </c>
      <c r="J36" s="39">
        <f t="shared" si="2"/>
        <v>839</v>
      </c>
      <c r="K36" s="39">
        <f t="shared" si="2"/>
        <v>502.5</v>
      </c>
      <c r="L36" s="39">
        <f t="shared" si="2"/>
        <v>290</v>
      </c>
      <c r="M36" s="39">
        <f t="shared" si="2"/>
        <v>219.5</v>
      </c>
      <c r="N36" s="40">
        <f t="shared" si="2"/>
        <v>122.2</v>
      </c>
      <c r="O36" s="41">
        <f>ROUND(MAX(O6:O35),1)</f>
        <v>2165</v>
      </c>
      <c r="P36" s="42">
        <f>ROUND(MAX(P6:P35),1)</f>
        <v>180.4</v>
      </c>
    </row>
    <row r="37" spans="2:16" ht="21.95" customHeight="1">
      <c r="B37" s="43" t="s">
        <v>14</v>
      </c>
      <c r="C37" s="44">
        <f>ROUND(MIN(C6:C35),1)</f>
        <v>0.5</v>
      </c>
      <c r="D37" s="44">
        <f t="shared" ref="D37:N37" si="3">ROUND(MIN(D6:D35),1)</f>
        <v>2.2999999999999998</v>
      </c>
      <c r="E37" s="44">
        <f t="shared" si="3"/>
        <v>7.8</v>
      </c>
      <c r="F37" s="44">
        <f t="shared" si="3"/>
        <v>17.7</v>
      </c>
      <c r="G37" s="44">
        <f t="shared" si="3"/>
        <v>4</v>
      </c>
      <c r="H37" s="44">
        <f t="shared" si="3"/>
        <v>34.5</v>
      </c>
      <c r="I37" s="44">
        <f t="shared" si="3"/>
        <v>119.9</v>
      </c>
      <c r="J37" s="44">
        <f t="shared" si="3"/>
        <v>33.4</v>
      </c>
      <c r="K37" s="44">
        <f t="shared" si="3"/>
        <v>10.5</v>
      </c>
      <c r="L37" s="44">
        <f t="shared" si="3"/>
        <v>1</v>
      </c>
      <c r="M37" s="44">
        <f t="shared" si="3"/>
        <v>10.5</v>
      </c>
      <c r="N37" s="19">
        <f t="shared" si="3"/>
        <v>3.4</v>
      </c>
      <c r="O37" s="45">
        <f>ROUND(MIN(O6:O35),1)</f>
        <v>752.6</v>
      </c>
      <c r="P37" s="46">
        <f>ROUND(MIN(P6:P35),1)</f>
        <v>62.7</v>
      </c>
    </row>
    <row r="38" spans="2:16" ht="21.95" customHeight="1" thickBot="1">
      <c r="B38" s="47" t="s">
        <v>18</v>
      </c>
      <c r="C38" s="48">
        <f>ROUND(AVERAGE(C6:C35),1)</f>
        <v>27.1</v>
      </c>
      <c r="D38" s="48">
        <f t="shared" ref="D38:P38" si="4">ROUND(AVERAGE(D6:D35),1)</f>
        <v>37.9</v>
      </c>
      <c r="E38" s="48">
        <f t="shared" si="4"/>
        <v>51.3</v>
      </c>
      <c r="F38" s="48">
        <f t="shared" si="4"/>
        <v>84.2</v>
      </c>
      <c r="G38" s="48">
        <f t="shared" si="4"/>
        <v>99.6</v>
      </c>
      <c r="H38" s="48">
        <f t="shared" si="4"/>
        <v>151.4</v>
      </c>
      <c r="I38" s="48">
        <f t="shared" si="4"/>
        <v>326</v>
      </c>
      <c r="J38" s="48">
        <f t="shared" si="4"/>
        <v>287.2</v>
      </c>
      <c r="K38" s="48">
        <f t="shared" si="4"/>
        <v>153.19999999999999</v>
      </c>
      <c r="L38" s="48">
        <f t="shared" si="4"/>
        <v>63.9</v>
      </c>
      <c r="M38" s="48">
        <f t="shared" si="4"/>
        <v>52.2</v>
      </c>
      <c r="N38" s="49">
        <f t="shared" si="4"/>
        <v>31.9</v>
      </c>
      <c r="O38" s="50">
        <f t="shared" si="4"/>
        <v>1366</v>
      </c>
      <c r="P38" s="51">
        <f t="shared" si="4"/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35.4</v>
      </c>
      <c r="D44" s="53">
        <f t="shared" si="5"/>
        <v>35.6</v>
      </c>
      <c r="E44" s="53">
        <f t="shared" si="5"/>
        <v>42.4</v>
      </c>
      <c r="F44" s="53">
        <f t="shared" si="5"/>
        <v>99.5</v>
      </c>
      <c r="G44" s="53">
        <f t="shared" si="5"/>
        <v>53.5</v>
      </c>
      <c r="H44" s="53">
        <f t="shared" si="5"/>
        <v>92.7</v>
      </c>
      <c r="I44" s="53">
        <f t="shared" si="5"/>
        <v>119.9</v>
      </c>
      <c r="J44" s="53">
        <f t="shared" si="5"/>
        <v>56.9</v>
      </c>
      <c r="K44" s="53">
        <f t="shared" si="5"/>
        <v>22</v>
      </c>
      <c r="L44" s="53">
        <f t="shared" si="5"/>
        <v>104</v>
      </c>
      <c r="M44" s="53">
        <f t="shared" si="5"/>
        <v>130</v>
      </c>
      <c r="N44" s="54">
        <f t="shared" si="5"/>
        <v>56.9</v>
      </c>
      <c r="O44" s="55">
        <f>ROUND(SUM(C44:N44),1)</f>
        <v>848.8</v>
      </c>
      <c r="P44" s="46">
        <f>ROUND(O44/12,1)</f>
        <v>70.7</v>
      </c>
    </row>
    <row r="45" spans="2:16" ht="21.95" customHeight="1">
      <c r="B45" s="52">
        <f t="shared" ref="B45:N53" si="6">B27</f>
        <v>2016</v>
      </c>
      <c r="C45" s="53">
        <f t="shared" si="6"/>
        <v>6.6</v>
      </c>
      <c r="D45" s="53">
        <f t="shared" si="6"/>
        <v>59.6</v>
      </c>
      <c r="E45" s="53">
        <f t="shared" si="6"/>
        <v>19</v>
      </c>
      <c r="F45" s="53">
        <f t="shared" si="6"/>
        <v>164.6</v>
      </c>
      <c r="G45" s="53">
        <f t="shared" si="6"/>
        <v>121.6</v>
      </c>
      <c r="H45" s="53">
        <f t="shared" si="6"/>
        <v>49.4</v>
      </c>
      <c r="I45" s="53">
        <f t="shared" si="6"/>
        <v>341.1</v>
      </c>
      <c r="J45" s="53">
        <f t="shared" si="6"/>
        <v>33.4</v>
      </c>
      <c r="K45" s="53">
        <f t="shared" si="6"/>
        <v>133.69999999999999</v>
      </c>
      <c r="L45" s="53">
        <f t="shared" si="6"/>
        <v>120.1</v>
      </c>
      <c r="M45" s="53">
        <f t="shared" si="6"/>
        <v>17.100000000000001</v>
      </c>
      <c r="N45" s="54">
        <f t="shared" si="6"/>
        <v>63.1</v>
      </c>
      <c r="O45" s="55">
        <f t="shared" ref="O45:O53" si="7">ROUND(SUM(C45:N45),1)</f>
        <v>1129.3</v>
      </c>
      <c r="P45" s="46">
        <f t="shared" ref="P45:P53" si="8">ROUND(O45/12,1)</f>
        <v>94.1</v>
      </c>
    </row>
    <row r="46" spans="2:16" ht="21.95" customHeight="1">
      <c r="B46" s="52">
        <f t="shared" si="6"/>
        <v>2017</v>
      </c>
      <c r="C46" s="53">
        <f t="shared" si="6"/>
        <v>16</v>
      </c>
      <c r="D46" s="53">
        <f t="shared" si="6"/>
        <v>28.5</v>
      </c>
      <c r="E46" s="53">
        <f t="shared" si="6"/>
        <v>8.8000000000000007</v>
      </c>
      <c r="F46" s="53">
        <f t="shared" si="6"/>
        <v>78.400000000000006</v>
      </c>
      <c r="G46" s="53">
        <f t="shared" si="6"/>
        <v>35.799999999999997</v>
      </c>
      <c r="H46" s="53">
        <f t="shared" si="6"/>
        <v>51.4</v>
      </c>
      <c r="I46" s="53">
        <f t="shared" si="6"/>
        <v>326.7</v>
      </c>
      <c r="J46" s="53">
        <f t="shared" si="6"/>
        <v>358.5</v>
      </c>
      <c r="K46" s="53">
        <f t="shared" si="6"/>
        <v>97.1</v>
      </c>
      <c r="L46" s="53">
        <f t="shared" si="6"/>
        <v>51.9</v>
      </c>
      <c r="M46" s="53">
        <f t="shared" si="6"/>
        <v>22.8</v>
      </c>
      <c r="N46" s="54">
        <f t="shared" si="6"/>
        <v>36.1</v>
      </c>
      <c r="O46" s="55">
        <f t="shared" si="7"/>
        <v>1112</v>
      </c>
      <c r="P46" s="46">
        <f t="shared" si="8"/>
        <v>92.7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43.1</v>
      </c>
      <c r="E47" s="53">
        <f t="shared" si="6"/>
        <v>99.3</v>
      </c>
      <c r="F47" s="53">
        <f t="shared" si="6"/>
        <v>156.5</v>
      </c>
      <c r="G47" s="53">
        <f t="shared" si="6"/>
        <v>116.1</v>
      </c>
      <c r="H47" s="53">
        <f t="shared" si="6"/>
        <v>107.1</v>
      </c>
      <c r="I47" s="53">
        <f t="shared" si="6"/>
        <v>278.8</v>
      </c>
      <c r="J47" s="53">
        <f t="shared" si="6"/>
        <v>277</v>
      </c>
      <c r="K47" s="53">
        <f t="shared" si="6"/>
        <v>98.3</v>
      </c>
      <c r="L47" s="53">
        <f t="shared" si="6"/>
        <v>159.19999999999999</v>
      </c>
      <c r="M47" s="53">
        <f t="shared" si="6"/>
        <v>66</v>
      </c>
      <c r="N47" s="54">
        <f t="shared" si="6"/>
        <v>31.5</v>
      </c>
      <c r="O47" s="55">
        <f>ROUND(SUM(C47:N47),1)</f>
        <v>1457.9</v>
      </c>
      <c r="P47" s="46">
        <f t="shared" si="8"/>
        <v>121.5</v>
      </c>
    </row>
    <row r="48" spans="2:16" ht="21.95" customHeight="1">
      <c r="B48" s="52">
        <f t="shared" si="6"/>
        <v>2019</v>
      </c>
      <c r="C48" s="53">
        <f t="shared" si="6"/>
        <v>0.5</v>
      </c>
      <c r="D48" s="53">
        <f t="shared" si="6"/>
        <v>37.6</v>
      </c>
      <c r="E48" s="53">
        <f t="shared" si="6"/>
        <v>35</v>
      </c>
      <c r="F48" s="53">
        <f t="shared" si="6"/>
        <v>73.7</v>
      </c>
      <c r="G48" s="53">
        <f t="shared" si="6"/>
        <v>44.3</v>
      </c>
      <c r="H48" s="53">
        <f t="shared" si="6"/>
        <v>59.9</v>
      </c>
      <c r="I48" s="53">
        <f t="shared" si="6"/>
        <v>216.7</v>
      </c>
      <c r="J48" s="53">
        <f t="shared" si="6"/>
        <v>102.1</v>
      </c>
      <c r="K48" s="53">
        <f t="shared" si="6"/>
        <v>191.9</v>
      </c>
      <c r="L48" s="53">
        <f t="shared" si="6"/>
        <v>85.6</v>
      </c>
      <c r="M48" s="53">
        <f t="shared" si="6"/>
        <v>113.5</v>
      </c>
      <c r="N48" s="54">
        <f t="shared" si="6"/>
        <v>31.2</v>
      </c>
      <c r="O48" s="55">
        <f t="shared" si="7"/>
        <v>992</v>
      </c>
      <c r="P48" s="46">
        <f t="shared" si="8"/>
        <v>82.7</v>
      </c>
    </row>
    <row r="49" spans="2:16" ht="21.95" customHeight="1">
      <c r="B49" s="52">
        <f t="shared" si="6"/>
        <v>2020</v>
      </c>
      <c r="C49" s="53">
        <f t="shared" si="6"/>
        <v>79.599999999999994</v>
      </c>
      <c r="D49" s="53">
        <f t="shared" si="6"/>
        <v>92.4</v>
      </c>
      <c r="E49" s="53">
        <f t="shared" si="6"/>
        <v>19.3</v>
      </c>
      <c r="F49" s="53">
        <f t="shared" si="6"/>
        <v>17.7</v>
      </c>
      <c r="G49" s="53">
        <f t="shared" si="6"/>
        <v>108.5</v>
      </c>
      <c r="H49" s="53">
        <f t="shared" si="6"/>
        <v>188.4</v>
      </c>
      <c r="I49" s="53">
        <f t="shared" si="6"/>
        <v>492.6</v>
      </c>
      <c r="J49" s="53">
        <f t="shared" si="6"/>
        <v>367.8</v>
      </c>
      <c r="K49" s="53">
        <f t="shared" si="6"/>
        <v>208.9</v>
      </c>
      <c r="L49" s="53">
        <f t="shared" si="6"/>
        <v>4.4000000000000004</v>
      </c>
      <c r="M49" s="53">
        <f t="shared" si="6"/>
        <v>41.8</v>
      </c>
      <c r="N49" s="54">
        <f t="shared" si="6"/>
        <v>3.4</v>
      </c>
      <c r="O49" s="55">
        <f t="shared" si="7"/>
        <v>1624.8</v>
      </c>
      <c r="P49" s="46">
        <f t="shared" si="8"/>
        <v>135.4</v>
      </c>
    </row>
    <row r="50" spans="2:16" ht="21.95" customHeight="1">
      <c r="B50" s="52">
        <f t="shared" si="6"/>
        <v>2021</v>
      </c>
      <c r="C50" s="53">
        <f t="shared" si="6"/>
        <v>32.1</v>
      </c>
      <c r="D50" s="53">
        <f t="shared" si="6"/>
        <v>18.100000000000001</v>
      </c>
      <c r="E50" s="53">
        <f t="shared" si="6"/>
        <v>95.7</v>
      </c>
      <c r="F50" s="53">
        <f t="shared" si="6"/>
        <v>42.3</v>
      </c>
      <c r="G50" s="53">
        <f t="shared" si="6"/>
        <v>136.9</v>
      </c>
      <c r="H50" s="53">
        <f t="shared" si="6"/>
        <v>76.900000000000006</v>
      </c>
      <c r="I50" s="53">
        <f t="shared" si="6"/>
        <v>187.7</v>
      </c>
      <c r="J50" s="53">
        <f t="shared" si="6"/>
        <v>227.6</v>
      </c>
      <c r="K50" s="53">
        <f t="shared" si="6"/>
        <v>187.1</v>
      </c>
      <c r="L50" s="53">
        <f t="shared" si="6"/>
        <v>36.9</v>
      </c>
      <c r="M50" s="53">
        <f t="shared" si="6"/>
        <v>73.400000000000006</v>
      </c>
      <c r="N50" s="54">
        <f t="shared" si="6"/>
        <v>8.6999999999999993</v>
      </c>
      <c r="O50" s="55">
        <f t="shared" si="7"/>
        <v>1123.4000000000001</v>
      </c>
      <c r="P50" s="46">
        <f t="shared" si="8"/>
        <v>93.6</v>
      </c>
    </row>
    <row r="51" spans="2:16" ht="21.95" customHeight="1">
      <c r="B51" s="52">
        <f t="shared" si="6"/>
        <v>2022</v>
      </c>
      <c r="C51" s="53">
        <f t="shared" si="6"/>
        <v>3.5</v>
      </c>
      <c r="D51" s="53">
        <f t="shared" si="6"/>
        <v>2.5</v>
      </c>
      <c r="E51" s="53">
        <f t="shared" si="6"/>
        <v>76.099999999999994</v>
      </c>
      <c r="F51" s="53">
        <f t="shared" si="6"/>
        <v>62.6</v>
      </c>
      <c r="G51" s="53">
        <f t="shared" si="6"/>
        <v>4</v>
      </c>
      <c r="H51" s="53">
        <f t="shared" si="6"/>
        <v>123.4</v>
      </c>
      <c r="I51" s="53">
        <f t="shared" si="6"/>
        <v>168.5</v>
      </c>
      <c r="J51" s="53">
        <f t="shared" si="6"/>
        <v>615.6</v>
      </c>
      <c r="K51" s="53">
        <f t="shared" si="6"/>
        <v>87</v>
      </c>
      <c r="L51" s="53">
        <f t="shared" si="6"/>
        <v>103.7</v>
      </c>
      <c r="M51" s="53">
        <f t="shared" si="6"/>
        <v>36.4</v>
      </c>
      <c r="N51" s="54">
        <f t="shared" si="6"/>
        <v>17.8</v>
      </c>
      <c r="O51" s="55">
        <f t="shared" si="7"/>
        <v>1301.0999999999999</v>
      </c>
      <c r="P51" s="46">
        <f t="shared" si="8"/>
        <v>108.4</v>
      </c>
    </row>
    <row r="52" spans="2:16" ht="21.95" customHeight="1">
      <c r="B52" s="52">
        <f t="shared" si="6"/>
        <v>2023</v>
      </c>
      <c r="C52" s="53">
        <f t="shared" si="6"/>
        <v>35.700000000000003</v>
      </c>
      <c r="D52" s="53">
        <f t="shared" si="6"/>
        <v>4.3</v>
      </c>
      <c r="E52" s="53">
        <f t="shared" si="6"/>
        <v>13.2</v>
      </c>
      <c r="F52" s="53">
        <f t="shared" si="6"/>
        <v>60.6</v>
      </c>
      <c r="G52" s="53">
        <f t="shared" si="6"/>
        <v>248.1</v>
      </c>
      <c r="H52" s="53">
        <f t="shared" si="6"/>
        <v>122.2</v>
      </c>
      <c r="I52" s="53">
        <f t="shared" si="6"/>
        <v>880.3</v>
      </c>
      <c r="J52" s="53">
        <f t="shared" si="6"/>
        <v>300.60000000000002</v>
      </c>
      <c r="K52" s="53">
        <f t="shared" si="6"/>
        <v>303</v>
      </c>
      <c r="L52" s="53">
        <f t="shared" si="6"/>
        <v>16.7</v>
      </c>
      <c r="M52" s="53">
        <f t="shared" si="6"/>
        <v>58.1</v>
      </c>
      <c r="N52" s="54">
        <f t="shared" si="6"/>
        <v>122.2</v>
      </c>
      <c r="O52" s="55">
        <f t="shared" si="7"/>
        <v>2165</v>
      </c>
      <c r="P52" s="46">
        <f t="shared" si="8"/>
        <v>180.4</v>
      </c>
    </row>
    <row r="53" spans="2:16" ht="21.95" customHeight="1" thickBot="1">
      <c r="B53" s="56">
        <f t="shared" si="6"/>
        <v>2024</v>
      </c>
      <c r="C53" s="57">
        <f t="shared" si="6"/>
        <v>43.9</v>
      </c>
      <c r="D53" s="57">
        <f t="shared" si="6"/>
        <v>135.80000000000001</v>
      </c>
      <c r="E53" s="57">
        <f t="shared" si="6"/>
        <v>49.8</v>
      </c>
      <c r="F53" s="57">
        <f t="shared" si="6"/>
        <v>58.7</v>
      </c>
      <c r="G53" s="57">
        <f t="shared" si="6"/>
        <v>134</v>
      </c>
      <c r="H53" s="57">
        <f t="shared" si="6"/>
        <v>91.2</v>
      </c>
      <c r="I53" s="57">
        <f t="shared" si="6"/>
        <v>470.8</v>
      </c>
      <c r="J53" s="57">
        <f t="shared" si="6"/>
        <v>40.799999999999997</v>
      </c>
      <c r="K53" s="57">
        <f t="shared" si="6"/>
        <v>162.6</v>
      </c>
      <c r="L53" s="57">
        <f t="shared" si="6"/>
        <v>84.5</v>
      </c>
      <c r="M53" s="57">
        <f t="shared" si="6"/>
        <v>46</v>
      </c>
      <c r="N53" s="58">
        <f t="shared" si="6"/>
        <v>16.100000000000001</v>
      </c>
      <c r="O53" s="59">
        <f t="shared" si="7"/>
        <v>1334.2</v>
      </c>
      <c r="P53" s="51">
        <f t="shared" si="8"/>
        <v>111.2</v>
      </c>
    </row>
    <row r="54" spans="2:16" ht="21.95" customHeight="1">
      <c r="B54" s="60" t="s">
        <v>19</v>
      </c>
      <c r="C54" s="61">
        <f>MAX(C44:C53)</f>
        <v>79.599999999999994</v>
      </c>
      <c r="D54" s="61">
        <f t="shared" ref="D54:P54" si="9">MAX(D44:D53)</f>
        <v>135.80000000000001</v>
      </c>
      <c r="E54" s="61">
        <f t="shared" si="9"/>
        <v>99.3</v>
      </c>
      <c r="F54" s="61">
        <f t="shared" si="9"/>
        <v>164.6</v>
      </c>
      <c r="G54" s="61">
        <f t="shared" si="9"/>
        <v>248.1</v>
      </c>
      <c r="H54" s="61">
        <f t="shared" si="9"/>
        <v>188.4</v>
      </c>
      <c r="I54" s="61">
        <f t="shared" si="9"/>
        <v>880.3</v>
      </c>
      <c r="J54" s="61">
        <f t="shared" si="9"/>
        <v>615.6</v>
      </c>
      <c r="K54" s="61">
        <f t="shared" si="9"/>
        <v>303</v>
      </c>
      <c r="L54" s="61">
        <f t="shared" si="9"/>
        <v>159.19999999999999</v>
      </c>
      <c r="M54" s="61">
        <f t="shared" si="9"/>
        <v>130</v>
      </c>
      <c r="N54" s="62">
        <f t="shared" si="9"/>
        <v>122.2</v>
      </c>
      <c r="O54" s="63">
        <f t="shared" si="9"/>
        <v>2165</v>
      </c>
      <c r="P54" s="62">
        <f t="shared" si="9"/>
        <v>180.4</v>
      </c>
    </row>
    <row r="55" spans="2:16" ht="21.95" customHeight="1">
      <c r="B55" s="64" t="s">
        <v>20</v>
      </c>
      <c r="C55" s="65">
        <f>MIN(C44:C53)</f>
        <v>0.5</v>
      </c>
      <c r="D55" s="65">
        <f t="shared" ref="D55:P55" si="10">MIN(D44:D53)</f>
        <v>2.5</v>
      </c>
      <c r="E55" s="65">
        <f t="shared" si="10"/>
        <v>8.8000000000000007</v>
      </c>
      <c r="F55" s="65">
        <f t="shared" si="10"/>
        <v>17.7</v>
      </c>
      <c r="G55" s="65">
        <f t="shared" si="10"/>
        <v>4</v>
      </c>
      <c r="H55" s="65">
        <f t="shared" si="10"/>
        <v>49.4</v>
      </c>
      <c r="I55" s="65">
        <f t="shared" si="10"/>
        <v>119.9</v>
      </c>
      <c r="J55" s="65">
        <f t="shared" si="10"/>
        <v>33.4</v>
      </c>
      <c r="K55" s="65">
        <f t="shared" si="10"/>
        <v>22</v>
      </c>
      <c r="L55" s="65">
        <f t="shared" si="10"/>
        <v>4.4000000000000004</v>
      </c>
      <c r="M55" s="65">
        <f t="shared" si="10"/>
        <v>17.100000000000001</v>
      </c>
      <c r="N55" s="46">
        <f t="shared" si="10"/>
        <v>3.4</v>
      </c>
      <c r="O55" s="55">
        <f>MIN(O44:O53)</f>
        <v>848.8</v>
      </c>
      <c r="P55" s="46">
        <f t="shared" si="10"/>
        <v>70.7</v>
      </c>
    </row>
    <row r="56" spans="2:16" ht="21.95" customHeight="1" thickBot="1">
      <c r="B56" s="66" t="s">
        <v>7</v>
      </c>
      <c r="C56" s="67">
        <f>ROUND(AVERAGE(C44:C53),1)</f>
        <v>27.8</v>
      </c>
      <c r="D56" s="67">
        <f t="shared" ref="D56:N56" si="11">ROUND(AVERAGE(D44:D53),1)</f>
        <v>45.8</v>
      </c>
      <c r="E56" s="67">
        <f t="shared" si="11"/>
        <v>45.9</v>
      </c>
      <c r="F56" s="67">
        <f t="shared" si="11"/>
        <v>81.5</v>
      </c>
      <c r="G56" s="67">
        <f t="shared" si="11"/>
        <v>100.3</v>
      </c>
      <c r="H56" s="67">
        <f t="shared" si="11"/>
        <v>96.3</v>
      </c>
      <c r="I56" s="67">
        <f t="shared" si="11"/>
        <v>348.3</v>
      </c>
      <c r="J56" s="67">
        <f t="shared" si="11"/>
        <v>238</v>
      </c>
      <c r="K56" s="67">
        <f t="shared" si="11"/>
        <v>149.19999999999999</v>
      </c>
      <c r="L56" s="67">
        <f t="shared" si="11"/>
        <v>76.7</v>
      </c>
      <c r="M56" s="67">
        <f t="shared" si="11"/>
        <v>60.5</v>
      </c>
      <c r="N56" s="51">
        <f t="shared" si="11"/>
        <v>38.700000000000003</v>
      </c>
      <c r="O56" s="59">
        <f>ROUND(AVERAGE(O44:O53),1)</f>
        <v>1308.9000000000001</v>
      </c>
      <c r="P56" s="51">
        <f>ROUND(AVERAGE(P44:P53),1)</f>
        <v>109.1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9F68-546F-401D-9B4C-420F6997337E}">
  <sheetPr codeName="Sheet22">
    <tabColor theme="1" tint="4.9989318521683403E-2"/>
  </sheetPr>
  <dimension ref="A2:Q983"/>
  <sheetViews>
    <sheetView topLeftCell="A7" zoomScaleNormal="100" workbookViewId="0">
      <selection activeCell="N35" sqref="N3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289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15.7</v>
      </c>
      <c r="D6" s="9">
        <v>11</v>
      </c>
      <c r="E6" s="9">
        <v>19.600000000000001</v>
      </c>
      <c r="F6" s="9">
        <v>65.5</v>
      </c>
      <c r="G6" s="9">
        <v>49.5</v>
      </c>
      <c r="H6" s="9">
        <v>26.5</v>
      </c>
      <c r="I6" s="9">
        <v>144.5</v>
      </c>
      <c r="J6" s="10">
        <v>996.5</v>
      </c>
      <c r="K6" s="9">
        <v>70.5</v>
      </c>
      <c r="L6" s="9">
        <v>24.5</v>
      </c>
      <c r="M6" s="9">
        <v>23</v>
      </c>
      <c r="N6" s="11">
        <v>12.7</v>
      </c>
      <c r="O6" s="12">
        <f t="shared" ref="O6:O35" si="0">ROUND(SUM(C6:N6),1)</f>
        <v>1459.5</v>
      </c>
      <c r="P6" s="13">
        <f>ROUND(O6/12,1)</f>
        <v>121.6</v>
      </c>
      <c r="Q6" s="14"/>
    </row>
    <row r="7" spans="2:17" ht="21.95" customHeight="1">
      <c r="B7" s="15">
        <v>1996</v>
      </c>
      <c r="C7" s="16">
        <v>33.4</v>
      </c>
      <c r="D7" s="16">
        <v>6.8</v>
      </c>
      <c r="E7" s="16">
        <v>104.5</v>
      </c>
      <c r="F7" s="16">
        <v>34</v>
      </c>
      <c r="G7" s="16">
        <v>22.5</v>
      </c>
      <c r="H7" s="16">
        <v>235</v>
      </c>
      <c r="I7" s="16">
        <v>192.5</v>
      </c>
      <c r="J7" s="17">
        <v>44.5</v>
      </c>
      <c r="K7" s="16">
        <v>14</v>
      </c>
      <c r="L7" s="16">
        <v>106.5</v>
      </c>
      <c r="M7" s="16">
        <v>74.2</v>
      </c>
      <c r="N7" s="18">
        <v>31.7</v>
      </c>
      <c r="O7" s="12">
        <f t="shared" si="0"/>
        <v>899.6</v>
      </c>
      <c r="P7" s="19">
        <f t="shared" ref="P7:P35" si="1">ROUND(O7/12,1)</f>
        <v>75</v>
      </c>
      <c r="Q7" s="14"/>
    </row>
    <row r="8" spans="2:17" ht="21.95" customHeight="1">
      <c r="B8" s="15">
        <v>1997</v>
      </c>
      <c r="C8" s="16">
        <v>15.1</v>
      </c>
      <c r="D8" s="16">
        <v>38.4</v>
      </c>
      <c r="E8" s="16">
        <v>30.5</v>
      </c>
      <c r="F8" s="16">
        <v>57.5</v>
      </c>
      <c r="G8" s="16">
        <v>203</v>
      </c>
      <c r="H8" s="16">
        <v>272</v>
      </c>
      <c r="I8" s="16">
        <v>353.5</v>
      </c>
      <c r="J8" s="16">
        <v>211.5</v>
      </c>
      <c r="K8" s="16">
        <v>23</v>
      </c>
      <c r="L8" s="16">
        <v>10</v>
      </c>
      <c r="M8" s="16">
        <v>193.5</v>
      </c>
      <c r="N8" s="18">
        <v>34.299999999999997</v>
      </c>
      <c r="O8" s="12">
        <f t="shared" si="0"/>
        <v>1442.3</v>
      </c>
      <c r="P8" s="19">
        <f t="shared" si="1"/>
        <v>120.2</v>
      </c>
      <c r="Q8" s="14"/>
    </row>
    <row r="9" spans="2:17" ht="21.95" customHeight="1">
      <c r="B9" s="15">
        <v>1998</v>
      </c>
      <c r="C9" s="16">
        <v>29.9</v>
      </c>
      <c r="D9" s="16">
        <v>40.200000000000003</v>
      </c>
      <c r="E9" s="16">
        <v>30.5</v>
      </c>
      <c r="F9" s="16">
        <v>138</v>
      </c>
      <c r="G9" s="16">
        <v>100</v>
      </c>
      <c r="H9" s="16">
        <v>209.5</v>
      </c>
      <c r="I9" s="16">
        <v>263</v>
      </c>
      <c r="J9" s="16">
        <v>341.7</v>
      </c>
      <c r="K9" s="16">
        <v>150.30000000000001</v>
      </c>
      <c r="L9" s="16">
        <v>61</v>
      </c>
      <c r="M9" s="16">
        <v>29.3</v>
      </c>
      <c r="N9" s="18">
        <v>3.8</v>
      </c>
      <c r="O9" s="12">
        <f t="shared" si="0"/>
        <v>1397.2</v>
      </c>
      <c r="P9" s="19">
        <f t="shared" si="1"/>
        <v>116.4</v>
      </c>
      <c r="Q9" s="14"/>
    </row>
    <row r="10" spans="2:17" ht="21.95" customHeight="1">
      <c r="B10" s="15">
        <v>1999</v>
      </c>
      <c r="C10" s="16">
        <v>7.9</v>
      </c>
      <c r="D10" s="16">
        <v>9.5</v>
      </c>
      <c r="E10" s="16">
        <v>71</v>
      </c>
      <c r="F10" s="16">
        <v>88.5</v>
      </c>
      <c r="G10" s="16">
        <v>124.5</v>
      </c>
      <c r="H10" s="16">
        <v>192.5</v>
      </c>
      <c r="I10" s="16">
        <v>98</v>
      </c>
      <c r="J10" s="16">
        <v>180</v>
      </c>
      <c r="K10" s="16">
        <v>292.5</v>
      </c>
      <c r="L10" s="16">
        <v>169</v>
      </c>
      <c r="M10" s="16">
        <v>24.9</v>
      </c>
      <c r="N10" s="18">
        <v>25.8</v>
      </c>
      <c r="O10" s="12">
        <f t="shared" si="0"/>
        <v>1284.0999999999999</v>
      </c>
      <c r="P10" s="19">
        <f t="shared" si="1"/>
        <v>107</v>
      </c>
      <c r="Q10" s="14"/>
    </row>
    <row r="11" spans="2:17" ht="21.95" customHeight="1">
      <c r="B11" s="15">
        <v>2000</v>
      </c>
      <c r="C11" s="16">
        <v>42.1</v>
      </c>
      <c r="D11" s="16">
        <v>3.2</v>
      </c>
      <c r="E11" s="16">
        <v>7</v>
      </c>
      <c r="F11" s="16">
        <v>35</v>
      </c>
      <c r="G11" s="16">
        <v>53.5</v>
      </c>
      <c r="H11" s="16">
        <v>159.5</v>
      </c>
      <c r="I11" s="16">
        <v>155</v>
      </c>
      <c r="J11" s="16">
        <v>701.5</v>
      </c>
      <c r="K11" s="16">
        <v>241</v>
      </c>
      <c r="L11" s="16">
        <v>46</v>
      </c>
      <c r="M11" s="16">
        <v>39.5</v>
      </c>
      <c r="N11" s="18">
        <v>32.1</v>
      </c>
      <c r="O11" s="12">
        <f t="shared" si="0"/>
        <v>1515.4</v>
      </c>
      <c r="P11" s="19">
        <f t="shared" si="1"/>
        <v>126.3</v>
      </c>
      <c r="Q11" s="14"/>
    </row>
    <row r="12" spans="2:17" ht="21.95" customHeight="1">
      <c r="B12" s="15">
        <v>2001</v>
      </c>
      <c r="C12" s="16">
        <v>73.3</v>
      </c>
      <c r="D12" s="16">
        <v>46</v>
      </c>
      <c r="E12" s="16">
        <v>15.9</v>
      </c>
      <c r="F12" s="16">
        <v>26</v>
      </c>
      <c r="G12" s="16">
        <v>17</v>
      </c>
      <c r="H12" s="16">
        <v>129</v>
      </c>
      <c r="I12" s="16">
        <v>286.5</v>
      </c>
      <c r="J12" s="16">
        <v>170</v>
      </c>
      <c r="K12" s="16">
        <v>10</v>
      </c>
      <c r="L12" s="16">
        <v>85</v>
      </c>
      <c r="M12" s="16">
        <v>13</v>
      </c>
      <c r="N12" s="18">
        <v>32</v>
      </c>
      <c r="O12" s="12">
        <f t="shared" si="0"/>
        <v>903.7</v>
      </c>
      <c r="P12" s="19">
        <f t="shared" si="1"/>
        <v>75.3</v>
      </c>
    </row>
    <row r="13" spans="2:17" ht="21.95" customHeight="1">
      <c r="B13" s="15">
        <v>2002</v>
      </c>
      <c r="C13" s="16">
        <v>50.8</v>
      </c>
      <c r="D13" s="16">
        <v>5.5</v>
      </c>
      <c r="E13" s="16">
        <v>32</v>
      </c>
      <c r="F13" s="16">
        <v>169</v>
      </c>
      <c r="G13" s="16">
        <v>155.5</v>
      </c>
      <c r="H13" s="16">
        <v>72</v>
      </c>
      <c r="I13" s="16">
        <v>217.5</v>
      </c>
      <c r="J13" s="16">
        <v>477</v>
      </c>
      <c r="K13" s="16">
        <v>27</v>
      </c>
      <c r="L13" s="16">
        <v>134</v>
      </c>
      <c r="M13" s="16">
        <v>61.1</v>
      </c>
      <c r="N13" s="18">
        <v>51.8</v>
      </c>
      <c r="O13" s="12">
        <f t="shared" si="0"/>
        <v>1453.2</v>
      </c>
      <c r="P13" s="19">
        <f t="shared" si="1"/>
        <v>121.1</v>
      </c>
    </row>
    <row r="14" spans="2:17" ht="21.95" customHeight="1">
      <c r="B14" s="15">
        <v>2003</v>
      </c>
      <c r="C14" s="16">
        <v>30.7</v>
      </c>
      <c r="D14" s="16">
        <v>44.5</v>
      </c>
      <c r="E14" s="16">
        <v>39.5</v>
      </c>
      <c r="F14" s="16">
        <v>168.5</v>
      </c>
      <c r="G14" s="16">
        <v>78.5</v>
      </c>
      <c r="H14" s="16">
        <v>153</v>
      </c>
      <c r="I14" s="16">
        <v>309.5</v>
      </c>
      <c r="J14" s="16">
        <v>310</v>
      </c>
      <c r="K14" s="16">
        <v>128</v>
      </c>
      <c r="L14" s="16">
        <v>23</v>
      </c>
      <c r="M14" s="16">
        <v>45.5</v>
      </c>
      <c r="N14" s="18">
        <v>13</v>
      </c>
      <c r="O14" s="12">
        <f t="shared" si="0"/>
        <v>1343.7</v>
      </c>
      <c r="P14" s="19">
        <f t="shared" si="1"/>
        <v>112</v>
      </c>
    </row>
    <row r="15" spans="2:17" ht="21.95" customHeight="1">
      <c r="B15" s="15">
        <v>2004</v>
      </c>
      <c r="C15" s="16">
        <v>22.1</v>
      </c>
      <c r="D15" s="16">
        <v>28.5</v>
      </c>
      <c r="E15" s="16">
        <v>45.7</v>
      </c>
      <c r="F15" s="16">
        <v>58</v>
      </c>
      <c r="G15" s="16">
        <v>105.5</v>
      </c>
      <c r="H15" s="16">
        <v>234.5</v>
      </c>
      <c r="I15" s="16">
        <v>263.5</v>
      </c>
      <c r="J15" s="16">
        <v>164</v>
      </c>
      <c r="K15" s="16">
        <v>195</v>
      </c>
      <c r="L15" s="16">
        <v>4</v>
      </c>
      <c r="M15" s="16">
        <v>56.5</v>
      </c>
      <c r="N15" s="18">
        <v>38.9</v>
      </c>
      <c r="O15" s="12">
        <f t="shared" si="0"/>
        <v>1216.2</v>
      </c>
      <c r="P15" s="19">
        <f t="shared" si="1"/>
        <v>101.4</v>
      </c>
    </row>
    <row r="16" spans="2:17" ht="21.95" customHeight="1">
      <c r="B16" s="15">
        <v>2005</v>
      </c>
      <c r="C16" s="16">
        <v>5.8</v>
      </c>
      <c r="D16" s="16">
        <v>35.799999999999997</v>
      </c>
      <c r="E16" s="16">
        <v>30</v>
      </c>
      <c r="F16" s="16">
        <v>73.5</v>
      </c>
      <c r="G16" s="16">
        <v>48.5</v>
      </c>
      <c r="H16" s="16">
        <v>156</v>
      </c>
      <c r="I16" s="16">
        <v>260.5</v>
      </c>
      <c r="J16" s="16">
        <v>291.5</v>
      </c>
      <c r="K16" s="16">
        <v>282.5</v>
      </c>
      <c r="L16" s="16">
        <v>21</v>
      </c>
      <c r="M16" s="16">
        <v>18</v>
      </c>
      <c r="N16" s="18">
        <v>43.4</v>
      </c>
      <c r="O16" s="12">
        <f t="shared" si="0"/>
        <v>1266.5</v>
      </c>
      <c r="P16" s="19">
        <f t="shared" si="1"/>
        <v>105.5</v>
      </c>
    </row>
    <row r="17" spans="2:16" ht="21.95" customHeight="1">
      <c r="B17" s="15">
        <v>2006</v>
      </c>
      <c r="C17" s="16">
        <v>27</v>
      </c>
      <c r="D17" s="16">
        <v>25.9</v>
      </c>
      <c r="E17" s="16">
        <v>10.6</v>
      </c>
      <c r="F17" s="16">
        <v>81.5</v>
      </c>
      <c r="G17" s="16">
        <v>94.5</v>
      </c>
      <c r="H17" s="16">
        <v>114.5</v>
      </c>
      <c r="I17" s="16">
        <v>321</v>
      </c>
      <c r="J17" s="16">
        <v>21.5</v>
      </c>
      <c r="K17" s="16">
        <v>23.5</v>
      </c>
      <c r="L17" s="16">
        <v>24.5</v>
      </c>
      <c r="M17" s="16">
        <v>61.5</v>
      </c>
      <c r="N17" s="18">
        <v>25.4</v>
      </c>
      <c r="O17" s="12">
        <f t="shared" si="0"/>
        <v>831.4</v>
      </c>
      <c r="P17" s="19">
        <f t="shared" si="1"/>
        <v>69.3</v>
      </c>
    </row>
    <row r="18" spans="2:16" ht="21.95" customHeight="1">
      <c r="B18" s="15">
        <v>2007</v>
      </c>
      <c r="C18" s="16">
        <v>23.4</v>
      </c>
      <c r="D18" s="16">
        <v>29.8</v>
      </c>
      <c r="E18" s="16">
        <v>102</v>
      </c>
      <c r="F18" s="16">
        <v>29.5</v>
      </c>
      <c r="G18" s="16">
        <v>79</v>
      </c>
      <c r="H18" s="16">
        <v>85</v>
      </c>
      <c r="I18" s="16">
        <v>214</v>
      </c>
      <c r="J18" s="16">
        <v>239.5</v>
      </c>
      <c r="K18" s="16">
        <v>384</v>
      </c>
      <c r="L18" s="16">
        <v>59</v>
      </c>
      <c r="M18" s="16">
        <v>17.5</v>
      </c>
      <c r="N18" s="18">
        <v>33.1</v>
      </c>
      <c r="O18" s="12">
        <f t="shared" si="0"/>
        <v>1295.8</v>
      </c>
      <c r="P18" s="19">
        <f t="shared" si="1"/>
        <v>108</v>
      </c>
    </row>
    <row r="19" spans="2:16" ht="21.95" customHeight="1">
      <c r="B19" s="15">
        <v>2008</v>
      </c>
      <c r="C19" s="16">
        <v>20.9</v>
      </c>
      <c r="D19" s="16">
        <v>10.8</v>
      </c>
      <c r="E19" s="16">
        <v>48.2</v>
      </c>
      <c r="F19" s="16">
        <v>40.5</v>
      </c>
      <c r="G19" s="16">
        <v>78.900000000000006</v>
      </c>
      <c r="H19" s="16">
        <v>101.3</v>
      </c>
      <c r="I19" s="16">
        <v>257.2</v>
      </c>
      <c r="J19" s="16">
        <v>119.5</v>
      </c>
      <c r="K19" s="16">
        <v>46.9</v>
      </c>
      <c r="L19" s="16">
        <v>26.7</v>
      </c>
      <c r="M19" s="16">
        <v>37.6</v>
      </c>
      <c r="N19" s="18">
        <v>25</v>
      </c>
      <c r="O19" s="12">
        <f t="shared" si="0"/>
        <v>813.5</v>
      </c>
      <c r="P19" s="19">
        <f t="shared" si="1"/>
        <v>67.8</v>
      </c>
    </row>
    <row r="20" spans="2:16" ht="21.95" customHeight="1">
      <c r="B20" s="15">
        <v>2009</v>
      </c>
      <c r="C20" s="16">
        <v>18.5</v>
      </c>
      <c r="D20" s="16">
        <v>23.3</v>
      </c>
      <c r="E20" s="16">
        <v>55.1</v>
      </c>
      <c r="F20" s="16">
        <v>41.5</v>
      </c>
      <c r="G20" s="16">
        <v>154.5</v>
      </c>
      <c r="H20" s="16">
        <v>115.1</v>
      </c>
      <c r="I20" s="16">
        <v>320.89999999999998</v>
      </c>
      <c r="J20" s="16">
        <v>176.6</v>
      </c>
      <c r="K20" s="16">
        <v>25.5</v>
      </c>
      <c r="L20" s="16">
        <v>39.5</v>
      </c>
      <c r="M20" s="16">
        <v>52.9</v>
      </c>
      <c r="N20" s="18">
        <v>58</v>
      </c>
      <c r="O20" s="12">
        <f t="shared" si="0"/>
        <v>1081.4000000000001</v>
      </c>
      <c r="P20" s="19">
        <f t="shared" si="1"/>
        <v>90.1</v>
      </c>
    </row>
    <row r="21" spans="2:16" ht="21.95" customHeight="1">
      <c r="B21" s="15">
        <v>2010</v>
      </c>
      <c r="C21" s="16">
        <v>30.1</v>
      </c>
      <c r="D21" s="16">
        <v>73.5</v>
      </c>
      <c r="E21" s="16">
        <v>75.900000000000006</v>
      </c>
      <c r="F21" s="16">
        <v>58.5</v>
      </c>
      <c r="G21" s="16">
        <v>122.8</v>
      </c>
      <c r="H21" s="16">
        <v>60.8</v>
      </c>
      <c r="I21" s="16">
        <v>396.5</v>
      </c>
      <c r="J21" s="16">
        <v>402.7</v>
      </c>
      <c r="K21" s="16">
        <v>213.1</v>
      </c>
      <c r="L21" s="16">
        <v>19.2</v>
      </c>
      <c r="M21" s="16">
        <v>16.3</v>
      </c>
      <c r="N21" s="18">
        <v>32.9</v>
      </c>
      <c r="O21" s="12">
        <f t="shared" si="0"/>
        <v>1502.3</v>
      </c>
      <c r="P21" s="19">
        <f t="shared" si="1"/>
        <v>125.2</v>
      </c>
    </row>
    <row r="22" spans="2:16" ht="21.95" customHeight="1">
      <c r="B22" s="15">
        <v>2011</v>
      </c>
      <c r="C22" s="16">
        <v>11.1</v>
      </c>
      <c r="D22" s="16">
        <v>37.5</v>
      </c>
      <c r="E22" s="16">
        <v>18</v>
      </c>
      <c r="F22" s="16">
        <v>72.099999999999994</v>
      </c>
      <c r="G22" s="16">
        <v>115.3</v>
      </c>
      <c r="H22" s="16">
        <v>318</v>
      </c>
      <c r="I22" s="16">
        <v>723.1</v>
      </c>
      <c r="J22" s="16">
        <v>289.39999999999998</v>
      </c>
      <c r="K22" s="16">
        <v>70.8</v>
      </c>
      <c r="L22" s="16">
        <v>13.9</v>
      </c>
      <c r="M22" s="16">
        <v>61.3</v>
      </c>
      <c r="N22" s="18">
        <v>12.5</v>
      </c>
      <c r="O22" s="12">
        <f t="shared" si="0"/>
        <v>1743</v>
      </c>
      <c r="P22" s="19">
        <f t="shared" si="1"/>
        <v>145.30000000000001</v>
      </c>
    </row>
    <row r="23" spans="2:16" ht="21.95" customHeight="1">
      <c r="B23" s="15">
        <v>2012</v>
      </c>
      <c r="C23" s="16">
        <v>24.2</v>
      </c>
      <c r="D23" s="16">
        <v>9.1999999999999993</v>
      </c>
      <c r="E23" s="16">
        <v>45</v>
      </c>
      <c r="F23" s="16">
        <v>68.900000000000006</v>
      </c>
      <c r="G23" s="16">
        <v>14.6</v>
      </c>
      <c r="H23" s="16">
        <v>76.8</v>
      </c>
      <c r="I23" s="16">
        <v>231.1</v>
      </c>
      <c r="J23" s="16">
        <v>450.2</v>
      </c>
      <c r="K23" s="16">
        <v>207.7</v>
      </c>
      <c r="L23" s="16">
        <v>65</v>
      </c>
      <c r="M23" s="16">
        <v>61.1</v>
      </c>
      <c r="N23" s="18">
        <v>65.2</v>
      </c>
      <c r="O23" s="12">
        <f t="shared" si="0"/>
        <v>1319</v>
      </c>
      <c r="P23" s="19">
        <f t="shared" si="1"/>
        <v>109.9</v>
      </c>
    </row>
    <row r="24" spans="2:16" ht="21.95" customHeight="1">
      <c r="B24" s="15">
        <v>2013</v>
      </c>
      <c r="C24" s="16">
        <v>28.4</v>
      </c>
      <c r="D24" s="16">
        <v>40.700000000000003</v>
      </c>
      <c r="E24" s="16">
        <v>53.4</v>
      </c>
      <c r="F24" s="16">
        <v>68.2</v>
      </c>
      <c r="G24" s="16">
        <v>116.6</v>
      </c>
      <c r="H24" s="16">
        <v>159.9</v>
      </c>
      <c r="I24" s="16">
        <v>267.5</v>
      </c>
      <c r="J24" s="16">
        <v>214.6</v>
      </c>
      <c r="K24" s="16">
        <v>320</v>
      </c>
      <c r="L24" s="16">
        <v>10.9</v>
      </c>
      <c r="M24" s="16">
        <v>81.099999999999994</v>
      </c>
      <c r="N24" s="18">
        <v>26.4</v>
      </c>
      <c r="O24" s="12">
        <f t="shared" si="0"/>
        <v>1387.7</v>
      </c>
      <c r="P24" s="19">
        <f t="shared" si="1"/>
        <v>115.6</v>
      </c>
    </row>
    <row r="25" spans="2:16" ht="21.95" customHeight="1">
      <c r="B25" s="15">
        <v>2014</v>
      </c>
      <c r="C25" s="16">
        <v>3.4</v>
      </c>
      <c r="D25" s="16">
        <v>20.5</v>
      </c>
      <c r="E25" s="16">
        <v>56.3</v>
      </c>
      <c r="F25" s="16">
        <v>70</v>
      </c>
      <c r="G25" s="16">
        <v>47.1</v>
      </c>
      <c r="H25" s="16">
        <v>125.8</v>
      </c>
      <c r="I25" s="16">
        <v>104</v>
      </c>
      <c r="J25" s="16">
        <v>168.5</v>
      </c>
      <c r="K25" s="16">
        <v>152</v>
      </c>
      <c r="L25" s="16">
        <v>156</v>
      </c>
      <c r="M25" s="16">
        <v>39.9</v>
      </c>
      <c r="N25" s="18">
        <v>66.599999999999994</v>
      </c>
      <c r="O25" s="12">
        <f t="shared" si="0"/>
        <v>1010.1</v>
      </c>
      <c r="P25" s="19">
        <f t="shared" si="1"/>
        <v>84.2</v>
      </c>
    </row>
    <row r="26" spans="2:16" ht="21.95" customHeight="1">
      <c r="B26" s="15">
        <v>2015</v>
      </c>
      <c r="C26" s="16">
        <v>29.9</v>
      </c>
      <c r="D26" s="16">
        <v>23.4</v>
      </c>
      <c r="E26" s="16">
        <v>30.9</v>
      </c>
      <c r="F26" s="16">
        <v>129.69999999999999</v>
      </c>
      <c r="G26" s="16">
        <v>38.799999999999997</v>
      </c>
      <c r="H26" s="16">
        <v>83.9</v>
      </c>
      <c r="I26" s="16">
        <v>94.7</v>
      </c>
      <c r="J26" s="16">
        <v>30.2</v>
      </c>
      <c r="K26" s="16">
        <v>13.3</v>
      </c>
      <c r="L26" s="16">
        <v>90</v>
      </c>
      <c r="M26" s="16">
        <v>155.6</v>
      </c>
      <c r="N26" s="18">
        <v>65</v>
      </c>
      <c r="O26" s="12">
        <f t="shared" si="0"/>
        <v>785.4</v>
      </c>
      <c r="P26" s="19">
        <f t="shared" si="1"/>
        <v>65.5</v>
      </c>
    </row>
    <row r="27" spans="2:16" ht="21.95" customHeight="1">
      <c r="B27" s="15">
        <v>2016</v>
      </c>
      <c r="C27" s="16">
        <v>7.8</v>
      </c>
      <c r="D27" s="16">
        <v>54.2</v>
      </c>
      <c r="E27" s="16">
        <v>18.7</v>
      </c>
      <c r="F27" s="16">
        <v>105.1</v>
      </c>
      <c r="G27" s="16">
        <v>146.5</v>
      </c>
      <c r="H27" s="16">
        <v>23.7</v>
      </c>
      <c r="I27" s="16">
        <v>200.2</v>
      </c>
      <c r="J27" s="16">
        <v>5.0999999999999996</v>
      </c>
      <c r="K27" s="16">
        <v>73.400000000000006</v>
      </c>
      <c r="L27" s="16">
        <v>108</v>
      </c>
      <c r="M27" s="16">
        <v>5.6</v>
      </c>
      <c r="N27" s="18">
        <v>44.5</v>
      </c>
      <c r="O27" s="12">
        <f t="shared" si="0"/>
        <v>792.8</v>
      </c>
      <c r="P27" s="19">
        <f t="shared" si="1"/>
        <v>66.099999999999994</v>
      </c>
    </row>
    <row r="28" spans="2:16" ht="21.95" customHeight="1">
      <c r="B28" s="15">
        <v>2017</v>
      </c>
      <c r="C28" s="16">
        <v>14.8</v>
      </c>
      <c r="D28" s="16">
        <v>30.2</v>
      </c>
      <c r="E28" s="16">
        <v>14.4</v>
      </c>
      <c r="F28" s="16">
        <v>57.6</v>
      </c>
      <c r="G28" s="16">
        <v>58.9</v>
      </c>
      <c r="H28" s="16">
        <v>21.1</v>
      </c>
      <c r="I28" s="16">
        <v>278.10000000000002</v>
      </c>
      <c r="J28" s="16">
        <v>210</v>
      </c>
      <c r="K28" s="16">
        <v>90</v>
      </c>
      <c r="L28" s="16">
        <v>26.6</v>
      </c>
      <c r="M28" s="16">
        <v>15.9</v>
      </c>
      <c r="N28" s="18">
        <v>38.6</v>
      </c>
      <c r="O28" s="12">
        <f t="shared" si="0"/>
        <v>856.2</v>
      </c>
      <c r="P28" s="19">
        <f t="shared" si="1"/>
        <v>71.400000000000006</v>
      </c>
    </row>
    <row r="29" spans="2:16" ht="21.95" customHeight="1">
      <c r="B29" s="15">
        <v>2018</v>
      </c>
      <c r="C29" s="16">
        <v>15</v>
      </c>
      <c r="D29" s="16">
        <v>33.6</v>
      </c>
      <c r="E29" s="16">
        <v>92</v>
      </c>
      <c r="F29" s="16">
        <v>128.1</v>
      </c>
      <c r="G29" s="16">
        <v>104.5</v>
      </c>
      <c r="H29" s="16">
        <v>71</v>
      </c>
      <c r="I29" s="16">
        <v>262.7</v>
      </c>
      <c r="J29" s="16">
        <v>239.6</v>
      </c>
      <c r="K29" s="16">
        <v>158.19999999999999</v>
      </c>
      <c r="L29" s="16">
        <v>154.69999999999999</v>
      </c>
      <c r="M29" s="16">
        <v>46.7</v>
      </c>
      <c r="N29" s="18">
        <v>31.1</v>
      </c>
      <c r="O29" s="12">
        <f t="shared" si="0"/>
        <v>1337.2</v>
      </c>
      <c r="P29" s="19">
        <f t="shared" si="1"/>
        <v>111.4</v>
      </c>
    </row>
    <row r="30" spans="2:16" ht="21.95" customHeight="1">
      <c r="B30" s="15">
        <v>2019</v>
      </c>
      <c r="C30" s="16">
        <v>1.9</v>
      </c>
      <c r="D30" s="16">
        <v>17.8</v>
      </c>
      <c r="E30" s="16">
        <v>18.2</v>
      </c>
      <c r="F30" s="16">
        <v>71.900000000000006</v>
      </c>
      <c r="G30" s="16">
        <v>31.3</v>
      </c>
      <c r="H30" s="16">
        <v>56</v>
      </c>
      <c r="I30" s="16">
        <v>149</v>
      </c>
      <c r="J30" s="16">
        <v>131.30000000000001</v>
      </c>
      <c r="K30" s="16">
        <v>118.7</v>
      </c>
      <c r="L30" s="16">
        <v>63.9</v>
      </c>
      <c r="M30" s="16">
        <v>130.6</v>
      </c>
      <c r="N30" s="18">
        <v>31.3</v>
      </c>
      <c r="O30" s="12">
        <f t="shared" si="0"/>
        <v>821.9</v>
      </c>
      <c r="P30" s="19">
        <f t="shared" si="1"/>
        <v>68.5</v>
      </c>
    </row>
    <row r="31" spans="2:16" ht="21.95" customHeight="1">
      <c r="B31" s="15">
        <v>2020</v>
      </c>
      <c r="C31" s="16">
        <v>49.4</v>
      </c>
      <c r="D31" s="16">
        <v>75.3</v>
      </c>
      <c r="E31" s="16">
        <v>22.8</v>
      </c>
      <c r="F31" s="16">
        <v>16.5</v>
      </c>
      <c r="G31" s="16">
        <v>92.4</v>
      </c>
      <c r="H31" s="16">
        <v>139.69999999999999</v>
      </c>
      <c r="I31" s="16">
        <v>345.9</v>
      </c>
      <c r="J31" s="16">
        <v>321.5</v>
      </c>
      <c r="K31" s="16">
        <v>177.1</v>
      </c>
      <c r="L31" s="16">
        <v>16.2</v>
      </c>
      <c r="M31" s="16">
        <v>35.4</v>
      </c>
      <c r="N31" s="18">
        <v>9.6999999999999993</v>
      </c>
      <c r="O31" s="12">
        <f t="shared" si="0"/>
        <v>1301.9000000000001</v>
      </c>
      <c r="P31" s="19">
        <f t="shared" si="1"/>
        <v>108.5</v>
      </c>
    </row>
    <row r="32" spans="2:16" ht="21.95" customHeight="1">
      <c r="B32" s="15">
        <v>2021</v>
      </c>
      <c r="C32" s="16">
        <v>32</v>
      </c>
      <c r="D32" s="16">
        <v>18.7</v>
      </c>
      <c r="E32" s="16">
        <v>76.099999999999994</v>
      </c>
      <c r="F32" s="16">
        <v>43.4</v>
      </c>
      <c r="G32" s="16">
        <v>110</v>
      </c>
      <c r="H32" s="16">
        <v>55</v>
      </c>
      <c r="I32" s="16">
        <v>131.30000000000001</v>
      </c>
      <c r="J32" s="16">
        <v>253.7</v>
      </c>
      <c r="K32" s="16">
        <v>215.9</v>
      </c>
      <c r="L32" s="16">
        <v>39.6</v>
      </c>
      <c r="M32" s="16">
        <v>117.8</v>
      </c>
      <c r="N32" s="18">
        <v>14.4</v>
      </c>
      <c r="O32" s="12">
        <f t="shared" si="0"/>
        <v>1107.9000000000001</v>
      </c>
      <c r="P32" s="19">
        <f t="shared" si="1"/>
        <v>92.3</v>
      </c>
    </row>
    <row r="33" spans="2:16" ht="21.95" customHeight="1">
      <c r="B33" s="15">
        <v>2022</v>
      </c>
      <c r="C33" s="16">
        <v>8.4</v>
      </c>
      <c r="D33" s="16">
        <v>5.3</v>
      </c>
      <c r="E33" s="16">
        <v>60.9</v>
      </c>
      <c r="F33" s="16">
        <v>34.799999999999997</v>
      </c>
      <c r="G33" s="16">
        <v>5.7</v>
      </c>
      <c r="H33" s="16">
        <v>225</v>
      </c>
      <c r="I33" s="16">
        <v>119.7</v>
      </c>
      <c r="J33" s="16">
        <v>637.1</v>
      </c>
      <c r="K33" s="16">
        <v>102</v>
      </c>
      <c r="L33" s="16">
        <v>112</v>
      </c>
      <c r="M33" s="16">
        <v>23.3</v>
      </c>
      <c r="N33" s="18">
        <v>14</v>
      </c>
      <c r="O33" s="12">
        <f t="shared" si="0"/>
        <v>1348.2</v>
      </c>
      <c r="P33" s="19">
        <f t="shared" si="1"/>
        <v>112.4</v>
      </c>
    </row>
    <row r="34" spans="2:16" ht="21.95" customHeight="1">
      <c r="B34" s="15">
        <v>2023</v>
      </c>
      <c r="C34" s="16">
        <v>19.2</v>
      </c>
      <c r="D34" s="16">
        <v>0.4</v>
      </c>
      <c r="E34" s="16">
        <v>7.2</v>
      </c>
      <c r="F34" s="16">
        <v>42.4</v>
      </c>
      <c r="G34" s="16">
        <v>190.8</v>
      </c>
      <c r="H34" s="16">
        <v>95.1</v>
      </c>
      <c r="I34" s="16">
        <v>772.2</v>
      </c>
      <c r="J34" s="16">
        <v>107.8</v>
      </c>
      <c r="K34" s="16">
        <v>288.39999999999998</v>
      </c>
      <c r="L34" s="16">
        <v>25.5</v>
      </c>
      <c r="M34" s="16">
        <v>65.2</v>
      </c>
      <c r="N34" s="18">
        <v>112.5</v>
      </c>
      <c r="O34" s="12">
        <f t="shared" si="0"/>
        <v>1726.7</v>
      </c>
      <c r="P34" s="19">
        <f t="shared" si="1"/>
        <v>143.9</v>
      </c>
    </row>
    <row r="35" spans="2:16" ht="21.95" customHeight="1" thickBot="1">
      <c r="B35" s="33">
        <v>2024</v>
      </c>
      <c r="C35" s="34">
        <v>29.5</v>
      </c>
      <c r="D35" s="34">
        <v>92.6</v>
      </c>
      <c r="E35" s="34">
        <v>35.799999999999997</v>
      </c>
      <c r="F35" s="34">
        <v>48.8</v>
      </c>
      <c r="G35" s="34">
        <v>130.9</v>
      </c>
      <c r="H35" s="34">
        <v>89</v>
      </c>
      <c r="I35" s="34">
        <v>557.29999999999995</v>
      </c>
      <c r="J35" s="34">
        <v>149.69999999999999</v>
      </c>
      <c r="K35" s="34">
        <v>234.9</v>
      </c>
      <c r="L35" s="34">
        <v>58.3</v>
      </c>
      <c r="M35" s="34">
        <v>49</v>
      </c>
      <c r="N35" s="35">
        <v>18.5</v>
      </c>
      <c r="O35" s="36">
        <f t="shared" si="0"/>
        <v>1494.3</v>
      </c>
      <c r="P35" s="37">
        <f t="shared" si="1"/>
        <v>124.5</v>
      </c>
    </row>
    <row r="36" spans="2:16" ht="21.95" customHeight="1">
      <c r="B36" s="38" t="s">
        <v>13</v>
      </c>
      <c r="C36" s="39">
        <f>ROUND(MAX(C6:C35),1)</f>
        <v>73.3</v>
      </c>
      <c r="D36" s="39">
        <f t="shared" ref="D36:N36" si="2">ROUND(MAX(D6:D35),1)</f>
        <v>92.6</v>
      </c>
      <c r="E36" s="39">
        <f t="shared" si="2"/>
        <v>104.5</v>
      </c>
      <c r="F36" s="39">
        <f t="shared" si="2"/>
        <v>169</v>
      </c>
      <c r="G36" s="39">
        <f t="shared" si="2"/>
        <v>203</v>
      </c>
      <c r="H36" s="39">
        <f t="shared" si="2"/>
        <v>318</v>
      </c>
      <c r="I36" s="39">
        <f t="shared" si="2"/>
        <v>772.2</v>
      </c>
      <c r="J36" s="39">
        <f t="shared" si="2"/>
        <v>996.5</v>
      </c>
      <c r="K36" s="39">
        <f t="shared" si="2"/>
        <v>384</v>
      </c>
      <c r="L36" s="39">
        <f t="shared" si="2"/>
        <v>169</v>
      </c>
      <c r="M36" s="39">
        <f t="shared" si="2"/>
        <v>193.5</v>
      </c>
      <c r="N36" s="40">
        <f t="shared" si="2"/>
        <v>112.5</v>
      </c>
      <c r="O36" s="41">
        <f>ROUND(MAX(O6:O35),1)</f>
        <v>1743</v>
      </c>
      <c r="P36" s="42">
        <f>ROUND(MAX(P6:P35),1)</f>
        <v>145.30000000000001</v>
      </c>
    </row>
    <row r="37" spans="2:16" ht="21.95" customHeight="1">
      <c r="B37" s="43" t="s">
        <v>14</v>
      </c>
      <c r="C37" s="44">
        <f>ROUND(MIN(C6:C35),1)</f>
        <v>1.9</v>
      </c>
      <c r="D37" s="44">
        <f t="shared" ref="D37:N37" si="3">ROUND(MIN(D6:D35),1)</f>
        <v>0.4</v>
      </c>
      <c r="E37" s="44">
        <f t="shared" si="3"/>
        <v>7</v>
      </c>
      <c r="F37" s="44">
        <f t="shared" si="3"/>
        <v>16.5</v>
      </c>
      <c r="G37" s="44">
        <f t="shared" si="3"/>
        <v>5.7</v>
      </c>
      <c r="H37" s="44">
        <f t="shared" si="3"/>
        <v>21.1</v>
      </c>
      <c r="I37" s="44">
        <f t="shared" si="3"/>
        <v>94.7</v>
      </c>
      <c r="J37" s="44">
        <f t="shared" si="3"/>
        <v>5.0999999999999996</v>
      </c>
      <c r="K37" s="44">
        <f t="shared" si="3"/>
        <v>10</v>
      </c>
      <c r="L37" s="44">
        <f t="shared" si="3"/>
        <v>4</v>
      </c>
      <c r="M37" s="44">
        <f t="shared" si="3"/>
        <v>5.6</v>
      </c>
      <c r="N37" s="19">
        <f t="shared" si="3"/>
        <v>3.8</v>
      </c>
      <c r="O37" s="45">
        <f>ROUND(MIN(O6:O35),1)</f>
        <v>785.4</v>
      </c>
      <c r="P37" s="46">
        <f>ROUND(MIN(P6:P35),1)</f>
        <v>65.5</v>
      </c>
    </row>
    <row r="38" spans="2:16" ht="21.95" customHeight="1" thickBot="1">
      <c r="B38" s="47" t="s">
        <v>18</v>
      </c>
      <c r="C38" s="48">
        <f>ROUND(AVERAGE(C6:C35),1)</f>
        <v>24.1</v>
      </c>
      <c r="D38" s="48">
        <f t="shared" ref="D38:P38" si="4">ROUND(AVERAGE(D6:D35),1)</f>
        <v>29.7</v>
      </c>
      <c r="E38" s="48">
        <f t="shared" si="4"/>
        <v>42.3</v>
      </c>
      <c r="F38" s="48">
        <f t="shared" si="4"/>
        <v>70.8</v>
      </c>
      <c r="G38" s="48">
        <f t="shared" si="4"/>
        <v>89.7</v>
      </c>
      <c r="H38" s="48">
        <f t="shared" si="4"/>
        <v>128.5</v>
      </c>
      <c r="I38" s="48">
        <f t="shared" si="4"/>
        <v>276.3</v>
      </c>
      <c r="J38" s="48">
        <f t="shared" si="4"/>
        <v>268.60000000000002</v>
      </c>
      <c r="K38" s="48">
        <f t="shared" si="4"/>
        <v>145</v>
      </c>
      <c r="L38" s="48">
        <f t="shared" si="4"/>
        <v>59.8</v>
      </c>
      <c r="M38" s="48">
        <f t="shared" si="4"/>
        <v>55.1</v>
      </c>
      <c r="N38" s="49">
        <f t="shared" si="4"/>
        <v>34.799999999999997</v>
      </c>
      <c r="O38" s="50">
        <f t="shared" si="4"/>
        <v>1224.5999999999999</v>
      </c>
      <c r="P38" s="51">
        <f t="shared" si="4"/>
        <v>102.1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29.9</v>
      </c>
      <c r="D44" s="53">
        <f t="shared" si="5"/>
        <v>23.4</v>
      </c>
      <c r="E44" s="53">
        <f t="shared" si="5"/>
        <v>30.9</v>
      </c>
      <c r="F44" s="53">
        <f t="shared" si="5"/>
        <v>129.69999999999999</v>
      </c>
      <c r="G44" s="53">
        <f t="shared" si="5"/>
        <v>38.799999999999997</v>
      </c>
      <c r="H44" s="53">
        <f t="shared" si="5"/>
        <v>83.9</v>
      </c>
      <c r="I44" s="53">
        <f t="shared" si="5"/>
        <v>94.7</v>
      </c>
      <c r="J44" s="53">
        <f t="shared" si="5"/>
        <v>30.2</v>
      </c>
      <c r="K44" s="53">
        <f t="shared" si="5"/>
        <v>13.3</v>
      </c>
      <c r="L44" s="53">
        <f t="shared" si="5"/>
        <v>90</v>
      </c>
      <c r="M44" s="53">
        <f t="shared" si="5"/>
        <v>155.6</v>
      </c>
      <c r="N44" s="54">
        <f t="shared" si="5"/>
        <v>65</v>
      </c>
      <c r="O44" s="55">
        <f>ROUND(SUM(C44:N44),1)</f>
        <v>785.4</v>
      </c>
      <c r="P44" s="46">
        <f>ROUND(O44/12,1)</f>
        <v>65.5</v>
      </c>
    </row>
    <row r="45" spans="2:16" ht="21.95" customHeight="1">
      <c r="B45" s="52">
        <f t="shared" ref="B45:N53" si="6">B27</f>
        <v>2016</v>
      </c>
      <c r="C45" s="53">
        <f t="shared" si="6"/>
        <v>7.8</v>
      </c>
      <c r="D45" s="53">
        <f t="shared" si="6"/>
        <v>54.2</v>
      </c>
      <c r="E45" s="53">
        <f t="shared" si="6"/>
        <v>18.7</v>
      </c>
      <c r="F45" s="53">
        <f t="shared" si="6"/>
        <v>105.1</v>
      </c>
      <c r="G45" s="53">
        <f t="shared" si="6"/>
        <v>146.5</v>
      </c>
      <c r="H45" s="53">
        <f t="shared" si="6"/>
        <v>23.7</v>
      </c>
      <c r="I45" s="53">
        <f t="shared" si="6"/>
        <v>200.2</v>
      </c>
      <c r="J45" s="53">
        <f t="shared" si="6"/>
        <v>5.0999999999999996</v>
      </c>
      <c r="K45" s="53">
        <f t="shared" si="6"/>
        <v>73.400000000000006</v>
      </c>
      <c r="L45" s="53">
        <f t="shared" si="6"/>
        <v>108</v>
      </c>
      <c r="M45" s="53">
        <f t="shared" si="6"/>
        <v>5.6</v>
      </c>
      <c r="N45" s="54">
        <f t="shared" si="6"/>
        <v>44.5</v>
      </c>
      <c r="O45" s="55">
        <f t="shared" ref="O45:O53" si="7">ROUND(SUM(C45:N45),1)</f>
        <v>792.8</v>
      </c>
      <c r="P45" s="46">
        <f t="shared" ref="P45:P53" si="8">ROUND(O45/12,1)</f>
        <v>66.099999999999994</v>
      </c>
    </row>
    <row r="46" spans="2:16" ht="21.95" customHeight="1">
      <c r="B46" s="52">
        <f t="shared" si="6"/>
        <v>2017</v>
      </c>
      <c r="C46" s="53">
        <f t="shared" si="6"/>
        <v>14.8</v>
      </c>
      <c r="D46" s="53">
        <f t="shared" si="6"/>
        <v>30.2</v>
      </c>
      <c r="E46" s="53">
        <f t="shared" si="6"/>
        <v>14.4</v>
      </c>
      <c r="F46" s="53">
        <f t="shared" si="6"/>
        <v>57.6</v>
      </c>
      <c r="G46" s="53">
        <f t="shared" si="6"/>
        <v>58.9</v>
      </c>
      <c r="H46" s="53">
        <f t="shared" si="6"/>
        <v>21.1</v>
      </c>
      <c r="I46" s="53">
        <f t="shared" si="6"/>
        <v>278.10000000000002</v>
      </c>
      <c r="J46" s="53">
        <f t="shared" si="6"/>
        <v>210</v>
      </c>
      <c r="K46" s="53">
        <f t="shared" si="6"/>
        <v>90</v>
      </c>
      <c r="L46" s="53">
        <f t="shared" si="6"/>
        <v>26.6</v>
      </c>
      <c r="M46" s="53">
        <f t="shared" si="6"/>
        <v>15.9</v>
      </c>
      <c r="N46" s="54">
        <f t="shared" si="6"/>
        <v>38.6</v>
      </c>
      <c r="O46" s="55">
        <f t="shared" si="7"/>
        <v>856.2</v>
      </c>
      <c r="P46" s="46">
        <f t="shared" si="8"/>
        <v>71.400000000000006</v>
      </c>
    </row>
    <row r="47" spans="2:16" ht="21.95" customHeight="1">
      <c r="B47" s="52">
        <f t="shared" si="6"/>
        <v>2018</v>
      </c>
      <c r="C47" s="53">
        <f t="shared" si="6"/>
        <v>15</v>
      </c>
      <c r="D47" s="53">
        <f t="shared" si="6"/>
        <v>33.6</v>
      </c>
      <c r="E47" s="53">
        <f t="shared" si="6"/>
        <v>92</v>
      </c>
      <c r="F47" s="53">
        <f t="shared" si="6"/>
        <v>128.1</v>
      </c>
      <c r="G47" s="53">
        <f t="shared" si="6"/>
        <v>104.5</v>
      </c>
      <c r="H47" s="53">
        <f t="shared" si="6"/>
        <v>71</v>
      </c>
      <c r="I47" s="53">
        <f t="shared" si="6"/>
        <v>262.7</v>
      </c>
      <c r="J47" s="53">
        <f t="shared" si="6"/>
        <v>239.6</v>
      </c>
      <c r="K47" s="53">
        <f t="shared" si="6"/>
        <v>158.19999999999999</v>
      </c>
      <c r="L47" s="53">
        <f t="shared" si="6"/>
        <v>154.69999999999999</v>
      </c>
      <c r="M47" s="53">
        <f t="shared" si="6"/>
        <v>46.7</v>
      </c>
      <c r="N47" s="54">
        <f t="shared" si="6"/>
        <v>31.1</v>
      </c>
      <c r="O47" s="55">
        <f>ROUND(SUM(C47:N47),1)</f>
        <v>1337.2</v>
      </c>
      <c r="P47" s="46">
        <f t="shared" si="8"/>
        <v>111.4</v>
      </c>
    </row>
    <row r="48" spans="2:16" ht="21.95" customHeight="1">
      <c r="B48" s="52">
        <f t="shared" si="6"/>
        <v>2019</v>
      </c>
      <c r="C48" s="53">
        <f t="shared" si="6"/>
        <v>1.9</v>
      </c>
      <c r="D48" s="53">
        <f t="shared" si="6"/>
        <v>17.8</v>
      </c>
      <c r="E48" s="53">
        <f t="shared" si="6"/>
        <v>18.2</v>
      </c>
      <c r="F48" s="53">
        <f t="shared" si="6"/>
        <v>71.900000000000006</v>
      </c>
      <c r="G48" s="53">
        <f t="shared" si="6"/>
        <v>31.3</v>
      </c>
      <c r="H48" s="53">
        <f t="shared" si="6"/>
        <v>56</v>
      </c>
      <c r="I48" s="53">
        <f t="shared" si="6"/>
        <v>149</v>
      </c>
      <c r="J48" s="53">
        <f t="shared" si="6"/>
        <v>131.30000000000001</v>
      </c>
      <c r="K48" s="53">
        <f t="shared" si="6"/>
        <v>118.7</v>
      </c>
      <c r="L48" s="53">
        <f t="shared" si="6"/>
        <v>63.9</v>
      </c>
      <c r="M48" s="53">
        <f t="shared" si="6"/>
        <v>130.6</v>
      </c>
      <c r="N48" s="54">
        <f t="shared" si="6"/>
        <v>31.3</v>
      </c>
      <c r="O48" s="55">
        <f t="shared" si="7"/>
        <v>821.9</v>
      </c>
      <c r="P48" s="46">
        <f t="shared" si="8"/>
        <v>68.5</v>
      </c>
    </row>
    <row r="49" spans="2:16" ht="21.95" customHeight="1">
      <c r="B49" s="52">
        <f t="shared" si="6"/>
        <v>2020</v>
      </c>
      <c r="C49" s="53">
        <f t="shared" si="6"/>
        <v>49.4</v>
      </c>
      <c r="D49" s="53">
        <f t="shared" si="6"/>
        <v>75.3</v>
      </c>
      <c r="E49" s="53">
        <f t="shared" si="6"/>
        <v>22.8</v>
      </c>
      <c r="F49" s="53">
        <f t="shared" si="6"/>
        <v>16.5</v>
      </c>
      <c r="G49" s="53">
        <f t="shared" si="6"/>
        <v>92.4</v>
      </c>
      <c r="H49" s="53">
        <f t="shared" si="6"/>
        <v>139.69999999999999</v>
      </c>
      <c r="I49" s="53">
        <f t="shared" si="6"/>
        <v>345.9</v>
      </c>
      <c r="J49" s="53">
        <f t="shared" si="6"/>
        <v>321.5</v>
      </c>
      <c r="K49" s="53">
        <f t="shared" si="6"/>
        <v>177.1</v>
      </c>
      <c r="L49" s="53">
        <f t="shared" si="6"/>
        <v>16.2</v>
      </c>
      <c r="M49" s="53">
        <f t="shared" si="6"/>
        <v>35.4</v>
      </c>
      <c r="N49" s="54">
        <f t="shared" si="6"/>
        <v>9.6999999999999993</v>
      </c>
      <c r="O49" s="55">
        <f t="shared" si="7"/>
        <v>1301.9000000000001</v>
      </c>
      <c r="P49" s="46">
        <f t="shared" si="8"/>
        <v>108.5</v>
      </c>
    </row>
    <row r="50" spans="2:16" ht="21.95" customHeight="1">
      <c r="B50" s="52">
        <f t="shared" si="6"/>
        <v>2021</v>
      </c>
      <c r="C50" s="53">
        <f t="shared" si="6"/>
        <v>32</v>
      </c>
      <c r="D50" s="53">
        <f t="shared" si="6"/>
        <v>18.7</v>
      </c>
      <c r="E50" s="53">
        <f t="shared" si="6"/>
        <v>76.099999999999994</v>
      </c>
      <c r="F50" s="53">
        <f t="shared" si="6"/>
        <v>43.4</v>
      </c>
      <c r="G50" s="53">
        <f t="shared" si="6"/>
        <v>110</v>
      </c>
      <c r="H50" s="53">
        <f t="shared" si="6"/>
        <v>55</v>
      </c>
      <c r="I50" s="53">
        <f t="shared" si="6"/>
        <v>131.30000000000001</v>
      </c>
      <c r="J50" s="53">
        <f t="shared" si="6"/>
        <v>253.7</v>
      </c>
      <c r="K50" s="53">
        <f t="shared" si="6"/>
        <v>215.9</v>
      </c>
      <c r="L50" s="53">
        <f t="shared" si="6"/>
        <v>39.6</v>
      </c>
      <c r="M50" s="53">
        <f t="shared" si="6"/>
        <v>117.8</v>
      </c>
      <c r="N50" s="54">
        <f t="shared" si="6"/>
        <v>14.4</v>
      </c>
      <c r="O50" s="55">
        <f t="shared" si="7"/>
        <v>1107.9000000000001</v>
      </c>
      <c r="P50" s="46">
        <f t="shared" si="8"/>
        <v>92.3</v>
      </c>
    </row>
    <row r="51" spans="2:16" ht="21.95" customHeight="1">
      <c r="B51" s="52">
        <f t="shared" si="6"/>
        <v>2022</v>
      </c>
      <c r="C51" s="53">
        <f t="shared" si="6"/>
        <v>8.4</v>
      </c>
      <c r="D51" s="53">
        <f t="shared" si="6"/>
        <v>5.3</v>
      </c>
      <c r="E51" s="53">
        <f t="shared" si="6"/>
        <v>60.9</v>
      </c>
      <c r="F51" s="53">
        <f t="shared" si="6"/>
        <v>34.799999999999997</v>
      </c>
      <c r="G51" s="53">
        <f t="shared" si="6"/>
        <v>5.7</v>
      </c>
      <c r="H51" s="53">
        <f t="shared" si="6"/>
        <v>225</v>
      </c>
      <c r="I51" s="53">
        <f t="shared" si="6"/>
        <v>119.7</v>
      </c>
      <c r="J51" s="53">
        <f t="shared" si="6"/>
        <v>637.1</v>
      </c>
      <c r="K51" s="53">
        <f t="shared" si="6"/>
        <v>102</v>
      </c>
      <c r="L51" s="53">
        <f t="shared" si="6"/>
        <v>112</v>
      </c>
      <c r="M51" s="53">
        <f t="shared" si="6"/>
        <v>23.3</v>
      </c>
      <c r="N51" s="54">
        <f t="shared" si="6"/>
        <v>14</v>
      </c>
      <c r="O51" s="55">
        <f t="shared" si="7"/>
        <v>1348.2</v>
      </c>
      <c r="P51" s="46">
        <f t="shared" si="8"/>
        <v>112.4</v>
      </c>
    </row>
    <row r="52" spans="2:16" ht="21.95" customHeight="1">
      <c r="B52" s="52">
        <f t="shared" si="6"/>
        <v>2023</v>
      </c>
      <c r="C52" s="53">
        <f t="shared" si="6"/>
        <v>19.2</v>
      </c>
      <c r="D52" s="53">
        <f t="shared" si="6"/>
        <v>0.4</v>
      </c>
      <c r="E52" s="53">
        <f t="shared" si="6"/>
        <v>7.2</v>
      </c>
      <c r="F52" s="53">
        <f t="shared" si="6"/>
        <v>42.4</v>
      </c>
      <c r="G52" s="53">
        <f t="shared" si="6"/>
        <v>190.8</v>
      </c>
      <c r="H52" s="53">
        <f t="shared" si="6"/>
        <v>95.1</v>
      </c>
      <c r="I52" s="53">
        <f t="shared" si="6"/>
        <v>772.2</v>
      </c>
      <c r="J52" s="53">
        <f t="shared" si="6"/>
        <v>107.8</v>
      </c>
      <c r="K52" s="53">
        <f t="shared" si="6"/>
        <v>288.39999999999998</v>
      </c>
      <c r="L52" s="53">
        <f t="shared" si="6"/>
        <v>25.5</v>
      </c>
      <c r="M52" s="53">
        <f t="shared" si="6"/>
        <v>65.2</v>
      </c>
      <c r="N52" s="54">
        <f t="shared" si="6"/>
        <v>112.5</v>
      </c>
      <c r="O52" s="55">
        <f t="shared" si="7"/>
        <v>1726.7</v>
      </c>
      <c r="P52" s="46">
        <f t="shared" si="8"/>
        <v>143.9</v>
      </c>
    </row>
    <row r="53" spans="2:16" ht="21.95" customHeight="1" thickBot="1">
      <c r="B53" s="56">
        <f t="shared" si="6"/>
        <v>2024</v>
      </c>
      <c r="C53" s="57">
        <f t="shared" si="6"/>
        <v>29.5</v>
      </c>
      <c r="D53" s="57">
        <f t="shared" si="6"/>
        <v>92.6</v>
      </c>
      <c r="E53" s="57">
        <f t="shared" si="6"/>
        <v>35.799999999999997</v>
      </c>
      <c r="F53" s="57">
        <f t="shared" si="6"/>
        <v>48.8</v>
      </c>
      <c r="G53" s="57">
        <f t="shared" si="6"/>
        <v>130.9</v>
      </c>
      <c r="H53" s="57">
        <f t="shared" si="6"/>
        <v>89</v>
      </c>
      <c r="I53" s="57">
        <f t="shared" si="6"/>
        <v>557.29999999999995</v>
      </c>
      <c r="J53" s="57">
        <f t="shared" si="6"/>
        <v>149.69999999999999</v>
      </c>
      <c r="K53" s="57">
        <f t="shared" si="6"/>
        <v>234.9</v>
      </c>
      <c r="L53" s="57">
        <f t="shared" si="6"/>
        <v>58.3</v>
      </c>
      <c r="M53" s="57">
        <f t="shared" si="6"/>
        <v>49</v>
      </c>
      <c r="N53" s="58">
        <f t="shared" si="6"/>
        <v>18.5</v>
      </c>
      <c r="O53" s="59">
        <f t="shared" si="7"/>
        <v>1494.3</v>
      </c>
      <c r="P53" s="51">
        <f t="shared" si="8"/>
        <v>124.5</v>
      </c>
    </row>
    <row r="54" spans="2:16" ht="21.95" customHeight="1">
      <c r="B54" s="60" t="s">
        <v>19</v>
      </c>
      <c r="C54" s="61">
        <f>MAX(C44:C53)</f>
        <v>49.4</v>
      </c>
      <c r="D54" s="61">
        <f t="shared" ref="D54:P54" si="9">MAX(D44:D53)</f>
        <v>92.6</v>
      </c>
      <c r="E54" s="61">
        <f t="shared" si="9"/>
        <v>92</v>
      </c>
      <c r="F54" s="61">
        <f t="shared" si="9"/>
        <v>129.69999999999999</v>
      </c>
      <c r="G54" s="61">
        <f t="shared" si="9"/>
        <v>190.8</v>
      </c>
      <c r="H54" s="61">
        <f t="shared" si="9"/>
        <v>225</v>
      </c>
      <c r="I54" s="61">
        <f t="shared" si="9"/>
        <v>772.2</v>
      </c>
      <c r="J54" s="61">
        <f t="shared" si="9"/>
        <v>637.1</v>
      </c>
      <c r="K54" s="61">
        <f t="shared" si="9"/>
        <v>288.39999999999998</v>
      </c>
      <c r="L54" s="61">
        <f t="shared" si="9"/>
        <v>154.69999999999999</v>
      </c>
      <c r="M54" s="61">
        <f t="shared" si="9"/>
        <v>155.6</v>
      </c>
      <c r="N54" s="62">
        <f t="shared" si="9"/>
        <v>112.5</v>
      </c>
      <c r="O54" s="63">
        <f t="shared" si="9"/>
        <v>1726.7</v>
      </c>
      <c r="P54" s="62">
        <f t="shared" si="9"/>
        <v>143.9</v>
      </c>
    </row>
    <row r="55" spans="2:16" ht="21.95" customHeight="1">
      <c r="B55" s="64" t="s">
        <v>20</v>
      </c>
      <c r="C55" s="65">
        <f>MIN(C44:C53)</f>
        <v>1.9</v>
      </c>
      <c r="D55" s="65">
        <f t="shared" ref="D55:P55" si="10">MIN(D44:D53)</f>
        <v>0.4</v>
      </c>
      <c r="E55" s="65">
        <f t="shared" si="10"/>
        <v>7.2</v>
      </c>
      <c r="F55" s="65">
        <f t="shared" si="10"/>
        <v>16.5</v>
      </c>
      <c r="G55" s="65">
        <f t="shared" si="10"/>
        <v>5.7</v>
      </c>
      <c r="H55" s="65">
        <f t="shared" si="10"/>
        <v>21.1</v>
      </c>
      <c r="I55" s="65">
        <f t="shared" si="10"/>
        <v>94.7</v>
      </c>
      <c r="J55" s="65">
        <f t="shared" si="10"/>
        <v>5.0999999999999996</v>
      </c>
      <c r="K55" s="65">
        <f t="shared" si="10"/>
        <v>13.3</v>
      </c>
      <c r="L55" s="65">
        <f t="shared" si="10"/>
        <v>16.2</v>
      </c>
      <c r="M55" s="65">
        <f t="shared" si="10"/>
        <v>5.6</v>
      </c>
      <c r="N55" s="46">
        <f t="shared" si="10"/>
        <v>9.6999999999999993</v>
      </c>
      <c r="O55" s="55">
        <f>MIN(O44:O53)</f>
        <v>785.4</v>
      </c>
      <c r="P55" s="46">
        <f t="shared" si="10"/>
        <v>65.5</v>
      </c>
    </row>
    <row r="56" spans="2:16" ht="21.95" customHeight="1" thickBot="1">
      <c r="B56" s="66" t="s">
        <v>7</v>
      </c>
      <c r="C56" s="67">
        <f>ROUND(AVERAGE(C44:C53),1)</f>
        <v>20.8</v>
      </c>
      <c r="D56" s="67">
        <f t="shared" ref="D56:N56" si="11">ROUND(AVERAGE(D44:D53),1)</f>
        <v>35.200000000000003</v>
      </c>
      <c r="E56" s="67">
        <f t="shared" si="11"/>
        <v>37.700000000000003</v>
      </c>
      <c r="F56" s="67">
        <f t="shared" si="11"/>
        <v>67.8</v>
      </c>
      <c r="G56" s="67">
        <f t="shared" si="11"/>
        <v>91</v>
      </c>
      <c r="H56" s="67">
        <f t="shared" si="11"/>
        <v>86</v>
      </c>
      <c r="I56" s="67">
        <f t="shared" si="11"/>
        <v>291.10000000000002</v>
      </c>
      <c r="J56" s="67">
        <f t="shared" si="11"/>
        <v>208.6</v>
      </c>
      <c r="K56" s="67">
        <f t="shared" si="11"/>
        <v>147.19999999999999</v>
      </c>
      <c r="L56" s="67">
        <f t="shared" si="11"/>
        <v>69.5</v>
      </c>
      <c r="M56" s="67">
        <f t="shared" si="11"/>
        <v>64.5</v>
      </c>
      <c r="N56" s="51">
        <f t="shared" si="11"/>
        <v>38</v>
      </c>
      <c r="O56" s="59">
        <f>ROUND(AVERAGE(O44:O53),1)</f>
        <v>1157.3</v>
      </c>
      <c r="P56" s="51">
        <f>ROUND(AVERAGE(P44:P53),1)</f>
        <v>96.5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56AC-1BF1-4C5B-90E8-EB7382F995B2}">
  <sheetPr codeName="Sheet21">
    <tabColor rgb="FF0070C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288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23.2</v>
      </c>
      <c r="D6" s="9">
        <v>17.100000000000001</v>
      </c>
      <c r="E6" s="9">
        <v>46.9</v>
      </c>
      <c r="F6" s="9">
        <v>65.5</v>
      </c>
      <c r="G6" s="9">
        <v>35.5</v>
      </c>
      <c r="H6" s="9">
        <v>54</v>
      </c>
      <c r="I6" s="9">
        <v>83.5</v>
      </c>
      <c r="J6" s="10">
        <v>579.5</v>
      </c>
      <c r="K6" s="9">
        <v>47.5</v>
      </c>
      <c r="L6" s="9">
        <v>23.5</v>
      </c>
      <c r="M6" s="9">
        <v>31</v>
      </c>
      <c r="N6" s="11">
        <v>4.5999999999999996</v>
      </c>
      <c r="O6" s="12">
        <f t="shared" ref="O6:O35" si="0">ROUND(SUM(C6:N6),1)</f>
        <v>1011.8</v>
      </c>
      <c r="P6" s="13">
        <f>ROUND(O6/12,1)</f>
        <v>84.3</v>
      </c>
      <c r="Q6" s="14"/>
    </row>
    <row r="7" spans="2:17" ht="21.95" customHeight="1">
      <c r="B7" s="15">
        <v>1996</v>
      </c>
      <c r="C7" s="16">
        <v>25.4</v>
      </c>
      <c r="D7" s="16">
        <v>2.9</v>
      </c>
      <c r="E7" s="16">
        <v>123</v>
      </c>
      <c r="F7" s="16">
        <v>42.5</v>
      </c>
      <c r="G7" s="16">
        <v>37.5</v>
      </c>
      <c r="H7" s="16">
        <v>546</v>
      </c>
      <c r="I7" s="16">
        <v>174</v>
      </c>
      <c r="J7" s="17">
        <v>130</v>
      </c>
      <c r="K7" s="16">
        <v>12.5</v>
      </c>
      <c r="L7" s="16">
        <v>75.5</v>
      </c>
      <c r="M7" s="16">
        <v>89.8</v>
      </c>
      <c r="N7" s="18">
        <v>43</v>
      </c>
      <c r="O7" s="12">
        <f t="shared" si="0"/>
        <v>1302.0999999999999</v>
      </c>
      <c r="P7" s="19">
        <f t="shared" ref="P7:P35" si="1">ROUND(O7/12,1)</f>
        <v>108.5</v>
      </c>
      <c r="Q7" s="14"/>
    </row>
    <row r="8" spans="2:17" ht="21.95" customHeight="1">
      <c r="B8" s="15">
        <v>1997</v>
      </c>
      <c r="C8" s="16">
        <v>21.3</v>
      </c>
      <c r="D8" s="16">
        <v>48.2</v>
      </c>
      <c r="E8" s="16">
        <v>34</v>
      </c>
      <c r="F8" s="16">
        <v>58</v>
      </c>
      <c r="G8" s="16">
        <v>170.5</v>
      </c>
      <c r="H8" s="16">
        <v>238.5</v>
      </c>
      <c r="I8" s="16">
        <v>444.5</v>
      </c>
      <c r="J8" s="16">
        <v>246.5</v>
      </c>
      <c r="K8" s="16">
        <v>89</v>
      </c>
      <c r="L8" s="16">
        <v>9</v>
      </c>
      <c r="M8" s="16">
        <v>160</v>
      </c>
      <c r="N8" s="18">
        <v>49</v>
      </c>
      <c r="O8" s="12">
        <f t="shared" si="0"/>
        <v>1568.5</v>
      </c>
      <c r="P8" s="19">
        <f t="shared" si="1"/>
        <v>130.69999999999999</v>
      </c>
      <c r="Q8" s="14"/>
    </row>
    <row r="9" spans="2:17" ht="21.95" customHeight="1">
      <c r="B9" s="15">
        <v>1998</v>
      </c>
      <c r="C9" s="16">
        <v>38.4</v>
      </c>
      <c r="D9" s="16">
        <v>53.9</v>
      </c>
      <c r="E9" s="16">
        <v>25.6</v>
      </c>
      <c r="F9" s="16">
        <v>177.5</v>
      </c>
      <c r="G9" s="16">
        <v>98.5</v>
      </c>
      <c r="H9" s="16">
        <v>278.5</v>
      </c>
      <c r="I9" s="16">
        <v>184</v>
      </c>
      <c r="J9" s="16">
        <v>520</v>
      </c>
      <c r="K9" s="16">
        <v>237.3</v>
      </c>
      <c r="L9" s="16">
        <v>49</v>
      </c>
      <c r="M9" s="16">
        <v>46.1</v>
      </c>
      <c r="N9" s="18">
        <v>6.8</v>
      </c>
      <c r="O9" s="12">
        <f t="shared" si="0"/>
        <v>1715.6</v>
      </c>
      <c r="P9" s="19">
        <f t="shared" si="1"/>
        <v>143</v>
      </c>
      <c r="Q9" s="14"/>
    </row>
    <row r="10" spans="2:17" ht="21.95" customHeight="1">
      <c r="B10" s="15">
        <v>1999</v>
      </c>
      <c r="C10" s="16">
        <v>5.3</v>
      </c>
      <c r="D10" s="16">
        <v>22.9</v>
      </c>
      <c r="E10" s="16">
        <v>73</v>
      </c>
      <c r="F10" s="16">
        <v>91.5</v>
      </c>
      <c r="G10" s="16">
        <v>117.5</v>
      </c>
      <c r="H10" s="16">
        <v>198</v>
      </c>
      <c r="I10" s="16">
        <v>114.5</v>
      </c>
      <c r="J10" s="16">
        <v>167.5</v>
      </c>
      <c r="K10" s="16">
        <v>289.5</v>
      </c>
      <c r="L10" s="16">
        <v>125</v>
      </c>
      <c r="M10" s="16">
        <v>16.399999999999999</v>
      </c>
      <c r="N10" s="18">
        <v>10.3</v>
      </c>
      <c r="O10" s="12">
        <f t="shared" si="0"/>
        <v>1231.4000000000001</v>
      </c>
      <c r="P10" s="19">
        <f t="shared" si="1"/>
        <v>102.6</v>
      </c>
      <c r="Q10" s="14"/>
    </row>
    <row r="11" spans="2:17" ht="21.95" customHeight="1">
      <c r="B11" s="15">
        <v>2000</v>
      </c>
      <c r="C11" s="16">
        <v>36.200000000000003</v>
      </c>
      <c r="D11" s="16">
        <v>2.9</v>
      </c>
      <c r="E11" s="16">
        <v>24.5</v>
      </c>
      <c r="F11" s="16">
        <v>73.7</v>
      </c>
      <c r="G11" s="16">
        <v>29</v>
      </c>
      <c r="H11" s="16">
        <v>244.5</v>
      </c>
      <c r="I11" s="16">
        <v>344</v>
      </c>
      <c r="J11" s="16">
        <v>372</v>
      </c>
      <c r="K11" s="16">
        <v>223</v>
      </c>
      <c r="L11" s="16">
        <v>34.5</v>
      </c>
      <c r="M11" s="16">
        <v>42</v>
      </c>
      <c r="N11" s="18">
        <v>6.5</v>
      </c>
      <c r="O11" s="12">
        <f t="shared" si="0"/>
        <v>1432.8</v>
      </c>
      <c r="P11" s="19">
        <f t="shared" si="1"/>
        <v>119.4</v>
      </c>
      <c r="Q11" s="14"/>
    </row>
    <row r="12" spans="2:17" ht="21.95" customHeight="1">
      <c r="B12" s="15">
        <v>2001</v>
      </c>
      <c r="C12" s="16">
        <v>63.2</v>
      </c>
      <c r="D12" s="16">
        <v>76.5</v>
      </c>
      <c r="E12" s="16">
        <v>17</v>
      </c>
      <c r="F12" s="16">
        <v>22.5</v>
      </c>
      <c r="G12" s="16">
        <v>22.5</v>
      </c>
      <c r="H12" s="16">
        <v>212.5</v>
      </c>
      <c r="I12" s="16">
        <v>203</v>
      </c>
      <c r="J12" s="16">
        <v>43</v>
      </c>
      <c r="K12" s="16">
        <v>87</v>
      </c>
      <c r="L12" s="16">
        <v>96</v>
      </c>
      <c r="M12" s="16">
        <v>12</v>
      </c>
      <c r="N12" s="18">
        <v>24.1</v>
      </c>
      <c r="O12" s="12">
        <f t="shared" si="0"/>
        <v>879.3</v>
      </c>
      <c r="P12" s="19">
        <f t="shared" si="1"/>
        <v>73.3</v>
      </c>
    </row>
    <row r="13" spans="2:17" ht="21.95" customHeight="1">
      <c r="B13" s="15">
        <v>2002</v>
      </c>
      <c r="C13" s="16">
        <v>71.5</v>
      </c>
      <c r="D13" s="16">
        <v>7.7</v>
      </c>
      <c r="E13" s="16">
        <v>52</v>
      </c>
      <c r="F13" s="16">
        <v>149.5</v>
      </c>
      <c r="G13" s="16">
        <v>127.5</v>
      </c>
      <c r="H13" s="16">
        <v>57</v>
      </c>
      <c r="I13" s="16">
        <v>139.5</v>
      </c>
      <c r="J13" s="16">
        <v>551</v>
      </c>
      <c r="K13" s="16">
        <v>98.5</v>
      </c>
      <c r="L13" s="16">
        <v>55.5</v>
      </c>
      <c r="M13" s="16">
        <v>23.2</v>
      </c>
      <c r="N13" s="18">
        <v>57.8</v>
      </c>
      <c r="O13" s="12">
        <f t="shared" si="0"/>
        <v>1390.7</v>
      </c>
      <c r="P13" s="19">
        <f t="shared" si="1"/>
        <v>115.9</v>
      </c>
    </row>
    <row r="14" spans="2:17" ht="21.95" customHeight="1">
      <c r="B14" s="15">
        <v>2003</v>
      </c>
      <c r="C14" s="16">
        <v>22.4</v>
      </c>
      <c r="D14" s="16">
        <v>66</v>
      </c>
      <c r="E14" s="16">
        <v>44</v>
      </c>
      <c r="F14" s="16">
        <v>202.5</v>
      </c>
      <c r="G14" s="16">
        <v>164</v>
      </c>
      <c r="H14" s="16">
        <v>138</v>
      </c>
      <c r="I14" s="16">
        <v>575</v>
      </c>
      <c r="J14" s="16">
        <v>280.5</v>
      </c>
      <c r="K14" s="16">
        <v>192</v>
      </c>
      <c r="L14" s="16">
        <v>22.5</v>
      </c>
      <c r="M14" s="16">
        <v>42.5</v>
      </c>
      <c r="N14" s="18">
        <v>17</v>
      </c>
      <c r="O14" s="12">
        <f t="shared" si="0"/>
        <v>1766.4</v>
      </c>
      <c r="P14" s="19">
        <f t="shared" si="1"/>
        <v>147.19999999999999</v>
      </c>
    </row>
    <row r="15" spans="2:17" ht="21.95" customHeight="1">
      <c r="B15" s="15">
        <v>2004</v>
      </c>
      <c r="C15" s="16">
        <v>11.2</v>
      </c>
      <c r="D15" s="16">
        <v>27.3</v>
      </c>
      <c r="E15" s="16">
        <v>33</v>
      </c>
      <c r="F15" s="16">
        <v>75.5</v>
      </c>
      <c r="G15" s="16">
        <v>90.5</v>
      </c>
      <c r="H15" s="16">
        <v>323.5</v>
      </c>
      <c r="I15" s="16">
        <v>406</v>
      </c>
      <c r="J15" s="16">
        <v>330.5</v>
      </c>
      <c r="K15" s="16">
        <v>126</v>
      </c>
      <c r="L15" s="16">
        <v>2.5</v>
      </c>
      <c r="M15" s="16">
        <v>43</v>
      </c>
      <c r="N15" s="18">
        <v>34.5</v>
      </c>
      <c r="O15" s="12">
        <f t="shared" si="0"/>
        <v>1503.5</v>
      </c>
      <c r="P15" s="19">
        <f t="shared" si="1"/>
        <v>125.3</v>
      </c>
    </row>
    <row r="16" spans="2:17" ht="21.95" customHeight="1">
      <c r="B16" s="15">
        <v>2005</v>
      </c>
      <c r="C16" s="16">
        <v>9.4</v>
      </c>
      <c r="D16" s="16">
        <v>34</v>
      </c>
      <c r="E16" s="16">
        <v>51</v>
      </c>
      <c r="F16" s="16">
        <v>31.5</v>
      </c>
      <c r="G16" s="16">
        <v>65.5</v>
      </c>
      <c r="H16" s="16">
        <v>191</v>
      </c>
      <c r="I16" s="16">
        <v>411.5</v>
      </c>
      <c r="J16" s="16">
        <v>387</v>
      </c>
      <c r="K16" s="16">
        <v>118</v>
      </c>
      <c r="L16" s="16">
        <v>23</v>
      </c>
      <c r="M16" s="16">
        <v>30.5</v>
      </c>
      <c r="N16" s="18">
        <v>22.6</v>
      </c>
      <c r="O16" s="12">
        <f t="shared" si="0"/>
        <v>1375</v>
      </c>
      <c r="P16" s="19">
        <f t="shared" si="1"/>
        <v>114.6</v>
      </c>
    </row>
    <row r="17" spans="2:16" ht="21.95" customHeight="1">
      <c r="B17" s="15">
        <v>2006</v>
      </c>
      <c r="C17" s="16">
        <v>28</v>
      </c>
      <c r="D17" s="16">
        <v>41.1</v>
      </c>
      <c r="E17" s="16">
        <v>8.4</v>
      </c>
      <c r="F17" s="16">
        <v>112</v>
      </c>
      <c r="G17" s="16">
        <v>93.5</v>
      </c>
      <c r="H17" s="16">
        <v>73</v>
      </c>
      <c r="I17" s="16">
        <v>681.5</v>
      </c>
      <c r="J17" s="16">
        <v>118</v>
      </c>
      <c r="K17" s="16">
        <v>40.5</v>
      </c>
      <c r="L17" s="16">
        <v>54</v>
      </c>
      <c r="M17" s="16">
        <v>71</v>
      </c>
      <c r="N17" s="18">
        <v>28.9</v>
      </c>
      <c r="O17" s="12">
        <f t="shared" si="0"/>
        <v>1349.9</v>
      </c>
      <c r="P17" s="19">
        <f t="shared" si="1"/>
        <v>112.5</v>
      </c>
    </row>
    <row r="18" spans="2:16" ht="21.95" customHeight="1">
      <c r="B18" s="15">
        <v>2007</v>
      </c>
      <c r="C18" s="16">
        <v>13.7</v>
      </c>
      <c r="D18" s="16">
        <v>57</v>
      </c>
      <c r="E18" s="16">
        <v>129</v>
      </c>
      <c r="F18" s="16">
        <v>27.5</v>
      </c>
      <c r="G18" s="16">
        <v>104</v>
      </c>
      <c r="H18" s="16">
        <v>180</v>
      </c>
      <c r="I18" s="16">
        <v>252</v>
      </c>
      <c r="J18" s="16">
        <v>343.5</v>
      </c>
      <c r="K18" s="16">
        <v>398.5</v>
      </c>
      <c r="L18" s="16">
        <v>32</v>
      </c>
      <c r="M18" s="16">
        <v>13.5</v>
      </c>
      <c r="N18" s="18">
        <v>35.4</v>
      </c>
      <c r="O18" s="12">
        <f t="shared" si="0"/>
        <v>1586.1</v>
      </c>
      <c r="P18" s="19">
        <f t="shared" si="1"/>
        <v>132.19999999999999</v>
      </c>
    </row>
    <row r="19" spans="2:16" ht="21.95" customHeight="1">
      <c r="B19" s="15">
        <v>2008</v>
      </c>
      <c r="C19" s="16">
        <v>32.4</v>
      </c>
      <c r="D19" s="16">
        <v>6.1</v>
      </c>
      <c r="E19" s="16">
        <v>28.3</v>
      </c>
      <c r="F19" s="16">
        <v>37.6</v>
      </c>
      <c r="G19" s="16">
        <v>84.5</v>
      </c>
      <c r="H19" s="16">
        <v>190.5</v>
      </c>
      <c r="I19" s="16">
        <v>202</v>
      </c>
      <c r="J19" s="16">
        <v>210</v>
      </c>
      <c r="K19" s="16">
        <v>35.9</v>
      </c>
      <c r="L19" s="16">
        <v>40.1</v>
      </c>
      <c r="M19" s="16">
        <v>15.1</v>
      </c>
      <c r="N19" s="18">
        <v>19.7</v>
      </c>
      <c r="O19" s="12">
        <f t="shared" si="0"/>
        <v>902.2</v>
      </c>
      <c r="P19" s="19">
        <f t="shared" si="1"/>
        <v>75.2</v>
      </c>
    </row>
    <row r="20" spans="2:16" ht="21.95" customHeight="1">
      <c r="B20" s="15">
        <v>2009</v>
      </c>
      <c r="C20" s="16">
        <v>13.2</v>
      </c>
      <c r="D20" s="16">
        <v>41.5</v>
      </c>
      <c r="E20" s="16">
        <v>43</v>
      </c>
      <c r="F20" s="16">
        <v>36</v>
      </c>
      <c r="G20" s="16">
        <v>120.3</v>
      </c>
      <c r="H20" s="16">
        <v>116.3</v>
      </c>
      <c r="I20" s="16">
        <v>515.5</v>
      </c>
      <c r="J20" s="16">
        <v>97</v>
      </c>
      <c r="K20" s="16">
        <v>54.5</v>
      </c>
      <c r="L20" s="16">
        <v>24</v>
      </c>
      <c r="M20" s="16">
        <v>29</v>
      </c>
      <c r="N20" s="18">
        <v>38.299999999999997</v>
      </c>
      <c r="O20" s="12">
        <f t="shared" si="0"/>
        <v>1128.5999999999999</v>
      </c>
      <c r="P20" s="19">
        <f t="shared" si="1"/>
        <v>94.1</v>
      </c>
    </row>
    <row r="21" spans="2:16" ht="21.95" customHeight="1">
      <c r="B21" s="15">
        <v>2010</v>
      </c>
      <c r="C21" s="16">
        <v>33.6</v>
      </c>
      <c r="D21" s="16">
        <v>74.5</v>
      </c>
      <c r="E21" s="16">
        <v>83.8</v>
      </c>
      <c r="F21" s="16">
        <v>73.7</v>
      </c>
      <c r="G21" s="16">
        <v>114.5</v>
      </c>
      <c r="H21" s="16">
        <v>62.5</v>
      </c>
      <c r="I21" s="16">
        <v>278.5</v>
      </c>
      <c r="J21" s="16">
        <v>495.6</v>
      </c>
      <c r="K21" s="16">
        <v>110.3</v>
      </c>
      <c r="L21" s="16">
        <v>20.2</v>
      </c>
      <c r="M21" s="16">
        <v>20</v>
      </c>
      <c r="N21" s="18">
        <v>36.5</v>
      </c>
      <c r="O21" s="12">
        <f t="shared" si="0"/>
        <v>1403.7</v>
      </c>
      <c r="P21" s="19">
        <f t="shared" si="1"/>
        <v>117</v>
      </c>
    </row>
    <row r="22" spans="2:16" ht="21.95" customHeight="1">
      <c r="B22" s="15">
        <v>2011</v>
      </c>
      <c r="C22" s="16">
        <v>2.2000000000000002</v>
      </c>
      <c r="D22" s="16">
        <v>63.5</v>
      </c>
      <c r="E22" s="16">
        <v>21.5</v>
      </c>
      <c r="F22" s="16">
        <v>132.9</v>
      </c>
      <c r="G22" s="16">
        <v>130.6</v>
      </c>
      <c r="H22" s="16">
        <v>237.8</v>
      </c>
      <c r="I22" s="16">
        <v>571.20000000000005</v>
      </c>
      <c r="J22" s="16">
        <v>403</v>
      </c>
      <c r="K22" s="16">
        <v>77.8</v>
      </c>
      <c r="L22" s="16">
        <v>52.2</v>
      </c>
      <c r="M22" s="16">
        <v>98</v>
      </c>
      <c r="N22" s="18">
        <v>7.8</v>
      </c>
      <c r="O22" s="12">
        <f t="shared" si="0"/>
        <v>1798.5</v>
      </c>
      <c r="P22" s="19">
        <f t="shared" si="1"/>
        <v>149.9</v>
      </c>
    </row>
    <row r="23" spans="2:16" ht="21.95" customHeight="1">
      <c r="B23" s="15">
        <v>2012</v>
      </c>
      <c r="C23" s="16">
        <v>23.7</v>
      </c>
      <c r="D23" s="16">
        <v>1.1000000000000001</v>
      </c>
      <c r="E23" s="16">
        <v>83.6</v>
      </c>
      <c r="F23" s="16">
        <v>75.900000000000006</v>
      </c>
      <c r="G23" s="16">
        <v>21.7</v>
      </c>
      <c r="H23" s="16">
        <v>115.7</v>
      </c>
      <c r="I23" s="16">
        <v>239.2</v>
      </c>
      <c r="J23" s="16">
        <v>497.5</v>
      </c>
      <c r="K23" s="16">
        <v>219.5</v>
      </c>
      <c r="L23" s="16">
        <v>46.6</v>
      </c>
      <c r="M23" s="16">
        <v>47.3</v>
      </c>
      <c r="N23" s="18">
        <v>62.7</v>
      </c>
      <c r="O23" s="12">
        <f t="shared" si="0"/>
        <v>1434.5</v>
      </c>
      <c r="P23" s="19">
        <f t="shared" si="1"/>
        <v>119.5</v>
      </c>
    </row>
    <row r="24" spans="2:16" ht="21.95" customHeight="1">
      <c r="B24" s="15">
        <v>2013</v>
      </c>
      <c r="C24" s="16">
        <v>37</v>
      </c>
      <c r="D24" s="16">
        <v>43.8</v>
      </c>
      <c r="E24" s="16">
        <v>64.599999999999994</v>
      </c>
      <c r="F24" s="16">
        <v>86.4</v>
      </c>
      <c r="G24" s="16">
        <v>79.5</v>
      </c>
      <c r="H24" s="16">
        <v>117.7</v>
      </c>
      <c r="I24" s="16">
        <v>216.9</v>
      </c>
      <c r="J24" s="16">
        <v>159.5</v>
      </c>
      <c r="K24" s="16">
        <v>80.8</v>
      </c>
      <c r="L24" s="16">
        <v>32.6</v>
      </c>
      <c r="M24" s="16">
        <v>53.9</v>
      </c>
      <c r="N24" s="18">
        <v>24.1</v>
      </c>
      <c r="O24" s="12">
        <f t="shared" si="0"/>
        <v>996.8</v>
      </c>
      <c r="P24" s="19">
        <f t="shared" si="1"/>
        <v>83.1</v>
      </c>
    </row>
    <row r="25" spans="2:16" ht="21.95" customHeight="1">
      <c r="B25" s="15">
        <v>2014</v>
      </c>
      <c r="C25" s="16">
        <v>4.0999999999999996</v>
      </c>
      <c r="D25" s="16">
        <v>2.7</v>
      </c>
      <c r="E25" s="16">
        <v>97.9</v>
      </c>
      <c r="F25" s="16">
        <v>88.7</v>
      </c>
      <c r="G25" s="16">
        <v>26</v>
      </c>
      <c r="H25" s="16">
        <v>45.6</v>
      </c>
      <c r="I25" s="16">
        <v>105.8</v>
      </c>
      <c r="J25" s="16">
        <v>426.4</v>
      </c>
      <c r="K25" s="16">
        <v>91.2</v>
      </c>
      <c r="L25" s="16">
        <v>141.19999999999999</v>
      </c>
      <c r="M25" s="16">
        <v>70.099999999999994</v>
      </c>
      <c r="N25" s="18">
        <v>31.3</v>
      </c>
      <c r="O25" s="12">
        <f t="shared" si="0"/>
        <v>1131</v>
      </c>
      <c r="P25" s="19">
        <f t="shared" si="1"/>
        <v>94.3</v>
      </c>
    </row>
    <row r="26" spans="2:16" ht="21.95" customHeight="1">
      <c r="B26" s="15">
        <v>2015</v>
      </c>
      <c r="C26" s="16">
        <v>37.6</v>
      </c>
      <c r="D26" s="16">
        <v>23.4</v>
      </c>
      <c r="E26" s="16">
        <v>46.6</v>
      </c>
      <c r="F26" s="16">
        <v>93.5</v>
      </c>
      <c r="G26" s="16">
        <v>29.5</v>
      </c>
      <c r="H26" s="16">
        <v>143.69999999999999</v>
      </c>
      <c r="I26" s="16">
        <v>162.30000000000001</v>
      </c>
      <c r="J26" s="16">
        <v>83.6</v>
      </c>
      <c r="K26" s="16">
        <v>18.600000000000001</v>
      </c>
      <c r="L26" s="16">
        <v>93.5</v>
      </c>
      <c r="M26" s="16">
        <v>109.6</v>
      </c>
      <c r="N26" s="18">
        <v>35.700000000000003</v>
      </c>
      <c r="O26" s="12">
        <f t="shared" si="0"/>
        <v>877.6</v>
      </c>
      <c r="P26" s="19">
        <f t="shared" si="1"/>
        <v>73.099999999999994</v>
      </c>
    </row>
    <row r="27" spans="2:16" ht="21.95" customHeight="1">
      <c r="B27" s="15">
        <v>2016</v>
      </c>
      <c r="C27" s="16">
        <v>11.1</v>
      </c>
      <c r="D27" s="16">
        <v>46</v>
      </c>
      <c r="E27" s="16">
        <v>54.5</v>
      </c>
      <c r="F27" s="16">
        <v>171.7</v>
      </c>
      <c r="G27" s="16">
        <v>70.5</v>
      </c>
      <c r="H27" s="16">
        <v>87.4</v>
      </c>
      <c r="I27" s="16">
        <v>377.9</v>
      </c>
      <c r="J27" s="16">
        <v>105.6</v>
      </c>
      <c r="K27" s="16">
        <v>160.9</v>
      </c>
      <c r="L27" s="16">
        <v>157.19999999999999</v>
      </c>
      <c r="M27" s="16">
        <v>33.200000000000003</v>
      </c>
      <c r="N27" s="18">
        <v>49.6</v>
      </c>
      <c r="O27" s="12">
        <f t="shared" si="0"/>
        <v>1325.6</v>
      </c>
      <c r="P27" s="19">
        <f t="shared" si="1"/>
        <v>110.5</v>
      </c>
    </row>
    <row r="28" spans="2:16" ht="21.95" customHeight="1">
      <c r="B28" s="15">
        <v>2017</v>
      </c>
      <c r="C28" s="16">
        <v>13.6</v>
      </c>
      <c r="D28" s="16">
        <v>54.6</v>
      </c>
      <c r="E28" s="16">
        <v>29.8</v>
      </c>
      <c r="F28" s="16">
        <v>76.099999999999994</v>
      </c>
      <c r="G28" s="16">
        <v>31.8</v>
      </c>
      <c r="H28" s="16">
        <v>48.3</v>
      </c>
      <c r="I28" s="16">
        <v>305.5</v>
      </c>
      <c r="J28" s="16">
        <v>222.3</v>
      </c>
      <c r="K28" s="16">
        <v>105.6</v>
      </c>
      <c r="L28" s="16">
        <v>35.1</v>
      </c>
      <c r="M28" s="16">
        <v>15.6</v>
      </c>
      <c r="N28" s="18">
        <v>29.3</v>
      </c>
      <c r="O28" s="12">
        <f t="shared" si="0"/>
        <v>967.6</v>
      </c>
      <c r="P28" s="19">
        <f t="shared" si="1"/>
        <v>80.599999999999994</v>
      </c>
    </row>
    <row r="29" spans="2:16" ht="21.95" customHeight="1">
      <c r="B29" s="15">
        <v>2018</v>
      </c>
      <c r="C29" s="16">
        <v>25.7</v>
      </c>
      <c r="D29" s="16">
        <v>28.1</v>
      </c>
      <c r="E29" s="16">
        <v>91.5</v>
      </c>
      <c r="F29" s="16">
        <v>142.4</v>
      </c>
      <c r="G29" s="16">
        <v>110.4</v>
      </c>
      <c r="H29" s="16">
        <v>104.3</v>
      </c>
      <c r="I29" s="16">
        <v>163.5</v>
      </c>
      <c r="J29" s="16">
        <v>410.4</v>
      </c>
      <c r="K29" s="16">
        <v>135.19999999999999</v>
      </c>
      <c r="L29" s="16">
        <v>112.6</v>
      </c>
      <c r="M29" s="16">
        <v>45.5</v>
      </c>
      <c r="N29" s="18">
        <v>27.6</v>
      </c>
      <c r="O29" s="12">
        <f t="shared" si="0"/>
        <v>1397.2</v>
      </c>
      <c r="P29" s="19">
        <f t="shared" si="1"/>
        <v>116.4</v>
      </c>
    </row>
    <row r="30" spans="2:16" ht="21.95" customHeight="1">
      <c r="B30" s="15">
        <v>2019</v>
      </c>
      <c r="C30" s="16">
        <v>6.4</v>
      </c>
      <c r="D30" s="16">
        <v>41.5</v>
      </c>
      <c r="E30" s="16">
        <v>33</v>
      </c>
      <c r="F30" s="16">
        <v>93</v>
      </c>
      <c r="G30" s="16">
        <v>44.2</v>
      </c>
      <c r="H30" s="16">
        <v>101</v>
      </c>
      <c r="I30" s="16">
        <v>141.1</v>
      </c>
      <c r="J30" s="16">
        <v>105.8</v>
      </c>
      <c r="K30" s="16">
        <v>236.4</v>
      </c>
      <c r="L30" s="16">
        <v>99.3</v>
      </c>
      <c r="M30" s="16">
        <v>47.9</v>
      </c>
      <c r="N30" s="18">
        <v>33</v>
      </c>
      <c r="O30" s="12">
        <f t="shared" si="0"/>
        <v>982.6</v>
      </c>
      <c r="P30" s="19">
        <f t="shared" si="1"/>
        <v>81.900000000000006</v>
      </c>
    </row>
    <row r="31" spans="2:16" ht="21.95" customHeight="1">
      <c r="B31" s="15">
        <v>2020</v>
      </c>
      <c r="C31" s="16">
        <v>80.8</v>
      </c>
      <c r="D31" s="16">
        <v>83.9</v>
      </c>
      <c r="E31" s="16">
        <v>20.5</v>
      </c>
      <c r="F31" s="16">
        <v>35.6</v>
      </c>
      <c r="G31" s="16">
        <v>80.5</v>
      </c>
      <c r="H31" s="16">
        <v>234</v>
      </c>
      <c r="I31" s="16">
        <v>628</v>
      </c>
      <c r="J31" s="16">
        <v>373.4</v>
      </c>
      <c r="K31" s="16">
        <v>167.2</v>
      </c>
      <c r="L31" s="16">
        <v>4.0999999999999996</v>
      </c>
      <c r="M31" s="16">
        <v>41.9</v>
      </c>
      <c r="N31" s="18">
        <v>8.3000000000000007</v>
      </c>
      <c r="O31" s="12">
        <f t="shared" si="0"/>
        <v>1758.2</v>
      </c>
      <c r="P31" s="19">
        <f t="shared" si="1"/>
        <v>146.5</v>
      </c>
    </row>
    <row r="32" spans="2:16" ht="21.95" customHeight="1">
      <c r="B32" s="15">
        <v>2021</v>
      </c>
      <c r="C32" s="16">
        <v>23.5</v>
      </c>
      <c r="D32" s="16">
        <v>19.3</v>
      </c>
      <c r="E32" s="16">
        <v>88</v>
      </c>
      <c r="F32" s="16">
        <v>39.299999999999997</v>
      </c>
      <c r="G32" s="16">
        <v>162.69999999999999</v>
      </c>
      <c r="H32" s="16">
        <v>105.6</v>
      </c>
      <c r="I32" s="16">
        <v>300.8</v>
      </c>
      <c r="J32" s="16">
        <v>297.2</v>
      </c>
      <c r="K32" s="16">
        <v>151.9</v>
      </c>
      <c r="L32" s="16">
        <v>44</v>
      </c>
      <c r="M32" s="16">
        <v>50.7</v>
      </c>
      <c r="N32" s="18">
        <v>7.1</v>
      </c>
      <c r="O32" s="12">
        <f t="shared" si="0"/>
        <v>1290.0999999999999</v>
      </c>
      <c r="P32" s="19">
        <f t="shared" si="1"/>
        <v>107.5</v>
      </c>
    </row>
    <row r="33" spans="2:16" ht="21.95" customHeight="1">
      <c r="B33" s="15">
        <v>2022</v>
      </c>
      <c r="C33" s="16">
        <v>1.5</v>
      </c>
      <c r="D33" s="16">
        <v>4.0999999999999996</v>
      </c>
      <c r="E33" s="16">
        <v>80.599999999999994</v>
      </c>
      <c r="F33" s="16">
        <v>63.3</v>
      </c>
      <c r="G33" s="16">
        <v>4.7</v>
      </c>
      <c r="H33" s="16">
        <v>145.4</v>
      </c>
      <c r="I33" s="16">
        <v>183.7</v>
      </c>
      <c r="J33" s="16">
        <v>265.7</v>
      </c>
      <c r="K33" s="16">
        <v>68.2</v>
      </c>
      <c r="L33" s="16">
        <v>59.3</v>
      </c>
      <c r="M33" s="16">
        <v>54.2</v>
      </c>
      <c r="N33" s="18">
        <v>18</v>
      </c>
      <c r="O33" s="12">
        <f t="shared" si="0"/>
        <v>948.7</v>
      </c>
      <c r="P33" s="19">
        <f t="shared" si="1"/>
        <v>79.099999999999994</v>
      </c>
    </row>
    <row r="34" spans="2:16" ht="21.95" customHeight="1">
      <c r="B34" s="15">
        <v>2023</v>
      </c>
      <c r="C34" s="16">
        <v>28.7</v>
      </c>
      <c r="D34" s="16">
        <v>8.6999999999999993</v>
      </c>
      <c r="E34" s="16">
        <v>22</v>
      </c>
      <c r="F34" s="16">
        <v>46.1</v>
      </c>
      <c r="G34" s="16">
        <v>211.5</v>
      </c>
      <c r="H34" s="16">
        <v>196.9</v>
      </c>
      <c r="I34" s="16">
        <v>624.5</v>
      </c>
      <c r="J34" s="16">
        <v>248.7</v>
      </c>
      <c r="K34" s="16">
        <v>218.5</v>
      </c>
      <c r="L34" s="16">
        <v>7.6</v>
      </c>
      <c r="M34" s="16">
        <v>60</v>
      </c>
      <c r="N34" s="18">
        <v>127.7</v>
      </c>
      <c r="O34" s="12">
        <f t="shared" si="0"/>
        <v>1800.9</v>
      </c>
      <c r="P34" s="19">
        <f t="shared" si="1"/>
        <v>150.1</v>
      </c>
    </row>
    <row r="35" spans="2:16" ht="21.95" customHeight="1" thickBot="1">
      <c r="B35" s="33">
        <v>2024</v>
      </c>
      <c r="C35" s="34">
        <v>54.3</v>
      </c>
      <c r="D35" s="34">
        <v>95.7</v>
      </c>
      <c r="E35" s="34">
        <v>72.7</v>
      </c>
      <c r="F35" s="34">
        <v>46.4</v>
      </c>
      <c r="G35" s="34">
        <v>83.2</v>
      </c>
      <c r="H35" s="34">
        <v>119.7</v>
      </c>
      <c r="I35" s="34">
        <v>501.5</v>
      </c>
      <c r="J35" s="34">
        <v>56.7</v>
      </c>
      <c r="K35" s="34">
        <v>264.8</v>
      </c>
      <c r="L35" s="34">
        <v>81</v>
      </c>
      <c r="M35" s="34">
        <v>32.700000000000003</v>
      </c>
      <c r="N35" s="35">
        <v>7.5</v>
      </c>
      <c r="O35" s="36">
        <f t="shared" si="0"/>
        <v>1416.2</v>
      </c>
      <c r="P35" s="37">
        <f t="shared" si="1"/>
        <v>118</v>
      </c>
    </row>
    <row r="36" spans="2:16" ht="21.95" customHeight="1">
      <c r="B36" s="38" t="s">
        <v>13</v>
      </c>
      <c r="C36" s="39">
        <f>ROUND(MAX(C6:C35),1)</f>
        <v>80.8</v>
      </c>
      <c r="D36" s="39">
        <f t="shared" ref="D36:N36" si="2">ROUND(MAX(D6:D35),1)</f>
        <v>95.7</v>
      </c>
      <c r="E36" s="39">
        <f t="shared" si="2"/>
        <v>129</v>
      </c>
      <c r="F36" s="39">
        <f t="shared" si="2"/>
        <v>202.5</v>
      </c>
      <c r="G36" s="39">
        <f t="shared" si="2"/>
        <v>211.5</v>
      </c>
      <c r="H36" s="39">
        <f t="shared" si="2"/>
        <v>546</v>
      </c>
      <c r="I36" s="39">
        <f t="shared" si="2"/>
        <v>681.5</v>
      </c>
      <c r="J36" s="39">
        <f t="shared" si="2"/>
        <v>579.5</v>
      </c>
      <c r="K36" s="39">
        <f t="shared" si="2"/>
        <v>398.5</v>
      </c>
      <c r="L36" s="39">
        <f t="shared" si="2"/>
        <v>157.19999999999999</v>
      </c>
      <c r="M36" s="39">
        <f t="shared" si="2"/>
        <v>160</v>
      </c>
      <c r="N36" s="40">
        <f t="shared" si="2"/>
        <v>127.7</v>
      </c>
      <c r="O36" s="41">
        <f>ROUND(MAX(O6:O35),1)</f>
        <v>1800.9</v>
      </c>
      <c r="P36" s="42">
        <f>ROUND(MAX(P6:P35),1)</f>
        <v>150.1</v>
      </c>
    </row>
    <row r="37" spans="2:16" ht="21.95" customHeight="1">
      <c r="B37" s="43" t="s">
        <v>14</v>
      </c>
      <c r="C37" s="44">
        <f>ROUND(MIN(C6:C35),1)</f>
        <v>1.5</v>
      </c>
      <c r="D37" s="44">
        <f t="shared" ref="D37:N37" si="3">ROUND(MIN(D6:D35),1)</f>
        <v>1.1000000000000001</v>
      </c>
      <c r="E37" s="44">
        <f t="shared" si="3"/>
        <v>8.4</v>
      </c>
      <c r="F37" s="44">
        <f t="shared" si="3"/>
        <v>22.5</v>
      </c>
      <c r="G37" s="44">
        <f t="shared" si="3"/>
        <v>4.7</v>
      </c>
      <c r="H37" s="44">
        <f t="shared" si="3"/>
        <v>45.6</v>
      </c>
      <c r="I37" s="44">
        <f t="shared" si="3"/>
        <v>83.5</v>
      </c>
      <c r="J37" s="44">
        <f t="shared" si="3"/>
        <v>43</v>
      </c>
      <c r="K37" s="44">
        <f t="shared" si="3"/>
        <v>12.5</v>
      </c>
      <c r="L37" s="44">
        <f t="shared" si="3"/>
        <v>2.5</v>
      </c>
      <c r="M37" s="44">
        <f t="shared" si="3"/>
        <v>12</v>
      </c>
      <c r="N37" s="19">
        <f t="shared" si="3"/>
        <v>4.5999999999999996</v>
      </c>
      <c r="O37" s="45">
        <f>ROUND(MIN(O6:O35),1)</f>
        <v>877.6</v>
      </c>
      <c r="P37" s="46">
        <f>ROUND(MIN(P6:P35),1)</f>
        <v>73.099999999999994</v>
      </c>
    </row>
    <row r="38" spans="2:16" ht="21.95" customHeight="1" thickBot="1">
      <c r="B38" s="47" t="s">
        <v>18</v>
      </c>
      <c r="C38" s="48">
        <f>ROUND(AVERAGE(C6:C35),1)</f>
        <v>26.6</v>
      </c>
      <c r="D38" s="48">
        <f t="shared" ref="D38:P38" si="4">ROUND(AVERAGE(D6:D35),1)</f>
        <v>36.5</v>
      </c>
      <c r="E38" s="48">
        <f t="shared" si="4"/>
        <v>54.1</v>
      </c>
      <c r="F38" s="48">
        <f t="shared" si="4"/>
        <v>82.3</v>
      </c>
      <c r="G38" s="48">
        <f t="shared" si="4"/>
        <v>85.4</v>
      </c>
      <c r="H38" s="48">
        <f t="shared" si="4"/>
        <v>163.6</v>
      </c>
      <c r="I38" s="48">
        <f t="shared" si="4"/>
        <v>317.7</v>
      </c>
      <c r="J38" s="48">
        <f t="shared" si="4"/>
        <v>284.2</v>
      </c>
      <c r="K38" s="48">
        <f t="shared" si="4"/>
        <v>138.6</v>
      </c>
      <c r="L38" s="48">
        <f t="shared" si="4"/>
        <v>55.1</v>
      </c>
      <c r="M38" s="48">
        <f t="shared" si="4"/>
        <v>48.2</v>
      </c>
      <c r="N38" s="49">
        <f t="shared" si="4"/>
        <v>30.2</v>
      </c>
      <c r="O38" s="50">
        <f t="shared" si="4"/>
        <v>1322.4</v>
      </c>
      <c r="P38" s="51">
        <f t="shared" si="4"/>
        <v>110.2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37.6</v>
      </c>
      <c r="D44" s="53">
        <f t="shared" si="5"/>
        <v>23.4</v>
      </c>
      <c r="E44" s="53">
        <f t="shared" si="5"/>
        <v>46.6</v>
      </c>
      <c r="F44" s="53">
        <f t="shared" si="5"/>
        <v>93.5</v>
      </c>
      <c r="G44" s="53">
        <f t="shared" si="5"/>
        <v>29.5</v>
      </c>
      <c r="H44" s="53">
        <f t="shared" si="5"/>
        <v>143.69999999999999</v>
      </c>
      <c r="I44" s="53">
        <f t="shared" si="5"/>
        <v>162.30000000000001</v>
      </c>
      <c r="J44" s="53">
        <f t="shared" si="5"/>
        <v>83.6</v>
      </c>
      <c r="K44" s="53">
        <f t="shared" si="5"/>
        <v>18.600000000000001</v>
      </c>
      <c r="L44" s="53">
        <f t="shared" si="5"/>
        <v>93.5</v>
      </c>
      <c r="M44" s="53">
        <f t="shared" si="5"/>
        <v>109.6</v>
      </c>
      <c r="N44" s="54">
        <f t="shared" si="5"/>
        <v>35.700000000000003</v>
      </c>
      <c r="O44" s="55">
        <f>ROUND(SUM(C44:N44),1)</f>
        <v>877.6</v>
      </c>
      <c r="P44" s="46">
        <f>ROUND(O44/12,1)</f>
        <v>73.099999999999994</v>
      </c>
    </row>
    <row r="45" spans="2:16" ht="21.95" customHeight="1">
      <c r="B45" s="52">
        <f t="shared" ref="B45:N53" si="6">B27</f>
        <v>2016</v>
      </c>
      <c r="C45" s="53">
        <f t="shared" si="6"/>
        <v>11.1</v>
      </c>
      <c r="D45" s="53">
        <f t="shared" si="6"/>
        <v>46</v>
      </c>
      <c r="E45" s="53">
        <f t="shared" si="6"/>
        <v>54.5</v>
      </c>
      <c r="F45" s="53">
        <f t="shared" si="6"/>
        <v>171.7</v>
      </c>
      <c r="G45" s="53">
        <f t="shared" si="6"/>
        <v>70.5</v>
      </c>
      <c r="H45" s="53">
        <f t="shared" si="6"/>
        <v>87.4</v>
      </c>
      <c r="I45" s="53">
        <f t="shared" si="6"/>
        <v>377.9</v>
      </c>
      <c r="J45" s="53">
        <f t="shared" si="6"/>
        <v>105.6</v>
      </c>
      <c r="K45" s="53">
        <f t="shared" si="6"/>
        <v>160.9</v>
      </c>
      <c r="L45" s="53">
        <f t="shared" si="6"/>
        <v>157.19999999999999</v>
      </c>
      <c r="M45" s="53">
        <f t="shared" si="6"/>
        <v>33.200000000000003</v>
      </c>
      <c r="N45" s="54">
        <f t="shared" si="6"/>
        <v>49.6</v>
      </c>
      <c r="O45" s="55">
        <f t="shared" ref="O45:O53" si="7">ROUND(SUM(C45:N45),1)</f>
        <v>1325.6</v>
      </c>
      <c r="P45" s="46">
        <f t="shared" ref="P45:P53" si="8">ROUND(O45/12,1)</f>
        <v>110.5</v>
      </c>
    </row>
    <row r="46" spans="2:16" ht="21.95" customHeight="1">
      <c r="B46" s="52">
        <f t="shared" si="6"/>
        <v>2017</v>
      </c>
      <c r="C46" s="53">
        <f t="shared" si="6"/>
        <v>13.6</v>
      </c>
      <c r="D46" s="53">
        <f t="shared" si="6"/>
        <v>54.6</v>
      </c>
      <c r="E46" s="53">
        <f t="shared" si="6"/>
        <v>29.8</v>
      </c>
      <c r="F46" s="53">
        <f t="shared" si="6"/>
        <v>76.099999999999994</v>
      </c>
      <c r="G46" s="53">
        <f t="shared" si="6"/>
        <v>31.8</v>
      </c>
      <c r="H46" s="53">
        <f t="shared" si="6"/>
        <v>48.3</v>
      </c>
      <c r="I46" s="53">
        <f t="shared" si="6"/>
        <v>305.5</v>
      </c>
      <c r="J46" s="53">
        <f t="shared" si="6"/>
        <v>222.3</v>
      </c>
      <c r="K46" s="53">
        <f t="shared" si="6"/>
        <v>105.6</v>
      </c>
      <c r="L46" s="53">
        <f t="shared" si="6"/>
        <v>35.1</v>
      </c>
      <c r="M46" s="53">
        <f t="shared" si="6"/>
        <v>15.6</v>
      </c>
      <c r="N46" s="54">
        <f t="shared" si="6"/>
        <v>29.3</v>
      </c>
      <c r="O46" s="55">
        <f t="shared" si="7"/>
        <v>967.6</v>
      </c>
      <c r="P46" s="46">
        <f t="shared" si="8"/>
        <v>80.599999999999994</v>
      </c>
    </row>
    <row r="47" spans="2:16" ht="21.95" customHeight="1">
      <c r="B47" s="52">
        <f t="shared" si="6"/>
        <v>2018</v>
      </c>
      <c r="C47" s="53">
        <f t="shared" si="6"/>
        <v>25.7</v>
      </c>
      <c r="D47" s="53">
        <f t="shared" si="6"/>
        <v>28.1</v>
      </c>
      <c r="E47" s="53">
        <f t="shared" si="6"/>
        <v>91.5</v>
      </c>
      <c r="F47" s="53">
        <f t="shared" si="6"/>
        <v>142.4</v>
      </c>
      <c r="G47" s="53">
        <f t="shared" si="6"/>
        <v>110.4</v>
      </c>
      <c r="H47" s="53">
        <f t="shared" si="6"/>
        <v>104.3</v>
      </c>
      <c r="I47" s="53">
        <f t="shared" si="6"/>
        <v>163.5</v>
      </c>
      <c r="J47" s="53">
        <f t="shared" si="6"/>
        <v>410.4</v>
      </c>
      <c r="K47" s="53">
        <f t="shared" si="6"/>
        <v>135.19999999999999</v>
      </c>
      <c r="L47" s="53">
        <f t="shared" si="6"/>
        <v>112.6</v>
      </c>
      <c r="M47" s="53">
        <f t="shared" si="6"/>
        <v>45.5</v>
      </c>
      <c r="N47" s="54">
        <f t="shared" si="6"/>
        <v>27.6</v>
      </c>
      <c r="O47" s="55">
        <f>ROUND(SUM(C47:N47),1)</f>
        <v>1397.2</v>
      </c>
      <c r="P47" s="46">
        <f t="shared" si="8"/>
        <v>116.4</v>
      </c>
    </row>
    <row r="48" spans="2:16" ht="21.95" customHeight="1">
      <c r="B48" s="52">
        <f t="shared" si="6"/>
        <v>2019</v>
      </c>
      <c r="C48" s="53">
        <f t="shared" si="6"/>
        <v>6.4</v>
      </c>
      <c r="D48" s="53">
        <f t="shared" si="6"/>
        <v>41.5</v>
      </c>
      <c r="E48" s="53">
        <f t="shared" si="6"/>
        <v>33</v>
      </c>
      <c r="F48" s="53">
        <f t="shared" si="6"/>
        <v>93</v>
      </c>
      <c r="G48" s="53">
        <f t="shared" si="6"/>
        <v>44.2</v>
      </c>
      <c r="H48" s="53">
        <f t="shared" si="6"/>
        <v>101</v>
      </c>
      <c r="I48" s="53">
        <f t="shared" si="6"/>
        <v>141.1</v>
      </c>
      <c r="J48" s="53">
        <f t="shared" si="6"/>
        <v>105.8</v>
      </c>
      <c r="K48" s="53">
        <f t="shared" si="6"/>
        <v>236.4</v>
      </c>
      <c r="L48" s="53">
        <f t="shared" si="6"/>
        <v>99.3</v>
      </c>
      <c r="M48" s="53">
        <f t="shared" si="6"/>
        <v>47.9</v>
      </c>
      <c r="N48" s="54">
        <f t="shared" si="6"/>
        <v>33</v>
      </c>
      <c r="O48" s="55">
        <f t="shared" si="7"/>
        <v>982.6</v>
      </c>
      <c r="P48" s="46">
        <f t="shared" si="8"/>
        <v>81.900000000000006</v>
      </c>
    </row>
    <row r="49" spans="2:16" ht="21.95" customHeight="1">
      <c r="B49" s="52">
        <f t="shared" si="6"/>
        <v>2020</v>
      </c>
      <c r="C49" s="53">
        <f t="shared" si="6"/>
        <v>80.8</v>
      </c>
      <c r="D49" s="53">
        <f t="shared" si="6"/>
        <v>83.9</v>
      </c>
      <c r="E49" s="53">
        <f t="shared" si="6"/>
        <v>20.5</v>
      </c>
      <c r="F49" s="53">
        <f t="shared" si="6"/>
        <v>35.6</v>
      </c>
      <c r="G49" s="53">
        <f t="shared" si="6"/>
        <v>80.5</v>
      </c>
      <c r="H49" s="53">
        <f t="shared" si="6"/>
        <v>234</v>
      </c>
      <c r="I49" s="53">
        <f t="shared" si="6"/>
        <v>628</v>
      </c>
      <c r="J49" s="53">
        <f t="shared" si="6"/>
        <v>373.4</v>
      </c>
      <c r="K49" s="53">
        <f t="shared" si="6"/>
        <v>167.2</v>
      </c>
      <c r="L49" s="53">
        <f t="shared" si="6"/>
        <v>4.0999999999999996</v>
      </c>
      <c r="M49" s="53">
        <f t="shared" si="6"/>
        <v>41.9</v>
      </c>
      <c r="N49" s="54">
        <f t="shared" si="6"/>
        <v>8.3000000000000007</v>
      </c>
      <c r="O49" s="55">
        <f t="shared" si="7"/>
        <v>1758.2</v>
      </c>
      <c r="P49" s="46">
        <f t="shared" si="8"/>
        <v>146.5</v>
      </c>
    </row>
    <row r="50" spans="2:16" ht="21.95" customHeight="1">
      <c r="B50" s="52">
        <f t="shared" si="6"/>
        <v>2021</v>
      </c>
      <c r="C50" s="53">
        <f t="shared" si="6"/>
        <v>23.5</v>
      </c>
      <c r="D50" s="53">
        <f t="shared" si="6"/>
        <v>19.3</v>
      </c>
      <c r="E50" s="53">
        <f t="shared" si="6"/>
        <v>88</v>
      </c>
      <c r="F50" s="53">
        <f t="shared" si="6"/>
        <v>39.299999999999997</v>
      </c>
      <c r="G50" s="53">
        <f t="shared" si="6"/>
        <v>162.69999999999999</v>
      </c>
      <c r="H50" s="53">
        <f t="shared" si="6"/>
        <v>105.6</v>
      </c>
      <c r="I50" s="53">
        <f t="shared" si="6"/>
        <v>300.8</v>
      </c>
      <c r="J50" s="53">
        <f t="shared" si="6"/>
        <v>297.2</v>
      </c>
      <c r="K50" s="53">
        <f t="shared" si="6"/>
        <v>151.9</v>
      </c>
      <c r="L50" s="53">
        <f t="shared" si="6"/>
        <v>44</v>
      </c>
      <c r="M50" s="53">
        <f t="shared" si="6"/>
        <v>50.7</v>
      </c>
      <c r="N50" s="54">
        <f t="shared" si="6"/>
        <v>7.1</v>
      </c>
      <c r="O50" s="55">
        <f t="shared" si="7"/>
        <v>1290.0999999999999</v>
      </c>
      <c r="P50" s="46">
        <f t="shared" si="8"/>
        <v>107.5</v>
      </c>
    </row>
    <row r="51" spans="2:16" ht="21.95" customHeight="1">
      <c r="B51" s="52">
        <f t="shared" si="6"/>
        <v>2022</v>
      </c>
      <c r="C51" s="53">
        <f t="shared" si="6"/>
        <v>1.5</v>
      </c>
      <c r="D51" s="53">
        <f t="shared" si="6"/>
        <v>4.0999999999999996</v>
      </c>
      <c r="E51" s="53">
        <f t="shared" si="6"/>
        <v>80.599999999999994</v>
      </c>
      <c r="F51" s="53">
        <f t="shared" si="6"/>
        <v>63.3</v>
      </c>
      <c r="G51" s="53">
        <f t="shared" si="6"/>
        <v>4.7</v>
      </c>
      <c r="H51" s="53">
        <f t="shared" si="6"/>
        <v>145.4</v>
      </c>
      <c r="I51" s="53">
        <f t="shared" si="6"/>
        <v>183.7</v>
      </c>
      <c r="J51" s="53">
        <f t="shared" si="6"/>
        <v>265.7</v>
      </c>
      <c r="K51" s="53">
        <f t="shared" si="6"/>
        <v>68.2</v>
      </c>
      <c r="L51" s="53">
        <f t="shared" si="6"/>
        <v>59.3</v>
      </c>
      <c r="M51" s="53">
        <f t="shared" si="6"/>
        <v>54.2</v>
      </c>
      <c r="N51" s="54">
        <f t="shared" si="6"/>
        <v>18</v>
      </c>
      <c r="O51" s="55">
        <f t="shared" si="7"/>
        <v>948.7</v>
      </c>
      <c r="P51" s="46">
        <f t="shared" si="8"/>
        <v>79.099999999999994</v>
      </c>
    </row>
    <row r="52" spans="2:16" ht="21.95" customHeight="1">
      <c r="B52" s="52">
        <f t="shared" si="6"/>
        <v>2023</v>
      </c>
      <c r="C52" s="53">
        <f t="shared" si="6"/>
        <v>28.7</v>
      </c>
      <c r="D52" s="53">
        <f t="shared" si="6"/>
        <v>8.6999999999999993</v>
      </c>
      <c r="E52" s="53">
        <f t="shared" si="6"/>
        <v>22</v>
      </c>
      <c r="F52" s="53">
        <f t="shared" si="6"/>
        <v>46.1</v>
      </c>
      <c r="G52" s="53">
        <f t="shared" si="6"/>
        <v>211.5</v>
      </c>
      <c r="H52" s="53">
        <f t="shared" si="6"/>
        <v>196.9</v>
      </c>
      <c r="I52" s="53">
        <f t="shared" si="6"/>
        <v>624.5</v>
      </c>
      <c r="J52" s="53">
        <f t="shared" si="6"/>
        <v>248.7</v>
      </c>
      <c r="K52" s="53">
        <f t="shared" si="6"/>
        <v>218.5</v>
      </c>
      <c r="L52" s="53">
        <f t="shared" si="6"/>
        <v>7.6</v>
      </c>
      <c r="M52" s="53">
        <f t="shared" si="6"/>
        <v>60</v>
      </c>
      <c r="N52" s="54">
        <f t="shared" si="6"/>
        <v>127.7</v>
      </c>
      <c r="O52" s="55">
        <f t="shared" si="7"/>
        <v>1800.9</v>
      </c>
      <c r="P52" s="46">
        <f t="shared" si="8"/>
        <v>150.1</v>
      </c>
    </row>
    <row r="53" spans="2:16" ht="21.95" customHeight="1" thickBot="1">
      <c r="B53" s="56">
        <f t="shared" si="6"/>
        <v>2024</v>
      </c>
      <c r="C53" s="57">
        <f t="shared" si="6"/>
        <v>54.3</v>
      </c>
      <c r="D53" s="57">
        <f t="shared" si="6"/>
        <v>95.7</v>
      </c>
      <c r="E53" s="57">
        <f t="shared" si="6"/>
        <v>72.7</v>
      </c>
      <c r="F53" s="57">
        <f t="shared" si="6"/>
        <v>46.4</v>
      </c>
      <c r="G53" s="57">
        <f t="shared" si="6"/>
        <v>83.2</v>
      </c>
      <c r="H53" s="57">
        <f t="shared" si="6"/>
        <v>119.7</v>
      </c>
      <c r="I53" s="57">
        <f t="shared" si="6"/>
        <v>501.5</v>
      </c>
      <c r="J53" s="57">
        <f t="shared" si="6"/>
        <v>56.7</v>
      </c>
      <c r="K53" s="57">
        <f t="shared" si="6"/>
        <v>264.8</v>
      </c>
      <c r="L53" s="57">
        <f t="shared" si="6"/>
        <v>81</v>
      </c>
      <c r="M53" s="57">
        <f t="shared" si="6"/>
        <v>32.700000000000003</v>
      </c>
      <c r="N53" s="58">
        <f t="shared" si="6"/>
        <v>7.5</v>
      </c>
      <c r="O53" s="59">
        <f t="shared" si="7"/>
        <v>1416.2</v>
      </c>
      <c r="P53" s="51">
        <f t="shared" si="8"/>
        <v>118</v>
      </c>
    </row>
    <row r="54" spans="2:16" ht="21.95" customHeight="1">
      <c r="B54" s="60" t="s">
        <v>19</v>
      </c>
      <c r="C54" s="61">
        <f>MAX(C44:C53)</f>
        <v>80.8</v>
      </c>
      <c r="D54" s="61">
        <f t="shared" ref="D54:P54" si="9">MAX(D44:D53)</f>
        <v>95.7</v>
      </c>
      <c r="E54" s="61">
        <f t="shared" si="9"/>
        <v>91.5</v>
      </c>
      <c r="F54" s="61">
        <f t="shared" si="9"/>
        <v>171.7</v>
      </c>
      <c r="G54" s="61">
        <f t="shared" si="9"/>
        <v>211.5</v>
      </c>
      <c r="H54" s="61">
        <f t="shared" si="9"/>
        <v>234</v>
      </c>
      <c r="I54" s="61">
        <f t="shared" si="9"/>
        <v>628</v>
      </c>
      <c r="J54" s="61">
        <f t="shared" si="9"/>
        <v>410.4</v>
      </c>
      <c r="K54" s="61">
        <f t="shared" si="9"/>
        <v>264.8</v>
      </c>
      <c r="L54" s="61">
        <f t="shared" si="9"/>
        <v>157.19999999999999</v>
      </c>
      <c r="M54" s="61">
        <f t="shared" si="9"/>
        <v>109.6</v>
      </c>
      <c r="N54" s="62">
        <f t="shared" si="9"/>
        <v>127.7</v>
      </c>
      <c r="O54" s="63">
        <f t="shared" si="9"/>
        <v>1800.9</v>
      </c>
      <c r="P54" s="62">
        <f t="shared" si="9"/>
        <v>150.1</v>
      </c>
    </row>
    <row r="55" spans="2:16" ht="21.95" customHeight="1">
      <c r="B55" s="64" t="s">
        <v>20</v>
      </c>
      <c r="C55" s="65">
        <f>MIN(C44:C53)</f>
        <v>1.5</v>
      </c>
      <c r="D55" s="65">
        <f t="shared" ref="D55:P55" si="10">MIN(D44:D53)</f>
        <v>4.0999999999999996</v>
      </c>
      <c r="E55" s="65">
        <f t="shared" si="10"/>
        <v>20.5</v>
      </c>
      <c r="F55" s="65">
        <f t="shared" si="10"/>
        <v>35.6</v>
      </c>
      <c r="G55" s="65">
        <f t="shared" si="10"/>
        <v>4.7</v>
      </c>
      <c r="H55" s="65">
        <f t="shared" si="10"/>
        <v>48.3</v>
      </c>
      <c r="I55" s="65">
        <f t="shared" si="10"/>
        <v>141.1</v>
      </c>
      <c r="J55" s="65">
        <f t="shared" si="10"/>
        <v>56.7</v>
      </c>
      <c r="K55" s="65">
        <f t="shared" si="10"/>
        <v>18.600000000000001</v>
      </c>
      <c r="L55" s="65">
        <f t="shared" si="10"/>
        <v>4.0999999999999996</v>
      </c>
      <c r="M55" s="65">
        <f t="shared" si="10"/>
        <v>15.6</v>
      </c>
      <c r="N55" s="46">
        <f t="shared" si="10"/>
        <v>7.1</v>
      </c>
      <c r="O55" s="55">
        <f>MIN(O44:O53)</f>
        <v>877.6</v>
      </c>
      <c r="P55" s="46">
        <f t="shared" si="10"/>
        <v>73.099999999999994</v>
      </c>
    </row>
    <row r="56" spans="2:16" ht="21.95" customHeight="1" thickBot="1">
      <c r="B56" s="66" t="s">
        <v>7</v>
      </c>
      <c r="C56" s="67">
        <f>ROUND(AVERAGE(C44:C53),1)</f>
        <v>28.3</v>
      </c>
      <c r="D56" s="67">
        <f t="shared" ref="D56:N56" si="11">ROUND(AVERAGE(D44:D53),1)</f>
        <v>40.5</v>
      </c>
      <c r="E56" s="67">
        <f t="shared" si="11"/>
        <v>53.9</v>
      </c>
      <c r="F56" s="67">
        <f t="shared" si="11"/>
        <v>80.7</v>
      </c>
      <c r="G56" s="67">
        <f t="shared" si="11"/>
        <v>82.9</v>
      </c>
      <c r="H56" s="67">
        <f t="shared" si="11"/>
        <v>128.6</v>
      </c>
      <c r="I56" s="67">
        <f t="shared" si="11"/>
        <v>338.9</v>
      </c>
      <c r="J56" s="67">
        <f t="shared" si="11"/>
        <v>216.9</v>
      </c>
      <c r="K56" s="67">
        <f t="shared" si="11"/>
        <v>152.69999999999999</v>
      </c>
      <c r="L56" s="67">
        <f t="shared" si="11"/>
        <v>69.400000000000006</v>
      </c>
      <c r="M56" s="67">
        <f t="shared" si="11"/>
        <v>49.1</v>
      </c>
      <c r="N56" s="51">
        <f t="shared" si="11"/>
        <v>34.4</v>
      </c>
      <c r="O56" s="59">
        <f>ROUND(AVERAGE(O44:O53),1)</f>
        <v>1276.5</v>
      </c>
      <c r="P56" s="51">
        <f>ROUND(AVERAGE(P44:P53),1)</f>
        <v>106.4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4E67-5064-40DC-8A4E-62CCCFA31CB6}">
  <sheetPr codeName="Sheet20">
    <tabColor rgb="FF7030A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287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23.5</v>
      </c>
      <c r="D6" s="9">
        <v>16.899999999999999</v>
      </c>
      <c r="E6" s="9">
        <v>33.799999999999997</v>
      </c>
      <c r="F6" s="9">
        <v>54.7</v>
      </c>
      <c r="G6" s="9">
        <v>62.2</v>
      </c>
      <c r="H6" s="9">
        <v>33.6</v>
      </c>
      <c r="I6" s="9">
        <v>155.4</v>
      </c>
      <c r="J6" s="10">
        <v>641.9</v>
      </c>
      <c r="K6" s="9">
        <v>53.4</v>
      </c>
      <c r="L6" s="9">
        <v>36</v>
      </c>
      <c r="M6" s="9">
        <v>17.5</v>
      </c>
      <c r="N6" s="11">
        <v>7.3</v>
      </c>
      <c r="O6" s="12">
        <f t="shared" ref="O6:O35" si="0">ROUND(SUM(C6:N6),1)</f>
        <v>1136.2</v>
      </c>
      <c r="P6" s="13">
        <f>ROUND(O6/12,1)</f>
        <v>94.7</v>
      </c>
      <c r="Q6" s="14"/>
    </row>
    <row r="7" spans="2:17" ht="21.95" customHeight="1">
      <c r="B7" s="15">
        <v>1996</v>
      </c>
      <c r="C7" s="16">
        <v>32.700000000000003</v>
      </c>
      <c r="D7" s="16">
        <v>4.4000000000000004</v>
      </c>
      <c r="E7" s="16">
        <v>138</v>
      </c>
      <c r="F7" s="16">
        <v>49.8</v>
      </c>
      <c r="G7" s="16">
        <v>62.9</v>
      </c>
      <c r="H7" s="16">
        <v>411.4</v>
      </c>
      <c r="I7" s="16">
        <v>257.7</v>
      </c>
      <c r="J7" s="17">
        <v>114.4</v>
      </c>
      <c r="K7" s="16">
        <v>11.4</v>
      </c>
      <c r="L7" s="16">
        <v>90.8</v>
      </c>
      <c r="M7" s="16">
        <v>77.099999999999994</v>
      </c>
      <c r="N7" s="18">
        <v>28.6</v>
      </c>
      <c r="O7" s="12">
        <f t="shared" si="0"/>
        <v>1279.2</v>
      </c>
      <c r="P7" s="19">
        <f t="shared" ref="P7:P35" si="1">ROUND(O7/12,1)</f>
        <v>106.6</v>
      </c>
      <c r="Q7" s="14"/>
    </row>
    <row r="8" spans="2:17" ht="21.95" customHeight="1">
      <c r="B8" s="15">
        <v>1997</v>
      </c>
      <c r="C8" s="16">
        <v>15.6</v>
      </c>
      <c r="D8" s="16">
        <v>51.1</v>
      </c>
      <c r="E8" s="16">
        <v>37.1</v>
      </c>
      <c r="F8" s="16">
        <v>55.4</v>
      </c>
      <c r="G8" s="16">
        <v>200.9</v>
      </c>
      <c r="H8" s="16">
        <v>267.5</v>
      </c>
      <c r="I8" s="16">
        <v>424.2</v>
      </c>
      <c r="J8" s="16">
        <v>463.5</v>
      </c>
      <c r="K8" s="16">
        <v>30.2</v>
      </c>
      <c r="L8" s="16">
        <v>7.7</v>
      </c>
      <c r="M8" s="16">
        <v>168.2</v>
      </c>
      <c r="N8" s="18">
        <v>44.5</v>
      </c>
      <c r="O8" s="12">
        <f t="shared" si="0"/>
        <v>1765.9</v>
      </c>
      <c r="P8" s="19">
        <f t="shared" si="1"/>
        <v>147.19999999999999</v>
      </c>
      <c r="Q8" s="14"/>
    </row>
    <row r="9" spans="2:17" ht="21.95" customHeight="1">
      <c r="B9" s="15">
        <v>1998</v>
      </c>
      <c r="C9" s="16">
        <v>33.299999999999997</v>
      </c>
      <c r="D9" s="16">
        <v>36.299999999999997</v>
      </c>
      <c r="E9" s="16">
        <v>31.1</v>
      </c>
      <c r="F9" s="16">
        <v>154.30000000000001</v>
      </c>
      <c r="G9" s="16">
        <v>119.5</v>
      </c>
      <c r="H9" s="16">
        <v>297.2</v>
      </c>
      <c r="I9" s="16">
        <v>256.10000000000002</v>
      </c>
      <c r="J9" s="16">
        <v>781.7</v>
      </c>
      <c r="K9" s="16">
        <v>254.7</v>
      </c>
      <c r="L9" s="16">
        <v>71.5</v>
      </c>
      <c r="M9" s="16">
        <v>31.6</v>
      </c>
      <c r="N9" s="18">
        <v>2.7</v>
      </c>
      <c r="O9" s="12">
        <f t="shared" si="0"/>
        <v>2070</v>
      </c>
      <c r="P9" s="19">
        <f t="shared" si="1"/>
        <v>172.5</v>
      </c>
      <c r="Q9" s="14"/>
    </row>
    <row r="10" spans="2:17" ht="21.95" customHeight="1">
      <c r="B10" s="15">
        <v>1999</v>
      </c>
      <c r="C10" s="16">
        <v>1.8</v>
      </c>
      <c r="D10" s="16">
        <v>12.2</v>
      </c>
      <c r="E10" s="16">
        <v>79.400000000000006</v>
      </c>
      <c r="F10" s="16">
        <v>103</v>
      </c>
      <c r="G10" s="16">
        <v>116.8</v>
      </c>
      <c r="H10" s="16">
        <v>245.7</v>
      </c>
      <c r="I10" s="16">
        <v>137.80000000000001</v>
      </c>
      <c r="J10" s="16">
        <v>203</v>
      </c>
      <c r="K10" s="16">
        <v>359.5</v>
      </c>
      <c r="L10" s="16">
        <v>171.6</v>
      </c>
      <c r="M10" s="16">
        <v>16.5</v>
      </c>
      <c r="N10" s="18">
        <v>7.9</v>
      </c>
      <c r="O10" s="12">
        <f t="shared" si="0"/>
        <v>1455.2</v>
      </c>
      <c r="P10" s="19">
        <f t="shared" si="1"/>
        <v>121.3</v>
      </c>
      <c r="Q10" s="14"/>
    </row>
    <row r="11" spans="2:17" ht="21.95" customHeight="1">
      <c r="B11" s="15">
        <v>2000</v>
      </c>
      <c r="C11" s="16">
        <v>27.5</v>
      </c>
      <c r="D11" s="16">
        <v>4.0999999999999996</v>
      </c>
      <c r="E11" s="16">
        <v>17.8</v>
      </c>
      <c r="F11" s="16">
        <v>67.8</v>
      </c>
      <c r="G11" s="16">
        <v>54.3</v>
      </c>
      <c r="H11" s="16">
        <v>238.3</v>
      </c>
      <c r="I11" s="16">
        <v>470.1</v>
      </c>
      <c r="J11" s="16">
        <v>473.6</v>
      </c>
      <c r="K11" s="16">
        <v>263.2</v>
      </c>
      <c r="L11" s="16">
        <v>24.6</v>
      </c>
      <c r="M11" s="16">
        <v>44.6</v>
      </c>
      <c r="N11" s="18">
        <v>21.6</v>
      </c>
      <c r="O11" s="12">
        <f t="shared" si="0"/>
        <v>1707.5</v>
      </c>
      <c r="P11" s="19">
        <f t="shared" si="1"/>
        <v>142.30000000000001</v>
      </c>
      <c r="Q11" s="14"/>
    </row>
    <row r="12" spans="2:17" ht="21.95" customHeight="1">
      <c r="B12" s="15">
        <v>2001</v>
      </c>
      <c r="C12" s="16">
        <v>61.2</v>
      </c>
      <c r="D12" s="16">
        <v>70</v>
      </c>
      <c r="E12" s="16">
        <v>16</v>
      </c>
      <c r="F12" s="16">
        <v>20.399999999999999</v>
      </c>
      <c r="G12" s="16">
        <v>30.2</v>
      </c>
      <c r="H12" s="16">
        <v>234.2</v>
      </c>
      <c r="I12" s="16">
        <v>171</v>
      </c>
      <c r="J12" s="16">
        <v>78.099999999999994</v>
      </c>
      <c r="K12" s="16">
        <v>25.2</v>
      </c>
      <c r="L12" s="16">
        <v>91.2</v>
      </c>
      <c r="M12" s="16">
        <v>10.8</v>
      </c>
      <c r="N12" s="18">
        <v>20.399999999999999</v>
      </c>
      <c r="O12" s="12">
        <f t="shared" si="0"/>
        <v>828.7</v>
      </c>
      <c r="P12" s="19">
        <f t="shared" si="1"/>
        <v>69.099999999999994</v>
      </c>
    </row>
    <row r="13" spans="2:17" ht="21.95" customHeight="1">
      <c r="B13" s="15">
        <v>2002</v>
      </c>
      <c r="C13" s="16">
        <v>92.1</v>
      </c>
      <c r="D13" s="16">
        <v>12</v>
      </c>
      <c r="E13" s="16">
        <v>33.5</v>
      </c>
      <c r="F13" s="16">
        <v>155.5</v>
      </c>
      <c r="G13" s="16">
        <v>130.5</v>
      </c>
      <c r="H13" s="16">
        <v>55.4</v>
      </c>
      <c r="I13" s="16">
        <v>149.1</v>
      </c>
      <c r="J13" s="16">
        <v>538.79999999999995</v>
      </c>
      <c r="K13" s="16">
        <v>77</v>
      </c>
      <c r="L13" s="16">
        <v>67.8</v>
      </c>
      <c r="M13" s="16">
        <v>24</v>
      </c>
      <c r="N13" s="18">
        <v>43</v>
      </c>
      <c r="O13" s="12">
        <f t="shared" si="0"/>
        <v>1378.7</v>
      </c>
      <c r="P13" s="19">
        <f t="shared" si="1"/>
        <v>114.9</v>
      </c>
    </row>
    <row r="14" spans="2:17" ht="21.95" customHeight="1">
      <c r="B14" s="15">
        <v>2003</v>
      </c>
      <c r="C14" s="16">
        <v>11.2</v>
      </c>
      <c r="D14" s="16">
        <v>59.2</v>
      </c>
      <c r="E14" s="16">
        <v>44.2</v>
      </c>
      <c r="F14" s="16">
        <v>217.5</v>
      </c>
      <c r="G14" s="16">
        <v>119.5</v>
      </c>
      <c r="H14" s="16">
        <v>186.4</v>
      </c>
      <c r="I14" s="16">
        <v>576.29999999999995</v>
      </c>
      <c r="J14" s="16">
        <v>254.9</v>
      </c>
      <c r="K14" s="16">
        <v>208.5</v>
      </c>
      <c r="L14" s="16">
        <v>21.5</v>
      </c>
      <c r="M14" s="16">
        <v>32.6</v>
      </c>
      <c r="N14" s="18">
        <v>17.100000000000001</v>
      </c>
      <c r="O14" s="12">
        <f t="shared" si="0"/>
        <v>1748.9</v>
      </c>
      <c r="P14" s="19">
        <f t="shared" si="1"/>
        <v>145.69999999999999</v>
      </c>
    </row>
    <row r="15" spans="2:17" ht="21.95" customHeight="1">
      <c r="B15" s="15">
        <v>2004</v>
      </c>
      <c r="C15" s="16">
        <v>10.9</v>
      </c>
      <c r="D15" s="16">
        <v>30.6</v>
      </c>
      <c r="E15" s="16">
        <v>83.2</v>
      </c>
      <c r="F15" s="16">
        <v>73.099999999999994</v>
      </c>
      <c r="G15" s="16">
        <v>109</v>
      </c>
      <c r="H15" s="16">
        <v>383.5</v>
      </c>
      <c r="I15" s="16">
        <v>391</v>
      </c>
      <c r="J15" s="16">
        <v>198.3</v>
      </c>
      <c r="K15" s="16">
        <v>133.69999999999999</v>
      </c>
      <c r="L15" s="16">
        <v>5</v>
      </c>
      <c r="M15" s="16">
        <v>37.1</v>
      </c>
      <c r="N15" s="18">
        <v>41.1</v>
      </c>
      <c r="O15" s="12">
        <f t="shared" si="0"/>
        <v>1496.5</v>
      </c>
      <c r="P15" s="19">
        <f t="shared" si="1"/>
        <v>124.7</v>
      </c>
    </row>
    <row r="16" spans="2:17" ht="21.95" customHeight="1">
      <c r="B16" s="15">
        <v>2005</v>
      </c>
      <c r="C16" s="16">
        <v>6</v>
      </c>
      <c r="D16" s="16">
        <v>37.5</v>
      </c>
      <c r="E16" s="16">
        <v>38.799999999999997</v>
      </c>
      <c r="F16" s="16">
        <v>48.5</v>
      </c>
      <c r="G16" s="16">
        <v>60.5</v>
      </c>
      <c r="H16" s="16">
        <v>209.6</v>
      </c>
      <c r="I16" s="16">
        <v>463.3</v>
      </c>
      <c r="J16" s="16">
        <v>499.5</v>
      </c>
      <c r="K16" s="16">
        <v>226.4</v>
      </c>
      <c r="L16" s="16">
        <v>30.5</v>
      </c>
      <c r="M16" s="16">
        <v>20.3</v>
      </c>
      <c r="N16" s="18">
        <v>15.2</v>
      </c>
      <c r="O16" s="12">
        <f t="shared" si="0"/>
        <v>1656.1</v>
      </c>
      <c r="P16" s="19">
        <f t="shared" si="1"/>
        <v>138</v>
      </c>
    </row>
    <row r="17" spans="2:16" ht="21.95" customHeight="1">
      <c r="B17" s="15">
        <v>2006</v>
      </c>
      <c r="C17" s="16">
        <v>31.2</v>
      </c>
      <c r="D17" s="16">
        <v>33.1</v>
      </c>
      <c r="E17" s="16">
        <v>8.1</v>
      </c>
      <c r="F17" s="16">
        <v>94.2</v>
      </c>
      <c r="G17" s="16">
        <v>119.7</v>
      </c>
      <c r="H17" s="16">
        <v>131</v>
      </c>
      <c r="I17" s="16">
        <v>531</v>
      </c>
      <c r="J17" s="16">
        <v>113.6</v>
      </c>
      <c r="K17" s="16">
        <v>24.1</v>
      </c>
      <c r="L17" s="16">
        <v>19.3</v>
      </c>
      <c r="M17" s="16">
        <v>60</v>
      </c>
      <c r="N17" s="18">
        <v>29.9</v>
      </c>
      <c r="O17" s="12">
        <f t="shared" si="0"/>
        <v>1195.2</v>
      </c>
      <c r="P17" s="19">
        <f t="shared" si="1"/>
        <v>99.6</v>
      </c>
    </row>
    <row r="18" spans="2:16" ht="21.95" customHeight="1">
      <c r="B18" s="15">
        <v>2007</v>
      </c>
      <c r="C18" s="16">
        <v>14</v>
      </c>
      <c r="D18" s="16">
        <v>45</v>
      </c>
      <c r="E18" s="16">
        <v>117.5</v>
      </c>
      <c r="F18" s="16">
        <v>28.6</v>
      </c>
      <c r="G18" s="16">
        <v>130.1</v>
      </c>
      <c r="H18" s="16">
        <v>133</v>
      </c>
      <c r="I18" s="16">
        <v>275.7</v>
      </c>
      <c r="J18" s="16">
        <v>373</v>
      </c>
      <c r="K18" s="16">
        <v>549.9</v>
      </c>
      <c r="L18" s="16">
        <v>47.4</v>
      </c>
      <c r="M18" s="16">
        <v>9.8000000000000007</v>
      </c>
      <c r="N18" s="18">
        <v>26.9</v>
      </c>
      <c r="O18" s="12">
        <f t="shared" si="0"/>
        <v>1750.9</v>
      </c>
      <c r="P18" s="19">
        <f t="shared" si="1"/>
        <v>145.9</v>
      </c>
    </row>
    <row r="19" spans="2:16" ht="21.95" customHeight="1">
      <c r="B19" s="15">
        <v>2008</v>
      </c>
      <c r="C19" s="16">
        <v>45.3</v>
      </c>
      <c r="D19" s="16">
        <v>9.1</v>
      </c>
      <c r="E19" s="16">
        <v>29.1</v>
      </c>
      <c r="F19" s="16">
        <v>34.4</v>
      </c>
      <c r="G19" s="16">
        <v>59.2</v>
      </c>
      <c r="H19" s="16">
        <v>148.30000000000001</v>
      </c>
      <c r="I19" s="16">
        <v>253.4</v>
      </c>
      <c r="J19" s="16">
        <v>325.2</v>
      </c>
      <c r="K19" s="16">
        <v>85.5</v>
      </c>
      <c r="L19" s="16">
        <v>19.600000000000001</v>
      </c>
      <c r="M19" s="16">
        <v>12.1</v>
      </c>
      <c r="N19" s="18">
        <v>16.399999999999999</v>
      </c>
      <c r="O19" s="12">
        <f t="shared" si="0"/>
        <v>1037.5999999999999</v>
      </c>
      <c r="P19" s="19">
        <f t="shared" si="1"/>
        <v>86.5</v>
      </c>
    </row>
    <row r="20" spans="2:16" ht="21.95" customHeight="1">
      <c r="B20" s="15">
        <v>2009</v>
      </c>
      <c r="C20" s="16">
        <v>15.4</v>
      </c>
      <c r="D20" s="16">
        <v>27.5</v>
      </c>
      <c r="E20" s="16">
        <v>60.3</v>
      </c>
      <c r="F20" s="16">
        <v>34.5</v>
      </c>
      <c r="G20" s="16">
        <v>124.3</v>
      </c>
      <c r="H20" s="16">
        <v>87.3</v>
      </c>
      <c r="I20" s="16">
        <v>429.2</v>
      </c>
      <c r="J20" s="16">
        <v>148.30000000000001</v>
      </c>
      <c r="K20" s="16">
        <v>46</v>
      </c>
      <c r="L20" s="16">
        <v>24.7</v>
      </c>
      <c r="M20" s="16">
        <v>54.7</v>
      </c>
      <c r="N20" s="18">
        <v>38.200000000000003</v>
      </c>
      <c r="O20" s="12">
        <f t="shared" si="0"/>
        <v>1090.4000000000001</v>
      </c>
      <c r="P20" s="19">
        <f t="shared" si="1"/>
        <v>90.9</v>
      </c>
    </row>
    <row r="21" spans="2:16" ht="21.95" customHeight="1">
      <c r="B21" s="15">
        <v>2010</v>
      </c>
      <c r="C21" s="16">
        <v>46.4</v>
      </c>
      <c r="D21" s="16">
        <v>81.5</v>
      </c>
      <c r="E21" s="16">
        <v>100.1</v>
      </c>
      <c r="F21" s="16">
        <v>88.5</v>
      </c>
      <c r="G21" s="16">
        <v>117.6</v>
      </c>
      <c r="H21" s="16">
        <v>65.599999999999994</v>
      </c>
      <c r="I21" s="16">
        <v>223.1</v>
      </c>
      <c r="J21" s="16">
        <v>376.4</v>
      </c>
      <c r="K21" s="16">
        <v>250.5</v>
      </c>
      <c r="L21" s="16">
        <v>17.899999999999999</v>
      </c>
      <c r="M21" s="16">
        <v>16.399999999999999</v>
      </c>
      <c r="N21" s="18">
        <v>35.700000000000003</v>
      </c>
      <c r="O21" s="12">
        <f t="shared" si="0"/>
        <v>1419.7</v>
      </c>
      <c r="P21" s="19">
        <f t="shared" si="1"/>
        <v>118.3</v>
      </c>
    </row>
    <row r="22" spans="2:16" ht="21.95" customHeight="1">
      <c r="B22" s="15">
        <v>2011</v>
      </c>
      <c r="C22" s="16">
        <v>4</v>
      </c>
      <c r="D22" s="16">
        <v>44.8</v>
      </c>
      <c r="E22" s="16">
        <v>19</v>
      </c>
      <c r="F22" s="16">
        <v>71</v>
      </c>
      <c r="G22" s="16">
        <v>162</v>
      </c>
      <c r="H22" s="16">
        <v>391.6</v>
      </c>
      <c r="I22" s="16">
        <v>587.29999999999995</v>
      </c>
      <c r="J22" s="16">
        <v>420.3</v>
      </c>
      <c r="K22" s="16">
        <v>91.7</v>
      </c>
      <c r="L22" s="16">
        <v>37</v>
      </c>
      <c r="M22" s="16">
        <v>103.2</v>
      </c>
      <c r="N22" s="18">
        <v>11.5</v>
      </c>
      <c r="O22" s="12">
        <f t="shared" si="0"/>
        <v>1943.4</v>
      </c>
      <c r="P22" s="19">
        <f t="shared" si="1"/>
        <v>162</v>
      </c>
    </row>
    <row r="23" spans="2:16" ht="21.95" customHeight="1">
      <c r="B23" s="15">
        <v>2012</v>
      </c>
      <c r="C23" s="16">
        <v>16.399999999999999</v>
      </c>
      <c r="D23" s="16">
        <v>2.5</v>
      </c>
      <c r="E23" s="16">
        <v>54.6</v>
      </c>
      <c r="F23" s="16">
        <v>66.2</v>
      </c>
      <c r="G23" s="16">
        <v>24</v>
      </c>
      <c r="H23" s="16">
        <v>57.8</v>
      </c>
      <c r="I23" s="16">
        <v>277.60000000000002</v>
      </c>
      <c r="J23" s="16">
        <v>463.6</v>
      </c>
      <c r="K23" s="16">
        <v>242.5</v>
      </c>
      <c r="L23" s="16">
        <v>81.3</v>
      </c>
      <c r="M23" s="16">
        <v>58.4</v>
      </c>
      <c r="N23" s="18">
        <v>64.599999999999994</v>
      </c>
      <c r="O23" s="12">
        <f t="shared" si="0"/>
        <v>1409.5</v>
      </c>
      <c r="P23" s="19">
        <f t="shared" si="1"/>
        <v>117.5</v>
      </c>
    </row>
    <row r="24" spans="2:16" ht="21.95" customHeight="1">
      <c r="B24" s="15">
        <v>2013</v>
      </c>
      <c r="C24" s="16">
        <v>46.2</v>
      </c>
      <c r="D24" s="16">
        <v>54.2</v>
      </c>
      <c r="E24" s="16">
        <v>52.8</v>
      </c>
      <c r="F24" s="16">
        <v>86.8</v>
      </c>
      <c r="G24" s="16">
        <v>110.4</v>
      </c>
      <c r="H24" s="16">
        <v>162.6</v>
      </c>
      <c r="I24" s="16">
        <v>218.7</v>
      </c>
      <c r="J24" s="16">
        <v>126.6</v>
      </c>
      <c r="K24" s="16">
        <v>146.4</v>
      </c>
      <c r="L24" s="16">
        <v>19.600000000000001</v>
      </c>
      <c r="M24" s="16">
        <v>63.1</v>
      </c>
      <c r="N24" s="18">
        <v>32.799999999999997</v>
      </c>
      <c r="O24" s="12">
        <f t="shared" si="0"/>
        <v>1120.2</v>
      </c>
      <c r="P24" s="19">
        <f t="shared" si="1"/>
        <v>93.4</v>
      </c>
    </row>
    <row r="25" spans="2:16" ht="21.95" customHeight="1">
      <c r="B25" s="15">
        <v>2014</v>
      </c>
      <c r="C25" s="16">
        <v>6.5</v>
      </c>
      <c r="D25" s="16">
        <v>8.5</v>
      </c>
      <c r="E25" s="16">
        <v>67.2</v>
      </c>
      <c r="F25" s="16">
        <v>59.4</v>
      </c>
      <c r="G25" s="16">
        <v>49.7</v>
      </c>
      <c r="H25" s="16">
        <v>143.69999999999999</v>
      </c>
      <c r="I25" s="16">
        <v>177.2</v>
      </c>
      <c r="J25" s="16">
        <v>240.9</v>
      </c>
      <c r="K25" s="16">
        <v>118</v>
      </c>
      <c r="L25" s="16">
        <v>169.4</v>
      </c>
      <c r="M25" s="16">
        <v>40.700000000000003</v>
      </c>
      <c r="N25" s="18">
        <v>36.5</v>
      </c>
      <c r="O25" s="12">
        <f t="shared" si="0"/>
        <v>1117.7</v>
      </c>
      <c r="P25" s="19">
        <f t="shared" si="1"/>
        <v>93.1</v>
      </c>
    </row>
    <row r="26" spans="2:16" ht="21.95" customHeight="1">
      <c r="B26" s="15">
        <v>2015</v>
      </c>
      <c r="C26" s="16">
        <v>31.5</v>
      </c>
      <c r="D26" s="16">
        <v>27</v>
      </c>
      <c r="E26" s="16">
        <v>44.7</v>
      </c>
      <c r="F26" s="16">
        <v>95.2</v>
      </c>
      <c r="G26" s="16">
        <v>28.9</v>
      </c>
      <c r="H26" s="16">
        <v>119.8</v>
      </c>
      <c r="I26" s="16">
        <v>145.6</v>
      </c>
      <c r="J26" s="16">
        <v>51.6</v>
      </c>
      <c r="K26" s="16">
        <v>18.5</v>
      </c>
      <c r="L26" s="16">
        <v>94.1</v>
      </c>
      <c r="M26" s="16">
        <v>126.1</v>
      </c>
      <c r="N26" s="18">
        <v>39.700000000000003</v>
      </c>
      <c r="O26" s="12">
        <f t="shared" si="0"/>
        <v>822.7</v>
      </c>
      <c r="P26" s="19">
        <f t="shared" si="1"/>
        <v>68.599999999999994</v>
      </c>
    </row>
    <row r="27" spans="2:16" ht="21.95" customHeight="1">
      <c r="B27" s="15">
        <v>2016</v>
      </c>
      <c r="C27" s="16">
        <v>11.6</v>
      </c>
      <c r="D27" s="16">
        <v>45.8</v>
      </c>
      <c r="E27" s="16">
        <v>40.299999999999997</v>
      </c>
      <c r="F27" s="16">
        <v>154.9</v>
      </c>
      <c r="G27" s="16">
        <v>85.1</v>
      </c>
      <c r="H27" s="16">
        <v>62.5</v>
      </c>
      <c r="I27" s="16">
        <v>367.9</v>
      </c>
      <c r="J27" s="16">
        <v>57.4</v>
      </c>
      <c r="K27" s="16">
        <v>196</v>
      </c>
      <c r="L27" s="16">
        <v>122.6</v>
      </c>
      <c r="M27" s="16">
        <v>29.5</v>
      </c>
      <c r="N27" s="18">
        <v>54.8</v>
      </c>
      <c r="O27" s="12">
        <f t="shared" si="0"/>
        <v>1228.4000000000001</v>
      </c>
      <c r="P27" s="19">
        <f t="shared" si="1"/>
        <v>102.4</v>
      </c>
    </row>
    <row r="28" spans="2:16" ht="21.95" customHeight="1">
      <c r="B28" s="15">
        <v>2017</v>
      </c>
      <c r="C28" s="16">
        <v>15</v>
      </c>
      <c r="D28" s="16">
        <v>42</v>
      </c>
      <c r="E28" s="16">
        <v>11.6</v>
      </c>
      <c r="F28" s="16">
        <v>77.7</v>
      </c>
      <c r="G28" s="16">
        <v>29.3</v>
      </c>
      <c r="H28" s="16">
        <v>35.299999999999997</v>
      </c>
      <c r="I28" s="16">
        <v>434.5</v>
      </c>
      <c r="J28" s="16">
        <v>293.8</v>
      </c>
      <c r="K28" s="16">
        <v>111.4</v>
      </c>
      <c r="L28" s="16">
        <v>28.3</v>
      </c>
      <c r="M28" s="16">
        <v>15.1</v>
      </c>
      <c r="N28" s="18">
        <v>33.5</v>
      </c>
      <c r="O28" s="12">
        <f t="shared" si="0"/>
        <v>1127.5</v>
      </c>
      <c r="P28" s="19">
        <f t="shared" si="1"/>
        <v>94</v>
      </c>
    </row>
    <row r="29" spans="2:16" ht="21.95" customHeight="1">
      <c r="B29" s="15">
        <v>2018</v>
      </c>
      <c r="C29" s="16">
        <v>23.9</v>
      </c>
      <c r="D29" s="16">
        <v>40.5</v>
      </c>
      <c r="E29" s="16">
        <v>108.4</v>
      </c>
      <c r="F29" s="16">
        <v>155.30000000000001</v>
      </c>
      <c r="G29" s="16">
        <v>95.9</v>
      </c>
      <c r="H29" s="16">
        <v>115.8</v>
      </c>
      <c r="I29" s="16">
        <v>226.9</v>
      </c>
      <c r="J29" s="16">
        <v>408.6</v>
      </c>
      <c r="K29" s="16">
        <v>149.4</v>
      </c>
      <c r="L29" s="16">
        <v>133.9</v>
      </c>
      <c r="M29" s="16">
        <v>49.8</v>
      </c>
      <c r="N29" s="18">
        <v>33.700000000000003</v>
      </c>
      <c r="O29" s="12">
        <f t="shared" si="0"/>
        <v>1542.1</v>
      </c>
      <c r="P29" s="19">
        <f t="shared" si="1"/>
        <v>128.5</v>
      </c>
    </row>
    <row r="30" spans="2:16" ht="21.95" customHeight="1">
      <c r="B30" s="15">
        <v>2019</v>
      </c>
      <c r="C30" s="16">
        <v>1.7</v>
      </c>
      <c r="D30" s="16">
        <v>46.3</v>
      </c>
      <c r="E30" s="16">
        <v>33.700000000000003</v>
      </c>
      <c r="F30" s="16">
        <v>91.6</v>
      </c>
      <c r="G30" s="16">
        <v>35.6</v>
      </c>
      <c r="H30" s="16">
        <v>77.900000000000006</v>
      </c>
      <c r="I30" s="16">
        <v>199</v>
      </c>
      <c r="J30" s="16">
        <v>104.3</v>
      </c>
      <c r="K30" s="16">
        <v>167</v>
      </c>
      <c r="L30" s="16">
        <v>106.1</v>
      </c>
      <c r="M30" s="16">
        <v>94</v>
      </c>
      <c r="N30" s="18">
        <v>27</v>
      </c>
      <c r="O30" s="12">
        <f t="shared" si="0"/>
        <v>984.2</v>
      </c>
      <c r="P30" s="19">
        <f t="shared" si="1"/>
        <v>82</v>
      </c>
    </row>
    <row r="31" spans="2:16" ht="21.95" customHeight="1">
      <c r="B31" s="15">
        <v>2020</v>
      </c>
      <c r="C31" s="16">
        <v>78.5</v>
      </c>
      <c r="D31" s="16">
        <v>91.2</v>
      </c>
      <c r="E31" s="16">
        <v>24.4</v>
      </c>
      <c r="F31" s="16">
        <v>17.8</v>
      </c>
      <c r="G31" s="16">
        <v>80.400000000000006</v>
      </c>
      <c r="H31" s="16">
        <v>192.5</v>
      </c>
      <c r="I31" s="16">
        <v>544.9</v>
      </c>
      <c r="J31" s="16">
        <v>361.6</v>
      </c>
      <c r="K31" s="16">
        <v>173.6</v>
      </c>
      <c r="L31" s="16">
        <v>3.2</v>
      </c>
      <c r="M31" s="16">
        <v>41.8</v>
      </c>
      <c r="N31" s="18">
        <v>4.0999999999999996</v>
      </c>
      <c r="O31" s="12">
        <f t="shared" si="0"/>
        <v>1614</v>
      </c>
      <c r="P31" s="19">
        <f t="shared" si="1"/>
        <v>134.5</v>
      </c>
    </row>
    <row r="32" spans="2:16" ht="21.95" customHeight="1">
      <c r="B32" s="15">
        <v>2021</v>
      </c>
      <c r="C32" s="16">
        <v>23.6</v>
      </c>
      <c r="D32" s="16">
        <v>14.1</v>
      </c>
      <c r="E32" s="16">
        <v>95.2</v>
      </c>
      <c r="F32" s="16">
        <v>47.4</v>
      </c>
      <c r="G32" s="16">
        <v>134.19999999999999</v>
      </c>
      <c r="H32" s="16">
        <v>105.9</v>
      </c>
      <c r="I32" s="16">
        <v>151.80000000000001</v>
      </c>
      <c r="J32" s="16">
        <v>289.2</v>
      </c>
      <c r="K32" s="16">
        <v>161.19999999999999</v>
      </c>
      <c r="L32" s="16">
        <v>40.799999999999997</v>
      </c>
      <c r="M32" s="16">
        <v>41.7</v>
      </c>
      <c r="N32" s="18">
        <v>4.4000000000000004</v>
      </c>
      <c r="O32" s="12">
        <f t="shared" si="0"/>
        <v>1109.5</v>
      </c>
      <c r="P32" s="19">
        <f t="shared" si="1"/>
        <v>92.5</v>
      </c>
    </row>
    <row r="33" spans="2:16" ht="21.95" customHeight="1">
      <c r="B33" s="15">
        <v>2022</v>
      </c>
      <c r="C33" s="16">
        <v>1.2</v>
      </c>
      <c r="D33" s="16">
        <v>1.4</v>
      </c>
      <c r="E33" s="16">
        <v>74</v>
      </c>
      <c r="F33" s="16">
        <v>69.7</v>
      </c>
      <c r="G33" s="16">
        <v>8.1</v>
      </c>
      <c r="H33" s="16">
        <v>117.6</v>
      </c>
      <c r="I33" s="16">
        <v>195</v>
      </c>
      <c r="J33" s="16">
        <v>496.1</v>
      </c>
      <c r="K33" s="16">
        <v>90.2</v>
      </c>
      <c r="L33" s="16">
        <v>89.3</v>
      </c>
      <c r="M33" s="16">
        <v>45.8</v>
      </c>
      <c r="N33" s="18">
        <v>14.7</v>
      </c>
      <c r="O33" s="12">
        <f t="shared" si="0"/>
        <v>1203.0999999999999</v>
      </c>
      <c r="P33" s="19">
        <f t="shared" si="1"/>
        <v>100.3</v>
      </c>
    </row>
    <row r="34" spans="2:16" ht="21.95" customHeight="1">
      <c r="B34" s="15">
        <v>2023</v>
      </c>
      <c r="C34" s="16">
        <v>28.4</v>
      </c>
      <c r="D34" s="16">
        <v>5.4</v>
      </c>
      <c r="E34" s="16">
        <v>23.8</v>
      </c>
      <c r="F34" s="16">
        <v>54.5</v>
      </c>
      <c r="G34" s="16">
        <v>192.9</v>
      </c>
      <c r="H34" s="16">
        <v>147.5</v>
      </c>
      <c r="I34" s="16">
        <v>776.3</v>
      </c>
      <c r="J34" s="16">
        <v>326.89999999999998</v>
      </c>
      <c r="K34" s="16">
        <v>310.2</v>
      </c>
      <c r="L34" s="16">
        <v>12.2</v>
      </c>
      <c r="M34" s="16">
        <v>40.299999999999997</v>
      </c>
      <c r="N34" s="18">
        <v>124.1</v>
      </c>
      <c r="O34" s="12">
        <f t="shared" si="0"/>
        <v>2042.5</v>
      </c>
      <c r="P34" s="19">
        <f t="shared" si="1"/>
        <v>170.2</v>
      </c>
    </row>
    <row r="35" spans="2:16" ht="21.95" customHeight="1" thickBot="1">
      <c r="B35" s="33">
        <v>2024</v>
      </c>
      <c r="C35" s="34">
        <v>47.8</v>
      </c>
      <c r="D35" s="34">
        <v>93.9</v>
      </c>
      <c r="E35" s="34">
        <v>57.9</v>
      </c>
      <c r="F35" s="34">
        <v>32.700000000000003</v>
      </c>
      <c r="G35" s="34">
        <v>126.8</v>
      </c>
      <c r="H35" s="34">
        <v>76.900000000000006</v>
      </c>
      <c r="I35" s="34">
        <v>485.1</v>
      </c>
      <c r="J35" s="34">
        <v>87.3</v>
      </c>
      <c r="K35" s="34">
        <v>204.6</v>
      </c>
      <c r="L35" s="34">
        <v>109.2</v>
      </c>
      <c r="M35" s="34">
        <v>34.6</v>
      </c>
      <c r="N35" s="35">
        <v>3.7</v>
      </c>
      <c r="O35" s="36">
        <f t="shared" si="0"/>
        <v>1360.5</v>
      </c>
      <c r="P35" s="37">
        <f t="shared" si="1"/>
        <v>113.4</v>
      </c>
    </row>
    <row r="36" spans="2:16" ht="21.95" customHeight="1">
      <c r="B36" s="38" t="s">
        <v>13</v>
      </c>
      <c r="C36" s="39">
        <f>ROUND(MAX(C6:C35),1)</f>
        <v>92.1</v>
      </c>
      <c r="D36" s="39">
        <f t="shared" ref="D36:N36" si="2">ROUND(MAX(D6:D35),1)</f>
        <v>93.9</v>
      </c>
      <c r="E36" s="39">
        <f t="shared" si="2"/>
        <v>138</v>
      </c>
      <c r="F36" s="39">
        <f t="shared" si="2"/>
        <v>217.5</v>
      </c>
      <c r="G36" s="39">
        <f t="shared" si="2"/>
        <v>200.9</v>
      </c>
      <c r="H36" s="39">
        <f t="shared" si="2"/>
        <v>411.4</v>
      </c>
      <c r="I36" s="39">
        <f t="shared" si="2"/>
        <v>776.3</v>
      </c>
      <c r="J36" s="39">
        <f t="shared" si="2"/>
        <v>781.7</v>
      </c>
      <c r="K36" s="39">
        <f t="shared" si="2"/>
        <v>549.9</v>
      </c>
      <c r="L36" s="39">
        <f t="shared" si="2"/>
        <v>171.6</v>
      </c>
      <c r="M36" s="39">
        <f t="shared" si="2"/>
        <v>168.2</v>
      </c>
      <c r="N36" s="40">
        <f t="shared" si="2"/>
        <v>124.1</v>
      </c>
      <c r="O36" s="41">
        <f>ROUND(MAX(O6:O35),1)</f>
        <v>2070</v>
      </c>
      <c r="P36" s="42">
        <f>ROUND(MAX(P6:P35),1)</f>
        <v>172.5</v>
      </c>
    </row>
    <row r="37" spans="2:16" ht="21.95" customHeight="1">
      <c r="B37" s="43" t="s">
        <v>14</v>
      </c>
      <c r="C37" s="44">
        <f>ROUND(MIN(C6:C35),1)</f>
        <v>1.2</v>
      </c>
      <c r="D37" s="44">
        <f t="shared" ref="D37:N37" si="3">ROUND(MIN(D6:D35),1)</f>
        <v>1.4</v>
      </c>
      <c r="E37" s="44">
        <f t="shared" si="3"/>
        <v>8.1</v>
      </c>
      <c r="F37" s="44">
        <f t="shared" si="3"/>
        <v>17.8</v>
      </c>
      <c r="G37" s="44">
        <f t="shared" si="3"/>
        <v>8.1</v>
      </c>
      <c r="H37" s="44">
        <f t="shared" si="3"/>
        <v>33.6</v>
      </c>
      <c r="I37" s="44">
        <f t="shared" si="3"/>
        <v>137.80000000000001</v>
      </c>
      <c r="J37" s="44">
        <f t="shared" si="3"/>
        <v>51.6</v>
      </c>
      <c r="K37" s="44">
        <f t="shared" si="3"/>
        <v>11.4</v>
      </c>
      <c r="L37" s="44">
        <f t="shared" si="3"/>
        <v>3.2</v>
      </c>
      <c r="M37" s="44">
        <f t="shared" si="3"/>
        <v>9.8000000000000007</v>
      </c>
      <c r="N37" s="19">
        <f t="shared" si="3"/>
        <v>2.7</v>
      </c>
      <c r="O37" s="45">
        <f>ROUND(MIN(O6:O35),1)</f>
        <v>822.7</v>
      </c>
      <c r="P37" s="46">
        <f>ROUND(MIN(P6:P35),1)</f>
        <v>68.599999999999994</v>
      </c>
    </row>
    <row r="38" spans="2:16" ht="21.95" customHeight="1" thickBot="1">
      <c r="B38" s="47" t="s">
        <v>18</v>
      </c>
      <c r="C38" s="48">
        <f>ROUND(AVERAGE(C6:C35),1)</f>
        <v>26.8</v>
      </c>
      <c r="D38" s="48">
        <f t="shared" ref="D38:P38" si="4">ROUND(AVERAGE(D6:D35),1)</f>
        <v>34.9</v>
      </c>
      <c r="E38" s="48">
        <f t="shared" si="4"/>
        <v>52.5</v>
      </c>
      <c r="F38" s="48">
        <f t="shared" si="4"/>
        <v>78.7</v>
      </c>
      <c r="G38" s="48">
        <f t="shared" si="4"/>
        <v>92.7</v>
      </c>
      <c r="H38" s="48">
        <f t="shared" si="4"/>
        <v>164.5</v>
      </c>
      <c r="I38" s="48">
        <f t="shared" si="4"/>
        <v>331.7</v>
      </c>
      <c r="J38" s="48">
        <f t="shared" si="4"/>
        <v>310.39999999999998</v>
      </c>
      <c r="K38" s="48">
        <f t="shared" si="4"/>
        <v>159.30000000000001</v>
      </c>
      <c r="L38" s="48">
        <f t="shared" si="4"/>
        <v>59.8</v>
      </c>
      <c r="M38" s="48">
        <f t="shared" si="4"/>
        <v>47.2</v>
      </c>
      <c r="N38" s="49">
        <f t="shared" si="4"/>
        <v>29.4</v>
      </c>
      <c r="O38" s="50">
        <f t="shared" si="4"/>
        <v>1388.1</v>
      </c>
      <c r="P38" s="51">
        <f t="shared" si="4"/>
        <v>115.7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31.5</v>
      </c>
      <c r="D44" s="53">
        <f t="shared" si="5"/>
        <v>27</v>
      </c>
      <c r="E44" s="53">
        <f t="shared" si="5"/>
        <v>44.7</v>
      </c>
      <c r="F44" s="53">
        <f t="shared" si="5"/>
        <v>95.2</v>
      </c>
      <c r="G44" s="53">
        <f t="shared" si="5"/>
        <v>28.9</v>
      </c>
      <c r="H44" s="53">
        <f t="shared" si="5"/>
        <v>119.8</v>
      </c>
      <c r="I44" s="53">
        <f t="shared" si="5"/>
        <v>145.6</v>
      </c>
      <c r="J44" s="53">
        <f t="shared" si="5"/>
        <v>51.6</v>
      </c>
      <c r="K44" s="53">
        <f t="shared" si="5"/>
        <v>18.5</v>
      </c>
      <c r="L44" s="53">
        <f t="shared" si="5"/>
        <v>94.1</v>
      </c>
      <c r="M44" s="53">
        <f t="shared" si="5"/>
        <v>126.1</v>
      </c>
      <c r="N44" s="54">
        <f t="shared" si="5"/>
        <v>39.700000000000003</v>
      </c>
      <c r="O44" s="55">
        <f>ROUND(SUM(C44:N44),1)</f>
        <v>822.7</v>
      </c>
      <c r="P44" s="46">
        <f>ROUND(O44/12,1)</f>
        <v>68.599999999999994</v>
      </c>
    </row>
    <row r="45" spans="2:16" ht="21.95" customHeight="1">
      <c r="B45" s="52">
        <f t="shared" ref="B45:N53" si="6">B27</f>
        <v>2016</v>
      </c>
      <c r="C45" s="53">
        <f t="shared" si="6"/>
        <v>11.6</v>
      </c>
      <c r="D45" s="53">
        <f t="shared" si="6"/>
        <v>45.8</v>
      </c>
      <c r="E45" s="53">
        <f t="shared" si="6"/>
        <v>40.299999999999997</v>
      </c>
      <c r="F45" s="53">
        <f t="shared" si="6"/>
        <v>154.9</v>
      </c>
      <c r="G45" s="53">
        <f t="shared" si="6"/>
        <v>85.1</v>
      </c>
      <c r="H45" s="53">
        <f t="shared" si="6"/>
        <v>62.5</v>
      </c>
      <c r="I45" s="53">
        <f t="shared" si="6"/>
        <v>367.9</v>
      </c>
      <c r="J45" s="53">
        <f t="shared" si="6"/>
        <v>57.4</v>
      </c>
      <c r="K45" s="53">
        <f t="shared" si="6"/>
        <v>196</v>
      </c>
      <c r="L45" s="53">
        <f t="shared" si="6"/>
        <v>122.6</v>
      </c>
      <c r="M45" s="53">
        <f t="shared" si="6"/>
        <v>29.5</v>
      </c>
      <c r="N45" s="54">
        <f t="shared" si="6"/>
        <v>54.8</v>
      </c>
      <c r="O45" s="55">
        <f t="shared" ref="O45:O53" si="7">ROUND(SUM(C45:N45),1)</f>
        <v>1228.4000000000001</v>
      </c>
      <c r="P45" s="46">
        <f t="shared" ref="P45:P53" si="8">ROUND(O45/12,1)</f>
        <v>102.4</v>
      </c>
    </row>
    <row r="46" spans="2:16" ht="21.95" customHeight="1">
      <c r="B46" s="52">
        <f t="shared" si="6"/>
        <v>2017</v>
      </c>
      <c r="C46" s="53">
        <f t="shared" si="6"/>
        <v>15</v>
      </c>
      <c r="D46" s="53">
        <f t="shared" si="6"/>
        <v>42</v>
      </c>
      <c r="E46" s="53">
        <f t="shared" si="6"/>
        <v>11.6</v>
      </c>
      <c r="F46" s="53">
        <f t="shared" si="6"/>
        <v>77.7</v>
      </c>
      <c r="G46" s="53">
        <f t="shared" si="6"/>
        <v>29.3</v>
      </c>
      <c r="H46" s="53">
        <f t="shared" si="6"/>
        <v>35.299999999999997</v>
      </c>
      <c r="I46" s="53">
        <f t="shared" si="6"/>
        <v>434.5</v>
      </c>
      <c r="J46" s="53">
        <f t="shared" si="6"/>
        <v>293.8</v>
      </c>
      <c r="K46" s="53">
        <f t="shared" si="6"/>
        <v>111.4</v>
      </c>
      <c r="L46" s="53">
        <f t="shared" si="6"/>
        <v>28.3</v>
      </c>
      <c r="M46" s="53">
        <f t="shared" si="6"/>
        <v>15.1</v>
      </c>
      <c r="N46" s="54">
        <f t="shared" si="6"/>
        <v>33.5</v>
      </c>
      <c r="O46" s="55">
        <f t="shared" si="7"/>
        <v>1127.5</v>
      </c>
      <c r="P46" s="46">
        <f t="shared" si="8"/>
        <v>94</v>
      </c>
    </row>
    <row r="47" spans="2:16" ht="21.95" customHeight="1">
      <c r="B47" s="52">
        <f t="shared" si="6"/>
        <v>2018</v>
      </c>
      <c r="C47" s="53">
        <f t="shared" si="6"/>
        <v>23.9</v>
      </c>
      <c r="D47" s="53">
        <f t="shared" si="6"/>
        <v>40.5</v>
      </c>
      <c r="E47" s="53">
        <f t="shared" si="6"/>
        <v>108.4</v>
      </c>
      <c r="F47" s="53">
        <f t="shared" si="6"/>
        <v>155.30000000000001</v>
      </c>
      <c r="G47" s="53">
        <f t="shared" si="6"/>
        <v>95.9</v>
      </c>
      <c r="H47" s="53">
        <f t="shared" si="6"/>
        <v>115.8</v>
      </c>
      <c r="I47" s="53">
        <f t="shared" si="6"/>
        <v>226.9</v>
      </c>
      <c r="J47" s="53">
        <f t="shared" si="6"/>
        <v>408.6</v>
      </c>
      <c r="K47" s="53">
        <f t="shared" si="6"/>
        <v>149.4</v>
      </c>
      <c r="L47" s="53">
        <f t="shared" si="6"/>
        <v>133.9</v>
      </c>
      <c r="M47" s="53">
        <f t="shared" si="6"/>
        <v>49.8</v>
      </c>
      <c r="N47" s="54">
        <f t="shared" si="6"/>
        <v>33.700000000000003</v>
      </c>
      <c r="O47" s="55">
        <f>ROUND(SUM(C47:N47),1)</f>
        <v>1542.1</v>
      </c>
      <c r="P47" s="46">
        <f t="shared" si="8"/>
        <v>128.5</v>
      </c>
    </row>
    <row r="48" spans="2:16" ht="21.95" customHeight="1">
      <c r="B48" s="52">
        <f t="shared" si="6"/>
        <v>2019</v>
      </c>
      <c r="C48" s="53">
        <f t="shared" si="6"/>
        <v>1.7</v>
      </c>
      <c r="D48" s="53">
        <f t="shared" si="6"/>
        <v>46.3</v>
      </c>
      <c r="E48" s="53">
        <f t="shared" si="6"/>
        <v>33.700000000000003</v>
      </c>
      <c r="F48" s="53">
        <f t="shared" si="6"/>
        <v>91.6</v>
      </c>
      <c r="G48" s="53">
        <f t="shared" si="6"/>
        <v>35.6</v>
      </c>
      <c r="H48" s="53">
        <f t="shared" si="6"/>
        <v>77.900000000000006</v>
      </c>
      <c r="I48" s="53">
        <f t="shared" si="6"/>
        <v>199</v>
      </c>
      <c r="J48" s="53">
        <f t="shared" si="6"/>
        <v>104.3</v>
      </c>
      <c r="K48" s="53">
        <f t="shared" si="6"/>
        <v>167</v>
      </c>
      <c r="L48" s="53">
        <f t="shared" si="6"/>
        <v>106.1</v>
      </c>
      <c r="M48" s="53">
        <f t="shared" si="6"/>
        <v>94</v>
      </c>
      <c r="N48" s="54">
        <f t="shared" si="6"/>
        <v>27</v>
      </c>
      <c r="O48" s="55">
        <f t="shared" si="7"/>
        <v>984.2</v>
      </c>
      <c r="P48" s="46">
        <f t="shared" si="8"/>
        <v>82</v>
      </c>
    </row>
    <row r="49" spans="2:16" ht="21.95" customHeight="1">
      <c r="B49" s="52">
        <f t="shared" si="6"/>
        <v>2020</v>
      </c>
      <c r="C49" s="53">
        <f t="shared" si="6"/>
        <v>78.5</v>
      </c>
      <c r="D49" s="53">
        <f t="shared" si="6"/>
        <v>91.2</v>
      </c>
      <c r="E49" s="53">
        <f t="shared" si="6"/>
        <v>24.4</v>
      </c>
      <c r="F49" s="53">
        <f t="shared" si="6"/>
        <v>17.8</v>
      </c>
      <c r="G49" s="53">
        <f t="shared" si="6"/>
        <v>80.400000000000006</v>
      </c>
      <c r="H49" s="53">
        <f t="shared" si="6"/>
        <v>192.5</v>
      </c>
      <c r="I49" s="53">
        <f t="shared" si="6"/>
        <v>544.9</v>
      </c>
      <c r="J49" s="53">
        <f t="shared" si="6"/>
        <v>361.6</v>
      </c>
      <c r="K49" s="53">
        <f t="shared" si="6"/>
        <v>173.6</v>
      </c>
      <c r="L49" s="53">
        <f t="shared" si="6"/>
        <v>3.2</v>
      </c>
      <c r="M49" s="53">
        <f t="shared" si="6"/>
        <v>41.8</v>
      </c>
      <c r="N49" s="54">
        <f t="shared" si="6"/>
        <v>4.0999999999999996</v>
      </c>
      <c r="O49" s="55">
        <f t="shared" si="7"/>
        <v>1614</v>
      </c>
      <c r="P49" s="46">
        <f t="shared" si="8"/>
        <v>134.5</v>
      </c>
    </row>
    <row r="50" spans="2:16" ht="21.95" customHeight="1">
      <c r="B50" s="52">
        <f t="shared" si="6"/>
        <v>2021</v>
      </c>
      <c r="C50" s="53">
        <f t="shared" si="6"/>
        <v>23.6</v>
      </c>
      <c r="D50" s="53">
        <f t="shared" si="6"/>
        <v>14.1</v>
      </c>
      <c r="E50" s="53">
        <f t="shared" si="6"/>
        <v>95.2</v>
      </c>
      <c r="F50" s="53">
        <f t="shared" si="6"/>
        <v>47.4</v>
      </c>
      <c r="G50" s="53">
        <f t="shared" si="6"/>
        <v>134.19999999999999</v>
      </c>
      <c r="H50" s="53">
        <f t="shared" si="6"/>
        <v>105.9</v>
      </c>
      <c r="I50" s="53">
        <f t="shared" si="6"/>
        <v>151.80000000000001</v>
      </c>
      <c r="J50" s="53">
        <f t="shared" si="6"/>
        <v>289.2</v>
      </c>
      <c r="K50" s="53">
        <f t="shared" si="6"/>
        <v>161.19999999999999</v>
      </c>
      <c r="L50" s="53">
        <f t="shared" si="6"/>
        <v>40.799999999999997</v>
      </c>
      <c r="M50" s="53">
        <f t="shared" si="6"/>
        <v>41.7</v>
      </c>
      <c r="N50" s="54">
        <f t="shared" si="6"/>
        <v>4.4000000000000004</v>
      </c>
      <c r="O50" s="55">
        <f t="shared" si="7"/>
        <v>1109.5</v>
      </c>
      <c r="P50" s="46">
        <f t="shared" si="8"/>
        <v>92.5</v>
      </c>
    </row>
    <row r="51" spans="2:16" ht="21.95" customHeight="1">
      <c r="B51" s="52">
        <f t="shared" si="6"/>
        <v>2022</v>
      </c>
      <c r="C51" s="53">
        <f t="shared" si="6"/>
        <v>1.2</v>
      </c>
      <c r="D51" s="53">
        <f t="shared" si="6"/>
        <v>1.4</v>
      </c>
      <c r="E51" s="53">
        <f t="shared" si="6"/>
        <v>74</v>
      </c>
      <c r="F51" s="53">
        <f t="shared" si="6"/>
        <v>69.7</v>
      </c>
      <c r="G51" s="53">
        <f t="shared" si="6"/>
        <v>8.1</v>
      </c>
      <c r="H51" s="53">
        <f t="shared" si="6"/>
        <v>117.6</v>
      </c>
      <c r="I51" s="53">
        <f t="shared" si="6"/>
        <v>195</v>
      </c>
      <c r="J51" s="53">
        <f t="shared" si="6"/>
        <v>496.1</v>
      </c>
      <c r="K51" s="53">
        <f t="shared" si="6"/>
        <v>90.2</v>
      </c>
      <c r="L51" s="53">
        <f t="shared" si="6"/>
        <v>89.3</v>
      </c>
      <c r="M51" s="53">
        <f t="shared" si="6"/>
        <v>45.8</v>
      </c>
      <c r="N51" s="54">
        <f t="shared" si="6"/>
        <v>14.7</v>
      </c>
      <c r="O51" s="55">
        <f t="shared" si="7"/>
        <v>1203.0999999999999</v>
      </c>
      <c r="P51" s="46">
        <f t="shared" si="8"/>
        <v>100.3</v>
      </c>
    </row>
    <row r="52" spans="2:16" ht="21.95" customHeight="1">
      <c r="B52" s="52">
        <f t="shared" si="6"/>
        <v>2023</v>
      </c>
      <c r="C52" s="53">
        <f t="shared" si="6"/>
        <v>28.4</v>
      </c>
      <c r="D52" s="53">
        <f t="shared" si="6"/>
        <v>5.4</v>
      </c>
      <c r="E52" s="53">
        <f t="shared" si="6"/>
        <v>23.8</v>
      </c>
      <c r="F52" s="53">
        <f t="shared" si="6"/>
        <v>54.5</v>
      </c>
      <c r="G52" s="53">
        <f t="shared" si="6"/>
        <v>192.9</v>
      </c>
      <c r="H52" s="53">
        <f t="shared" si="6"/>
        <v>147.5</v>
      </c>
      <c r="I52" s="53">
        <f t="shared" si="6"/>
        <v>776.3</v>
      </c>
      <c r="J52" s="53">
        <f t="shared" si="6"/>
        <v>326.89999999999998</v>
      </c>
      <c r="K52" s="53">
        <f t="shared" si="6"/>
        <v>310.2</v>
      </c>
      <c r="L52" s="53">
        <f t="shared" si="6"/>
        <v>12.2</v>
      </c>
      <c r="M52" s="53">
        <f t="shared" si="6"/>
        <v>40.299999999999997</v>
      </c>
      <c r="N52" s="54">
        <f t="shared" si="6"/>
        <v>124.1</v>
      </c>
      <c r="O52" s="55">
        <f t="shared" si="7"/>
        <v>2042.5</v>
      </c>
      <c r="P52" s="46">
        <f t="shared" si="8"/>
        <v>170.2</v>
      </c>
    </row>
    <row r="53" spans="2:16" ht="21.95" customHeight="1" thickBot="1">
      <c r="B53" s="56">
        <f t="shared" si="6"/>
        <v>2024</v>
      </c>
      <c r="C53" s="57">
        <f t="shared" si="6"/>
        <v>47.8</v>
      </c>
      <c r="D53" s="57">
        <f t="shared" si="6"/>
        <v>93.9</v>
      </c>
      <c r="E53" s="57">
        <f t="shared" si="6"/>
        <v>57.9</v>
      </c>
      <c r="F53" s="57">
        <f t="shared" si="6"/>
        <v>32.700000000000003</v>
      </c>
      <c r="G53" s="57">
        <f t="shared" si="6"/>
        <v>126.8</v>
      </c>
      <c r="H53" s="57">
        <f t="shared" si="6"/>
        <v>76.900000000000006</v>
      </c>
      <c r="I53" s="57">
        <f t="shared" si="6"/>
        <v>485.1</v>
      </c>
      <c r="J53" s="57">
        <f t="shared" si="6"/>
        <v>87.3</v>
      </c>
      <c r="K53" s="57">
        <f t="shared" si="6"/>
        <v>204.6</v>
      </c>
      <c r="L53" s="57">
        <f t="shared" si="6"/>
        <v>109.2</v>
      </c>
      <c r="M53" s="57">
        <f t="shared" si="6"/>
        <v>34.6</v>
      </c>
      <c r="N53" s="58">
        <f t="shared" si="6"/>
        <v>3.7</v>
      </c>
      <c r="O53" s="59">
        <f t="shared" si="7"/>
        <v>1360.5</v>
      </c>
      <c r="P53" s="51">
        <f t="shared" si="8"/>
        <v>113.4</v>
      </c>
    </row>
    <row r="54" spans="2:16" ht="21.95" customHeight="1">
      <c r="B54" s="60" t="s">
        <v>19</v>
      </c>
      <c r="C54" s="61">
        <f>MAX(C44:C53)</f>
        <v>78.5</v>
      </c>
      <c r="D54" s="61">
        <f t="shared" ref="D54:P54" si="9">MAX(D44:D53)</f>
        <v>93.9</v>
      </c>
      <c r="E54" s="61">
        <f t="shared" si="9"/>
        <v>108.4</v>
      </c>
      <c r="F54" s="61">
        <f t="shared" si="9"/>
        <v>155.30000000000001</v>
      </c>
      <c r="G54" s="61">
        <f t="shared" si="9"/>
        <v>192.9</v>
      </c>
      <c r="H54" s="61">
        <f t="shared" si="9"/>
        <v>192.5</v>
      </c>
      <c r="I54" s="61">
        <f t="shared" si="9"/>
        <v>776.3</v>
      </c>
      <c r="J54" s="61">
        <f t="shared" si="9"/>
        <v>496.1</v>
      </c>
      <c r="K54" s="61">
        <f t="shared" si="9"/>
        <v>310.2</v>
      </c>
      <c r="L54" s="61">
        <f t="shared" si="9"/>
        <v>133.9</v>
      </c>
      <c r="M54" s="61">
        <f t="shared" si="9"/>
        <v>126.1</v>
      </c>
      <c r="N54" s="62">
        <f t="shared" si="9"/>
        <v>124.1</v>
      </c>
      <c r="O54" s="63">
        <f t="shared" si="9"/>
        <v>2042.5</v>
      </c>
      <c r="P54" s="62">
        <f t="shared" si="9"/>
        <v>170.2</v>
      </c>
    </row>
    <row r="55" spans="2:16" ht="21.95" customHeight="1">
      <c r="B55" s="64" t="s">
        <v>20</v>
      </c>
      <c r="C55" s="65">
        <f>MIN(C44:C53)</f>
        <v>1.2</v>
      </c>
      <c r="D55" s="65">
        <f t="shared" ref="D55:P55" si="10">MIN(D44:D53)</f>
        <v>1.4</v>
      </c>
      <c r="E55" s="65">
        <f t="shared" si="10"/>
        <v>11.6</v>
      </c>
      <c r="F55" s="65">
        <f t="shared" si="10"/>
        <v>17.8</v>
      </c>
      <c r="G55" s="65">
        <f t="shared" si="10"/>
        <v>8.1</v>
      </c>
      <c r="H55" s="65">
        <f t="shared" si="10"/>
        <v>35.299999999999997</v>
      </c>
      <c r="I55" s="65">
        <f t="shared" si="10"/>
        <v>145.6</v>
      </c>
      <c r="J55" s="65">
        <f t="shared" si="10"/>
        <v>51.6</v>
      </c>
      <c r="K55" s="65">
        <f t="shared" si="10"/>
        <v>18.5</v>
      </c>
      <c r="L55" s="65">
        <f t="shared" si="10"/>
        <v>3.2</v>
      </c>
      <c r="M55" s="65">
        <f t="shared" si="10"/>
        <v>15.1</v>
      </c>
      <c r="N55" s="46">
        <f t="shared" si="10"/>
        <v>3.7</v>
      </c>
      <c r="O55" s="55">
        <f>MIN(O44:O53)</f>
        <v>822.7</v>
      </c>
      <c r="P55" s="46">
        <f t="shared" si="10"/>
        <v>68.599999999999994</v>
      </c>
    </row>
    <row r="56" spans="2:16" ht="21.95" customHeight="1" thickBot="1">
      <c r="B56" s="66" t="s">
        <v>7</v>
      </c>
      <c r="C56" s="67">
        <f>ROUND(AVERAGE(C44:C53),1)</f>
        <v>26.3</v>
      </c>
      <c r="D56" s="67">
        <f t="shared" ref="D56:N56" si="11">ROUND(AVERAGE(D44:D53),1)</f>
        <v>40.799999999999997</v>
      </c>
      <c r="E56" s="67">
        <f t="shared" si="11"/>
        <v>51.4</v>
      </c>
      <c r="F56" s="67">
        <f t="shared" si="11"/>
        <v>79.7</v>
      </c>
      <c r="G56" s="67">
        <f t="shared" si="11"/>
        <v>81.7</v>
      </c>
      <c r="H56" s="67">
        <f t="shared" si="11"/>
        <v>105.2</v>
      </c>
      <c r="I56" s="67">
        <f t="shared" si="11"/>
        <v>352.7</v>
      </c>
      <c r="J56" s="67">
        <f t="shared" si="11"/>
        <v>247.7</v>
      </c>
      <c r="K56" s="67">
        <f t="shared" si="11"/>
        <v>158.19999999999999</v>
      </c>
      <c r="L56" s="67">
        <f t="shared" si="11"/>
        <v>74</v>
      </c>
      <c r="M56" s="67">
        <f t="shared" si="11"/>
        <v>51.9</v>
      </c>
      <c r="N56" s="51">
        <f t="shared" si="11"/>
        <v>34</v>
      </c>
      <c r="O56" s="59">
        <f>ROUND(AVERAGE(O44:O53),1)</f>
        <v>1303.5</v>
      </c>
      <c r="P56" s="51">
        <f>ROUND(AVERAGE(P44:P53),1)</f>
        <v>108.6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1411-EEDA-4316-A7F0-6A99969264CD}">
  <sheetPr codeName="Sheet19">
    <tabColor rgb="FFC000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286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11.9</v>
      </c>
      <c r="D6" s="9">
        <v>6.8</v>
      </c>
      <c r="E6" s="9">
        <v>29.3</v>
      </c>
      <c r="F6" s="9">
        <v>46.2</v>
      </c>
      <c r="G6" s="9">
        <v>45.5</v>
      </c>
      <c r="H6" s="9">
        <v>19</v>
      </c>
      <c r="I6" s="9">
        <v>290.8</v>
      </c>
      <c r="J6" s="10">
        <v>802</v>
      </c>
      <c r="K6" s="9">
        <v>16</v>
      </c>
      <c r="L6" s="9">
        <v>23</v>
      </c>
      <c r="M6" s="9">
        <v>23.9</v>
      </c>
      <c r="N6" s="11">
        <v>4.2</v>
      </c>
      <c r="O6" s="12">
        <f t="shared" ref="O6:O35" si="0">ROUND(SUM(C6:N6),1)</f>
        <v>1318.6</v>
      </c>
      <c r="P6" s="13">
        <f>ROUND(O6/12,1)</f>
        <v>109.9</v>
      </c>
      <c r="Q6" s="14"/>
    </row>
    <row r="7" spans="2:17" ht="21.95" customHeight="1">
      <c r="B7" s="15">
        <v>1996</v>
      </c>
      <c r="C7" s="16">
        <v>27.8</v>
      </c>
      <c r="D7" s="16">
        <v>1.6</v>
      </c>
      <c r="E7" s="16">
        <v>101.7</v>
      </c>
      <c r="F7" s="16">
        <v>36.5</v>
      </c>
      <c r="G7" s="16">
        <v>29.1</v>
      </c>
      <c r="H7" s="16">
        <v>203.5</v>
      </c>
      <c r="I7" s="16">
        <v>207</v>
      </c>
      <c r="J7" s="17">
        <v>126</v>
      </c>
      <c r="K7" s="16">
        <v>26.5</v>
      </c>
      <c r="L7" s="16">
        <v>83</v>
      </c>
      <c r="M7" s="16">
        <v>74.099999999999994</v>
      </c>
      <c r="N7" s="18">
        <v>22.2</v>
      </c>
      <c r="O7" s="12">
        <f t="shared" si="0"/>
        <v>939</v>
      </c>
      <c r="P7" s="19">
        <f t="shared" ref="P7:P35" si="1">ROUND(O7/12,1)</f>
        <v>78.3</v>
      </c>
      <c r="Q7" s="14"/>
    </row>
    <row r="8" spans="2:17" ht="21.95" customHeight="1">
      <c r="B8" s="15">
        <v>1997</v>
      </c>
      <c r="C8" s="16">
        <v>5</v>
      </c>
      <c r="D8" s="16">
        <v>44.3</v>
      </c>
      <c r="E8" s="16">
        <v>23.2</v>
      </c>
      <c r="F8" s="16">
        <v>60</v>
      </c>
      <c r="G8" s="16">
        <v>193.5</v>
      </c>
      <c r="H8" s="16">
        <v>147.80000000000001</v>
      </c>
      <c r="I8" s="16">
        <v>308</v>
      </c>
      <c r="J8" s="16">
        <v>179.9</v>
      </c>
      <c r="K8" s="16">
        <v>52.5</v>
      </c>
      <c r="L8" s="16">
        <v>35.6</v>
      </c>
      <c r="M8" s="16">
        <v>128.5</v>
      </c>
      <c r="N8" s="18">
        <v>41.4</v>
      </c>
      <c r="O8" s="12">
        <f t="shared" si="0"/>
        <v>1219.7</v>
      </c>
      <c r="P8" s="19">
        <f t="shared" si="1"/>
        <v>101.6</v>
      </c>
      <c r="Q8" s="14"/>
    </row>
    <row r="9" spans="2:17" ht="21.95" customHeight="1">
      <c r="B9" s="15">
        <v>1998</v>
      </c>
      <c r="C9" s="16">
        <v>22.5</v>
      </c>
      <c r="D9" s="16">
        <v>26.4</v>
      </c>
      <c r="E9" s="16">
        <v>33.799999999999997</v>
      </c>
      <c r="F9" s="16">
        <v>145.30000000000001</v>
      </c>
      <c r="G9" s="16">
        <v>90</v>
      </c>
      <c r="H9" s="16">
        <v>217.7</v>
      </c>
      <c r="I9" s="16">
        <v>286.60000000000002</v>
      </c>
      <c r="J9" s="16">
        <v>541.70000000000005</v>
      </c>
      <c r="K9" s="16">
        <v>183</v>
      </c>
      <c r="L9" s="16">
        <v>64.5</v>
      </c>
      <c r="M9" s="16">
        <v>38.5</v>
      </c>
      <c r="N9" s="18">
        <v>2.5</v>
      </c>
      <c r="O9" s="12">
        <f t="shared" si="0"/>
        <v>1652.5</v>
      </c>
      <c r="P9" s="19">
        <f t="shared" si="1"/>
        <v>137.69999999999999</v>
      </c>
      <c r="Q9" s="14"/>
    </row>
    <row r="10" spans="2:17" ht="21.95" customHeight="1">
      <c r="B10" s="15">
        <v>1999</v>
      </c>
      <c r="C10" s="16">
        <v>3.1</v>
      </c>
      <c r="D10" s="16">
        <v>1.9</v>
      </c>
      <c r="E10" s="16">
        <v>54.2</v>
      </c>
      <c r="F10" s="16">
        <v>96</v>
      </c>
      <c r="G10" s="16">
        <v>103.2</v>
      </c>
      <c r="H10" s="16">
        <v>168.5</v>
      </c>
      <c r="I10" s="16">
        <v>112.7</v>
      </c>
      <c r="J10" s="16">
        <v>299.60000000000002</v>
      </c>
      <c r="K10" s="16">
        <v>239.6</v>
      </c>
      <c r="L10" s="16">
        <v>195.1</v>
      </c>
      <c r="M10" s="16">
        <v>34.5</v>
      </c>
      <c r="N10" s="18">
        <v>7</v>
      </c>
      <c r="O10" s="12">
        <f t="shared" si="0"/>
        <v>1315.4</v>
      </c>
      <c r="P10" s="19">
        <f t="shared" si="1"/>
        <v>109.6</v>
      </c>
      <c r="Q10" s="14"/>
    </row>
    <row r="11" spans="2:17" ht="21.95" customHeight="1">
      <c r="B11" s="15">
        <v>2000</v>
      </c>
      <c r="C11" s="16">
        <v>47.5</v>
      </c>
      <c r="D11" s="16">
        <v>3.3</v>
      </c>
      <c r="E11" s="16">
        <v>14.5</v>
      </c>
      <c r="F11" s="16">
        <v>42.5</v>
      </c>
      <c r="G11" s="16">
        <v>54</v>
      </c>
      <c r="H11" s="16">
        <v>248.5</v>
      </c>
      <c r="I11" s="16">
        <v>259.5</v>
      </c>
      <c r="J11" s="16">
        <v>260.5</v>
      </c>
      <c r="K11" s="16">
        <v>260.8</v>
      </c>
      <c r="L11" s="16">
        <v>25.5</v>
      </c>
      <c r="M11" s="16">
        <v>35.5</v>
      </c>
      <c r="N11" s="18">
        <v>17.5</v>
      </c>
      <c r="O11" s="12">
        <f t="shared" si="0"/>
        <v>1269.5999999999999</v>
      </c>
      <c r="P11" s="19">
        <f t="shared" si="1"/>
        <v>105.8</v>
      </c>
      <c r="Q11" s="14"/>
    </row>
    <row r="12" spans="2:17" ht="21.95" customHeight="1">
      <c r="B12" s="15">
        <v>2001</v>
      </c>
      <c r="C12" s="16">
        <v>47</v>
      </c>
      <c r="D12" s="16">
        <v>52.2</v>
      </c>
      <c r="E12" s="16">
        <v>8.3000000000000007</v>
      </c>
      <c r="F12" s="16">
        <v>12</v>
      </c>
      <c r="G12" s="16">
        <v>4.5999999999999996</v>
      </c>
      <c r="H12" s="16">
        <v>238.9</v>
      </c>
      <c r="I12" s="16">
        <v>241.6</v>
      </c>
      <c r="J12" s="16">
        <v>82.6</v>
      </c>
      <c r="K12" s="16">
        <v>13.8</v>
      </c>
      <c r="L12" s="16">
        <v>82.1</v>
      </c>
      <c r="M12" s="16">
        <v>4.4000000000000004</v>
      </c>
      <c r="N12" s="18">
        <v>10.6</v>
      </c>
      <c r="O12" s="12">
        <f t="shared" si="0"/>
        <v>798.1</v>
      </c>
      <c r="P12" s="19">
        <f t="shared" si="1"/>
        <v>66.5</v>
      </c>
    </row>
    <row r="13" spans="2:17" ht="21.95" customHeight="1">
      <c r="B13" s="15">
        <v>2002</v>
      </c>
      <c r="C13" s="16">
        <v>49.6</v>
      </c>
      <c r="D13" s="16">
        <v>4.2</v>
      </c>
      <c r="E13" s="16">
        <v>28.5</v>
      </c>
      <c r="F13" s="16">
        <v>151.19999999999999</v>
      </c>
      <c r="G13" s="16">
        <v>105</v>
      </c>
      <c r="H13" s="16">
        <v>74.7</v>
      </c>
      <c r="I13" s="16">
        <v>190.2</v>
      </c>
      <c r="J13" s="16">
        <v>653</v>
      </c>
      <c r="K13" s="16">
        <v>92.6</v>
      </c>
      <c r="L13" s="16">
        <v>52.2</v>
      </c>
      <c r="M13" s="16">
        <v>9.8000000000000007</v>
      </c>
      <c r="N13" s="18">
        <v>58.6</v>
      </c>
      <c r="O13" s="12">
        <f t="shared" si="0"/>
        <v>1469.6</v>
      </c>
      <c r="P13" s="19">
        <f t="shared" si="1"/>
        <v>122.5</v>
      </c>
    </row>
    <row r="14" spans="2:17" ht="21.95" customHeight="1">
      <c r="B14" s="15">
        <v>2003</v>
      </c>
      <c r="C14" s="16">
        <v>17.2</v>
      </c>
      <c r="D14" s="16">
        <v>59.2</v>
      </c>
      <c r="E14" s="16">
        <v>58.2</v>
      </c>
      <c r="F14" s="16">
        <v>170.8</v>
      </c>
      <c r="G14" s="16">
        <v>117.8</v>
      </c>
      <c r="H14" s="16">
        <v>152.1</v>
      </c>
      <c r="I14" s="16">
        <v>382.8</v>
      </c>
      <c r="J14" s="16">
        <v>314.7</v>
      </c>
      <c r="K14" s="16">
        <v>268.10000000000002</v>
      </c>
      <c r="L14" s="16">
        <v>27.5</v>
      </c>
      <c r="M14" s="16">
        <v>55</v>
      </c>
      <c r="N14" s="18">
        <v>17.8</v>
      </c>
      <c r="O14" s="12">
        <f t="shared" si="0"/>
        <v>1641.2</v>
      </c>
      <c r="P14" s="19">
        <f t="shared" si="1"/>
        <v>136.80000000000001</v>
      </c>
    </row>
    <row r="15" spans="2:17" ht="21.95" customHeight="1">
      <c r="B15" s="15">
        <v>2004</v>
      </c>
      <c r="C15" s="16">
        <v>16.600000000000001</v>
      </c>
      <c r="D15" s="16">
        <v>32</v>
      </c>
      <c r="E15" s="16">
        <v>29.4</v>
      </c>
      <c r="F15" s="16">
        <v>81</v>
      </c>
      <c r="G15" s="16">
        <v>124.9</v>
      </c>
      <c r="H15" s="16">
        <v>335</v>
      </c>
      <c r="I15" s="16">
        <v>410.7</v>
      </c>
      <c r="J15" s="16">
        <v>192.2</v>
      </c>
      <c r="K15" s="16">
        <v>144.1</v>
      </c>
      <c r="L15" s="16">
        <v>1.4</v>
      </c>
      <c r="M15" s="16">
        <v>32.5</v>
      </c>
      <c r="N15" s="18">
        <v>25.4</v>
      </c>
      <c r="O15" s="12">
        <f t="shared" si="0"/>
        <v>1425.2</v>
      </c>
      <c r="P15" s="19">
        <f t="shared" si="1"/>
        <v>118.8</v>
      </c>
    </row>
    <row r="16" spans="2:17" ht="21.95" customHeight="1">
      <c r="B16" s="15">
        <v>2005</v>
      </c>
      <c r="C16" s="16">
        <v>2.8</v>
      </c>
      <c r="D16" s="16">
        <v>20.8</v>
      </c>
      <c r="E16" s="16">
        <v>43.1</v>
      </c>
      <c r="F16" s="16">
        <v>63.1</v>
      </c>
      <c r="G16" s="16">
        <v>53.9</v>
      </c>
      <c r="H16" s="16">
        <v>178.7</v>
      </c>
      <c r="I16" s="16">
        <v>381.6</v>
      </c>
      <c r="J16" s="16">
        <v>226.1</v>
      </c>
      <c r="K16" s="16">
        <v>320</v>
      </c>
      <c r="L16" s="16">
        <v>63.4</v>
      </c>
      <c r="M16" s="16">
        <v>15.7</v>
      </c>
      <c r="N16" s="18">
        <v>11.7</v>
      </c>
      <c r="O16" s="12">
        <f t="shared" si="0"/>
        <v>1380.9</v>
      </c>
      <c r="P16" s="19">
        <f t="shared" si="1"/>
        <v>115.1</v>
      </c>
    </row>
    <row r="17" spans="2:16" ht="21.95" customHeight="1">
      <c r="B17" s="15">
        <v>2006</v>
      </c>
      <c r="C17" s="16">
        <v>27.1</v>
      </c>
      <c r="D17" s="16">
        <v>34.9</v>
      </c>
      <c r="E17" s="16">
        <v>5.9</v>
      </c>
      <c r="F17" s="16">
        <v>91.8</v>
      </c>
      <c r="G17" s="16">
        <v>95.1</v>
      </c>
      <c r="H17" s="16">
        <v>128.5</v>
      </c>
      <c r="I17" s="16">
        <v>666.9</v>
      </c>
      <c r="J17" s="16">
        <v>71.5</v>
      </c>
      <c r="K17" s="16">
        <v>21.7</v>
      </c>
      <c r="L17" s="16">
        <v>23.1</v>
      </c>
      <c r="M17" s="16">
        <v>53.1</v>
      </c>
      <c r="N17" s="18">
        <v>14.3</v>
      </c>
      <c r="O17" s="12">
        <f t="shared" si="0"/>
        <v>1233.9000000000001</v>
      </c>
      <c r="P17" s="19">
        <f t="shared" si="1"/>
        <v>102.8</v>
      </c>
    </row>
    <row r="18" spans="2:16" ht="21.95" customHeight="1">
      <c r="B18" s="15">
        <v>2007</v>
      </c>
      <c r="C18" s="16">
        <v>5.5</v>
      </c>
      <c r="D18" s="16">
        <v>38.5</v>
      </c>
      <c r="E18" s="16">
        <v>112.7</v>
      </c>
      <c r="F18" s="16">
        <v>18.3</v>
      </c>
      <c r="G18" s="16">
        <v>116.5</v>
      </c>
      <c r="H18" s="16">
        <v>90.1</v>
      </c>
      <c r="I18" s="16">
        <v>282.7</v>
      </c>
      <c r="J18" s="16">
        <v>366</v>
      </c>
      <c r="K18" s="16">
        <v>332.7</v>
      </c>
      <c r="L18" s="16">
        <v>32.799999999999997</v>
      </c>
      <c r="M18" s="16">
        <v>22</v>
      </c>
      <c r="N18" s="18">
        <v>21.4</v>
      </c>
      <c r="O18" s="12">
        <f t="shared" si="0"/>
        <v>1439.2</v>
      </c>
      <c r="P18" s="19">
        <f t="shared" si="1"/>
        <v>119.9</v>
      </c>
    </row>
    <row r="19" spans="2:16" ht="21.95" customHeight="1">
      <c r="B19" s="15">
        <v>2008</v>
      </c>
      <c r="C19" s="16">
        <v>29.3</v>
      </c>
      <c r="D19" s="16">
        <v>8.1999999999999993</v>
      </c>
      <c r="E19" s="16">
        <v>43.1</v>
      </c>
      <c r="F19" s="16">
        <v>31.5</v>
      </c>
      <c r="G19" s="16">
        <v>70.900000000000006</v>
      </c>
      <c r="H19" s="16">
        <v>78.099999999999994</v>
      </c>
      <c r="I19" s="16">
        <v>319.8</v>
      </c>
      <c r="J19" s="16">
        <v>192.5</v>
      </c>
      <c r="K19" s="16">
        <v>71.099999999999994</v>
      </c>
      <c r="L19" s="16">
        <v>16</v>
      </c>
      <c r="M19" s="16">
        <v>10.3</v>
      </c>
      <c r="N19" s="18">
        <v>11.7</v>
      </c>
      <c r="O19" s="12">
        <f t="shared" si="0"/>
        <v>882.5</v>
      </c>
      <c r="P19" s="19">
        <f t="shared" si="1"/>
        <v>73.5</v>
      </c>
    </row>
    <row r="20" spans="2:16" ht="21.95" customHeight="1">
      <c r="B20" s="15">
        <v>2009</v>
      </c>
      <c r="C20" s="16">
        <v>16.7</v>
      </c>
      <c r="D20" s="16">
        <v>15.8</v>
      </c>
      <c r="E20" s="16">
        <v>52</v>
      </c>
      <c r="F20" s="16">
        <v>30.7</v>
      </c>
      <c r="G20" s="16">
        <v>97.1</v>
      </c>
      <c r="H20" s="16">
        <v>89.5</v>
      </c>
      <c r="I20" s="16">
        <v>316.2</v>
      </c>
      <c r="J20" s="16">
        <v>142.5</v>
      </c>
      <c r="K20" s="16">
        <v>70.599999999999994</v>
      </c>
      <c r="L20" s="16">
        <v>45</v>
      </c>
      <c r="M20" s="16">
        <v>31.2</v>
      </c>
      <c r="N20" s="18">
        <v>29.5</v>
      </c>
      <c r="O20" s="12">
        <f t="shared" si="0"/>
        <v>936.8</v>
      </c>
      <c r="P20" s="19">
        <f t="shared" si="1"/>
        <v>78.099999999999994</v>
      </c>
    </row>
    <row r="21" spans="2:16" ht="21.95" customHeight="1">
      <c r="B21" s="15">
        <v>2010</v>
      </c>
      <c r="C21" s="16">
        <v>44.3</v>
      </c>
      <c r="D21" s="16">
        <v>70.8</v>
      </c>
      <c r="E21" s="16">
        <v>85.3</v>
      </c>
      <c r="F21" s="16">
        <v>69.5</v>
      </c>
      <c r="G21" s="16">
        <v>97</v>
      </c>
      <c r="H21" s="16">
        <v>50.6</v>
      </c>
      <c r="I21" s="16">
        <v>112.2</v>
      </c>
      <c r="J21" s="16">
        <v>345.1</v>
      </c>
      <c r="K21" s="16">
        <v>287.8</v>
      </c>
      <c r="L21" s="16">
        <v>21</v>
      </c>
      <c r="M21" s="16">
        <v>14.3</v>
      </c>
      <c r="N21" s="18">
        <v>14.4</v>
      </c>
      <c r="O21" s="12">
        <f t="shared" si="0"/>
        <v>1212.3</v>
      </c>
      <c r="P21" s="19">
        <f t="shared" si="1"/>
        <v>101</v>
      </c>
    </row>
    <row r="22" spans="2:16" ht="21.95" customHeight="1">
      <c r="B22" s="15">
        <v>2011</v>
      </c>
      <c r="C22" s="16">
        <v>2.7</v>
      </c>
      <c r="D22" s="16">
        <v>45.9</v>
      </c>
      <c r="E22" s="16">
        <v>30.6</v>
      </c>
      <c r="F22" s="16">
        <v>157.80000000000001</v>
      </c>
      <c r="G22" s="16">
        <v>187.7</v>
      </c>
      <c r="H22" s="16">
        <v>452.6</v>
      </c>
      <c r="I22" s="16">
        <v>603.9</v>
      </c>
      <c r="J22" s="16">
        <v>289.39999999999998</v>
      </c>
      <c r="K22" s="16">
        <v>158.6</v>
      </c>
      <c r="L22" s="16">
        <v>61.5</v>
      </c>
      <c r="M22" s="16">
        <v>67</v>
      </c>
      <c r="N22" s="18">
        <v>15.6</v>
      </c>
      <c r="O22" s="12">
        <f t="shared" si="0"/>
        <v>2073.3000000000002</v>
      </c>
      <c r="P22" s="19">
        <f t="shared" si="1"/>
        <v>172.8</v>
      </c>
    </row>
    <row r="23" spans="2:16" ht="21.95" customHeight="1">
      <c r="B23" s="15">
        <v>2012</v>
      </c>
      <c r="C23" s="16">
        <v>9.6</v>
      </c>
      <c r="D23" s="16">
        <v>1.7</v>
      </c>
      <c r="E23" s="16">
        <v>66.400000000000006</v>
      </c>
      <c r="F23" s="16">
        <v>84.5</v>
      </c>
      <c r="G23" s="16">
        <v>61</v>
      </c>
      <c r="H23" s="16">
        <v>58.8</v>
      </c>
      <c r="I23" s="16">
        <v>265.7</v>
      </c>
      <c r="J23" s="16">
        <v>403.3</v>
      </c>
      <c r="K23" s="16">
        <v>177.2</v>
      </c>
      <c r="L23" s="16">
        <v>62</v>
      </c>
      <c r="M23" s="16">
        <v>48</v>
      </c>
      <c r="N23" s="18">
        <v>52.1</v>
      </c>
      <c r="O23" s="12">
        <f t="shared" si="0"/>
        <v>1290.3</v>
      </c>
      <c r="P23" s="19">
        <f t="shared" si="1"/>
        <v>107.5</v>
      </c>
    </row>
    <row r="24" spans="2:16" ht="21.95" customHeight="1">
      <c r="B24" s="15">
        <v>2013</v>
      </c>
      <c r="C24" s="16">
        <v>40.5</v>
      </c>
      <c r="D24" s="16">
        <v>36.9</v>
      </c>
      <c r="E24" s="16">
        <v>48</v>
      </c>
      <c r="F24" s="16">
        <v>84.7</v>
      </c>
      <c r="G24" s="16">
        <v>92.5</v>
      </c>
      <c r="H24" s="16">
        <v>126.6</v>
      </c>
      <c r="I24" s="16">
        <v>240.7</v>
      </c>
      <c r="J24" s="16">
        <v>222.2</v>
      </c>
      <c r="K24" s="16">
        <v>122.2</v>
      </c>
      <c r="L24" s="16">
        <v>12.1</v>
      </c>
      <c r="M24" s="16">
        <v>44</v>
      </c>
      <c r="N24" s="18">
        <v>32.200000000000003</v>
      </c>
      <c r="O24" s="12">
        <f t="shared" si="0"/>
        <v>1102.5999999999999</v>
      </c>
      <c r="P24" s="19">
        <f t="shared" si="1"/>
        <v>91.9</v>
      </c>
    </row>
    <row r="25" spans="2:16" ht="21.95" customHeight="1">
      <c r="B25" s="15">
        <v>2014</v>
      </c>
      <c r="C25" s="16">
        <v>14</v>
      </c>
      <c r="D25" s="16">
        <v>18.899999999999999</v>
      </c>
      <c r="E25" s="16">
        <v>37.700000000000003</v>
      </c>
      <c r="F25" s="16">
        <v>39.6</v>
      </c>
      <c r="G25" s="16">
        <v>26.3</v>
      </c>
      <c r="H25" s="16">
        <v>63.3</v>
      </c>
      <c r="I25" s="16">
        <v>92.6</v>
      </c>
      <c r="J25" s="16">
        <v>284.3</v>
      </c>
      <c r="K25" s="16">
        <v>122.7</v>
      </c>
      <c r="L25" s="16">
        <v>153.80000000000001</v>
      </c>
      <c r="M25" s="16">
        <v>23.5</v>
      </c>
      <c r="N25" s="18">
        <v>22.9</v>
      </c>
      <c r="O25" s="12">
        <f t="shared" si="0"/>
        <v>899.6</v>
      </c>
      <c r="P25" s="19">
        <f t="shared" si="1"/>
        <v>75</v>
      </c>
    </row>
    <row r="26" spans="2:16" ht="21.95" customHeight="1">
      <c r="B26" s="15">
        <v>2015</v>
      </c>
      <c r="C26" s="16">
        <v>15.6</v>
      </c>
      <c r="D26" s="16">
        <v>22.8</v>
      </c>
      <c r="E26" s="16">
        <v>31.7</v>
      </c>
      <c r="F26" s="16">
        <v>88.9</v>
      </c>
      <c r="G26" s="16">
        <v>23</v>
      </c>
      <c r="H26" s="16">
        <v>75</v>
      </c>
      <c r="I26" s="16">
        <v>181.6</v>
      </c>
      <c r="J26" s="16">
        <v>71.8</v>
      </c>
      <c r="K26" s="16">
        <v>33.799999999999997</v>
      </c>
      <c r="L26" s="16">
        <v>60.2</v>
      </c>
      <c r="M26" s="16">
        <v>89.9</v>
      </c>
      <c r="N26" s="18">
        <v>37.5</v>
      </c>
      <c r="O26" s="12">
        <f t="shared" si="0"/>
        <v>731.8</v>
      </c>
      <c r="P26" s="19">
        <f t="shared" si="1"/>
        <v>61</v>
      </c>
    </row>
    <row r="27" spans="2:16" ht="21.95" customHeight="1">
      <c r="B27" s="15">
        <v>2016</v>
      </c>
      <c r="C27" s="16">
        <v>1.8</v>
      </c>
      <c r="D27" s="16">
        <v>50.1</v>
      </c>
      <c r="E27" s="16">
        <v>11.9</v>
      </c>
      <c r="F27" s="16">
        <v>97.3</v>
      </c>
      <c r="G27" s="16">
        <v>70</v>
      </c>
      <c r="H27" s="16">
        <v>38.9</v>
      </c>
      <c r="I27" s="16">
        <v>374.4</v>
      </c>
      <c r="J27" s="16">
        <v>44</v>
      </c>
      <c r="K27" s="16">
        <v>60.8</v>
      </c>
      <c r="L27" s="16">
        <v>102.6</v>
      </c>
      <c r="M27" s="16">
        <v>22.9</v>
      </c>
      <c r="N27" s="18">
        <v>42.4</v>
      </c>
      <c r="O27" s="12">
        <f t="shared" si="0"/>
        <v>917.1</v>
      </c>
      <c r="P27" s="19">
        <f t="shared" si="1"/>
        <v>76.400000000000006</v>
      </c>
    </row>
    <row r="28" spans="2:16" ht="21.95" customHeight="1">
      <c r="B28" s="15">
        <v>2017</v>
      </c>
      <c r="C28" s="16">
        <v>18</v>
      </c>
      <c r="D28" s="16">
        <v>36.200000000000003</v>
      </c>
      <c r="E28" s="16">
        <v>22.5</v>
      </c>
      <c r="F28" s="16">
        <v>71.400000000000006</v>
      </c>
      <c r="G28" s="16">
        <v>32.200000000000003</v>
      </c>
      <c r="H28" s="16">
        <v>43.7</v>
      </c>
      <c r="I28" s="16">
        <v>464.3</v>
      </c>
      <c r="J28" s="16">
        <v>257.89999999999998</v>
      </c>
      <c r="K28" s="16">
        <v>62.4</v>
      </c>
      <c r="L28" s="16">
        <v>21.2</v>
      </c>
      <c r="M28" s="16">
        <v>17.600000000000001</v>
      </c>
      <c r="N28" s="18">
        <v>25.5</v>
      </c>
      <c r="O28" s="12">
        <f t="shared" si="0"/>
        <v>1072.9000000000001</v>
      </c>
      <c r="P28" s="19">
        <f t="shared" si="1"/>
        <v>89.4</v>
      </c>
    </row>
    <row r="29" spans="2:16" ht="21.95" customHeight="1">
      <c r="B29" s="15">
        <v>2018</v>
      </c>
      <c r="C29" s="16">
        <v>14.3</v>
      </c>
      <c r="D29" s="16">
        <v>35.799999999999997</v>
      </c>
      <c r="E29" s="16">
        <v>75.099999999999994</v>
      </c>
      <c r="F29" s="16">
        <v>107.9</v>
      </c>
      <c r="G29" s="16">
        <v>180</v>
      </c>
      <c r="H29" s="16">
        <v>63.7</v>
      </c>
      <c r="I29" s="16">
        <v>149.1</v>
      </c>
      <c r="J29" s="16">
        <v>353.3</v>
      </c>
      <c r="K29" s="16">
        <v>184.9</v>
      </c>
      <c r="L29" s="16">
        <v>96</v>
      </c>
      <c r="M29" s="16">
        <v>50</v>
      </c>
      <c r="N29" s="18">
        <v>39</v>
      </c>
      <c r="O29" s="12">
        <f t="shared" si="0"/>
        <v>1349.1</v>
      </c>
      <c r="P29" s="19">
        <f t="shared" si="1"/>
        <v>112.4</v>
      </c>
    </row>
    <row r="30" spans="2:16" ht="21.95" customHeight="1">
      <c r="B30" s="15">
        <v>2019</v>
      </c>
      <c r="C30" s="16">
        <v>4.0999999999999996</v>
      </c>
      <c r="D30" s="16">
        <v>29</v>
      </c>
      <c r="E30" s="16">
        <v>27.9</v>
      </c>
      <c r="F30" s="16">
        <v>58.5</v>
      </c>
      <c r="G30" s="16">
        <v>15.4</v>
      </c>
      <c r="H30" s="16">
        <v>59.6</v>
      </c>
      <c r="I30" s="16">
        <v>161.4</v>
      </c>
      <c r="J30" s="16">
        <v>102.6</v>
      </c>
      <c r="K30" s="16">
        <v>165.9</v>
      </c>
      <c r="L30" s="16">
        <v>59</v>
      </c>
      <c r="M30" s="16">
        <v>84.6</v>
      </c>
      <c r="N30" s="18">
        <v>27.5</v>
      </c>
      <c r="O30" s="12">
        <f t="shared" si="0"/>
        <v>795.5</v>
      </c>
      <c r="P30" s="19">
        <f t="shared" si="1"/>
        <v>66.3</v>
      </c>
    </row>
    <row r="31" spans="2:16" ht="21.95" customHeight="1">
      <c r="B31" s="15">
        <v>2020</v>
      </c>
      <c r="C31" s="16">
        <v>60.2</v>
      </c>
      <c r="D31" s="16">
        <v>61.9</v>
      </c>
      <c r="E31" s="16">
        <v>20.7</v>
      </c>
      <c r="F31" s="16">
        <v>25.9</v>
      </c>
      <c r="G31" s="16">
        <v>109.7</v>
      </c>
      <c r="H31" s="16">
        <v>112.1</v>
      </c>
      <c r="I31" s="16">
        <v>352.2</v>
      </c>
      <c r="J31" s="16">
        <v>505.6</v>
      </c>
      <c r="K31" s="16">
        <v>146.4</v>
      </c>
      <c r="L31" s="16">
        <v>10.7</v>
      </c>
      <c r="M31" s="16">
        <v>30</v>
      </c>
      <c r="N31" s="18">
        <v>11.1</v>
      </c>
      <c r="O31" s="12">
        <f t="shared" si="0"/>
        <v>1446.5</v>
      </c>
      <c r="P31" s="19">
        <f t="shared" si="1"/>
        <v>120.5</v>
      </c>
    </row>
    <row r="32" spans="2:16" ht="21.95" customHeight="1">
      <c r="B32" s="15">
        <v>2021</v>
      </c>
      <c r="C32" s="16">
        <v>13.6</v>
      </c>
      <c r="D32" s="16">
        <v>12.3</v>
      </c>
      <c r="E32" s="16">
        <v>80.5</v>
      </c>
      <c r="F32" s="16">
        <v>63.4</v>
      </c>
      <c r="G32" s="16">
        <v>178.4</v>
      </c>
      <c r="H32" s="16">
        <v>130.4</v>
      </c>
      <c r="I32" s="16">
        <v>310.7</v>
      </c>
      <c r="J32" s="16">
        <v>239.9</v>
      </c>
      <c r="K32" s="16">
        <v>240.3</v>
      </c>
      <c r="L32" s="16">
        <v>45.5</v>
      </c>
      <c r="M32" s="16">
        <v>44.9</v>
      </c>
      <c r="N32" s="18">
        <v>5.6</v>
      </c>
      <c r="O32" s="12">
        <f t="shared" si="0"/>
        <v>1365.5</v>
      </c>
      <c r="P32" s="19">
        <f t="shared" si="1"/>
        <v>113.8</v>
      </c>
    </row>
    <row r="33" spans="2:16" ht="21.95" customHeight="1">
      <c r="B33" s="15">
        <v>2022</v>
      </c>
      <c r="C33" s="16">
        <v>2</v>
      </c>
      <c r="D33" s="16">
        <v>4.3</v>
      </c>
      <c r="E33" s="16">
        <v>79.900000000000006</v>
      </c>
      <c r="F33" s="16">
        <v>45.8</v>
      </c>
      <c r="G33" s="16">
        <v>8.6</v>
      </c>
      <c r="H33" s="16">
        <v>219</v>
      </c>
      <c r="I33" s="16">
        <v>350.5</v>
      </c>
      <c r="J33" s="16">
        <v>457.3</v>
      </c>
      <c r="K33" s="16">
        <v>102</v>
      </c>
      <c r="L33" s="16">
        <v>96.5</v>
      </c>
      <c r="M33" s="16">
        <v>79.5</v>
      </c>
      <c r="N33" s="18">
        <v>18.8</v>
      </c>
      <c r="O33" s="12">
        <f t="shared" si="0"/>
        <v>1464.2</v>
      </c>
      <c r="P33" s="19">
        <f t="shared" si="1"/>
        <v>122</v>
      </c>
    </row>
    <row r="34" spans="2:16" ht="21.95" customHeight="1">
      <c r="B34" s="15">
        <v>2023</v>
      </c>
      <c r="C34" s="16">
        <v>23</v>
      </c>
      <c r="D34" s="16">
        <v>3.3</v>
      </c>
      <c r="E34" s="16">
        <v>16.7</v>
      </c>
      <c r="F34" s="16">
        <v>32.1</v>
      </c>
      <c r="G34" s="16">
        <v>123.8</v>
      </c>
      <c r="H34" s="16">
        <v>239.6</v>
      </c>
      <c r="I34" s="16">
        <v>554.20000000000005</v>
      </c>
      <c r="J34" s="16">
        <v>248</v>
      </c>
      <c r="K34" s="16">
        <v>242.5</v>
      </c>
      <c r="L34" s="16">
        <v>31.3</v>
      </c>
      <c r="M34" s="16">
        <v>50.8</v>
      </c>
      <c r="N34" s="18">
        <v>96.3</v>
      </c>
      <c r="O34" s="12">
        <f t="shared" si="0"/>
        <v>1661.6</v>
      </c>
      <c r="P34" s="19">
        <f t="shared" si="1"/>
        <v>138.5</v>
      </c>
    </row>
    <row r="35" spans="2:16" ht="21.95" customHeight="1" thickBot="1">
      <c r="B35" s="33">
        <v>2024</v>
      </c>
      <c r="C35" s="34">
        <v>34.6</v>
      </c>
      <c r="D35" s="34">
        <v>86.6</v>
      </c>
      <c r="E35" s="34">
        <v>50.8</v>
      </c>
      <c r="F35" s="34">
        <v>59</v>
      </c>
      <c r="G35" s="34">
        <v>128.69999999999999</v>
      </c>
      <c r="H35" s="34">
        <v>126.1</v>
      </c>
      <c r="I35" s="34">
        <v>503.2</v>
      </c>
      <c r="J35" s="34">
        <v>71.400000000000006</v>
      </c>
      <c r="K35" s="34">
        <v>211.4</v>
      </c>
      <c r="L35" s="34">
        <v>122.8</v>
      </c>
      <c r="M35" s="34">
        <v>49.1</v>
      </c>
      <c r="N35" s="35">
        <v>4.3</v>
      </c>
      <c r="O35" s="36">
        <f t="shared" si="0"/>
        <v>1448</v>
      </c>
      <c r="P35" s="37">
        <f t="shared" si="1"/>
        <v>120.7</v>
      </c>
    </row>
    <row r="36" spans="2:16" ht="21.95" customHeight="1">
      <c r="B36" s="38" t="s">
        <v>13</v>
      </c>
      <c r="C36" s="39">
        <f>ROUND(MAX(C6:C35),1)</f>
        <v>60.2</v>
      </c>
      <c r="D36" s="39">
        <f t="shared" ref="D36:N36" si="2">ROUND(MAX(D6:D35),1)</f>
        <v>86.6</v>
      </c>
      <c r="E36" s="39">
        <f t="shared" si="2"/>
        <v>112.7</v>
      </c>
      <c r="F36" s="39">
        <f t="shared" si="2"/>
        <v>170.8</v>
      </c>
      <c r="G36" s="39">
        <f t="shared" si="2"/>
        <v>193.5</v>
      </c>
      <c r="H36" s="39">
        <f t="shared" si="2"/>
        <v>452.6</v>
      </c>
      <c r="I36" s="39">
        <f t="shared" si="2"/>
        <v>666.9</v>
      </c>
      <c r="J36" s="39">
        <f t="shared" si="2"/>
        <v>802</v>
      </c>
      <c r="K36" s="39">
        <f t="shared" si="2"/>
        <v>332.7</v>
      </c>
      <c r="L36" s="39">
        <f t="shared" si="2"/>
        <v>195.1</v>
      </c>
      <c r="M36" s="39">
        <f t="shared" si="2"/>
        <v>128.5</v>
      </c>
      <c r="N36" s="40">
        <f t="shared" si="2"/>
        <v>96.3</v>
      </c>
      <c r="O36" s="41">
        <f>ROUND(MAX(O6:O35),1)</f>
        <v>2073.3000000000002</v>
      </c>
      <c r="P36" s="42">
        <f>ROUND(MAX(P6:P35),1)</f>
        <v>172.8</v>
      </c>
    </row>
    <row r="37" spans="2:16" ht="21.95" customHeight="1">
      <c r="B37" s="43" t="s">
        <v>14</v>
      </c>
      <c r="C37" s="44">
        <f>ROUND(MIN(C6:C35),1)</f>
        <v>1.8</v>
      </c>
      <c r="D37" s="44">
        <f t="shared" ref="D37:N37" si="3">ROUND(MIN(D6:D35),1)</f>
        <v>1.6</v>
      </c>
      <c r="E37" s="44">
        <f t="shared" si="3"/>
        <v>5.9</v>
      </c>
      <c r="F37" s="44">
        <f t="shared" si="3"/>
        <v>12</v>
      </c>
      <c r="G37" s="44">
        <f t="shared" si="3"/>
        <v>4.5999999999999996</v>
      </c>
      <c r="H37" s="44">
        <f t="shared" si="3"/>
        <v>19</v>
      </c>
      <c r="I37" s="44">
        <f t="shared" si="3"/>
        <v>92.6</v>
      </c>
      <c r="J37" s="44">
        <f t="shared" si="3"/>
        <v>44</v>
      </c>
      <c r="K37" s="44">
        <f t="shared" si="3"/>
        <v>13.8</v>
      </c>
      <c r="L37" s="44">
        <f t="shared" si="3"/>
        <v>1.4</v>
      </c>
      <c r="M37" s="44">
        <f t="shared" si="3"/>
        <v>4.4000000000000004</v>
      </c>
      <c r="N37" s="19">
        <f t="shared" si="3"/>
        <v>2.5</v>
      </c>
      <c r="O37" s="45">
        <f>ROUND(MIN(O6:O35),1)</f>
        <v>731.8</v>
      </c>
      <c r="P37" s="46">
        <f>ROUND(MIN(P6:P35),1)</f>
        <v>61</v>
      </c>
    </row>
    <row r="38" spans="2:16" ht="21.95" customHeight="1" thickBot="1">
      <c r="B38" s="47" t="s">
        <v>18</v>
      </c>
      <c r="C38" s="48">
        <f>ROUND(AVERAGE(C6:C35),1)</f>
        <v>20.9</v>
      </c>
      <c r="D38" s="48">
        <f t="shared" ref="D38:P38" si="4">ROUND(AVERAGE(D6:D35),1)</f>
        <v>28.9</v>
      </c>
      <c r="E38" s="48">
        <f t="shared" si="4"/>
        <v>44.1</v>
      </c>
      <c r="F38" s="48">
        <f t="shared" si="4"/>
        <v>72.099999999999994</v>
      </c>
      <c r="G38" s="48">
        <f t="shared" si="4"/>
        <v>87.8</v>
      </c>
      <c r="H38" s="48">
        <f t="shared" si="4"/>
        <v>141</v>
      </c>
      <c r="I38" s="48">
        <f t="shared" si="4"/>
        <v>312.5</v>
      </c>
      <c r="J38" s="48">
        <f t="shared" si="4"/>
        <v>278.2</v>
      </c>
      <c r="K38" s="48">
        <f t="shared" si="4"/>
        <v>147.69999999999999</v>
      </c>
      <c r="L38" s="48">
        <f t="shared" si="4"/>
        <v>57.5</v>
      </c>
      <c r="M38" s="48">
        <f t="shared" si="4"/>
        <v>42.8</v>
      </c>
      <c r="N38" s="49">
        <f t="shared" si="4"/>
        <v>24.7</v>
      </c>
      <c r="O38" s="50">
        <f t="shared" si="4"/>
        <v>1258.4000000000001</v>
      </c>
      <c r="P38" s="51">
        <f t="shared" si="4"/>
        <v>104.9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15.6</v>
      </c>
      <c r="D44" s="53">
        <f t="shared" si="5"/>
        <v>22.8</v>
      </c>
      <c r="E44" s="53">
        <f t="shared" si="5"/>
        <v>31.7</v>
      </c>
      <c r="F44" s="53">
        <f t="shared" si="5"/>
        <v>88.9</v>
      </c>
      <c r="G44" s="53">
        <f t="shared" si="5"/>
        <v>23</v>
      </c>
      <c r="H44" s="53">
        <f t="shared" si="5"/>
        <v>75</v>
      </c>
      <c r="I44" s="53">
        <f t="shared" si="5"/>
        <v>181.6</v>
      </c>
      <c r="J44" s="53">
        <f t="shared" si="5"/>
        <v>71.8</v>
      </c>
      <c r="K44" s="53">
        <f t="shared" si="5"/>
        <v>33.799999999999997</v>
      </c>
      <c r="L44" s="53">
        <f t="shared" si="5"/>
        <v>60.2</v>
      </c>
      <c r="M44" s="53">
        <f t="shared" si="5"/>
        <v>89.9</v>
      </c>
      <c r="N44" s="54">
        <f t="shared" si="5"/>
        <v>37.5</v>
      </c>
      <c r="O44" s="55">
        <f>ROUND(SUM(C44:N44),1)</f>
        <v>731.8</v>
      </c>
      <c r="P44" s="46">
        <f>ROUND(O44/12,1)</f>
        <v>61</v>
      </c>
    </row>
    <row r="45" spans="2:16" ht="21.95" customHeight="1">
      <c r="B45" s="52">
        <f t="shared" ref="B45:N53" si="6">B27</f>
        <v>2016</v>
      </c>
      <c r="C45" s="53">
        <f t="shared" si="6"/>
        <v>1.8</v>
      </c>
      <c r="D45" s="53">
        <f t="shared" si="6"/>
        <v>50.1</v>
      </c>
      <c r="E45" s="53">
        <f t="shared" si="6"/>
        <v>11.9</v>
      </c>
      <c r="F45" s="53">
        <f t="shared" si="6"/>
        <v>97.3</v>
      </c>
      <c r="G45" s="53">
        <f t="shared" si="6"/>
        <v>70</v>
      </c>
      <c r="H45" s="53">
        <f t="shared" si="6"/>
        <v>38.9</v>
      </c>
      <c r="I45" s="53">
        <f t="shared" si="6"/>
        <v>374.4</v>
      </c>
      <c r="J45" s="53">
        <f t="shared" si="6"/>
        <v>44</v>
      </c>
      <c r="K45" s="53">
        <f t="shared" si="6"/>
        <v>60.8</v>
      </c>
      <c r="L45" s="53">
        <f t="shared" si="6"/>
        <v>102.6</v>
      </c>
      <c r="M45" s="53">
        <f t="shared" si="6"/>
        <v>22.9</v>
      </c>
      <c r="N45" s="54">
        <f t="shared" si="6"/>
        <v>42.4</v>
      </c>
      <c r="O45" s="55">
        <f t="shared" ref="O45:O53" si="7">ROUND(SUM(C45:N45),1)</f>
        <v>917.1</v>
      </c>
      <c r="P45" s="46">
        <f t="shared" ref="P45:P53" si="8">ROUND(O45/12,1)</f>
        <v>76.400000000000006</v>
      </c>
    </row>
    <row r="46" spans="2:16" ht="21.95" customHeight="1">
      <c r="B46" s="52">
        <f t="shared" si="6"/>
        <v>2017</v>
      </c>
      <c r="C46" s="53">
        <f t="shared" si="6"/>
        <v>18</v>
      </c>
      <c r="D46" s="53">
        <f t="shared" si="6"/>
        <v>36.200000000000003</v>
      </c>
      <c r="E46" s="53">
        <f t="shared" si="6"/>
        <v>22.5</v>
      </c>
      <c r="F46" s="53">
        <f t="shared" si="6"/>
        <v>71.400000000000006</v>
      </c>
      <c r="G46" s="53">
        <f t="shared" si="6"/>
        <v>32.200000000000003</v>
      </c>
      <c r="H46" s="53">
        <f t="shared" si="6"/>
        <v>43.7</v>
      </c>
      <c r="I46" s="53">
        <f t="shared" si="6"/>
        <v>464.3</v>
      </c>
      <c r="J46" s="53">
        <f t="shared" si="6"/>
        <v>257.89999999999998</v>
      </c>
      <c r="K46" s="53">
        <f t="shared" si="6"/>
        <v>62.4</v>
      </c>
      <c r="L46" s="53">
        <f t="shared" si="6"/>
        <v>21.2</v>
      </c>
      <c r="M46" s="53">
        <f t="shared" si="6"/>
        <v>17.600000000000001</v>
      </c>
      <c r="N46" s="54">
        <f t="shared" si="6"/>
        <v>25.5</v>
      </c>
      <c r="O46" s="55">
        <f t="shared" si="7"/>
        <v>1072.9000000000001</v>
      </c>
      <c r="P46" s="46">
        <f t="shared" si="8"/>
        <v>89.4</v>
      </c>
    </row>
    <row r="47" spans="2:16" ht="21.95" customHeight="1">
      <c r="B47" s="52">
        <f t="shared" si="6"/>
        <v>2018</v>
      </c>
      <c r="C47" s="53">
        <f t="shared" si="6"/>
        <v>14.3</v>
      </c>
      <c r="D47" s="53">
        <f t="shared" si="6"/>
        <v>35.799999999999997</v>
      </c>
      <c r="E47" s="53">
        <f t="shared" si="6"/>
        <v>75.099999999999994</v>
      </c>
      <c r="F47" s="53">
        <f t="shared" si="6"/>
        <v>107.9</v>
      </c>
      <c r="G47" s="53">
        <f t="shared" si="6"/>
        <v>180</v>
      </c>
      <c r="H47" s="53">
        <f t="shared" si="6"/>
        <v>63.7</v>
      </c>
      <c r="I47" s="53">
        <f t="shared" si="6"/>
        <v>149.1</v>
      </c>
      <c r="J47" s="53">
        <f t="shared" si="6"/>
        <v>353.3</v>
      </c>
      <c r="K47" s="53">
        <f t="shared" si="6"/>
        <v>184.9</v>
      </c>
      <c r="L47" s="53">
        <f t="shared" si="6"/>
        <v>96</v>
      </c>
      <c r="M47" s="53">
        <f t="shared" si="6"/>
        <v>50</v>
      </c>
      <c r="N47" s="54">
        <f t="shared" si="6"/>
        <v>39</v>
      </c>
      <c r="O47" s="55">
        <f>ROUND(SUM(C47:N47),1)</f>
        <v>1349.1</v>
      </c>
      <c r="P47" s="46">
        <f t="shared" si="8"/>
        <v>112.4</v>
      </c>
    </row>
    <row r="48" spans="2:16" ht="21.95" customHeight="1">
      <c r="B48" s="52">
        <f t="shared" si="6"/>
        <v>2019</v>
      </c>
      <c r="C48" s="53">
        <f t="shared" si="6"/>
        <v>4.0999999999999996</v>
      </c>
      <c r="D48" s="53">
        <f t="shared" si="6"/>
        <v>29</v>
      </c>
      <c r="E48" s="53">
        <f t="shared" si="6"/>
        <v>27.9</v>
      </c>
      <c r="F48" s="53">
        <f t="shared" si="6"/>
        <v>58.5</v>
      </c>
      <c r="G48" s="53">
        <f t="shared" si="6"/>
        <v>15.4</v>
      </c>
      <c r="H48" s="53">
        <f t="shared" si="6"/>
        <v>59.6</v>
      </c>
      <c r="I48" s="53">
        <f t="shared" si="6"/>
        <v>161.4</v>
      </c>
      <c r="J48" s="53">
        <f t="shared" si="6"/>
        <v>102.6</v>
      </c>
      <c r="K48" s="53">
        <f t="shared" si="6"/>
        <v>165.9</v>
      </c>
      <c r="L48" s="53">
        <f t="shared" si="6"/>
        <v>59</v>
      </c>
      <c r="M48" s="53">
        <f t="shared" si="6"/>
        <v>84.6</v>
      </c>
      <c r="N48" s="54">
        <f t="shared" si="6"/>
        <v>27.5</v>
      </c>
      <c r="O48" s="55">
        <f t="shared" si="7"/>
        <v>795.5</v>
      </c>
      <c r="P48" s="46">
        <f t="shared" si="8"/>
        <v>66.3</v>
      </c>
    </row>
    <row r="49" spans="2:16" ht="21.95" customHeight="1">
      <c r="B49" s="52">
        <f t="shared" si="6"/>
        <v>2020</v>
      </c>
      <c r="C49" s="53">
        <f t="shared" si="6"/>
        <v>60.2</v>
      </c>
      <c r="D49" s="53">
        <f t="shared" si="6"/>
        <v>61.9</v>
      </c>
      <c r="E49" s="53">
        <f t="shared" si="6"/>
        <v>20.7</v>
      </c>
      <c r="F49" s="53">
        <f t="shared" si="6"/>
        <v>25.9</v>
      </c>
      <c r="G49" s="53">
        <f t="shared" si="6"/>
        <v>109.7</v>
      </c>
      <c r="H49" s="53">
        <f t="shared" si="6"/>
        <v>112.1</v>
      </c>
      <c r="I49" s="53">
        <f t="shared" si="6"/>
        <v>352.2</v>
      </c>
      <c r="J49" s="53">
        <f t="shared" si="6"/>
        <v>505.6</v>
      </c>
      <c r="K49" s="53">
        <f t="shared" si="6"/>
        <v>146.4</v>
      </c>
      <c r="L49" s="53">
        <f t="shared" si="6"/>
        <v>10.7</v>
      </c>
      <c r="M49" s="53">
        <f t="shared" si="6"/>
        <v>30</v>
      </c>
      <c r="N49" s="54">
        <f t="shared" si="6"/>
        <v>11.1</v>
      </c>
      <c r="O49" s="55">
        <f t="shared" si="7"/>
        <v>1446.5</v>
      </c>
      <c r="P49" s="46">
        <f t="shared" si="8"/>
        <v>120.5</v>
      </c>
    </row>
    <row r="50" spans="2:16" ht="21.95" customHeight="1">
      <c r="B50" s="52">
        <f t="shared" si="6"/>
        <v>2021</v>
      </c>
      <c r="C50" s="53">
        <f t="shared" si="6"/>
        <v>13.6</v>
      </c>
      <c r="D50" s="53">
        <f t="shared" si="6"/>
        <v>12.3</v>
      </c>
      <c r="E50" s="53">
        <f t="shared" si="6"/>
        <v>80.5</v>
      </c>
      <c r="F50" s="53">
        <f t="shared" si="6"/>
        <v>63.4</v>
      </c>
      <c r="G50" s="53">
        <f t="shared" si="6"/>
        <v>178.4</v>
      </c>
      <c r="H50" s="53">
        <f t="shared" si="6"/>
        <v>130.4</v>
      </c>
      <c r="I50" s="53">
        <f t="shared" si="6"/>
        <v>310.7</v>
      </c>
      <c r="J50" s="53">
        <f t="shared" si="6"/>
        <v>239.9</v>
      </c>
      <c r="K50" s="53">
        <f t="shared" si="6"/>
        <v>240.3</v>
      </c>
      <c r="L50" s="53">
        <f t="shared" si="6"/>
        <v>45.5</v>
      </c>
      <c r="M50" s="53">
        <f t="shared" si="6"/>
        <v>44.9</v>
      </c>
      <c r="N50" s="54">
        <f t="shared" si="6"/>
        <v>5.6</v>
      </c>
      <c r="O50" s="55">
        <f t="shared" si="7"/>
        <v>1365.5</v>
      </c>
      <c r="P50" s="46">
        <f t="shared" si="8"/>
        <v>113.8</v>
      </c>
    </row>
    <row r="51" spans="2:16" ht="21.95" customHeight="1">
      <c r="B51" s="52">
        <f t="shared" si="6"/>
        <v>2022</v>
      </c>
      <c r="C51" s="53">
        <f t="shared" si="6"/>
        <v>2</v>
      </c>
      <c r="D51" s="53">
        <f t="shared" si="6"/>
        <v>4.3</v>
      </c>
      <c r="E51" s="53">
        <f t="shared" si="6"/>
        <v>79.900000000000006</v>
      </c>
      <c r="F51" s="53">
        <f t="shared" si="6"/>
        <v>45.8</v>
      </c>
      <c r="G51" s="53">
        <f t="shared" si="6"/>
        <v>8.6</v>
      </c>
      <c r="H51" s="53">
        <f t="shared" si="6"/>
        <v>219</v>
      </c>
      <c r="I51" s="53">
        <f t="shared" si="6"/>
        <v>350.5</v>
      </c>
      <c r="J51" s="53">
        <f t="shared" si="6"/>
        <v>457.3</v>
      </c>
      <c r="K51" s="53">
        <f t="shared" si="6"/>
        <v>102</v>
      </c>
      <c r="L51" s="53">
        <f t="shared" si="6"/>
        <v>96.5</v>
      </c>
      <c r="M51" s="53">
        <f t="shared" si="6"/>
        <v>79.5</v>
      </c>
      <c r="N51" s="54">
        <f t="shared" si="6"/>
        <v>18.8</v>
      </c>
      <c r="O51" s="55">
        <f t="shared" si="7"/>
        <v>1464.2</v>
      </c>
      <c r="P51" s="46">
        <f t="shared" si="8"/>
        <v>122</v>
      </c>
    </row>
    <row r="52" spans="2:16" ht="21.95" customHeight="1">
      <c r="B52" s="52">
        <f t="shared" si="6"/>
        <v>2023</v>
      </c>
      <c r="C52" s="53">
        <f t="shared" si="6"/>
        <v>23</v>
      </c>
      <c r="D52" s="53">
        <f t="shared" si="6"/>
        <v>3.3</v>
      </c>
      <c r="E52" s="53">
        <f t="shared" si="6"/>
        <v>16.7</v>
      </c>
      <c r="F52" s="53">
        <f t="shared" si="6"/>
        <v>32.1</v>
      </c>
      <c r="G52" s="53">
        <f t="shared" si="6"/>
        <v>123.8</v>
      </c>
      <c r="H52" s="53">
        <f t="shared" si="6"/>
        <v>239.6</v>
      </c>
      <c r="I52" s="53">
        <f t="shared" si="6"/>
        <v>554.20000000000005</v>
      </c>
      <c r="J52" s="53">
        <f t="shared" si="6"/>
        <v>248</v>
      </c>
      <c r="K52" s="53">
        <f t="shared" si="6"/>
        <v>242.5</v>
      </c>
      <c r="L52" s="53">
        <f t="shared" si="6"/>
        <v>31.3</v>
      </c>
      <c r="M52" s="53">
        <f t="shared" si="6"/>
        <v>50.8</v>
      </c>
      <c r="N52" s="54">
        <f t="shared" si="6"/>
        <v>96.3</v>
      </c>
      <c r="O52" s="55">
        <f t="shared" si="7"/>
        <v>1661.6</v>
      </c>
      <c r="P52" s="46">
        <f t="shared" si="8"/>
        <v>138.5</v>
      </c>
    </row>
    <row r="53" spans="2:16" ht="21.95" customHeight="1" thickBot="1">
      <c r="B53" s="56">
        <f t="shared" si="6"/>
        <v>2024</v>
      </c>
      <c r="C53" s="57">
        <f t="shared" si="6"/>
        <v>34.6</v>
      </c>
      <c r="D53" s="57">
        <f t="shared" si="6"/>
        <v>86.6</v>
      </c>
      <c r="E53" s="57">
        <f t="shared" si="6"/>
        <v>50.8</v>
      </c>
      <c r="F53" s="57">
        <f t="shared" si="6"/>
        <v>59</v>
      </c>
      <c r="G53" s="57">
        <f t="shared" si="6"/>
        <v>128.69999999999999</v>
      </c>
      <c r="H53" s="57">
        <f t="shared" si="6"/>
        <v>126.1</v>
      </c>
      <c r="I53" s="57">
        <f t="shared" si="6"/>
        <v>503.2</v>
      </c>
      <c r="J53" s="57">
        <f t="shared" si="6"/>
        <v>71.400000000000006</v>
      </c>
      <c r="K53" s="57">
        <f t="shared" si="6"/>
        <v>211.4</v>
      </c>
      <c r="L53" s="57">
        <f t="shared" si="6"/>
        <v>122.8</v>
      </c>
      <c r="M53" s="57">
        <f t="shared" si="6"/>
        <v>49.1</v>
      </c>
      <c r="N53" s="58">
        <f t="shared" si="6"/>
        <v>4.3</v>
      </c>
      <c r="O53" s="59">
        <f t="shared" si="7"/>
        <v>1448</v>
      </c>
      <c r="P53" s="51">
        <f t="shared" si="8"/>
        <v>120.7</v>
      </c>
    </row>
    <row r="54" spans="2:16" ht="21.95" customHeight="1">
      <c r="B54" s="60" t="s">
        <v>19</v>
      </c>
      <c r="C54" s="61">
        <f>MAX(C44:C53)</f>
        <v>60.2</v>
      </c>
      <c r="D54" s="61">
        <f t="shared" ref="D54:P54" si="9">MAX(D44:D53)</f>
        <v>86.6</v>
      </c>
      <c r="E54" s="61">
        <f t="shared" si="9"/>
        <v>80.5</v>
      </c>
      <c r="F54" s="61">
        <f t="shared" si="9"/>
        <v>107.9</v>
      </c>
      <c r="G54" s="61">
        <f t="shared" si="9"/>
        <v>180</v>
      </c>
      <c r="H54" s="61">
        <f t="shared" si="9"/>
        <v>239.6</v>
      </c>
      <c r="I54" s="61">
        <f t="shared" si="9"/>
        <v>554.20000000000005</v>
      </c>
      <c r="J54" s="61">
        <f t="shared" si="9"/>
        <v>505.6</v>
      </c>
      <c r="K54" s="61">
        <f t="shared" si="9"/>
        <v>242.5</v>
      </c>
      <c r="L54" s="61">
        <f t="shared" si="9"/>
        <v>122.8</v>
      </c>
      <c r="M54" s="61">
        <f t="shared" si="9"/>
        <v>89.9</v>
      </c>
      <c r="N54" s="62">
        <f t="shared" si="9"/>
        <v>96.3</v>
      </c>
      <c r="O54" s="63">
        <f t="shared" si="9"/>
        <v>1661.6</v>
      </c>
      <c r="P54" s="62">
        <f t="shared" si="9"/>
        <v>138.5</v>
      </c>
    </row>
    <row r="55" spans="2:16" ht="21.95" customHeight="1">
      <c r="B55" s="64" t="s">
        <v>20</v>
      </c>
      <c r="C55" s="65">
        <f>MIN(C44:C53)</f>
        <v>1.8</v>
      </c>
      <c r="D55" s="65">
        <f t="shared" ref="D55:P55" si="10">MIN(D44:D53)</f>
        <v>3.3</v>
      </c>
      <c r="E55" s="65">
        <f t="shared" si="10"/>
        <v>11.9</v>
      </c>
      <c r="F55" s="65">
        <f t="shared" si="10"/>
        <v>25.9</v>
      </c>
      <c r="G55" s="65">
        <f t="shared" si="10"/>
        <v>8.6</v>
      </c>
      <c r="H55" s="65">
        <f t="shared" si="10"/>
        <v>38.9</v>
      </c>
      <c r="I55" s="65">
        <f t="shared" si="10"/>
        <v>149.1</v>
      </c>
      <c r="J55" s="65">
        <f t="shared" si="10"/>
        <v>44</v>
      </c>
      <c r="K55" s="65">
        <f t="shared" si="10"/>
        <v>33.799999999999997</v>
      </c>
      <c r="L55" s="65">
        <f t="shared" si="10"/>
        <v>10.7</v>
      </c>
      <c r="M55" s="65">
        <f t="shared" si="10"/>
        <v>17.600000000000001</v>
      </c>
      <c r="N55" s="46">
        <f t="shared" si="10"/>
        <v>4.3</v>
      </c>
      <c r="O55" s="55">
        <f>MIN(O44:O53)</f>
        <v>731.8</v>
      </c>
      <c r="P55" s="46">
        <f t="shared" si="10"/>
        <v>61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34.200000000000003</v>
      </c>
      <c r="E56" s="67">
        <f t="shared" si="11"/>
        <v>41.8</v>
      </c>
      <c r="F56" s="67">
        <f t="shared" si="11"/>
        <v>65</v>
      </c>
      <c r="G56" s="67">
        <f t="shared" si="11"/>
        <v>87</v>
      </c>
      <c r="H56" s="67">
        <f t="shared" si="11"/>
        <v>110.8</v>
      </c>
      <c r="I56" s="67">
        <f t="shared" si="11"/>
        <v>340.2</v>
      </c>
      <c r="J56" s="67">
        <f t="shared" si="11"/>
        <v>235.2</v>
      </c>
      <c r="K56" s="67">
        <f t="shared" si="11"/>
        <v>145</v>
      </c>
      <c r="L56" s="67">
        <f t="shared" si="11"/>
        <v>64.599999999999994</v>
      </c>
      <c r="M56" s="67">
        <f t="shared" si="11"/>
        <v>51.9</v>
      </c>
      <c r="N56" s="51">
        <f t="shared" si="11"/>
        <v>30.8</v>
      </c>
      <c r="O56" s="59">
        <f>ROUND(AVERAGE(O44:O53),1)</f>
        <v>1225.2</v>
      </c>
      <c r="P56" s="51">
        <f>ROUND(AVERAGE(P44:P53),1)</f>
        <v>102.1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7FDCE-F9B7-4856-A8A3-4ACC9F439702}">
  <sheetPr codeName="Sheet18">
    <tabColor rgb="FFFFFF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285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21.5</v>
      </c>
      <c r="D6" s="9">
        <v>14</v>
      </c>
      <c r="E6" s="9">
        <v>34.4</v>
      </c>
      <c r="F6" s="9">
        <v>64</v>
      </c>
      <c r="G6" s="9">
        <v>70.7</v>
      </c>
      <c r="H6" s="9">
        <v>30.9</v>
      </c>
      <c r="I6" s="9">
        <v>204.9</v>
      </c>
      <c r="J6" s="10">
        <v>835.4</v>
      </c>
      <c r="K6" s="9">
        <v>17.5</v>
      </c>
      <c r="L6" s="9">
        <v>22.6</v>
      </c>
      <c r="M6" s="9">
        <v>20.3</v>
      </c>
      <c r="N6" s="11">
        <v>3.6</v>
      </c>
      <c r="O6" s="12">
        <f t="shared" ref="O6:O35" si="0">ROUND(SUM(C6:N6),1)</f>
        <v>1339.8</v>
      </c>
      <c r="P6" s="13">
        <f>ROUND(O6/12,1)</f>
        <v>111.7</v>
      </c>
      <c r="Q6" s="14"/>
    </row>
    <row r="7" spans="2:17" ht="21.95" customHeight="1">
      <c r="B7" s="15">
        <v>1996</v>
      </c>
      <c r="C7" s="16">
        <v>27.9</v>
      </c>
      <c r="D7" s="16">
        <v>4.2</v>
      </c>
      <c r="E7" s="16">
        <v>98.4</v>
      </c>
      <c r="F7" s="16">
        <v>28.6</v>
      </c>
      <c r="G7" s="16">
        <v>36.799999999999997</v>
      </c>
      <c r="H7" s="16">
        <v>255.8</v>
      </c>
      <c r="I7" s="16">
        <v>170.5</v>
      </c>
      <c r="J7" s="17">
        <v>128.6</v>
      </c>
      <c r="K7" s="16">
        <v>11.2</v>
      </c>
      <c r="L7" s="16">
        <v>67.099999999999994</v>
      </c>
      <c r="M7" s="16">
        <v>77.2</v>
      </c>
      <c r="N7" s="18">
        <v>22.5</v>
      </c>
      <c r="O7" s="12">
        <f t="shared" si="0"/>
        <v>928.8</v>
      </c>
      <c r="P7" s="19">
        <f t="shared" ref="P7:P35" si="1">ROUND(O7/12,1)</f>
        <v>77.400000000000006</v>
      </c>
      <c r="Q7" s="14"/>
    </row>
    <row r="8" spans="2:17" ht="21.95" customHeight="1">
      <c r="B8" s="15">
        <v>1997</v>
      </c>
      <c r="C8" s="16">
        <v>12.9</v>
      </c>
      <c r="D8" s="16">
        <v>39.1</v>
      </c>
      <c r="E8" s="16">
        <v>31.6</v>
      </c>
      <c r="F8" s="16">
        <v>58.5</v>
      </c>
      <c r="G8" s="16">
        <v>179.1</v>
      </c>
      <c r="H8" s="16">
        <v>210.3</v>
      </c>
      <c r="I8" s="16">
        <v>425.5</v>
      </c>
      <c r="J8" s="16">
        <v>211.1</v>
      </c>
      <c r="K8" s="16">
        <v>55.5</v>
      </c>
      <c r="L8" s="16">
        <v>8.4</v>
      </c>
      <c r="M8" s="16">
        <v>180.3</v>
      </c>
      <c r="N8" s="18">
        <v>44.3</v>
      </c>
      <c r="O8" s="12">
        <f t="shared" si="0"/>
        <v>1456.6</v>
      </c>
      <c r="P8" s="19">
        <f t="shared" si="1"/>
        <v>121.4</v>
      </c>
      <c r="Q8" s="14"/>
    </row>
    <row r="9" spans="2:17" ht="21.95" customHeight="1">
      <c r="B9" s="15">
        <v>1998</v>
      </c>
      <c r="C9" s="16">
        <v>22</v>
      </c>
      <c r="D9" s="16">
        <v>28.9</v>
      </c>
      <c r="E9" s="16">
        <v>30.9</v>
      </c>
      <c r="F9" s="16">
        <v>153.1</v>
      </c>
      <c r="G9" s="16">
        <v>92.8</v>
      </c>
      <c r="H9" s="16">
        <v>247</v>
      </c>
      <c r="I9" s="16">
        <v>253</v>
      </c>
      <c r="J9" s="16">
        <v>460.6</v>
      </c>
      <c r="K9" s="16">
        <v>225.9</v>
      </c>
      <c r="L9" s="16">
        <v>74.2</v>
      </c>
      <c r="M9" s="16">
        <v>44.7</v>
      </c>
      <c r="N9" s="18">
        <v>7.1</v>
      </c>
      <c r="O9" s="12">
        <f t="shared" si="0"/>
        <v>1640.2</v>
      </c>
      <c r="P9" s="19">
        <f t="shared" si="1"/>
        <v>136.69999999999999</v>
      </c>
      <c r="Q9" s="14"/>
    </row>
    <row r="10" spans="2:17" ht="21.95" customHeight="1">
      <c r="B10" s="15">
        <v>1999</v>
      </c>
      <c r="C10" s="16">
        <v>1.6</v>
      </c>
      <c r="D10" s="16">
        <v>3.6</v>
      </c>
      <c r="E10" s="16">
        <v>54.1</v>
      </c>
      <c r="F10" s="16">
        <v>91.4</v>
      </c>
      <c r="G10" s="16">
        <v>102.4</v>
      </c>
      <c r="H10" s="16">
        <v>191.1</v>
      </c>
      <c r="I10" s="16">
        <v>122.4</v>
      </c>
      <c r="J10" s="16">
        <v>197.4</v>
      </c>
      <c r="K10" s="16">
        <v>281.3</v>
      </c>
      <c r="L10" s="16">
        <v>252.4</v>
      </c>
      <c r="M10" s="16">
        <v>15.4</v>
      </c>
      <c r="N10" s="18">
        <v>13.4</v>
      </c>
      <c r="O10" s="12">
        <f t="shared" si="0"/>
        <v>1326.5</v>
      </c>
      <c r="P10" s="19">
        <f t="shared" si="1"/>
        <v>110.5</v>
      </c>
      <c r="Q10" s="14"/>
    </row>
    <row r="11" spans="2:17" ht="21.95" customHeight="1">
      <c r="B11" s="15">
        <v>2000</v>
      </c>
      <c r="C11" s="16">
        <v>38.700000000000003</v>
      </c>
      <c r="D11" s="16">
        <v>1.3</v>
      </c>
      <c r="E11" s="16">
        <v>10.4</v>
      </c>
      <c r="F11" s="16">
        <v>56.1</v>
      </c>
      <c r="G11" s="16">
        <v>42.1</v>
      </c>
      <c r="H11" s="16">
        <v>185.7</v>
      </c>
      <c r="I11" s="16">
        <v>300</v>
      </c>
      <c r="J11" s="16">
        <v>390.4</v>
      </c>
      <c r="K11" s="16">
        <v>244.6</v>
      </c>
      <c r="L11" s="16">
        <v>32.1</v>
      </c>
      <c r="M11" s="16">
        <v>37.299999999999997</v>
      </c>
      <c r="N11" s="18">
        <v>18.899999999999999</v>
      </c>
      <c r="O11" s="12">
        <f t="shared" si="0"/>
        <v>1357.6</v>
      </c>
      <c r="P11" s="19">
        <f t="shared" si="1"/>
        <v>113.1</v>
      </c>
      <c r="Q11" s="14"/>
    </row>
    <row r="12" spans="2:17" ht="21.95" customHeight="1">
      <c r="B12" s="15">
        <v>2001</v>
      </c>
      <c r="C12" s="16">
        <v>56.9</v>
      </c>
      <c r="D12" s="16">
        <v>50.3</v>
      </c>
      <c r="E12" s="16">
        <v>11.3</v>
      </c>
      <c r="F12" s="16">
        <v>12.7</v>
      </c>
      <c r="G12" s="16">
        <v>14.3</v>
      </c>
      <c r="H12" s="16">
        <v>217.5</v>
      </c>
      <c r="I12" s="16">
        <v>171.5</v>
      </c>
      <c r="J12" s="16">
        <v>135.5</v>
      </c>
      <c r="K12" s="16">
        <v>11.8</v>
      </c>
      <c r="L12" s="16">
        <v>75.900000000000006</v>
      </c>
      <c r="M12" s="16">
        <v>6.9</v>
      </c>
      <c r="N12" s="18">
        <v>19.5</v>
      </c>
      <c r="O12" s="12">
        <f t="shared" si="0"/>
        <v>784.1</v>
      </c>
      <c r="P12" s="19">
        <f t="shared" si="1"/>
        <v>65.3</v>
      </c>
    </row>
    <row r="13" spans="2:17" ht="21.95" customHeight="1">
      <c r="B13" s="15">
        <v>2002</v>
      </c>
      <c r="C13" s="16">
        <v>58.7</v>
      </c>
      <c r="D13" s="16">
        <v>9</v>
      </c>
      <c r="E13" s="16">
        <v>25.9</v>
      </c>
      <c r="F13" s="16">
        <v>132</v>
      </c>
      <c r="G13" s="16">
        <v>106.9</v>
      </c>
      <c r="H13" s="16">
        <v>57.9</v>
      </c>
      <c r="I13" s="16">
        <v>186.2</v>
      </c>
      <c r="J13" s="16">
        <v>482.4</v>
      </c>
      <c r="K13" s="16">
        <v>90.5</v>
      </c>
      <c r="L13" s="16">
        <v>58</v>
      </c>
      <c r="M13" s="16">
        <v>26.3</v>
      </c>
      <c r="N13" s="18">
        <v>48</v>
      </c>
      <c r="O13" s="12">
        <f t="shared" si="0"/>
        <v>1281.8</v>
      </c>
      <c r="P13" s="19">
        <f t="shared" si="1"/>
        <v>106.8</v>
      </c>
    </row>
    <row r="14" spans="2:17" ht="21.95" customHeight="1">
      <c r="B14" s="15">
        <v>2003</v>
      </c>
      <c r="C14" s="16">
        <v>16.2</v>
      </c>
      <c r="D14" s="16">
        <v>45</v>
      </c>
      <c r="E14" s="16">
        <v>38.9</v>
      </c>
      <c r="F14" s="16">
        <v>192.7</v>
      </c>
      <c r="G14" s="16">
        <v>113.5</v>
      </c>
      <c r="H14" s="16">
        <v>186</v>
      </c>
      <c r="I14" s="16">
        <v>467.2</v>
      </c>
      <c r="J14" s="16">
        <v>293.89999999999998</v>
      </c>
      <c r="K14" s="16">
        <v>150.6</v>
      </c>
      <c r="L14" s="16">
        <v>32.5</v>
      </c>
      <c r="M14" s="16">
        <v>33.1</v>
      </c>
      <c r="N14" s="18">
        <v>12.2</v>
      </c>
      <c r="O14" s="12">
        <f t="shared" si="0"/>
        <v>1581.8</v>
      </c>
      <c r="P14" s="19">
        <f t="shared" si="1"/>
        <v>131.80000000000001</v>
      </c>
    </row>
    <row r="15" spans="2:17" ht="21.95" customHeight="1">
      <c r="B15" s="15">
        <v>2004</v>
      </c>
      <c r="C15" s="16">
        <v>12.5</v>
      </c>
      <c r="D15" s="16">
        <v>42.3</v>
      </c>
      <c r="E15" s="16">
        <v>67.3</v>
      </c>
      <c r="F15" s="16">
        <v>61</v>
      </c>
      <c r="G15" s="16">
        <v>121.8</v>
      </c>
      <c r="H15" s="16">
        <v>421.5</v>
      </c>
      <c r="I15" s="16">
        <v>318.89999999999998</v>
      </c>
      <c r="J15" s="16">
        <v>247.6</v>
      </c>
      <c r="K15" s="16">
        <v>139</v>
      </c>
      <c r="L15" s="16">
        <v>2</v>
      </c>
      <c r="M15" s="16">
        <v>34</v>
      </c>
      <c r="N15" s="18">
        <v>38</v>
      </c>
      <c r="O15" s="12">
        <f t="shared" si="0"/>
        <v>1505.9</v>
      </c>
      <c r="P15" s="19">
        <f t="shared" si="1"/>
        <v>125.5</v>
      </c>
    </row>
    <row r="16" spans="2:17" ht="21.95" customHeight="1">
      <c r="B16" s="15">
        <v>2005</v>
      </c>
      <c r="C16" s="16">
        <v>4.5999999999999996</v>
      </c>
      <c r="D16" s="16">
        <v>13.8</v>
      </c>
      <c r="E16" s="16">
        <v>36.799999999999997</v>
      </c>
      <c r="F16" s="16">
        <v>66.099999999999994</v>
      </c>
      <c r="G16" s="16">
        <v>50.7</v>
      </c>
      <c r="H16" s="16">
        <v>170</v>
      </c>
      <c r="I16" s="16">
        <v>373.1</v>
      </c>
      <c r="J16" s="16">
        <v>334.7</v>
      </c>
      <c r="K16" s="16">
        <v>295.5</v>
      </c>
      <c r="L16" s="16">
        <v>54.6</v>
      </c>
      <c r="M16" s="16">
        <v>16</v>
      </c>
      <c r="N16" s="18">
        <v>11.3</v>
      </c>
      <c r="O16" s="12">
        <f t="shared" si="0"/>
        <v>1427.2</v>
      </c>
      <c r="P16" s="19">
        <f t="shared" si="1"/>
        <v>118.9</v>
      </c>
    </row>
    <row r="17" spans="2:16" ht="21.95" customHeight="1">
      <c r="B17" s="15">
        <v>2006</v>
      </c>
      <c r="C17" s="16">
        <v>20</v>
      </c>
      <c r="D17" s="16">
        <v>28.9</v>
      </c>
      <c r="E17" s="16">
        <v>8.1999999999999993</v>
      </c>
      <c r="F17" s="16">
        <v>89.3</v>
      </c>
      <c r="G17" s="16">
        <v>119.4</v>
      </c>
      <c r="H17" s="16">
        <v>115.5</v>
      </c>
      <c r="I17" s="16">
        <v>508</v>
      </c>
      <c r="J17" s="16">
        <v>52</v>
      </c>
      <c r="K17" s="16">
        <v>18.399999999999999</v>
      </c>
      <c r="L17" s="16">
        <v>21.3</v>
      </c>
      <c r="M17" s="16">
        <v>83.4</v>
      </c>
      <c r="N17" s="18">
        <v>16.7</v>
      </c>
      <c r="O17" s="12">
        <f t="shared" si="0"/>
        <v>1081.0999999999999</v>
      </c>
      <c r="P17" s="19">
        <f t="shared" si="1"/>
        <v>90.1</v>
      </c>
    </row>
    <row r="18" spans="2:16" ht="21.95" customHeight="1">
      <c r="B18" s="15">
        <v>2007</v>
      </c>
      <c r="C18" s="16">
        <v>11.2</v>
      </c>
      <c r="D18" s="16">
        <v>33.299999999999997</v>
      </c>
      <c r="E18" s="16">
        <v>103.2</v>
      </c>
      <c r="F18" s="16">
        <v>35.799999999999997</v>
      </c>
      <c r="G18" s="16">
        <v>145.5</v>
      </c>
      <c r="H18" s="16">
        <v>81.2</v>
      </c>
      <c r="I18" s="16">
        <v>273.2</v>
      </c>
      <c r="J18" s="16">
        <v>385.5</v>
      </c>
      <c r="K18" s="16">
        <v>391.4</v>
      </c>
      <c r="L18" s="16">
        <v>43.5</v>
      </c>
      <c r="M18" s="16">
        <v>8.8000000000000007</v>
      </c>
      <c r="N18" s="18">
        <v>21.9</v>
      </c>
      <c r="O18" s="12">
        <f t="shared" si="0"/>
        <v>1534.5</v>
      </c>
      <c r="P18" s="19">
        <f t="shared" si="1"/>
        <v>127.9</v>
      </c>
    </row>
    <row r="19" spans="2:16" ht="21.95" customHeight="1">
      <c r="B19" s="15">
        <v>2008</v>
      </c>
      <c r="C19" s="16">
        <v>29</v>
      </c>
      <c r="D19" s="16">
        <v>7.7</v>
      </c>
      <c r="E19" s="16">
        <v>29.4</v>
      </c>
      <c r="F19" s="16">
        <v>27</v>
      </c>
      <c r="G19" s="16">
        <v>64.5</v>
      </c>
      <c r="H19" s="16">
        <v>112</v>
      </c>
      <c r="I19" s="16">
        <v>296.60000000000002</v>
      </c>
      <c r="J19" s="16">
        <v>195.5</v>
      </c>
      <c r="K19" s="16">
        <v>92.6</v>
      </c>
      <c r="L19" s="16">
        <v>13.1</v>
      </c>
      <c r="M19" s="16">
        <v>10.5</v>
      </c>
      <c r="N19" s="18">
        <v>14.4</v>
      </c>
      <c r="O19" s="12">
        <f t="shared" si="0"/>
        <v>892.3</v>
      </c>
      <c r="P19" s="19">
        <f t="shared" si="1"/>
        <v>74.400000000000006</v>
      </c>
    </row>
    <row r="20" spans="2:16" ht="21.95" customHeight="1">
      <c r="B20" s="15">
        <v>2009</v>
      </c>
      <c r="C20" s="16">
        <v>17.8</v>
      </c>
      <c r="D20" s="16">
        <v>13.1</v>
      </c>
      <c r="E20" s="16">
        <v>54.9</v>
      </c>
      <c r="F20" s="16">
        <v>30.4</v>
      </c>
      <c r="G20" s="16">
        <v>109.6</v>
      </c>
      <c r="H20" s="16">
        <v>77.2</v>
      </c>
      <c r="I20" s="16">
        <v>345.7</v>
      </c>
      <c r="J20" s="16">
        <v>187.5</v>
      </c>
      <c r="K20" s="16">
        <v>49.5</v>
      </c>
      <c r="L20" s="16">
        <v>49.5</v>
      </c>
      <c r="M20" s="16">
        <v>43.9</v>
      </c>
      <c r="N20" s="18">
        <v>40.700000000000003</v>
      </c>
      <c r="O20" s="12">
        <f t="shared" si="0"/>
        <v>1019.8</v>
      </c>
      <c r="P20" s="19">
        <f t="shared" si="1"/>
        <v>85</v>
      </c>
    </row>
    <row r="21" spans="2:16" ht="21.95" customHeight="1">
      <c r="B21" s="15">
        <v>2010</v>
      </c>
      <c r="C21" s="16">
        <v>37.799999999999997</v>
      </c>
      <c r="D21" s="16">
        <v>69.2</v>
      </c>
      <c r="E21" s="16">
        <v>99.8</v>
      </c>
      <c r="F21" s="16">
        <v>70.5</v>
      </c>
      <c r="G21" s="16">
        <v>110</v>
      </c>
      <c r="H21" s="16">
        <v>42.6</v>
      </c>
      <c r="I21" s="16">
        <v>224.1</v>
      </c>
      <c r="J21" s="16">
        <v>433.2</v>
      </c>
      <c r="K21" s="16">
        <v>278.60000000000002</v>
      </c>
      <c r="L21" s="16">
        <v>17.100000000000001</v>
      </c>
      <c r="M21" s="16">
        <v>15.7</v>
      </c>
      <c r="N21" s="18">
        <v>23.8</v>
      </c>
      <c r="O21" s="12">
        <f t="shared" si="0"/>
        <v>1422.4</v>
      </c>
      <c r="P21" s="19">
        <f t="shared" si="1"/>
        <v>118.5</v>
      </c>
    </row>
    <row r="22" spans="2:16" ht="21.95" customHeight="1">
      <c r="B22" s="15">
        <v>2011</v>
      </c>
      <c r="C22" s="16">
        <v>4.5</v>
      </c>
      <c r="D22" s="16">
        <v>43.2</v>
      </c>
      <c r="E22" s="16">
        <v>23.5</v>
      </c>
      <c r="F22" s="16">
        <v>111.2</v>
      </c>
      <c r="G22" s="16">
        <v>116.2</v>
      </c>
      <c r="H22" s="16">
        <v>360.7</v>
      </c>
      <c r="I22" s="16">
        <v>531.9</v>
      </c>
      <c r="J22" s="16">
        <v>290.2</v>
      </c>
      <c r="K22" s="16">
        <v>182.5</v>
      </c>
      <c r="L22" s="16">
        <v>34.5</v>
      </c>
      <c r="M22" s="16">
        <v>92.6</v>
      </c>
      <c r="N22" s="18">
        <v>14.6</v>
      </c>
      <c r="O22" s="12">
        <f t="shared" si="0"/>
        <v>1805.6</v>
      </c>
      <c r="P22" s="19">
        <f t="shared" si="1"/>
        <v>150.5</v>
      </c>
    </row>
    <row r="23" spans="2:16" ht="21.95" customHeight="1">
      <c r="B23" s="15">
        <v>2012</v>
      </c>
      <c r="C23" s="16">
        <v>17.8</v>
      </c>
      <c r="D23" s="16">
        <v>3.7</v>
      </c>
      <c r="E23" s="16">
        <v>65.099999999999994</v>
      </c>
      <c r="F23" s="16">
        <v>106.8</v>
      </c>
      <c r="G23" s="16">
        <v>31.2</v>
      </c>
      <c r="H23" s="16">
        <v>93.7</v>
      </c>
      <c r="I23" s="16">
        <v>257.39999999999998</v>
      </c>
      <c r="J23" s="16">
        <v>479.5</v>
      </c>
      <c r="K23" s="16">
        <v>162.5</v>
      </c>
      <c r="L23" s="16">
        <v>61.2</v>
      </c>
      <c r="M23" s="16">
        <v>52.1</v>
      </c>
      <c r="N23" s="18">
        <v>56.6</v>
      </c>
      <c r="O23" s="12">
        <f t="shared" si="0"/>
        <v>1387.6</v>
      </c>
      <c r="P23" s="19">
        <f t="shared" si="1"/>
        <v>115.6</v>
      </c>
    </row>
    <row r="24" spans="2:16" ht="21.95" customHeight="1">
      <c r="B24" s="15">
        <v>2013</v>
      </c>
      <c r="C24" s="16">
        <v>30.5</v>
      </c>
      <c r="D24" s="16">
        <v>33.200000000000003</v>
      </c>
      <c r="E24" s="16">
        <v>46.8</v>
      </c>
      <c r="F24" s="16">
        <v>65</v>
      </c>
      <c r="G24" s="16">
        <v>97.9</v>
      </c>
      <c r="H24" s="16">
        <v>229.9</v>
      </c>
      <c r="I24" s="16">
        <v>253.6</v>
      </c>
      <c r="J24" s="16">
        <v>183.9</v>
      </c>
      <c r="K24" s="16">
        <v>162.6</v>
      </c>
      <c r="L24" s="16">
        <v>25</v>
      </c>
      <c r="M24" s="16">
        <v>75</v>
      </c>
      <c r="N24" s="18">
        <v>37.299999999999997</v>
      </c>
      <c r="O24" s="12">
        <f t="shared" si="0"/>
        <v>1240.7</v>
      </c>
      <c r="P24" s="19">
        <f t="shared" si="1"/>
        <v>103.4</v>
      </c>
    </row>
    <row r="25" spans="2:16" ht="21.95" customHeight="1">
      <c r="B25" s="15">
        <v>2014</v>
      </c>
      <c r="C25" s="16">
        <v>5.9</v>
      </c>
      <c r="D25" s="16">
        <v>6.8</v>
      </c>
      <c r="E25" s="16">
        <v>51.1</v>
      </c>
      <c r="F25" s="16">
        <v>43.7</v>
      </c>
      <c r="G25" s="16">
        <v>35</v>
      </c>
      <c r="H25" s="16">
        <v>92.6</v>
      </c>
      <c r="I25" s="16">
        <v>125.1</v>
      </c>
      <c r="J25" s="16">
        <v>197.5</v>
      </c>
      <c r="K25" s="16">
        <v>147.5</v>
      </c>
      <c r="L25" s="16">
        <v>151.1</v>
      </c>
      <c r="M25" s="16">
        <v>24.8</v>
      </c>
      <c r="N25" s="18">
        <v>32.6</v>
      </c>
      <c r="O25" s="12">
        <f t="shared" si="0"/>
        <v>913.7</v>
      </c>
      <c r="P25" s="19">
        <f t="shared" si="1"/>
        <v>76.099999999999994</v>
      </c>
    </row>
    <row r="26" spans="2:16" ht="21.95" customHeight="1">
      <c r="B26" s="15">
        <v>2015</v>
      </c>
      <c r="C26" s="16">
        <v>16</v>
      </c>
      <c r="D26" s="16">
        <v>26.5</v>
      </c>
      <c r="E26" s="16">
        <v>44.1</v>
      </c>
      <c r="F26" s="16">
        <v>109.1</v>
      </c>
      <c r="G26" s="16">
        <v>24.4</v>
      </c>
      <c r="H26" s="16">
        <v>83.3</v>
      </c>
      <c r="I26" s="16">
        <v>141.4</v>
      </c>
      <c r="J26" s="16">
        <v>54.3</v>
      </c>
      <c r="K26" s="16">
        <v>20.100000000000001</v>
      </c>
      <c r="L26" s="16">
        <v>90.5</v>
      </c>
      <c r="M26" s="16">
        <v>107.5</v>
      </c>
      <c r="N26" s="18">
        <v>39.700000000000003</v>
      </c>
      <c r="O26" s="12">
        <f t="shared" si="0"/>
        <v>756.9</v>
      </c>
      <c r="P26" s="19">
        <f t="shared" si="1"/>
        <v>63.1</v>
      </c>
    </row>
    <row r="27" spans="2:16" ht="21.95" customHeight="1">
      <c r="B27" s="15">
        <v>2016</v>
      </c>
      <c r="C27" s="16">
        <v>5.7</v>
      </c>
      <c r="D27" s="16">
        <v>45.5</v>
      </c>
      <c r="E27" s="16">
        <v>13.2</v>
      </c>
      <c r="F27" s="16">
        <v>132.1</v>
      </c>
      <c r="G27" s="16">
        <v>84.4</v>
      </c>
      <c r="H27" s="16">
        <v>39.9</v>
      </c>
      <c r="I27" s="16">
        <v>320</v>
      </c>
      <c r="J27" s="16">
        <v>69</v>
      </c>
      <c r="K27" s="16">
        <v>78.099999999999994</v>
      </c>
      <c r="L27" s="16">
        <v>83.6</v>
      </c>
      <c r="M27" s="16">
        <v>26.4</v>
      </c>
      <c r="N27" s="18">
        <v>40.1</v>
      </c>
      <c r="O27" s="12">
        <f t="shared" si="0"/>
        <v>938</v>
      </c>
      <c r="P27" s="19">
        <f t="shared" si="1"/>
        <v>78.2</v>
      </c>
    </row>
    <row r="28" spans="2:16" ht="21.95" customHeight="1">
      <c r="B28" s="15">
        <v>2017</v>
      </c>
      <c r="C28" s="16">
        <v>12</v>
      </c>
      <c r="D28" s="16">
        <v>38.700000000000003</v>
      </c>
      <c r="E28" s="16">
        <v>8.9</v>
      </c>
      <c r="F28" s="16">
        <v>61.7</v>
      </c>
      <c r="G28" s="16">
        <v>11.9</v>
      </c>
      <c r="H28" s="16">
        <v>17.5</v>
      </c>
      <c r="I28" s="16">
        <v>789.1</v>
      </c>
      <c r="J28" s="16">
        <v>225.2</v>
      </c>
      <c r="K28" s="16">
        <v>78.3</v>
      </c>
      <c r="L28" s="16">
        <v>23.1</v>
      </c>
      <c r="M28" s="16">
        <v>13.7</v>
      </c>
      <c r="N28" s="18">
        <v>21.1</v>
      </c>
      <c r="O28" s="12">
        <f t="shared" si="0"/>
        <v>1301.2</v>
      </c>
      <c r="P28" s="19">
        <f t="shared" si="1"/>
        <v>108.4</v>
      </c>
    </row>
    <row r="29" spans="2:16" ht="21.95" customHeight="1">
      <c r="B29" s="15">
        <v>2018</v>
      </c>
      <c r="C29" s="16">
        <v>17.600000000000001</v>
      </c>
      <c r="D29" s="16">
        <v>30.6</v>
      </c>
      <c r="E29" s="16">
        <v>81.7</v>
      </c>
      <c r="F29" s="16">
        <v>133</v>
      </c>
      <c r="G29" s="16">
        <v>92</v>
      </c>
      <c r="H29" s="16">
        <v>63.3</v>
      </c>
      <c r="I29" s="16">
        <v>324.89999999999998</v>
      </c>
      <c r="J29" s="16">
        <v>247.9</v>
      </c>
      <c r="K29" s="16">
        <v>204</v>
      </c>
      <c r="L29" s="16">
        <v>112.2</v>
      </c>
      <c r="M29" s="16">
        <v>45.9</v>
      </c>
      <c r="N29" s="18">
        <v>28.5</v>
      </c>
      <c r="O29" s="12">
        <f t="shared" si="0"/>
        <v>1381.6</v>
      </c>
      <c r="P29" s="19">
        <f t="shared" si="1"/>
        <v>115.1</v>
      </c>
    </row>
    <row r="30" spans="2:16" ht="21.95" customHeight="1">
      <c r="B30" s="15">
        <v>2019</v>
      </c>
      <c r="C30" s="16">
        <v>0.1</v>
      </c>
      <c r="D30" s="16">
        <v>23</v>
      </c>
      <c r="E30" s="16">
        <v>20.3</v>
      </c>
      <c r="F30" s="16">
        <v>60.8</v>
      </c>
      <c r="G30" s="16">
        <v>20.3</v>
      </c>
      <c r="H30" s="16">
        <v>82.5</v>
      </c>
      <c r="I30" s="16">
        <v>204.8</v>
      </c>
      <c r="J30" s="16">
        <v>80.5</v>
      </c>
      <c r="K30" s="16">
        <v>155.1</v>
      </c>
      <c r="L30" s="16">
        <v>84.3</v>
      </c>
      <c r="M30" s="16">
        <v>104.9</v>
      </c>
      <c r="N30" s="18">
        <v>20.100000000000001</v>
      </c>
      <c r="O30" s="12">
        <f t="shared" si="0"/>
        <v>856.7</v>
      </c>
      <c r="P30" s="19">
        <f t="shared" si="1"/>
        <v>71.400000000000006</v>
      </c>
    </row>
    <row r="31" spans="2:16" ht="21.95" customHeight="1">
      <c r="B31" s="15">
        <v>2020</v>
      </c>
      <c r="C31" s="16">
        <v>62</v>
      </c>
      <c r="D31" s="16">
        <v>62.7</v>
      </c>
      <c r="E31" s="16">
        <v>22.9</v>
      </c>
      <c r="F31" s="16">
        <v>15.7</v>
      </c>
      <c r="G31" s="16">
        <v>65.3</v>
      </c>
      <c r="H31" s="16">
        <v>145.9</v>
      </c>
      <c r="I31" s="16">
        <v>386.6</v>
      </c>
      <c r="J31" s="16">
        <v>385.8</v>
      </c>
      <c r="K31" s="16">
        <v>160.6</v>
      </c>
      <c r="L31" s="16">
        <v>5.8</v>
      </c>
      <c r="M31" s="16">
        <v>41</v>
      </c>
      <c r="N31" s="18">
        <v>4.3</v>
      </c>
      <c r="O31" s="12">
        <f t="shared" si="0"/>
        <v>1358.6</v>
      </c>
      <c r="P31" s="19">
        <f t="shared" si="1"/>
        <v>113.2</v>
      </c>
    </row>
    <row r="32" spans="2:16" ht="21.95" customHeight="1">
      <c r="B32" s="15">
        <v>2021</v>
      </c>
      <c r="C32" s="16">
        <v>12.7</v>
      </c>
      <c r="D32" s="16">
        <v>7.5</v>
      </c>
      <c r="E32" s="16">
        <v>76.599999999999994</v>
      </c>
      <c r="F32" s="16">
        <v>46.4</v>
      </c>
      <c r="G32" s="16">
        <v>136.4</v>
      </c>
      <c r="H32" s="16">
        <v>75.400000000000006</v>
      </c>
      <c r="I32" s="16">
        <v>138.1</v>
      </c>
      <c r="J32" s="16">
        <v>233.1</v>
      </c>
      <c r="K32" s="16">
        <v>185</v>
      </c>
      <c r="L32" s="16">
        <v>29.4</v>
      </c>
      <c r="M32" s="16">
        <v>57.3</v>
      </c>
      <c r="N32" s="18">
        <v>3.7</v>
      </c>
      <c r="O32" s="12">
        <f t="shared" si="0"/>
        <v>1001.6</v>
      </c>
      <c r="P32" s="19">
        <f t="shared" si="1"/>
        <v>83.5</v>
      </c>
    </row>
    <row r="33" spans="2:16" ht="21.95" customHeight="1">
      <c r="B33" s="15">
        <v>2022</v>
      </c>
      <c r="C33" s="16">
        <v>1.4</v>
      </c>
      <c r="D33" s="16">
        <v>2.4</v>
      </c>
      <c r="E33" s="16">
        <v>59</v>
      </c>
      <c r="F33" s="16">
        <v>45.2</v>
      </c>
      <c r="G33" s="16">
        <v>9.1</v>
      </c>
      <c r="H33" s="16">
        <v>129.6</v>
      </c>
      <c r="I33" s="16">
        <v>171.7</v>
      </c>
      <c r="J33" s="16">
        <v>519.4</v>
      </c>
      <c r="K33" s="16">
        <v>116</v>
      </c>
      <c r="L33" s="16">
        <v>105.9</v>
      </c>
      <c r="M33" s="16">
        <v>56.7</v>
      </c>
      <c r="N33" s="18">
        <v>20</v>
      </c>
      <c r="O33" s="12">
        <f t="shared" si="0"/>
        <v>1236.4000000000001</v>
      </c>
      <c r="P33" s="19">
        <f t="shared" si="1"/>
        <v>103</v>
      </c>
    </row>
    <row r="34" spans="2:16" ht="21.95" customHeight="1">
      <c r="B34" s="15">
        <v>2023</v>
      </c>
      <c r="C34" s="16">
        <v>28</v>
      </c>
      <c r="D34" s="16">
        <v>2.8</v>
      </c>
      <c r="E34" s="16">
        <v>18.8</v>
      </c>
      <c r="F34" s="16">
        <v>30.1</v>
      </c>
      <c r="G34" s="16">
        <v>202.4</v>
      </c>
      <c r="H34" s="16">
        <v>100.5</v>
      </c>
      <c r="I34" s="16">
        <v>698.5</v>
      </c>
      <c r="J34" s="16">
        <v>297.7</v>
      </c>
      <c r="K34" s="16">
        <v>270.60000000000002</v>
      </c>
      <c r="L34" s="16">
        <v>17.399999999999999</v>
      </c>
      <c r="M34" s="16">
        <v>41.5</v>
      </c>
      <c r="N34" s="18">
        <v>97.3</v>
      </c>
      <c r="O34" s="12">
        <f t="shared" si="0"/>
        <v>1805.6</v>
      </c>
      <c r="P34" s="19">
        <f t="shared" si="1"/>
        <v>150.5</v>
      </c>
    </row>
    <row r="35" spans="2:16" ht="21.95" customHeight="1" thickBot="1">
      <c r="B35" s="33">
        <v>2024</v>
      </c>
      <c r="C35" s="34">
        <v>37.200000000000003</v>
      </c>
      <c r="D35" s="34">
        <v>79.099999999999994</v>
      </c>
      <c r="E35" s="34">
        <v>37.9</v>
      </c>
      <c r="F35" s="34">
        <v>49.1</v>
      </c>
      <c r="G35" s="34">
        <v>122.7</v>
      </c>
      <c r="H35" s="34">
        <v>84.7</v>
      </c>
      <c r="I35" s="34">
        <v>520.6</v>
      </c>
      <c r="J35" s="34">
        <v>113.1</v>
      </c>
      <c r="K35" s="34">
        <v>328</v>
      </c>
      <c r="L35" s="34">
        <v>112.7</v>
      </c>
      <c r="M35" s="34">
        <v>41.2</v>
      </c>
      <c r="N35" s="35">
        <v>8.6</v>
      </c>
      <c r="O35" s="36">
        <f t="shared" si="0"/>
        <v>1534.9</v>
      </c>
      <c r="P35" s="37">
        <f t="shared" si="1"/>
        <v>127.9</v>
      </c>
    </row>
    <row r="36" spans="2:16" ht="21.95" customHeight="1">
      <c r="B36" s="38" t="s">
        <v>13</v>
      </c>
      <c r="C36" s="39">
        <f>ROUND(MAX(C6:C35),1)</f>
        <v>62</v>
      </c>
      <c r="D36" s="39">
        <f t="shared" ref="D36:N36" si="2">ROUND(MAX(D6:D35),1)</f>
        <v>79.099999999999994</v>
      </c>
      <c r="E36" s="39">
        <f t="shared" si="2"/>
        <v>103.2</v>
      </c>
      <c r="F36" s="39">
        <f t="shared" si="2"/>
        <v>192.7</v>
      </c>
      <c r="G36" s="39">
        <f t="shared" si="2"/>
        <v>202.4</v>
      </c>
      <c r="H36" s="39">
        <f t="shared" si="2"/>
        <v>421.5</v>
      </c>
      <c r="I36" s="39">
        <f t="shared" si="2"/>
        <v>789.1</v>
      </c>
      <c r="J36" s="39">
        <f t="shared" si="2"/>
        <v>835.4</v>
      </c>
      <c r="K36" s="39">
        <f t="shared" si="2"/>
        <v>391.4</v>
      </c>
      <c r="L36" s="39">
        <f t="shared" si="2"/>
        <v>252.4</v>
      </c>
      <c r="M36" s="39">
        <f t="shared" si="2"/>
        <v>180.3</v>
      </c>
      <c r="N36" s="40">
        <f t="shared" si="2"/>
        <v>97.3</v>
      </c>
      <c r="O36" s="41">
        <f>ROUND(MAX(O6:O35),1)</f>
        <v>1805.6</v>
      </c>
      <c r="P36" s="42">
        <f>ROUND(MAX(P6:P35),1)</f>
        <v>150.5</v>
      </c>
    </row>
    <row r="37" spans="2:16" ht="21.95" customHeight="1">
      <c r="B37" s="43" t="s">
        <v>14</v>
      </c>
      <c r="C37" s="44">
        <f>ROUND(MIN(C6:C35),1)</f>
        <v>0.1</v>
      </c>
      <c r="D37" s="44">
        <f t="shared" ref="D37:N37" si="3">ROUND(MIN(D6:D35),1)</f>
        <v>1.3</v>
      </c>
      <c r="E37" s="44">
        <f t="shared" si="3"/>
        <v>8.1999999999999993</v>
      </c>
      <c r="F37" s="44">
        <f t="shared" si="3"/>
        <v>12.7</v>
      </c>
      <c r="G37" s="44">
        <f t="shared" si="3"/>
        <v>9.1</v>
      </c>
      <c r="H37" s="44">
        <f t="shared" si="3"/>
        <v>17.5</v>
      </c>
      <c r="I37" s="44">
        <f t="shared" si="3"/>
        <v>122.4</v>
      </c>
      <c r="J37" s="44">
        <f t="shared" si="3"/>
        <v>52</v>
      </c>
      <c r="K37" s="44">
        <f t="shared" si="3"/>
        <v>11.2</v>
      </c>
      <c r="L37" s="44">
        <f t="shared" si="3"/>
        <v>2</v>
      </c>
      <c r="M37" s="44">
        <f t="shared" si="3"/>
        <v>6.9</v>
      </c>
      <c r="N37" s="19">
        <f t="shared" si="3"/>
        <v>3.6</v>
      </c>
      <c r="O37" s="45">
        <f>ROUND(MIN(O6:O35),1)</f>
        <v>756.9</v>
      </c>
      <c r="P37" s="46">
        <f>ROUND(MIN(P6:P35),1)</f>
        <v>63.1</v>
      </c>
    </row>
    <row r="38" spans="2:16" ht="21.95" customHeight="1" thickBot="1">
      <c r="B38" s="47" t="s">
        <v>18</v>
      </c>
      <c r="C38" s="48">
        <f>ROUND(AVERAGE(C6:C35),1)</f>
        <v>21.4</v>
      </c>
      <c r="D38" s="48">
        <f t="shared" ref="D38:P38" si="4">ROUND(AVERAGE(D6:D35),1)</f>
        <v>27</v>
      </c>
      <c r="E38" s="48">
        <f t="shared" si="4"/>
        <v>43.5</v>
      </c>
      <c r="F38" s="48">
        <f t="shared" si="4"/>
        <v>72.599999999999994</v>
      </c>
      <c r="G38" s="48">
        <f t="shared" si="4"/>
        <v>84.3</v>
      </c>
      <c r="H38" s="48">
        <f t="shared" si="4"/>
        <v>140.1</v>
      </c>
      <c r="I38" s="48">
        <f t="shared" si="4"/>
        <v>316.8</v>
      </c>
      <c r="J38" s="48">
        <f t="shared" si="4"/>
        <v>278.3</v>
      </c>
      <c r="K38" s="48">
        <f t="shared" si="4"/>
        <v>153.5</v>
      </c>
      <c r="L38" s="48">
        <f t="shared" si="4"/>
        <v>58.7</v>
      </c>
      <c r="M38" s="48">
        <f t="shared" si="4"/>
        <v>47.8</v>
      </c>
      <c r="N38" s="49">
        <f t="shared" si="4"/>
        <v>26</v>
      </c>
      <c r="O38" s="50">
        <f t="shared" si="4"/>
        <v>1270</v>
      </c>
      <c r="P38" s="51">
        <f t="shared" si="4"/>
        <v>105.8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16</v>
      </c>
      <c r="D44" s="53">
        <f t="shared" si="5"/>
        <v>26.5</v>
      </c>
      <c r="E44" s="53">
        <f t="shared" si="5"/>
        <v>44.1</v>
      </c>
      <c r="F44" s="53">
        <f t="shared" si="5"/>
        <v>109.1</v>
      </c>
      <c r="G44" s="53">
        <f t="shared" si="5"/>
        <v>24.4</v>
      </c>
      <c r="H44" s="53">
        <f t="shared" si="5"/>
        <v>83.3</v>
      </c>
      <c r="I44" s="53">
        <f t="shared" si="5"/>
        <v>141.4</v>
      </c>
      <c r="J44" s="53">
        <f t="shared" si="5"/>
        <v>54.3</v>
      </c>
      <c r="K44" s="53">
        <f t="shared" si="5"/>
        <v>20.100000000000001</v>
      </c>
      <c r="L44" s="53">
        <f t="shared" si="5"/>
        <v>90.5</v>
      </c>
      <c r="M44" s="53">
        <f t="shared" si="5"/>
        <v>107.5</v>
      </c>
      <c r="N44" s="54">
        <f t="shared" si="5"/>
        <v>39.700000000000003</v>
      </c>
      <c r="O44" s="55">
        <f>ROUND(SUM(C44:N44),1)</f>
        <v>756.9</v>
      </c>
      <c r="P44" s="46">
        <f>ROUND(O44/12,1)</f>
        <v>63.1</v>
      </c>
    </row>
    <row r="45" spans="2:16" ht="21.95" customHeight="1">
      <c r="B45" s="52">
        <f t="shared" ref="B45:N53" si="6">B27</f>
        <v>2016</v>
      </c>
      <c r="C45" s="53">
        <f t="shared" si="6"/>
        <v>5.7</v>
      </c>
      <c r="D45" s="53">
        <f t="shared" si="6"/>
        <v>45.5</v>
      </c>
      <c r="E45" s="53">
        <f t="shared" si="6"/>
        <v>13.2</v>
      </c>
      <c r="F45" s="53">
        <f t="shared" si="6"/>
        <v>132.1</v>
      </c>
      <c r="G45" s="53">
        <f t="shared" si="6"/>
        <v>84.4</v>
      </c>
      <c r="H45" s="53">
        <f t="shared" si="6"/>
        <v>39.9</v>
      </c>
      <c r="I45" s="53">
        <f t="shared" si="6"/>
        <v>320</v>
      </c>
      <c r="J45" s="53">
        <f t="shared" si="6"/>
        <v>69</v>
      </c>
      <c r="K45" s="53">
        <f t="shared" si="6"/>
        <v>78.099999999999994</v>
      </c>
      <c r="L45" s="53">
        <f t="shared" si="6"/>
        <v>83.6</v>
      </c>
      <c r="M45" s="53">
        <f t="shared" si="6"/>
        <v>26.4</v>
      </c>
      <c r="N45" s="54">
        <f t="shared" si="6"/>
        <v>40.1</v>
      </c>
      <c r="O45" s="55">
        <f t="shared" ref="O45:O53" si="7">ROUND(SUM(C45:N45),1)</f>
        <v>938</v>
      </c>
      <c r="P45" s="46">
        <f t="shared" ref="P45:P53" si="8">ROUND(O45/12,1)</f>
        <v>78.2</v>
      </c>
    </row>
    <row r="46" spans="2:16" ht="21.95" customHeight="1">
      <c r="B46" s="52">
        <f t="shared" si="6"/>
        <v>2017</v>
      </c>
      <c r="C46" s="53">
        <f t="shared" si="6"/>
        <v>12</v>
      </c>
      <c r="D46" s="53">
        <f t="shared" si="6"/>
        <v>38.700000000000003</v>
      </c>
      <c r="E46" s="53">
        <f t="shared" si="6"/>
        <v>8.9</v>
      </c>
      <c r="F46" s="53">
        <f t="shared" si="6"/>
        <v>61.7</v>
      </c>
      <c r="G46" s="53">
        <f t="shared" si="6"/>
        <v>11.9</v>
      </c>
      <c r="H46" s="53">
        <f t="shared" si="6"/>
        <v>17.5</v>
      </c>
      <c r="I46" s="53">
        <f t="shared" si="6"/>
        <v>789.1</v>
      </c>
      <c r="J46" s="53">
        <f t="shared" si="6"/>
        <v>225.2</v>
      </c>
      <c r="K46" s="53">
        <f t="shared" si="6"/>
        <v>78.3</v>
      </c>
      <c r="L46" s="53">
        <f t="shared" si="6"/>
        <v>23.1</v>
      </c>
      <c r="M46" s="53">
        <f t="shared" si="6"/>
        <v>13.7</v>
      </c>
      <c r="N46" s="54">
        <f t="shared" si="6"/>
        <v>21.1</v>
      </c>
      <c r="O46" s="55">
        <f t="shared" si="7"/>
        <v>1301.2</v>
      </c>
      <c r="P46" s="46">
        <f t="shared" si="8"/>
        <v>108.4</v>
      </c>
    </row>
    <row r="47" spans="2:16" ht="21.95" customHeight="1">
      <c r="B47" s="52">
        <f t="shared" si="6"/>
        <v>2018</v>
      </c>
      <c r="C47" s="53">
        <f t="shared" si="6"/>
        <v>17.600000000000001</v>
      </c>
      <c r="D47" s="53">
        <f t="shared" si="6"/>
        <v>30.6</v>
      </c>
      <c r="E47" s="53">
        <f t="shared" si="6"/>
        <v>81.7</v>
      </c>
      <c r="F47" s="53">
        <f t="shared" si="6"/>
        <v>133</v>
      </c>
      <c r="G47" s="53">
        <f t="shared" si="6"/>
        <v>92</v>
      </c>
      <c r="H47" s="53">
        <f t="shared" si="6"/>
        <v>63.3</v>
      </c>
      <c r="I47" s="53">
        <f t="shared" si="6"/>
        <v>324.89999999999998</v>
      </c>
      <c r="J47" s="53">
        <f t="shared" si="6"/>
        <v>247.9</v>
      </c>
      <c r="K47" s="53">
        <f t="shared" si="6"/>
        <v>204</v>
      </c>
      <c r="L47" s="53">
        <f t="shared" si="6"/>
        <v>112.2</v>
      </c>
      <c r="M47" s="53">
        <f t="shared" si="6"/>
        <v>45.9</v>
      </c>
      <c r="N47" s="54">
        <f t="shared" si="6"/>
        <v>28.5</v>
      </c>
      <c r="O47" s="55">
        <f>ROUND(SUM(C47:N47),1)</f>
        <v>1381.6</v>
      </c>
      <c r="P47" s="46">
        <f t="shared" si="8"/>
        <v>115.1</v>
      </c>
    </row>
    <row r="48" spans="2:16" ht="21.95" customHeight="1">
      <c r="B48" s="52">
        <f t="shared" si="6"/>
        <v>2019</v>
      </c>
      <c r="C48" s="53">
        <f t="shared" si="6"/>
        <v>0.1</v>
      </c>
      <c r="D48" s="53">
        <f t="shared" si="6"/>
        <v>23</v>
      </c>
      <c r="E48" s="53">
        <f t="shared" si="6"/>
        <v>20.3</v>
      </c>
      <c r="F48" s="53">
        <f t="shared" si="6"/>
        <v>60.8</v>
      </c>
      <c r="G48" s="53">
        <f t="shared" si="6"/>
        <v>20.3</v>
      </c>
      <c r="H48" s="53">
        <f t="shared" si="6"/>
        <v>82.5</v>
      </c>
      <c r="I48" s="53">
        <f t="shared" si="6"/>
        <v>204.8</v>
      </c>
      <c r="J48" s="53">
        <f t="shared" si="6"/>
        <v>80.5</v>
      </c>
      <c r="K48" s="53">
        <f t="shared" si="6"/>
        <v>155.1</v>
      </c>
      <c r="L48" s="53">
        <f t="shared" si="6"/>
        <v>84.3</v>
      </c>
      <c r="M48" s="53">
        <f t="shared" si="6"/>
        <v>104.9</v>
      </c>
      <c r="N48" s="54">
        <f t="shared" si="6"/>
        <v>20.100000000000001</v>
      </c>
      <c r="O48" s="55">
        <f t="shared" si="7"/>
        <v>856.7</v>
      </c>
      <c r="P48" s="46">
        <f t="shared" si="8"/>
        <v>71.400000000000006</v>
      </c>
    </row>
    <row r="49" spans="2:16" ht="21.95" customHeight="1">
      <c r="B49" s="52">
        <f t="shared" si="6"/>
        <v>2020</v>
      </c>
      <c r="C49" s="53">
        <f t="shared" si="6"/>
        <v>62</v>
      </c>
      <c r="D49" s="53">
        <f t="shared" si="6"/>
        <v>62.7</v>
      </c>
      <c r="E49" s="53">
        <f t="shared" si="6"/>
        <v>22.9</v>
      </c>
      <c r="F49" s="53">
        <f t="shared" si="6"/>
        <v>15.7</v>
      </c>
      <c r="G49" s="53">
        <f t="shared" si="6"/>
        <v>65.3</v>
      </c>
      <c r="H49" s="53">
        <f t="shared" si="6"/>
        <v>145.9</v>
      </c>
      <c r="I49" s="53">
        <f t="shared" si="6"/>
        <v>386.6</v>
      </c>
      <c r="J49" s="53">
        <f t="shared" si="6"/>
        <v>385.8</v>
      </c>
      <c r="K49" s="53">
        <f t="shared" si="6"/>
        <v>160.6</v>
      </c>
      <c r="L49" s="53">
        <f t="shared" si="6"/>
        <v>5.8</v>
      </c>
      <c r="M49" s="53">
        <f t="shared" si="6"/>
        <v>41</v>
      </c>
      <c r="N49" s="54">
        <f t="shared" si="6"/>
        <v>4.3</v>
      </c>
      <c r="O49" s="55">
        <f t="shared" si="7"/>
        <v>1358.6</v>
      </c>
      <c r="P49" s="46">
        <f t="shared" si="8"/>
        <v>113.2</v>
      </c>
    </row>
    <row r="50" spans="2:16" ht="21.95" customHeight="1">
      <c r="B50" s="52">
        <f t="shared" si="6"/>
        <v>2021</v>
      </c>
      <c r="C50" s="53">
        <f t="shared" si="6"/>
        <v>12.7</v>
      </c>
      <c r="D50" s="53">
        <f t="shared" si="6"/>
        <v>7.5</v>
      </c>
      <c r="E50" s="53">
        <f t="shared" si="6"/>
        <v>76.599999999999994</v>
      </c>
      <c r="F50" s="53">
        <f t="shared" si="6"/>
        <v>46.4</v>
      </c>
      <c r="G50" s="53">
        <f t="shared" si="6"/>
        <v>136.4</v>
      </c>
      <c r="H50" s="53">
        <f t="shared" si="6"/>
        <v>75.400000000000006</v>
      </c>
      <c r="I50" s="53">
        <f t="shared" si="6"/>
        <v>138.1</v>
      </c>
      <c r="J50" s="53">
        <f t="shared" si="6"/>
        <v>233.1</v>
      </c>
      <c r="K50" s="53">
        <f t="shared" si="6"/>
        <v>185</v>
      </c>
      <c r="L50" s="53">
        <f t="shared" si="6"/>
        <v>29.4</v>
      </c>
      <c r="M50" s="53">
        <f t="shared" si="6"/>
        <v>57.3</v>
      </c>
      <c r="N50" s="54">
        <f t="shared" si="6"/>
        <v>3.7</v>
      </c>
      <c r="O50" s="55">
        <f t="shared" si="7"/>
        <v>1001.6</v>
      </c>
      <c r="P50" s="46">
        <f t="shared" si="8"/>
        <v>83.5</v>
      </c>
    </row>
    <row r="51" spans="2:16" ht="21.95" customHeight="1">
      <c r="B51" s="52">
        <f t="shared" si="6"/>
        <v>2022</v>
      </c>
      <c r="C51" s="53">
        <f t="shared" si="6"/>
        <v>1.4</v>
      </c>
      <c r="D51" s="53">
        <f t="shared" si="6"/>
        <v>2.4</v>
      </c>
      <c r="E51" s="53">
        <f t="shared" si="6"/>
        <v>59</v>
      </c>
      <c r="F51" s="53">
        <f t="shared" si="6"/>
        <v>45.2</v>
      </c>
      <c r="G51" s="53">
        <f t="shared" si="6"/>
        <v>9.1</v>
      </c>
      <c r="H51" s="53">
        <f t="shared" si="6"/>
        <v>129.6</v>
      </c>
      <c r="I51" s="53">
        <f t="shared" si="6"/>
        <v>171.7</v>
      </c>
      <c r="J51" s="53">
        <f t="shared" si="6"/>
        <v>519.4</v>
      </c>
      <c r="K51" s="53">
        <f t="shared" si="6"/>
        <v>116</v>
      </c>
      <c r="L51" s="53">
        <f t="shared" si="6"/>
        <v>105.9</v>
      </c>
      <c r="M51" s="53">
        <f t="shared" si="6"/>
        <v>56.7</v>
      </c>
      <c r="N51" s="54">
        <f t="shared" si="6"/>
        <v>20</v>
      </c>
      <c r="O51" s="55">
        <f t="shared" si="7"/>
        <v>1236.4000000000001</v>
      </c>
      <c r="P51" s="46">
        <f t="shared" si="8"/>
        <v>103</v>
      </c>
    </row>
    <row r="52" spans="2:16" ht="21.95" customHeight="1">
      <c r="B52" s="52">
        <f t="shared" si="6"/>
        <v>2023</v>
      </c>
      <c r="C52" s="53">
        <f t="shared" si="6"/>
        <v>28</v>
      </c>
      <c r="D52" s="53">
        <f t="shared" si="6"/>
        <v>2.8</v>
      </c>
      <c r="E52" s="53">
        <f t="shared" si="6"/>
        <v>18.8</v>
      </c>
      <c r="F52" s="53">
        <f t="shared" si="6"/>
        <v>30.1</v>
      </c>
      <c r="G52" s="53">
        <f t="shared" si="6"/>
        <v>202.4</v>
      </c>
      <c r="H52" s="53">
        <f t="shared" si="6"/>
        <v>100.5</v>
      </c>
      <c r="I52" s="53">
        <f t="shared" si="6"/>
        <v>698.5</v>
      </c>
      <c r="J52" s="53">
        <f t="shared" si="6"/>
        <v>297.7</v>
      </c>
      <c r="K52" s="53">
        <f t="shared" si="6"/>
        <v>270.60000000000002</v>
      </c>
      <c r="L52" s="53">
        <f t="shared" si="6"/>
        <v>17.399999999999999</v>
      </c>
      <c r="M52" s="53">
        <f t="shared" si="6"/>
        <v>41.5</v>
      </c>
      <c r="N52" s="54">
        <f t="shared" si="6"/>
        <v>97.3</v>
      </c>
      <c r="O52" s="55">
        <f t="shared" si="7"/>
        <v>1805.6</v>
      </c>
      <c r="P52" s="46">
        <f t="shared" si="8"/>
        <v>150.5</v>
      </c>
    </row>
    <row r="53" spans="2:16" ht="21.95" customHeight="1" thickBot="1">
      <c r="B53" s="56">
        <f t="shared" si="6"/>
        <v>2024</v>
      </c>
      <c r="C53" s="57">
        <f t="shared" si="6"/>
        <v>37.200000000000003</v>
      </c>
      <c r="D53" s="57">
        <f t="shared" si="6"/>
        <v>79.099999999999994</v>
      </c>
      <c r="E53" s="57">
        <f t="shared" si="6"/>
        <v>37.9</v>
      </c>
      <c r="F53" s="57">
        <f t="shared" si="6"/>
        <v>49.1</v>
      </c>
      <c r="G53" s="57">
        <f t="shared" si="6"/>
        <v>122.7</v>
      </c>
      <c r="H53" s="57">
        <f t="shared" si="6"/>
        <v>84.7</v>
      </c>
      <c r="I53" s="57">
        <f t="shared" si="6"/>
        <v>520.6</v>
      </c>
      <c r="J53" s="57">
        <f t="shared" si="6"/>
        <v>113.1</v>
      </c>
      <c r="K53" s="57">
        <f t="shared" si="6"/>
        <v>328</v>
      </c>
      <c r="L53" s="57">
        <f t="shared" si="6"/>
        <v>112.7</v>
      </c>
      <c r="M53" s="57">
        <f t="shared" si="6"/>
        <v>41.2</v>
      </c>
      <c r="N53" s="58">
        <f t="shared" si="6"/>
        <v>8.6</v>
      </c>
      <c r="O53" s="59">
        <f t="shared" si="7"/>
        <v>1534.9</v>
      </c>
      <c r="P53" s="51">
        <f t="shared" si="8"/>
        <v>127.9</v>
      </c>
    </row>
    <row r="54" spans="2:16" ht="21.95" customHeight="1">
      <c r="B54" s="60" t="s">
        <v>19</v>
      </c>
      <c r="C54" s="61">
        <f>MAX(C44:C53)</f>
        <v>62</v>
      </c>
      <c r="D54" s="61">
        <f t="shared" ref="D54:P54" si="9">MAX(D44:D53)</f>
        <v>79.099999999999994</v>
      </c>
      <c r="E54" s="61">
        <f t="shared" si="9"/>
        <v>81.7</v>
      </c>
      <c r="F54" s="61">
        <f t="shared" si="9"/>
        <v>133</v>
      </c>
      <c r="G54" s="61">
        <f t="shared" si="9"/>
        <v>202.4</v>
      </c>
      <c r="H54" s="61">
        <f t="shared" si="9"/>
        <v>145.9</v>
      </c>
      <c r="I54" s="61">
        <f t="shared" si="9"/>
        <v>789.1</v>
      </c>
      <c r="J54" s="61">
        <f t="shared" si="9"/>
        <v>519.4</v>
      </c>
      <c r="K54" s="61">
        <f t="shared" si="9"/>
        <v>328</v>
      </c>
      <c r="L54" s="61">
        <f t="shared" si="9"/>
        <v>112.7</v>
      </c>
      <c r="M54" s="61">
        <f t="shared" si="9"/>
        <v>107.5</v>
      </c>
      <c r="N54" s="62">
        <f t="shared" si="9"/>
        <v>97.3</v>
      </c>
      <c r="O54" s="63">
        <f t="shared" si="9"/>
        <v>1805.6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0.1</v>
      </c>
      <c r="D55" s="65">
        <f t="shared" ref="D55:P55" si="10">MIN(D44:D53)</f>
        <v>2.4</v>
      </c>
      <c r="E55" s="65">
        <f t="shared" si="10"/>
        <v>8.9</v>
      </c>
      <c r="F55" s="65">
        <f t="shared" si="10"/>
        <v>15.7</v>
      </c>
      <c r="G55" s="65">
        <f t="shared" si="10"/>
        <v>9.1</v>
      </c>
      <c r="H55" s="65">
        <f t="shared" si="10"/>
        <v>17.5</v>
      </c>
      <c r="I55" s="65">
        <f t="shared" si="10"/>
        <v>138.1</v>
      </c>
      <c r="J55" s="65">
        <f t="shared" si="10"/>
        <v>54.3</v>
      </c>
      <c r="K55" s="65">
        <f t="shared" si="10"/>
        <v>20.100000000000001</v>
      </c>
      <c r="L55" s="65">
        <f t="shared" si="10"/>
        <v>5.8</v>
      </c>
      <c r="M55" s="65">
        <f t="shared" si="10"/>
        <v>13.7</v>
      </c>
      <c r="N55" s="46">
        <f t="shared" si="10"/>
        <v>3.7</v>
      </c>
      <c r="O55" s="55">
        <f>MIN(O44:O53)</f>
        <v>756.9</v>
      </c>
      <c r="P55" s="46">
        <f t="shared" si="10"/>
        <v>63.1</v>
      </c>
    </row>
    <row r="56" spans="2:16" ht="21.95" customHeight="1" thickBot="1">
      <c r="B56" s="66" t="s">
        <v>7</v>
      </c>
      <c r="C56" s="67">
        <f>ROUND(AVERAGE(C44:C53),1)</f>
        <v>19.3</v>
      </c>
      <c r="D56" s="67">
        <f t="shared" ref="D56:N56" si="11">ROUND(AVERAGE(D44:D53),1)</f>
        <v>31.9</v>
      </c>
      <c r="E56" s="67">
        <f t="shared" si="11"/>
        <v>38.299999999999997</v>
      </c>
      <c r="F56" s="67">
        <f t="shared" si="11"/>
        <v>68.3</v>
      </c>
      <c r="G56" s="67">
        <f t="shared" si="11"/>
        <v>76.900000000000006</v>
      </c>
      <c r="H56" s="67">
        <f t="shared" si="11"/>
        <v>82.3</v>
      </c>
      <c r="I56" s="67">
        <f t="shared" si="11"/>
        <v>369.6</v>
      </c>
      <c r="J56" s="67">
        <f t="shared" si="11"/>
        <v>222.6</v>
      </c>
      <c r="K56" s="67">
        <f t="shared" si="11"/>
        <v>159.6</v>
      </c>
      <c r="L56" s="67">
        <f t="shared" si="11"/>
        <v>66.5</v>
      </c>
      <c r="M56" s="67">
        <f t="shared" si="11"/>
        <v>53.6</v>
      </c>
      <c r="N56" s="51">
        <f t="shared" si="11"/>
        <v>28.3</v>
      </c>
      <c r="O56" s="59">
        <f>ROUND(AVERAGE(O44:O53),1)</f>
        <v>1217.2</v>
      </c>
      <c r="P56" s="51">
        <f>ROUND(AVERAGE(P44:P53),1)</f>
        <v>101.4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C149-0B88-4722-BA6E-2D0BD61E7329}">
  <sheetPr codeName="Sheet17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284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16.7</v>
      </c>
      <c r="D6" s="9">
        <v>15.7</v>
      </c>
      <c r="E6" s="9">
        <v>55.6</v>
      </c>
      <c r="F6" s="9">
        <v>67.5</v>
      </c>
      <c r="G6" s="9">
        <v>37</v>
      </c>
      <c r="H6" s="9">
        <v>43.8</v>
      </c>
      <c r="I6" s="9">
        <v>132.19999999999999</v>
      </c>
      <c r="J6" s="10">
        <v>472.4</v>
      </c>
      <c r="K6" s="9">
        <v>56.9</v>
      </c>
      <c r="L6" s="9">
        <v>22</v>
      </c>
      <c r="M6" s="9">
        <v>29.1</v>
      </c>
      <c r="N6" s="11">
        <v>5.0999999999999996</v>
      </c>
      <c r="O6" s="12">
        <f t="shared" ref="O6:O35" si="0">ROUND(SUM(C6:N6),1)</f>
        <v>954</v>
      </c>
      <c r="P6" s="13">
        <f>ROUND(O6/12,1)</f>
        <v>79.5</v>
      </c>
      <c r="Q6" s="14"/>
    </row>
    <row r="7" spans="2:17" ht="21.95" customHeight="1">
      <c r="B7" s="15">
        <v>1996</v>
      </c>
      <c r="C7" s="16">
        <v>19.399999999999999</v>
      </c>
      <c r="D7" s="16">
        <v>2</v>
      </c>
      <c r="E7" s="16">
        <v>117.2</v>
      </c>
      <c r="F7" s="16">
        <v>28.1</v>
      </c>
      <c r="G7" s="16">
        <v>58.9</v>
      </c>
      <c r="H7" s="16">
        <v>463.9</v>
      </c>
      <c r="I7" s="16">
        <v>118.2</v>
      </c>
      <c r="J7" s="17">
        <v>89.4</v>
      </c>
      <c r="K7" s="16">
        <v>18.100000000000001</v>
      </c>
      <c r="L7" s="16">
        <v>73.599999999999994</v>
      </c>
      <c r="M7" s="16">
        <v>58.9</v>
      </c>
      <c r="N7" s="18">
        <v>24.3</v>
      </c>
      <c r="O7" s="12">
        <f t="shared" si="0"/>
        <v>1072</v>
      </c>
      <c r="P7" s="19">
        <f t="shared" ref="P7:P35" si="1">ROUND(O7/12,1)</f>
        <v>89.3</v>
      </c>
      <c r="Q7" s="14"/>
    </row>
    <row r="8" spans="2:17" ht="21.95" customHeight="1">
      <c r="B8" s="15">
        <v>1997</v>
      </c>
      <c r="C8" s="16">
        <v>15.2</v>
      </c>
      <c r="D8" s="16">
        <v>32.799999999999997</v>
      </c>
      <c r="E8" s="16">
        <v>27.9</v>
      </c>
      <c r="F8" s="16">
        <v>49.7</v>
      </c>
      <c r="G8" s="16">
        <v>148.69999999999999</v>
      </c>
      <c r="H8" s="16">
        <v>205.2</v>
      </c>
      <c r="I8" s="16">
        <v>249.2</v>
      </c>
      <c r="J8" s="16">
        <v>154.4</v>
      </c>
      <c r="K8" s="16">
        <v>30</v>
      </c>
      <c r="L8" s="16">
        <v>4.2</v>
      </c>
      <c r="M8" s="16">
        <v>140.69999999999999</v>
      </c>
      <c r="N8" s="18">
        <v>44.6</v>
      </c>
      <c r="O8" s="12">
        <f t="shared" si="0"/>
        <v>1102.5999999999999</v>
      </c>
      <c r="P8" s="19">
        <f t="shared" si="1"/>
        <v>91.9</v>
      </c>
      <c r="Q8" s="14"/>
    </row>
    <row r="9" spans="2:17" ht="21.95" customHeight="1">
      <c r="B9" s="15">
        <v>1998</v>
      </c>
      <c r="C9" s="16">
        <v>28.2</v>
      </c>
      <c r="D9" s="16">
        <v>49.6</v>
      </c>
      <c r="E9" s="16">
        <v>30.9</v>
      </c>
      <c r="F9" s="16">
        <v>201.5</v>
      </c>
      <c r="G9" s="16">
        <v>87.8</v>
      </c>
      <c r="H9" s="16">
        <v>227</v>
      </c>
      <c r="I9" s="16">
        <v>244.8</v>
      </c>
      <c r="J9" s="16">
        <v>368.9</v>
      </c>
      <c r="K9" s="16">
        <v>282.7</v>
      </c>
      <c r="L9" s="16">
        <v>49.9</v>
      </c>
      <c r="M9" s="16">
        <v>15.2</v>
      </c>
      <c r="N9" s="18">
        <v>4.4000000000000004</v>
      </c>
      <c r="O9" s="12">
        <f t="shared" si="0"/>
        <v>1590.9</v>
      </c>
      <c r="P9" s="19">
        <f t="shared" si="1"/>
        <v>132.6</v>
      </c>
      <c r="Q9" s="14"/>
    </row>
    <row r="10" spans="2:17" ht="21.95" customHeight="1">
      <c r="B10" s="15">
        <v>1999</v>
      </c>
      <c r="C10" s="16">
        <v>2.8</v>
      </c>
      <c r="D10" s="16">
        <v>20.100000000000001</v>
      </c>
      <c r="E10" s="16">
        <v>86.7</v>
      </c>
      <c r="F10" s="16">
        <v>76.400000000000006</v>
      </c>
      <c r="G10" s="16">
        <v>113.2</v>
      </c>
      <c r="H10" s="16">
        <v>167.3</v>
      </c>
      <c r="I10" s="16">
        <v>143.30000000000001</v>
      </c>
      <c r="J10" s="16">
        <v>240.1</v>
      </c>
      <c r="K10" s="16">
        <v>294.5</v>
      </c>
      <c r="L10" s="16">
        <v>93.5</v>
      </c>
      <c r="M10" s="16">
        <v>16.3</v>
      </c>
      <c r="N10" s="18">
        <v>15.3</v>
      </c>
      <c r="O10" s="12">
        <f t="shared" si="0"/>
        <v>1269.5</v>
      </c>
      <c r="P10" s="19">
        <f t="shared" si="1"/>
        <v>105.8</v>
      </c>
      <c r="Q10" s="14"/>
    </row>
    <row r="11" spans="2:17" ht="21.95" customHeight="1">
      <c r="B11" s="15">
        <v>2000</v>
      </c>
      <c r="C11" s="16">
        <v>29.3</v>
      </c>
      <c r="D11" s="16">
        <v>5</v>
      </c>
      <c r="E11" s="16">
        <v>26</v>
      </c>
      <c r="F11" s="16">
        <v>43.4</v>
      </c>
      <c r="G11" s="16">
        <v>26.1</v>
      </c>
      <c r="H11" s="16">
        <v>155.69999999999999</v>
      </c>
      <c r="I11" s="16">
        <v>293.39999999999998</v>
      </c>
      <c r="J11" s="16">
        <v>318.5</v>
      </c>
      <c r="K11" s="16">
        <v>304.60000000000002</v>
      </c>
      <c r="L11" s="16">
        <v>30.4</v>
      </c>
      <c r="M11" s="16">
        <v>51</v>
      </c>
      <c r="N11" s="18">
        <v>11.1</v>
      </c>
      <c r="O11" s="12">
        <f t="shared" si="0"/>
        <v>1294.5</v>
      </c>
      <c r="P11" s="19">
        <f t="shared" si="1"/>
        <v>107.9</v>
      </c>
      <c r="Q11" s="14"/>
    </row>
    <row r="12" spans="2:17" ht="21.95" customHeight="1">
      <c r="B12" s="15">
        <v>2001</v>
      </c>
      <c r="C12" s="16">
        <v>47.7</v>
      </c>
      <c r="D12" s="16">
        <v>63.9</v>
      </c>
      <c r="E12" s="16">
        <v>9.6999999999999993</v>
      </c>
      <c r="F12" s="16">
        <v>16.5</v>
      </c>
      <c r="G12" s="16">
        <v>39.6</v>
      </c>
      <c r="H12" s="16">
        <v>202.6</v>
      </c>
      <c r="I12" s="16">
        <v>154.19999999999999</v>
      </c>
      <c r="J12" s="16">
        <v>23.4</v>
      </c>
      <c r="K12" s="16">
        <v>112.9</v>
      </c>
      <c r="L12" s="16">
        <v>116.5</v>
      </c>
      <c r="M12" s="16">
        <v>10.7</v>
      </c>
      <c r="N12" s="18">
        <v>24.5</v>
      </c>
      <c r="O12" s="12">
        <f t="shared" si="0"/>
        <v>822.2</v>
      </c>
      <c r="P12" s="19">
        <f t="shared" si="1"/>
        <v>68.5</v>
      </c>
    </row>
    <row r="13" spans="2:17" ht="21.95" customHeight="1">
      <c r="B13" s="15">
        <v>2002</v>
      </c>
      <c r="C13" s="16">
        <v>71.900000000000006</v>
      </c>
      <c r="D13" s="16">
        <v>8.9</v>
      </c>
      <c r="E13" s="16">
        <v>54.4</v>
      </c>
      <c r="F13" s="16">
        <v>188.2</v>
      </c>
      <c r="G13" s="16">
        <v>125.3</v>
      </c>
      <c r="H13" s="16">
        <v>49.3</v>
      </c>
      <c r="I13" s="16">
        <v>204.3</v>
      </c>
      <c r="J13" s="16">
        <v>597.1</v>
      </c>
      <c r="K13" s="16">
        <v>55.5</v>
      </c>
      <c r="L13" s="16">
        <v>39.6</v>
      </c>
      <c r="M13" s="16">
        <v>19.100000000000001</v>
      </c>
      <c r="N13" s="18">
        <v>46.1</v>
      </c>
      <c r="O13" s="12">
        <f t="shared" si="0"/>
        <v>1459.7</v>
      </c>
      <c r="P13" s="19">
        <f t="shared" si="1"/>
        <v>121.6</v>
      </c>
    </row>
    <row r="14" spans="2:17" ht="21.95" customHeight="1">
      <c r="B14" s="15">
        <v>2003</v>
      </c>
      <c r="C14" s="16">
        <v>20.9</v>
      </c>
      <c r="D14" s="16">
        <v>54.8</v>
      </c>
      <c r="E14" s="16">
        <v>50.6</v>
      </c>
      <c r="F14" s="16">
        <v>182.7</v>
      </c>
      <c r="G14" s="16">
        <v>178.9</v>
      </c>
      <c r="H14" s="16">
        <v>157.30000000000001</v>
      </c>
      <c r="I14" s="16">
        <v>548.29999999999995</v>
      </c>
      <c r="J14" s="16">
        <v>330.6</v>
      </c>
      <c r="K14" s="16">
        <v>222.9</v>
      </c>
      <c r="L14" s="16">
        <v>24</v>
      </c>
      <c r="M14" s="16">
        <v>47.2</v>
      </c>
      <c r="N14" s="18">
        <v>17.100000000000001</v>
      </c>
      <c r="O14" s="12">
        <f t="shared" si="0"/>
        <v>1835.3</v>
      </c>
      <c r="P14" s="19">
        <f t="shared" si="1"/>
        <v>152.9</v>
      </c>
    </row>
    <row r="15" spans="2:17" ht="21.95" customHeight="1">
      <c r="B15" s="15">
        <v>2004</v>
      </c>
      <c r="C15" s="16">
        <v>16</v>
      </c>
      <c r="D15" s="16">
        <v>24.9</v>
      </c>
      <c r="E15" s="16">
        <v>20.6</v>
      </c>
      <c r="F15" s="16">
        <v>70.8</v>
      </c>
      <c r="G15" s="16">
        <v>112.5</v>
      </c>
      <c r="H15" s="16">
        <v>249.1</v>
      </c>
      <c r="I15" s="16">
        <v>391.5</v>
      </c>
      <c r="J15" s="16">
        <v>317.60000000000002</v>
      </c>
      <c r="K15" s="16">
        <v>175.1</v>
      </c>
      <c r="L15" s="16">
        <v>2.6</v>
      </c>
      <c r="M15" s="16">
        <v>40.200000000000003</v>
      </c>
      <c r="N15" s="18">
        <v>23.3</v>
      </c>
      <c r="O15" s="12">
        <f t="shared" si="0"/>
        <v>1444.2</v>
      </c>
      <c r="P15" s="19">
        <f t="shared" si="1"/>
        <v>120.4</v>
      </c>
    </row>
    <row r="16" spans="2:17" ht="21.95" customHeight="1">
      <c r="B16" s="15">
        <v>2005</v>
      </c>
      <c r="C16" s="16">
        <v>12.8</v>
      </c>
      <c r="D16" s="16">
        <v>35.9</v>
      </c>
      <c r="E16" s="16">
        <v>50.2</v>
      </c>
      <c r="F16" s="16">
        <v>31.3</v>
      </c>
      <c r="G16" s="16">
        <v>47</v>
      </c>
      <c r="H16" s="16">
        <v>131.19999999999999</v>
      </c>
      <c r="I16" s="16">
        <v>252.3</v>
      </c>
      <c r="J16" s="16">
        <v>291.8</v>
      </c>
      <c r="K16" s="16">
        <v>107.7</v>
      </c>
      <c r="L16" s="16">
        <v>13</v>
      </c>
      <c r="M16" s="16">
        <v>20.6</v>
      </c>
      <c r="N16" s="18">
        <v>14.6</v>
      </c>
      <c r="O16" s="12">
        <f t="shared" si="0"/>
        <v>1008.4</v>
      </c>
      <c r="P16" s="19">
        <f t="shared" si="1"/>
        <v>84</v>
      </c>
    </row>
    <row r="17" spans="2:16" ht="21.95" customHeight="1">
      <c r="B17" s="15">
        <v>2006</v>
      </c>
      <c r="C17" s="16">
        <v>19.399999999999999</v>
      </c>
      <c r="D17" s="16">
        <v>30.4</v>
      </c>
      <c r="E17" s="16">
        <v>8.6999999999999993</v>
      </c>
      <c r="F17" s="16">
        <v>89.5</v>
      </c>
      <c r="G17" s="16">
        <v>102.5</v>
      </c>
      <c r="H17" s="16">
        <v>128</v>
      </c>
      <c r="I17" s="16">
        <v>697.6</v>
      </c>
      <c r="J17" s="16">
        <v>43</v>
      </c>
      <c r="K17" s="16">
        <v>36.9</v>
      </c>
      <c r="L17" s="16">
        <v>36</v>
      </c>
      <c r="M17" s="16">
        <v>61.4</v>
      </c>
      <c r="N17" s="18">
        <v>19.7</v>
      </c>
      <c r="O17" s="12">
        <f t="shared" si="0"/>
        <v>1273.0999999999999</v>
      </c>
      <c r="P17" s="19">
        <f t="shared" si="1"/>
        <v>106.1</v>
      </c>
    </row>
    <row r="18" spans="2:16" ht="21.95" customHeight="1">
      <c r="B18" s="15">
        <v>2007</v>
      </c>
      <c r="C18" s="16">
        <v>9.8000000000000007</v>
      </c>
      <c r="D18" s="16">
        <v>45.9</v>
      </c>
      <c r="E18" s="16">
        <v>85</v>
      </c>
      <c r="F18" s="16">
        <v>24.2</v>
      </c>
      <c r="G18" s="16">
        <v>73</v>
      </c>
      <c r="H18" s="16">
        <v>152.1</v>
      </c>
      <c r="I18" s="16">
        <v>209.5</v>
      </c>
      <c r="J18" s="16">
        <v>267.89999999999998</v>
      </c>
      <c r="K18" s="16">
        <v>386.1</v>
      </c>
      <c r="L18" s="16">
        <v>20.399999999999999</v>
      </c>
      <c r="M18" s="16">
        <v>7.2</v>
      </c>
      <c r="N18" s="18">
        <v>29.9</v>
      </c>
      <c r="O18" s="12">
        <f t="shared" si="0"/>
        <v>1311</v>
      </c>
      <c r="P18" s="19">
        <f t="shared" si="1"/>
        <v>109.3</v>
      </c>
    </row>
    <row r="19" spans="2:16" ht="21.95" customHeight="1">
      <c r="B19" s="15">
        <v>2008</v>
      </c>
      <c r="C19" s="16">
        <v>40.5</v>
      </c>
      <c r="D19" s="16">
        <v>6.1</v>
      </c>
      <c r="E19" s="16">
        <v>27.7</v>
      </c>
      <c r="F19" s="16">
        <v>47.2</v>
      </c>
      <c r="G19" s="16">
        <v>57.6</v>
      </c>
      <c r="H19" s="16">
        <v>172.6</v>
      </c>
      <c r="I19" s="16">
        <v>152.19999999999999</v>
      </c>
      <c r="J19" s="16">
        <v>172.9</v>
      </c>
      <c r="K19" s="16">
        <v>59</v>
      </c>
      <c r="L19" s="16">
        <v>56.5</v>
      </c>
      <c r="M19" s="16">
        <v>17</v>
      </c>
      <c r="N19" s="18">
        <v>9.1999999999999993</v>
      </c>
      <c r="O19" s="12">
        <f t="shared" si="0"/>
        <v>818.5</v>
      </c>
      <c r="P19" s="19">
        <f t="shared" si="1"/>
        <v>68.2</v>
      </c>
    </row>
    <row r="20" spans="2:16" ht="21.95" customHeight="1">
      <c r="B20" s="15">
        <v>2009</v>
      </c>
      <c r="C20" s="16">
        <v>12</v>
      </c>
      <c r="D20" s="16">
        <v>34.700000000000003</v>
      </c>
      <c r="E20" s="16">
        <v>37.200000000000003</v>
      </c>
      <c r="F20" s="16">
        <v>34</v>
      </c>
      <c r="G20" s="16">
        <v>112.1</v>
      </c>
      <c r="H20" s="16">
        <v>87.4</v>
      </c>
      <c r="I20" s="16">
        <v>436.9</v>
      </c>
      <c r="J20" s="16">
        <v>97.7</v>
      </c>
      <c r="K20" s="16">
        <v>54.7</v>
      </c>
      <c r="L20" s="16">
        <v>16.5</v>
      </c>
      <c r="M20" s="16">
        <v>52.7</v>
      </c>
      <c r="N20" s="18">
        <v>34.799999999999997</v>
      </c>
      <c r="O20" s="12">
        <f t="shared" si="0"/>
        <v>1010.7</v>
      </c>
      <c r="P20" s="19">
        <f t="shared" si="1"/>
        <v>84.2</v>
      </c>
    </row>
    <row r="21" spans="2:16" ht="21.95" customHeight="1">
      <c r="B21" s="15">
        <v>2010</v>
      </c>
      <c r="C21" s="16">
        <v>22.5</v>
      </c>
      <c r="D21" s="16">
        <v>72.599999999999994</v>
      </c>
      <c r="E21" s="16">
        <v>88.6</v>
      </c>
      <c r="F21" s="16">
        <v>54.6</v>
      </c>
      <c r="G21" s="16">
        <v>115.3</v>
      </c>
      <c r="H21" s="16">
        <v>38.200000000000003</v>
      </c>
      <c r="I21" s="16">
        <v>201.7</v>
      </c>
      <c r="J21" s="16">
        <v>443.2</v>
      </c>
      <c r="K21" s="16">
        <v>150</v>
      </c>
      <c r="L21" s="16">
        <v>22.3</v>
      </c>
      <c r="M21" s="16">
        <v>15.1</v>
      </c>
      <c r="N21" s="18">
        <v>36.299999999999997</v>
      </c>
      <c r="O21" s="12">
        <f t="shared" si="0"/>
        <v>1260.4000000000001</v>
      </c>
      <c r="P21" s="19">
        <f t="shared" si="1"/>
        <v>105</v>
      </c>
    </row>
    <row r="22" spans="2:16" ht="21.95" customHeight="1">
      <c r="B22" s="15">
        <v>2011</v>
      </c>
      <c r="C22" s="16">
        <v>3.6</v>
      </c>
      <c r="D22" s="16">
        <v>47.6</v>
      </c>
      <c r="E22" s="16">
        <v>20.5</v>
      </c>
      <c r="F22" s="16">
        <v>95.5</v>
      </c>
      <c r="G22" s="16">
        <v>163.69999999999999</v>
      </c>
      <c r="H22" s="16">
        <v>187.5</v>
      </c>
      <c r="I22" s="16">
        <v>284.7</v>
      </c>
      <c r="J22" s="16">
        <v>369.7</v>
      </c>
      <c r="K22" s="16">
        <v>59.9</v>
      </c>
      <c r="L22" s="16">
        <v>58.5</v>
      </c>
      <c r="M22" s="16">
        <v>95.8</v>
      </c>
      <c r="N22" s="18">
        <v>14.8</v>
      </c>
      <c r="O22" s="12">
        <f t="shared" si="0"/>
        <v>1401.8</v>
      </c>
      <c r="P22" s="19">
        <f t="shared" si="1"/>
        <v>116.8</v>
      </c>
    </row>
    <row r="23" spans="2:16" ht="21.95" customHeight="1">
      <c r="B23" s="15">
        <v>2012</v>
      </c>
      <c r="C23" s="16">
        <v>19.8</v>
      </c>
      <c r="D23" s="16">
        <v>1.6</v>
      </c>
      <c r="E23" s="16">
        <v>93.8</v>
      </c>
      <c r="F23" s="16">
        <v>90.6</v>
      </c>
      <c r="G23" s="16">
        <v>31.3</v>
      </c>
      <c r="H23" s="16">
        <v>73.8</v>
      </c>
      <c r="I23" s="16">
        <v>228.6</v>
      </c>
      <c r="J23" s="16">
        <v>490.1</v>
      </c>
      <c r="K23" s="16">
        <v>282.60000000000002</v>
      </c>
      <c r="L23" s="16">
        <v>47</v>
      </c>
      <c r="M23" s="16">
        <v>51</v>
      </c>
      <c r="N23" s="18">
        <v>55.6</v>
      </c>
      <c r="O23" s="12">
        <f t="shared" si="0"/>
        <v>1465.8</v>
      </c>
      <c r="P23" s="19">
        <f t="shared" si="1"/>
        <v>122.2</v>
      </c>
    </row>
    <row r="24" spans="2:16" ht="21.95" customHeight="1">
      <c r="B24" s="15">
        <v>2013</v>
      </c>
      <c r="C24" s="16">
        <v>42.7</v>
      </c>
      <c r="D24" s="16">
        <v>38.4</v>
      </c>
      <c r="E24" s="16">
        <v>48.6</v>
      </c>
      <c r="F24" s="16">
        <v>79.2</v>
      </c>
      <c r="G24" s="16">
        <v>80.8</v>
      </c>
      <c r="H24" s="16">
        <v>119.7</v>
      </c>
      <c r="I24" s="16">
        <v>186.6</v>
      </c>
      <c r="J24" s="16">
        <v>106.1</v>
      </c>
      <c r="K24" s="16">
        <v>94.8</v>
      </c>
      <c r="L24" s="16">
        <v>48</v>
      </c>
      <c r="M24" s="16">
        <v>48.1</v>
      </c>
      <c r="N24" s="18">
        <v>27.6</v>
      </c>
      <c r="O24" s="12">
        <f t="shared" si="0"/>
        <v>920.6</v>
      </c>
      <c r="P24" s="19">
        <f t="shared" si="1"/>
        <v>76.7</v>
      </c>
    </row>
    <row r="25" spans="2:16" ht="21.95" customHeight="1">
      <c r="B25" s="15">
        <v>2014</v>
      </c>
      <c r="C25" s="16">
        <v>6.7</v>
      </c>
      <c r="D25" s="16">
        <v>13.8</v>
      </c>
      <c r="E25" s="16">
        <v>93.9</v>
      </c>
      <c r="F25" s="16">
        <v>100.6</v>
      </c>
      <c r="G25" s="16">
        <v>20.8</v>
      </c>
      <c r="H25" s="16">
        <v>102.9</v>
      </c>
      <c r="I25" s="16">
        <v>74.8</v>
      </c>
      <c r="J25" s="16">
        <v>402.3</v>
      </c>
      <c r="K25" s="16">
        <v>88.8</v>
      </c>
      <c r="L25" s="16">
        <v>121.1</v>
      </c>
      <c r="M25" s="16">
        <v>78.7</v>
      </c>
      <c r="N25" s="18">
        <v>32</v>
      </c>
      <c r="O25" s="12">
        <f t="shared" si="0"/>
        <v>1136.4000000000001</v>
      </c>
      <c r="P25" s="19">
        <f t="shared" si="1"/>
        <v>94.7</v>
      </c>
    </row>
    <row r="26" spans="2:16" ht="21.95" customHeight="1">
      <c r="B26" s="15">
        <v>2015</v>
      </c>
      <c r="C26" s="16">
        <v>34.299999999999997</v>
      </c>
      <c r="D26" s="16">
        <v>30.4</v>
      </c>
      <c r="E26" s="16">
        <v>47.7</v>
      </c>
      <c r="F26" s="16">
        <v>100.7</v>
      </c>
      <c r="G26" s="16">
        <v>23.7</v>
      </c>
      <c r="H26" s="16">
        <v>83.8</v>
      </c>
      <c r="I26" s="16">
        <v>148.30000000000001</v>
      </c>
      <c r="J26" s="16">
        <v>89.4</v>
      </c>
      <c r="K26" s="16">
        <v>24.2</v>
      </c>
      <c r="L26" s="16">
        <v>79.099999999999994</v>
      </c>
      <c r="M26" s="16">
        <v>127.6</v>
      </c>
      <c r="N26" s="18">
        <v>39.799999999999997</v>
      </c>
      <c r="O26" s="12">
        <f t="shared" si="0"/>
        <v>829</v>
      </c>
      <c r="P26" s="19">
        <f t="shared" si="1"/>
        <v>69.099999999999994</v>
      </c>
    </row>
    <row r="27" spans="2:16" ht="21.95" customHeight="1">
      <c r="B27" s="15">
        <v>2016</v>
      </c>
      <c r="C27" s="16">
        <v>18.899999999999999</v>
      </c>
      <c r="D27" s="16">
        <v>34.200000000000003</v>
      </c>
      <c r="E27" s="16">
        <v>57.5</v>
      </c>
      <c r="F27" s="16">
        <v>155.80000000000001</v>
      </c>
      <c r="G27" s="16">
        <v>60.1</v>
      </c>
      <c r="H27" s="16">
        <v>45.5</v>
      </c>
      <c r="I27" s="16">
        <v>304.39999999999998</v>
      </c>
      <c r="J27" s="16">
        <v>90.6</v>
      </c>
      <c r="K27" s="16">
        <v>187.2</v>
      </c>
      <c r="L27" s="16">
        <v>123.8</v>
      </c>
      <c r="M27" s="16">
        <v>30.2</v>
      </c>
      <c r="N27" s="18">
        <v>38.9</v>
      </c>
      <c r="O27" s="12">
        <f t="shared" si="0"/>
        <v>1147.0999999999999</v>
      </c>
      <c r="P27" s="19">
        <f t="shared" si="1"/>
        <v>95.6</v>
      </c>
    </row>
    <row r="28" spans="2:16" ht="21.95" customHeight="1">
      <c r="B28" s="15">
        <v>2017</v>
      </c>
      <c r="C28" s="16">
        <v>20.399999999999999</v>
      </c>
      <c r="D28" s="16">
        <v>45</v>
      </c>
      <c r="E28" s="16">
        <v>30.9</v>
      </c>
      <c r="F28" s="16">
        <v>64.7</v>
      </c>
      <c r="G28" s="16">
        <v>21.3</v>
      </c>
      <c r="H28" s="16">
        <v>60.6</v>
      </c>
      <c r="I28" s="16">
        <v>273.39999999999998</v>
      </c>
      <c r="J28" s="16">
        <v>208.2</v>
      </c>
      <c r="K28" s="16">
        <v>105.9</v>
      </c>
      <c r="L28" s="16">
        <v>48.2</v>
      </c>
      <c r="M28" s="16">
        <v>17.2</v>
      </c>
      <c r="N28" s="18">
        <v>26</v>
      </c>
      <c r="O28" s="12">
        <f t="shared" si="0"/>
        <v>921.8</v>
      </c>
      <c r="P28" s="19">
        <f t="shared" si="1"/>
        <v>76.8</v>
      </c>
    </row>
    <row r="29" spans="2:16" ht="21.95" customHeight="1">
      <c r="B29" s="15">
        <v>2018</v>
      </c>
      <c r="C29" s="16">
        <v>29.2</v>
      </c>
      <c r="D29" s="16">
        <v>44.3</v>
      </c>
      <c r="E29" s="16">
        <v>127.7</v>
      </c>
      <c r="F29" s="16">
        <v>132</v>
      </c>
      <c r="G29" s="16">
        <v>81.099999999999994</v>
      </c>
      <c r="H29" s="16">
        <v>89.6</v>
      </c>
      <c r="I29" s="16">
        <v>123.8</v>
      </c>
      <c r="J29" s="16">
        <v>335.4</v>
      </c>
      <c r="K29" s="16">
        <v>92.3</v>
      </c>
      <c r="L29" s="16">
        <v>196.4</v>
      </c>
      <c r="M29" s="16">
        <v>24.4</v>
      </c>
      <c r="N29" s="18">
        <v>28</v>
      </c>
      <c r="O29" s="12">
        <f t="shared" si="0"/>
        <v>1304.2</v>
      </c>
      <c r="P29" s="19">
        <f t="shared" si="1"/>
        <v>108.7</v>
      </c>
    </row>
    <row r="30" spans="2:16" ht="21.95" customHeight="1">
      <c r="B30" s="15">
        <v>2019</v>
      </c>
      <c r="C30" s="16">
        <v>7.7</v>
      </c>
      <c r="D30" s="16">
        <v>31.1</v>
      </c>
      <c r="E30" s="16">
        <v>33.5</v>
      </c>
      <c r="F30" s="16">
        <v>91.7</v>
      </c>
      <c r="G30" s="16">
        <v>46.3</v>
      </c>
      <c r="H30" s="16">
        <v>116.5</v>
      </c>
      <c r="I30" s="16">
        <v>185.4</v>
      </c>
      <c r="J30" s="16">
        <v>218.1</v>
      </c>
      <c r="K30" s="16">
        <v>191.8</v>
      </c>
      <c r="L30" s="16">
        <v>179.4</v>
      </c>
      <c r="M30" s="16">
        <v>35.4</v>
      </c>
      <c r="N30" s="18">
        <v>27.2</v>
      </c>
      <c r="O30" s="12">
        <f t="shared" si="0"/>
        <v>1164.0999999999999</v>
      </c>
      <c r="P30" s="19">
        <f t="shared" si="1"/>
        <v>97</v>
      </c>
    </row>
    <row r="31" spans="2:16" ht="21.95" customHeight="1">
      <c r="B31" s="15">
        <v>2020</v>
      </c>
      <c r="C31" s="16">
        <v>71</v>
      </c>
      <c r="D31" s="16">
        <v>68.2</v>
      </c>
      <c r="E31" s="16">
        <v>21</v>
      </c>
      <c r="F31" s="16">
        <v>39.700000000000003</v>
      </c>
      <c r="G31" s="16">
        <v>65.3</v>
      </c>
      <c r="H31" s="16">
        <v>182.8</v>
      </c>
      <c r="I31" s="16">
        <v>499.3</v>
      </c>
      <c r="J31" s="16">
        <v>333.5</v>
      </c>
      <c r="K31" s="16">
        <v>226.8</v>
      </c>
      <c r="L31" s="16">
        <v>5</v>
      </c>
      <c r="M31" s="16">
        <v>38.299999999999997</v>
      </c>
      <c r="N31" s="18">
        <v>3.1</v>
      </c>
      <c r="O31" s="12">
        <f t="shared" si="0"/>
        <v>1554</v>
      </c>
      <c r="P31" s="19">
        <f t="shared" si="1"/>
        <v>129.5</v>
      </c>
    </row>
    <row r="32" spans="2:16" ht="21.95" customHeight="1">
      <c r="B32" s="15">
        <v>2021</v>
      </c>
      <c r="C32" s="16">
        <v>18.2</v>
      </c>
      <c r="D32" s="16">
        <v>14.8</v>
      </c>
      <c r="E32" s="16">
        <v>83.8</v>
      </c>
      <c r="F32" s="16">
        <v>43.8</v>
      </c>
      <c r="G32" s="16">
        <v>165.7</v>
      </c>
      <c r="H32" s="16">
        <v>50.8</v>
      </c>
      <c r="I32" s="16">
        <v>217.1</v>
      </c>
      <c r="J32" s="16">
        <v>285.60000000000002</v>
      </c>
      <c r="K32" s="16">
        <v>161.19999999999999</v>
      </c>
      <c r="L32" s="16">
        <v>41</v>
      </c>
      <c r="M32" s="16">
        <v>43.9</v>
      </c>
      <c r="N32" s="18">
        <v>3.2</v>
      </c>
      <c r="O32" s="12">
        <f t="shared" si="0"/>
        <v>1129.0999999999999</v>
      </c>
      <c r="P32" s="19">
        <f t="shared" si="1"/>
        <v>94.1</v>
      </c>
    </row>
    <row r="33" spans="2:16" ht="21.95" customHeight="1">
      <c r="B33" s="15">
        <v>2022</v>
      </c>
      <c r="C33" s="16">
        <v>3.4</v>
      </c>
      <c r="D33" s="16">
        <v>2.2999999999999998</v>
      </c>
      <c r="E33" s="16">
        <v>71.2</v>
      </c>
      <c r="F33" s="16">
        <v>57</v>
      </c>
      <c r="G33" s="16">
        <v>4.7</v>
      </c>
      <c r="H33" s="16">
        <v>98.5</v>
      </c>
      <c r="I33" s="16">
        <v>189.1</v>
      </c>
      <c r="J33" s="16">
        <v>272.60000000000002</v>
      </c>
      <c r="K33" s="16">
        <v>117.1</v>
      </c>
      <c r="L33" s="16">
        <v>62.5</v>
      </c>
      <c r="M33" s="16">
        <v>38.700000000000003</v>
      </c>
      <c r="N33" s="18">
        <v>11.5</v>
      </c>
      <c r="O33" s="12">
        <f t="shared" si="0"/>
        <v>928.6</v>
      </c>
      <c r="P33" s="19">
        <f t="shared" si="1"/>
        <v>77.400000000000006</v>
      </c>
    </row>
    <row r="34" spans="2:16" ht="21.95" customHeight="1">
      <c r="B34" s="15">
        <v>2023</v>
      </c>
      <c r="C34" s="16">
        <v>23.4</v>
      </c>
      <c r="D34" s="16">
        <v>8.1999999999999993</v>
      </c>
      <c r="E34" s="16">
        <v>32.299999999999997</v>
      </c>
      <c r="F34" s="16">
        <v>43.9</v>
      </c>
      <c r="G34" s="16">
        <v>144.80000000000001</v>
      </c>
      <c r="H34" s="16">
        <v>254.9</v>
      </c>
      <c r="I34" s="16">
        <v>390.3</v>
      </c>
      <c r="J34" s="16">
        <v>288</v>
      </c>
      <c r="K34" s="16">
        <v>199.8</v>
      </c>
      <c r="L34" s="16">
        <v>12.2</v>
      </c>
      <c r="M34" s="16">
        <v>36.6</v>
      </c>
      <c r="N34" s="18">
        <v>117.1</v>
      </c>
      <c r="O34" s="12">
        <f t="shared" si="0"/>
        <v>1551.5</v>
      </c>
      <c r="P34" s="19">
        <f t="shared" si="1"/>
        <v>129.30000000000001</v>
      </c>
    </row>
    <row r="35" spans="2:16" ht="21.95" customHeight="1" thickBot="1">
      <c r="B35" s="33">
        <v>2024</v>
      </c>
      <c r="C35" s="34">
        <v>42.5</v>
      </c>
      <c r="D35" s="34">
        <v>100</v>
      </c>
      <c r="E35" s="34">
        <v>65.599999999999994</v>
      </c>
      <c r="F35" s="34">
        <v>49.3</v>
      </c>
      <c r="G35" s="34">
        <v>78.5</v>
      </c>
      <c r="H35" s="34">
        <v>95.4</v>
      </c>
      <c r="I35" s="34">
        <v>443.6</v>
      </c>
      <c r="J35" s="34">
        <v>20.6</v>
      </c>
      <c r="K35" s="34">
        <v>221.3</v>
      </c>
      <c r="L35" s="34">
        <v>74.900000000000006</v>
      </c>
      <c r="M35" s="34">
        <v>31.2</v>
      </c>
      <c r="N35" s="35">
        <v>8.6</v>
      </c>
      <c r="O35" s="36">
        <f t="shared" si="0"/>
        <v>1231.5</v>
      </c>
      <c r="P35" s="37">
        <f t="shared" si="1"/>
        <v>102.6</v>
      </c>
    </row>
    <row r="36" spans="2:16" ht="21.95" customHeight="1">
      <c r="B36" s="38" t="s">
        <v>13</v>
      </c>
      <c r="C36" s="39">
        <f>ROUND(MAX(C6:C35),1)</f>
        <v>71.900000000000006</v>
      </c>
      <c r="D36" s="39">
        <f t="shared" ref="D36:N36" si="2">ROUND(MAX(D6:D35),1)</f>
        <v>100</v>
      </c>
      <c r="E36" s="39">
        <f t="shared" si="2"/>
        <v>127.7</v>
      </c>
      <c r="F36" s="39">
        <f t="shared" si="2"/>
        <v>201.5</v>
      </c>
      <c r="G36" s="39">
        <f t="shared" si="2"/>
        <v>178.9</v>
      </c>
      <c r="H36" s="39">
        <f t="shared" si="2"/>
        <v>463.9</v>
      </c>
      <c r="I36" s="39">
        <f t="shared" si="2"/>
        <v>697.6</v>
      </c>
      <c r="J36" s="39">
        <f t="shared" si="2"/>
        <v>597.1</v>
      </c>
      <c r="K36" s="39">
        <f t="shared" si="2"/>
        <v>386.1</v>
      </c>
      <c r="L36" s="39">
        <f t="shared" si="2"/>
        <v>196.4</v>
      </c>
      <c r="M36" s="39">
        <f t="shared" si="2"/>
        <v>140.69999999999999</v>
      </c>
      <c r="N36" s="40">
        <f t="shared" si="2"/>
        <v>117.1</v>
      </c>
      <c r="O36" s="41">
        <f>ROUND(MAX(O6:O35),1)</f>
        <v>1835.3</v>
      </c>
      <c r="P36" s="42">
        <f>ROUND(MAX(P6:P35),1)</f>
        <v>152.9</v>
      </c>
    </row>
    <row r="37" spans="2:16" ht="21.95" customHeight="1">
      <c r="B37" s="43" t="s">
        <v>14</v>
      </c>
      <c r="C37" s="44">
        <f>ROUND(MIN(C6:C35),1)</f>
        <v>2.8</v>
      </c>
      <c r="D37" s="44">
        <f t="shared" ref="D37:N37" si="3">ROUND(MIN(D6:D35),1)</f>
        <v>1.6</v>
      </c>
      <c r="E37" s="44">
        <f t="shared" si="3"/>
        <v>8.6999999999999993</v>
      </c>
      <c r="F37" s="44">
        <f t="shared" si="3"/>
        <v>16.5</v>
      </c>
      <c r="G37" s="44">
        <f t="shared" si="3"/>
        <v>4.7</v>
      </c>
      <c r="H37" s="44">
        <f t="shared" si="3"/>
        <v>38.200000000000003</v>
      </c>
      <c r="I37" s="44">
        <f t="shared" si="3"/>
        <v>74.8</v>
      </c>
      <c r="J37" s="44">
        <f t="shared" si="3"/>
        <v>20.6</v>
      </c>
      <c r="K37" s="44">
        <f t="shared" si="3"/>
        <v>18.100000000000001</v>
      </c>
      <c r="L37" s="44">
        <f t="shared" si="3"/>
        <v>2.6</v>
      </c>
      <c r="M37" s="44">
        <f t="shared" si="3"/>
        <v>7.2</v>
      </c>
      <c r="N37" s="19">
        <f t="shared" si="3"/>
        <v>3.1</v>
      </c>
      <c r="O37" s="45">
        <f>ROUND(MIN(O6:O35),1)</f>
        <v>818.5</v>
      </c>
      <c r="P37" s="46">
        <f>ROUND(MIN(P6:P35),1)</f>
        <v>68.2</v>
      </c>
    </row>
    <row r="38" spans="2:16" ht="21.95" customHeight="1" thickBot="1">
      <c r="B38" s="47" t="s">
        <v>18</v>
      </c>
      <c r="C38" s="48">
        <f>ROUND(AVERAGE(C6:C35),1)</f>
        <v>24.2</v>
      </c>
      <c r="D38" s="48">
        <f t="shared" ref="D38:P38" si="4">ROUND(AVERAGE(D6:D35),1)</f>
        <v>32.799999999999997</v>
      </c>
      <c r="E38" s="48">
        <f t="shared" si="4"/>
        <v>53.5</v>
      </c>
      <c r="F38" s="48">
        <f t="shared" si="4"/>
        <v>78.3</v>
      </c>
      <c r="G38" s="48">
        <f t="shared" si="4"/>
        <v>80.8</v>
      </c>
      <c r="H38" s="48">
        <f t="shared" si="4"/>
        <v>139.80000000000001</v>
      </c>
      <c r="I38" s="48">
        <f t="shared" si="4"/>
        <v>266</v>
      </c>
      <c r="J38" s="48">
        <f t="shared" si="4"/>
        <v>258</v>
      </c>
      <c r="K38" s="48">
        <f t="shared" si="4"/>
        <v>146.69999999999999</v>
      </c>
      <c r="L38" s="48">
        <f t="shared" si="4"/>
        <v>57.3</v>
      </c>
      <c r="M38" s="48">
        <f t="shared" si="4"/>
        <v>43.3</v>
      </c>
      <c r="N38" s="49">
        <f t="shared" si="4"/>
        <v>26.5</v>
      </c>
      <c r="O38" s="50">
        <f t="shared" si="4"/>
        <v>1207.0999999999999</v>
      </c>
      <c r="P38" s="51">
        <f t="shared" si="4"/>
        <v>100.6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34.299999999999997</v>
      </c>
      <c r="D44" s="53">
        <f t="shared" si="5"/>
        <v>30.4</v>
      </c>
      <c r="E44" s="53">
        <f t="shared" si="5"/>
        <v>47.7</v>
      </c>
      <c r="F44" s="53">
        <f t="shared" si="5"/>
        <v>100.7</v>
      </c>
      <c r="G44" s="53">
        <f t="shared" si="5"/>
        <v>23.7</v>
      </c>
      <c r="H44" s="53">
        <f t="shared" si="5"/>
        <v>83.8</v>
      </c>
      <c r="I44" s="53">
        <f t="shared" si="5"/>
        <v>148.30000000000001</v>
      </c>
      <c r="J44" s="53">
        <f t="shared" si="5"/>
        <v>89.4</v>
      </c>
      <c r="K44" s="53">
        <f t="shared" si="5"/>
        <v>24.2</v>
      </c>
      <c r="L44" s="53">
        <f t="shared" si="5"/>
        <v>79.099999999999994</v>
      </c>
      <c r="M44" s="53">
        <f t="shared" si="5"/>
        <v>127.6</v>
      </c>
      <c r="N44" s="54">
        <f t="shared" si="5"/>
        <v>39.799999999999997</v>
      </c>
      <c r="O44" s="55">
        <f>ROUND(SUM(C44:N44),1)</f>
        <v>829</v>
      </c>
      <c r="P44" s="46">
        <f>ROUND(O44/12,1)</f>
        <v>69.099999999999994</v>
      </c>
    </row>
    <row r="45" spans="2:16" ht="21.95" customHeight="1">
      <c r="B45" s="52">
        <f t="shared" ref="B45:N53" si="6">B27</f>
        <v>2016</v>
      </c>
      <c r="C45" s="53">
        <f t="shared" si="6"/>
        <v>18.899999999999999</v>
      </c>
      <c r="D45" s="53">
        <f t="shared" si="6"/>
        <v>34.200000000000003</v>
      </c>
      <c r="E45" s="53">
        <f t="shared" si="6"/>
        <v>57.5</v>
      </c>
      <c r="F45" s="53">
        <f t="shared" si="6"/>
        <v>155.80000000000001</v>
      </c>
      <c r="G45" s="53">
        <f t="shared" si="6"/>
        <v>60.1</v>
      </c>
      <c r="H45" s="53">
        <f t="shared" si="6"/>
        <v>45.5</v>
      </c>
      <c r="I45" s="53">
        <f t="shared" si="6"/>
        <v>304.39999999999998</v>
      </c>
      <c r="J45" s="53">
        <f t="shared" si="6"/>
        <v>90.6</v>
      </c>
      <c r="K45" s="53">
        <f t="shared" si="6"/>
        <v>187.2</v>
      </c>
      <c r="L45" s="53">
        <f t="shared" si="6"/>
        <v>123.8</v>
      </c>
      <c r="M45" s="53">
        <f t="shared" si="6"/>
        <v>30.2</v>
      </c>
      <c r="N45" s="54">
        <f t="shared" si="6"/>
        <v>38.9</v>
      </c>
      <c r="O45" s="55">
        <f t="shared" ref="O45:O53" si="7">ROUND(SUM(C45:N45),1)</f>
        <v>1147.0999999999999</v>
      </c>
      <c r="P45" s="46">
        <f t="shared" ref="P45:P53" si="8">ROUND(O45/12,1)</f>
        <v>95.6</v>
      </c>
    </row>
    <row r="46" spans="2:16" ht="21.95" customHeight="1">
      <c r="B46" s="52">
        <f t="shared" si="6"/>
        <v>2017</v>
      </c>
      <c r="C46" s="53">
        <f t="shared" si="6"/>
        <v>20.399999999999999</v>
      </c>
      <c r="D46" s="53">
        <f t="shared" si="6"/>
        <v>45</v>
      </c>
      <c r="E46" s="53">
        <f t="shared" si="6"/>
        <v>30.9</v>
      </c>
      <c r="F46" s="53">
        <f t="shared" si="6"/>
        <v>64.7</v>
      </c>
      <c r="G46" s="53">
        <f t="shared" si="6"/>
        <v>21.3</v>
      </c>
      <c r="H46" s="53">
        <f t="shared" si="6"/>
        <v>60.6</v>
      </c>
      <c r="I46" s="53">
        <f t="shared" si="6"/>
        <v>273.39999999999998</v>
      </c>
      <c r="J46" s="53">
        <f t="shared" si="6"/>
        <v>208.2</v>
      </c>
      <c r="K46" s="53">
        <f t="shared" si="6"/>
        <v>105.9</v>
      </c>
      <c r="L46" s="53">
        <f t="shared" si="6"/>
        <v>48.2</v>
      </c>
      <c r="M46" s="53">
        <f t="shared" si="6"/>
        <v>17.2</v>
      </c>
      <c r="N46" s="54">
        <f t="shared" si="6"/>
        <v>26</v>
      </c>
      <c r="O46" s="55">
        <f t="shared" si="7"/>
        <v>921.8</v>
      </c>
      <c r="P46" s="46">
        <f t="shared" si="8"/>
        <v>76.8</v>
      </c>
    </row>
    <row r="47" spans="2:16" ht="21.95" customHeight="1">
      <c r="B47" s="52">
        <f t="shared" si="6"/>
        <v>2018</v>
      </c>
      <c r="C47" s="53">
        <f t="shared" si="6"/>
        <v>29.2</v>
      </c>
      <c r="D47" s="53">
        <f t="shared" si="6"/>
        <v>44.3</v>
      </c>
      <c r="E47" s="53">
        <f t="shared" si="6"/>
        <v>127.7</v>
      </c>
      <c r="F47" s="53">
        <f t="shared" si="6"/>
        <v>132</v>
      </c>
      <c r="G47" s="53">
        <f t="shared" si="6"/>
        <v>81.099999999999994</v>
      </c>
      <c r="H47" s="53">
        <f t="shared" si="6"/>
        <v>89.6</v>
      </c>
      <c r="I47" s="53">
        <f t="shared" si="6"/>
        <v>123.8</v>
      </c>
      <c r="J47" s="53">
        <f t="shared" si="6"/>
        <v>335.4</v>
      </c>
      <c r="K47" s="53">
        <f t="shared" si="6"/>
        <v>92.3</v>
      </c>
      <c r="L47" s="53">
        <f t="shared" si="6"/>
        <v>196.4</v>
      </c>
      <c r="M47" s="53">
        <f t="shared" si="6"/>
        <v>24.4</v>
      </c>
      <c r="N47" s="54">
        <f t="shared" si="6"/>
        <v>28</v>
      </c>
      <c r="O47" s="55">
        <f>ROUND(SUM(C47:N47),1)</f>
        <v>1304.2</v>
      </c>
      <c r="P47" s="46">
        <f t="shared" si="8"/>
        <v>108.7</v>
      </c>
    </row>
    <row r="48" spans="2:16" ht="21.95" customHeight="1">
      <c r="B48" s="52">
        <f t="shared" si="6"/>
        <v>2019</v>
      </c>
      <c r="C48" s="53">
        <f t="shared" si="6"/>
        <v>7.7</v>
      </c>
      <c r="D48" s="53">
        <f t="shared" si="6"/>
        <v>31.1</v>
      </c>
      <c r="E48" s="53">
        <f t="shared" si="6"/>
        <v>33.5</v>
      </c>
      <c r="F48" s="53">
        <f t="shared" si="6"/>
        <v>91.7</v>
      </c>
      <c r="G48" s="53">
        <f t="shared" si="6"/>
        <v>46.3</v>
      </c>
      <c r="H48" s="53">
        <f t="shared" si="6"/>
        <v>116.5</v>
      </c>
      <c r="I48" s="53">
        <f t="shared" si="6"/>
        <v>185.4</v>
      </c>
      <c r="J48" s="53">
        <f t="shared" si="6"/>
        <v>218.1</v>
      </c>
      <c r="K48" s="53">
        <f t="shared" si="6"/>
        <v>191.8</v>
      </c>
      <c r="L48" s="53">
        <f t="shared" si="6"/>
        <v>179.4</v>
      </c>
      <c r="M48" s="53">
        <f t="shared" si="6"/>
        <v>35.4</v>
      </c>
      <c r="N48" s="54">
        <f t="shared" si="6"/>
        <v>27.2</v>
      </c>
      <c r="O48" s="55">
        <f t="shared" si="7"/>
        <v>1164.0999999999999</v>
      </c>
      <c r="P48" s="46">
        <f t="shared" si="8"/>
        <v>97</v>
      </c>
    </row>
    <row r="49" spans="2:16" ht="21.95" customHeight="1">
      <c r="B49" s="52">
        <f t="shared" si="6"/>
        <v>2020</v>
      </c>
      <c r="C49" s="53">
        <f t="shared" si="6"/>
        <v>71</v>
      </c>
      <c r="D49" s="53">
        <f t="shared" si="6"/>
        <v>68.2</v>
      </c>
      <c r="E49" s="53">
        <f t="shared" si="6"/>
        <v>21</v>
      </c>
      <c r="F49" s="53">
        <f t="shared" si="6"/>
        <v>39.700000000000003</v>
      </c>
      <c r="G49" s="53">
        <f t="shared" si="6"/>
        <v>65.3</v>
      </c>
      <c r="H49" s="53">
        <f t="shared" si="6"/>
        <v>182.8</v>
      </c>
      <c r="I49" s="53">
        <f t="shared" si="6"/>
        <v>499.3</v>
      </c>
      <c r="J49" s="53">
        <f t="shared" si="6"/>
        <v>333.5</v>
      </c>
      <c r="K49" s="53">
        <f t="shared" si="6"/>
        <v>226.8</v>
      </c>
      <c r="L49" s="53">
        <f t="shared" si="6"/>
        <v>5</v>
      </c>
      <c r="M49" s="53">
        <f t="shared" si="6"/>
        <v>38.299999999999997</v>
      </c>
      <c r="N49" s="54">
        <f t="shared" si="6"/>
        <v>3.1</v>
      </c>
      <c r="O49" s="55">
        <f t="shared" si="7"/>
        <v>1554</v>
      </c>
      <c r="P49" s="46">
        <f t="shared" si="8"/>
        <v>129.5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14.8</v>
      </c>
      <c r="E50" s="53">
        <f t="shared" si="6"/>
        <v>83.8</v>
      </c>
      <c r="F50" s="53">
        <f t="shared" si="6"/>
        <v>43.8</v>
      </c>
      <c r="G50" s="53">
        <f t="shared" si="6"/>
        <v>165.7</v>
      </c>
      <c r="H50" s="53">
        <f t="shared" si="6"/>
        <v>50.8</v>
      </c>
      <c r="I50" s="53">
        <f t="shared" si="6"/>
        <v>217.1</v>
      </c>
      <c r="J50" s="53">
        <f t="shared" si="6"/>
        <v>285.60000000000002</v>
      </c>
      <c r="K50" s="53">
        <f t="shared" si="6"/>
        <v>161.19999999999999</v>
      </c>
      <c r="L50" s="53">
        <f t="shared" si="6"/>
        <v>41</v>
      </c>
      <c r="M50" s="53">
        <f t="shared" si="6"/>
        <v>43.9</v>
      </c>
      <c r="N50" s="54">
        <f t="shared" si="6"/>
        <v>3.2</v>
      </c>
      <c r="O50" s="55">
        <f t="shared" si="7"/>
        <v>1129.0999999999999</v>
      </c>
      <c r="P50" s="46">
        <f t="shared" si="8"/>
        <v>94.1</v>
      </c>
    </row>
    <row r="51" spans="2:16" ht="21.95" customHeight="1">
      <c r="B51" s="52">
        <f t="shared" si="6"/>
        <v>2022</v>
      </c>
      <c r="C51" s="53">
        <f t="shared" si="6"/>
        <v>3.4</v>
      </c>
      <c r="D51" s="53">
        <f t="shared" si="6"/>
        <v>2.2999999999999998</v>
      </c>
      <c r="E51" s="53">
        <f t="shared" si="6"/>
        <v>71.2</v>
      </c>
      <c r="F51" s="53">
        <f t="shared" si="6"/>
        <v>57</v>
      </c>
      <c r="G51" s="53">
        <f t="shared" si="6"/>
        <v>4.7</v>
      </c>
      <c r="H51" s="53">
        <f t="shared" si="6"/>
        <v>98.5</v>
      </c>
      <c r="I51" s="53">
        <f t="shared" si="6"/>
        <v>189.1</v>
      </c>
      <c r="J51" s="53">
        <f t="shared" si="6"/>
        <v>272.60000000000002</v>
      </c>
      <c r="K51" s="53">
        <f t="shared" si="6"/>
        <v>117.1</v>
      </c>
      <c r="L51" s="53">
        <f t="shared" si="6"/>
        <v>62.5</v>
      </c>
      <c r="M51" s="53">
        <f t="shared" si="6"/>
        <v>38.700000000000003</v>
      </c>
      <c r="N51" s="54">
        <f t="shared" si="6"/>
        <v>11.5</v>
      </c>
      <c r="O51" s="55">
        <f t="shared" si="7"/>
        <v>928.6</v>
      </c>
      <c r="P51" s="46">
        <f t="shared" si="8"/>
        <v>77.400000000000006</v>
      </c>
    </row>
    <row r="52" spans="2:16" ht="21.95" customHeight="1">
      <c r="B52" s="52">
        <f t="shared" si="6"/>
        <v>2023</v>
      </c>
      <c r="C52" s="53">
        <f t="shared" si="6"/>
        <v>23.4</v>
      </c>
      <c r="D52" s="53">
        <f t="shared" si="6"/>
        <v>8.1999999999999993</v>
      </c>
      <c r="E52" s="53">
        <f t="shared" si="6"/>
        <v>32.299999999999997</v>
      </c>
      <c r="F52" s="53">
        <f t="shared" si="6"/>
        <v>43.9</v>
      </c>
      <c r="G52" s="53">
        <f t="shared" si="6"/>
        <v>144.80000000000001</v>
      </c>
      <c r="H52" s="53">
        <f t="shared" si="6"/>
        <v>254.9</v>
      </c>
      <c r="I52" s="53">
        <f t="shared" si="6"/>
        <v>390.3</v>
      </c>
      <c r="J52" s="53">
        <f t="shared" si="6"/>
        <v>288</v>
      </c>
      <c r="K52" s="53">
        <f t="shared" si="6"/>
        <v>199.8</v>
      </c>
      <c r="L52" s="53">
        <f t="shared" si="6"/>
        <v>12.2</v>
      </c>
      <c r="M52" s="53">
        <f t="shared" si="6"/>
        <v>36.6</v>
      </c>
      <c r="N52" s="54">
        <f t="shared" si="6"/>
        <v>117.1</v>
      </c>
      <c r="O52" s="55">
        <f t="shared" si="7"/>
        <v>1551.5</v>
      </c>
      <c r="P52" s="46">
        <f t="shared" si="8"/>
        <v>129.30000000000001</v>
      </c>
    </row>
    <row r="53" spans="2:16" ht="21.95" customHeight="1" thickBot="1">
      <c r="B53" s="56">
        <f t="shared" si="6"/>
        <v>2024</v>
      </c>
      <c r="C53" s="57">
        <f t="shared" si="6"/>
        <v>42.5</v>
      </c>
      <c r="D53" s="57">
        <f t="shared" si="6"/>
        <v>100</v>
      </c>
      <c r="E53" s="57">
        <f t="shared" si="6"/>
        <v>65.599999999999994</v>
      </c>
      <c r="F53" s="57">
        <f t="shared" si="6"/>
        <v>49.3</v>
      </c>
      <c r="G53" s="57">
        <f t="shared" si="6"/>
        <v>78.5</v>
      </c>
      <c r="H53" s="57">
        <f t="shared" si="6"/>
        <v>95.4</v>
      </c>
      <c r="I53" s="57">
        <f t="shared" si="6"/>
        <v>443.6</v>
      </c>
      <c r="J53" s="57">
        <f t="shared" si="6"/>
        <v>20.6</v>
      </c>
      <c r="K53" s="57">
        <f t="shared" si="6"/>
        <v>221.3</v>
      </c>
      <c r="L53" s="57">
        <f t="shared" si="6"/>
        <v>74.900000000000006</v>
      </c>
      <c r="M53" s="57">
        <f t="shared" si="6"/>
        <v>31.2</v>
      </c>
      <c r="N53" s="58">
        <f t="shared" si="6"/>
        <v>8.6</v>
      </c>
      <c r="O53" s="59">
        <f t="shared" si="7"/>
        <v>1231.5</v>
      </c>
      <c r="P53" s="51">
        <f t="shared" si="8"/>
        <v>102.6</v>
      </c>
    </row>
    <row r="54" spans="2:16" ht="21.95" customHeight="1">
      <c r="B54" s="60" t="s">
        <v>19</v>
      </c>
      <c r="C54" s="61">
        <f>MAX(C44:C53)</f>
        <v>71</v>
      </c>
      <c r="D54" s="61">
        <f t="shared" ref="D54:P54" si="9">MAX(D44:D53)</f>
        <v>100</v>
      </c>
      <c r="E54" s="61">
        <f t="shared" si="9"/>
        <v>127.7</v>
      </c>
      <c r="F54" s="61">
        <f t="shared" si="9"/>
        <v>155.80000000000001</v>
      </c>
      <c r="G54" s="61">
        <f t="shared" si="9"/>
        <v>165.7</v>
      </c>
      <c r="H54" s="61">
        <f t="shared" si="9"/>
        <v>254.9</v>
      </c>
      <c r="I54" s="61">
        <f t="shared" si="9"/>
        <v>499.3</v>
      </c>
      <c r="J54" s="61">
        <f t="shared" si="9"/>
        <v>335.4</v>
      </c>
      <c r="K54" s="61">
        <f t="shared" si="9"/>
        <v>226.8</v>
      </c>
      <c r="L54" s="61">
        <f t="shared" si="9"/>
        <v>196.4</v>
      </c>
      <c r="M54" s="61">
        <f t="shared" si="9"/>
        <v>127.6</v>
      </c>
      <c r="N54" s="62">
        <f t="shared" si="9"/>
        <v>117.1</v>
      </c>
      <c r="O54" s="63">
        <f t="shared" si="9"/>
        <v>1554</v>
      </c>
      <c r="P54" s="62">
        <f t="shared" si="9"/>
        <v>129.5</v>
      </c>
    </row>
    <row r="55" spans="2:16" ht="21.95" customHeight="1">
      <c r="B55" s="64" t="s">
        <v>20</v>
      </c>
      <c r="C55" s="65">
        <f>MIN(C44:C53)</f>
        <v>3.4</v>
      </c>
      <c r="D55" s="65">
        <f t="shared" ref="D55:P55" si="10">MIN(D44:D53)</f>
        <v>2.2999999999999998</v>
      </c>
      <c r="E55" s="65">
        <f t="shared" si="10"/>
        <v>21</v>
      </c>
      <c r="F55" s="65">
        <f t="shared" si="10"/>
        <v>39.700000000000003</v>
      </c>
      <c r="G55" s="65">
        <f t="shared" si="10"/>
        <v>4.7</v>
      </c>
      <c r="H55" s="65">
        <f t="shared" si="10"/>
        <v>45.5</v>
      </c>
      <c r="I55" s="65">
        <f t="shared" si="10"/>
        <v>123.8</v>
      </c>
      <c r="J55" s="65">
        <f t="shared" si="10"/>
        <v>20.6</v>
      </c>
      <c r="K55" s="65">
        <f t="shared" si="10"/>
        <v>24.2</v>
      </c>
      <c r="L55" s="65">
        <f t="shared" si="10"/>
        <v>5</v>
      </c>
      <c r="M55" s="65">
        <f t="shared" si="10"/>
        <v>17.2</v>
      </c>
      <c r="N55" s="46">
        <f t="shared" si="10"/>
        <v>3.1</v>
      </c>
      <c r="O55" s="55">
        <f>MIN(O44:O53)</f>
        <v>829</v>
      </c>
      <c r="P55" s="46">
        <f t="shared" si="10"/>
        <v>69.099999999999994</v>
      </c>
    </row>
    <row r="56" spans="2:16" ht="21.95" customHeight="1" thickBot="1">
      <c r="B56" s="66" t="s">
        <v>7</v>
      </c>
      <c r="C56" s="67">
        <f>ROUND(AVERAGE(C44:C53),1)</f>
        <v>26.9</v>
      </c>
      <c r="D56" s="67">
        <f t="shared" ref="D56:N56" si="11">ROUND(AVERAGE(D44:D53),1)</f>
        <v>37.9</v>
      </c>
      <c r="E56" s="67">
        <f t="shared" si="11"/>
        <v>57.1</v>
      </c>
      <c r="F56" s="67">
        <f t="shared" si="11"/>
        <v>77.900000000000006</v>
      </c>
      <c r="G56" s="67">
        <f t="shared" si="11"/>
        <v>69.2</v>
      </c>
      <c r="H56" s="67">
        <f t="shared" si="11"/>
        <v>107.8</v>
      </c>
      <c r="I56" s="67">
        <f t="shared" si="11"/>
        <v>277.5</v>
      </c>
      <c r="J56" s="67">
        <f t="shared" si="11"/>
        <v>214.2</v>
      </c>
      <c r="K56" s="67">
        <f t="shared" si="11"/>
        <v>152.80000000000001</v>
      </c>
      <c r="L56" s="67">
        <f t="shared" si="11"/>
        <v>82.3</v>
      </c>
      <c r="M56" s="67">
        <f t="shared" si="11"/>
        <v>42.4</v>
      </c>
      <c r="N56" s="51">
        <f t="shared" si="11"/>
        <v>30.3</v>
      </c>
      <c r="O56" s="59">
        <f>ROUND(AVERAGE(O44:O53),1)</f>
        <v>1176.0999999999999</v>
      </c>
      <c r="P56" s="51">
        <f>ROUND(AVERAGE(P44:P53),1)</f>
        <v>98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7839-0CFE-42DC-9061-7E45DC96D3C8}">
  <sheetPr codeName="Sheet16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283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14</v>
      </c>
      <c r="D6" s="9">
        <v>6.1</v>
      </c>
      <c r="E6" s="9">
        <v>43.3</v>
      </c>
      <c r="F6" s="9">
        <v>60</v>
      </c>
      <c r="G6" s="9">
        <v>64.5</v>
      </c>
      <c r="H6" s="9">
        <v>72.5</v>
      </c>
      <c r="I6" s="9">
        <v>292.5</v>
      </c>
      <c r="J6" s="10">
        <v>742.5</v>
      </c>
      <c r="K6" s="9">
        <v>66</v>
      </c>
      <c r="L6" s="9">
        <v>38.5</v>
      </c>
      <c r="M6" s="9">
        <v>42</v>
      </c>
      <c r="N6" s="11">
        <v>6</v>
      </c>
      <c r="O6" s="12">
        <f t="shared" ref="O6:O35" si="0">ROUND(SUM(C6:N6),1)</f>
        <v>1447.9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33.200000000000003</v>
      </c>
      <c r="D7" s="16">
        <v>8.8000000000000007</v>
      </c>
      <c r="E7" s="16">
        <v>111.5</v>
      </c>
      <c r="F7" s="16">
        <v>46.5</v>
      </c>
      <c r="G7" s="16">
        <v>33.5</v>
      </c>
      <c r="H7" s="16">
        <v>174</v>
      </c>
      <c r="I7" s="16">
        <v>264</v>
      </c>
      <c r="J7" s="17">
        <v>121.5</v>
      </c>
      <c r="K7" s="16">
        <v>23</v>
      </c>
      <c r="L7" s="16">
        <v>90</v>
      </c>
      <c r="M7" s="16">
        <v>62.4</v>
      </c>
      <c r="N7" s="18">
        <v>18.8</v>
      </c>
      <c r="O7" s="12">
        <f t="shared" si="0"/>
        <v>987.2</v>
      </c>
      <c r="P7" s="19">
        <f t="shared" ref="P7:P35" si="1">ROUND(O7/12,1)</f>
        <v>82.3</v>
      </c>
      <c r="Q7" s="14"/>
    </row>
    <row r="8" spans="2:17" ht="21.95" customHeight="1">
      <c r="B8" s="15">
        <v>1997</v>
      </c>
      <c r="C8" s="16">
        <v>9.3000000000000007</v>
      </c>
      <c r="D8" s="16">
        <v>48.4</v>
      </c>
      <c r="E8" s="16">
        <v>29.5</v>
      </c>
      <c r="F8" s="16">
        <v>65</v>
      </c>
      <c r="G8" s="16">
        <v>203</v>
      </c>
      <c r="H8" s="16">
        <v>151</v>
      </c>
      <c r="I8" s="16">
        <v>423.5</v>
      </c>
      <c r="J8" s="16">
        <v>197.3</v>
      </c>
      <c r="K8" s="16">
        <v>85.5</v>
      </c>
      <c r="L8" s="16">
        <v>16.2</v>
      </c>
      <c r="M8" s="16">
        <v>123.2</v>
      </c>
      <c r="N8" s="18">
        <v>32.9</v>
      </c>
      <c r="O8" s="12">
        <f t="shared" si="0"/>
        <v>1384.8</v>
      </c>
      <c r="P8" s="19">
        <f t="shared" si="1"/>
        <v>115.4</v>
      </c>
      <c r="Q8" s="14"/>
    </row>
    <row r="9" spans="2:17" ht="21.95" customHeight="1">
      <c r="B9" s="15">
        <v>1998</v>
      </c>
      <c r="C9" s="16">
        <v>15.4</v>
      </c>
      <c r="D9" s="16">
        <v>27.1</v>
      </c>
      <c r="E9" s="16">
        <v>27</v>
      </c>
      <c r="F9" s="16">
        <v>136.5</v>
      </c>
      <c r="G9" s="16">
        <v>101</v>
      </c>
      <c r="H9" s="16">
        <v>195.8</v>
      </c>
      <c r="I9" s="16">
        <v>289.5</v>
      </c>
      <c r="J9" s="16">
        <v>546.1</v>
      </c>
      <c r="K9" s="16">
        <v>132.19999999999999</v>
      </c>
      <c r="L9" s="16">
        <v>72.5</v>
      </c>
      <c r="M9" s="16">
        <v>34.700000000000003</v>
      </c>
      <c r="N9" s="18">
        <v>3.6</v>
      </c>
      <c r="O9" s="12">
        <f t="shared" si="0"/>
        <v>1581.4</v>
      </c>
      <c r="P9" s="19">
        <f t="shared" si="1"/>
        <v>131.80000000000001</v>
      </c>
      <c r="Q9" s="14"/>
    </row>
    <row r="10" spans="2:17" ht="21.95" customHeight="1">
      <c r="B10" s="15">
        <v>1999</v>
      </c>
      <c r="C10" s="16">
        <v>4.9000000000000004</v>
      </c>
      <c r="D10" s="16">
        <v>4.2</v>
      </c>
      <c r="E10" s="16">
        <v>66.099999999999994</v>
      </c>
      <c r="F10" s="16">
        <v>129.5</v>
      </c>
      <c r="G10" s="16">
        <v>104</v>
      </c>
      <c r="H10" s="16">
        <v>136.5</v>
      </c>
      <c r="I10" s="16">
        <v>214</v>
      </c>
      <c r="J10" s="16">
        <v>323</v>
      </c>
      <c r="K10" s="16">
        <v>281.5</v>
      </c>
      <c r="L10" s="16">
        <v>159</v>
      </c>
      <c r="M10" s="16">
        <v>23.5</v>
      </c>
      <c r="N10" s="18">
        <v>7.2</v>
      </c>
      <c r="O10" s="12">
        <f t="shared" si="0"/>
        <v>1453.4</v>
      </c>
      <c r="P10" s="19">
        <f t="shared" si="1"/>
        <v>121.1</v>
      </c>
      <c r="Q10" s="14"/>
    </row>
    <row r="11" spans="2:17" ht="21.95" customHeight="1">
      <c r="B11" s="15">
        <v>2000</v>
      </c>
      <c r="C11" s="16">
        <v>39.9</v>
      </c>
      <c r="D11" s="16">
        <v>4.0999999999999996</v>
      </c>
      <c r="E11" s="16">
        <v>15.5</v>
      </c>
      <c r="F11" s="16">
        <v>41.5</v>
      </c>
      <c r="G11" s="16">
        <v>96</v>
      </c>
      <c r="H11" s="16">
        <v>196.5</v>
      </c>
      <c r="I11" s="16">
        <v>197.2</v>
      </c>
      <c r="J11" s="16">
        <v>259</v>
      </c>
      <c r="K11" s="16">
        <v>221.5</v>
      </c>
      <c r="L11" s="16">
        <v>24</v>
      </c>
      <c r="M11" s="16">
        <v>34</v>
      </c>
      <c r="N11" s="18">
        <v>19.899999999999999</v>
      </c>
      <c r="O11" s="12">
        <f t="shared" si="0"/>
        <v>1149.0999999999999</v>
      </c>
      <c r="P11" s="19">
        <f t="shared" si="1"/>
        <v>95.8</v>
      </c>
      <c r="Q11" s="14"/>
    </row>
    <row r="12" spans="2:17" ht="21.95" customHeight="1">
      <c r="B12" s="15">
        <v>2001</v>
      </c>
      <c r="C12" s="16">
        <v>46.4</v>
      </c>
      <c r="D12" s="16">
        <v>49.6</v>
      </c>
      <c r="E12" s="16">
        <v>18.8</v>
      </c>
      <c r="F12" s="16">
        <v>18.5</v>
      </c>
      <c r="G12" s="16">
        <v>9</v>
      </c>
      <c r="H12" s="16">
        <v>269.5</v>
      </c>
      <c r="I12" s="16">
        <v>227.5</v>
      </c>
      <c r="J12" s="16">
        <v>93.5</v>
      </c>
      <c r="K12" s="16">
        <v>19.5</v>
      </c>
      <c r="L12" s="16">
        <v>84</v>
      </c>
      <c r="M12" s="16">
        <v>3</v>
      </c>
      <c r="N12" s="18">
        <v>10</v>
      </c>
      <c r="O12" s="12">
        <f t="shared" si="0"/>
        <v>849.3</v>
      </c>
      <c r="P12" s="19">
        <f t="shared" si="1"/>
        <v>70.8</v>
      </c>
    </row>
    <row r="13" spans="2:17" ht="21.95" customHeight="1">
      <c r="B13" s="15">
        <v>2002</v>
      </c>
      <c r="C13" s="16">
        <v>42.3</v>
      </c>
      <c r="D13" s="16">
        <v>3.2</v>
      </c>
      <c r="E13" s="16">
        <v>24</v>
      </c>
      <c r="F13" s="16">
        <v>199</v>
      </c>
      <c r="G13" s="16">
        <v>92</v>
      </c>
      <c r="H13" s="16">
        <v>89</v>
      </c>
      <c r="I13" s="16">
        <v>214.5</v>
      </c>
      <c r="J13" s="16">
        <v>652</v>
      </c>
      <c r="K13" s="16">
        <v>69.5</v>
      </c>
      <c r="L13" s="16">
        <v>44.5</v>
      </c>
      <c r="M13" s="16">
        <v>13</v>
      </c>
      <c r="N13" s="18">
        <v>57.4</v>
      </c>
      <c r="O13" s="12">
        <f t="shared" si="0"/>
        <v>1500.4</v>
      </c>
      <c r="P13" s="19">
        <f t="shared" si="1"/>
        <v>125</v>
      </c>
    </row>
    <row r="14" spans="2:17" ht="21.95" customHeight="1">
      <c r="B14" s="15">
        <v>2003</v>
      </c>
      <c r="C14" s="16">
        <v>11.2</v>
      </c>
      <c r="D14" s="16">
        <v>48.7</v>
      </c>
      <c r="E14" s="16">
        <v>42</v>
      </c>
      <c r="F14" s="16">
        <v>198</v>
      </c>
      <c r="G14" s="16">
        <v>149.5</v>
      </c>
      <c r="H14" s="16">
        <v>196.5</v>
      </c>
      <c r="I14" s="16">
        <v>495</v>
      </c>
      <c r="J14" s="16">
        <v>346</v>
      </c>
      <c r="K14" s="16">
        <v>287.5</v>
      </c>
      <c r="L14" s="16">
        <v>24.5</v>
      </c>
      <c r="M14" s="16">
        <v>60.5</v>
      </c>
      <c r="N14" s="18">
        <v>17.2</v>
      </c>
      <c r="O14" s="12">
        <f t="shared" si="0"/>
        <v>1876.6</v>
      </c>
      <c r="P14" s="19">
        <f t="shared" si="1"/>
        <v>156.4</v>
      </c>
    </row>
    <row r="15" spans="2:17" ht="21.95" customHeight="1">
      <c r="B15" s="15">
        <v>2004</v>
      </c>
      <c r="C15" s="16">
        <v>15.2</v>
      </c>
      <c r="D15" s="16">
        <v>31.5</v>
      </c>
      <c r="E15" s="16">
        <v>34.5</v>
      </c>
      <c r="F15" s="16">
        <v>74</v>
      </c>
      <c r="G15" s="16">
        <v>142</v>
      </c>
      <c r="H15" s="16">
        <v>395.5</v>
      </c>
      <c r="I15" s="16">
        <v>455.5</v>
      </c>
      <c r="J15" s="16">
        <v>259</v>
      </c>
      <c r="K15" s="16">
        <v>163.5</v>
      </c>
      <c r="L15" s="16">
        <v>2</v>
      </c>
      <c r="M15" s="16">
        <v>37</v>
      </c>
      <c r="N15" s="18">
        <v>21.1</v>
      </c>
      <c r="O15" s="12">
        <f t="shared" si="0"/>
        <v>1630.8</v>
      </c>
      <c r="P15" s="19">
        <f t="shared" si="1"/>
        <v>135.9</v>
      </c>
    </row>
    <row r="16" spans="2:17" ht="21.95" customHeight="1">
      <c r="B16" s="15">
        <v>2005</v>
      </c>
      <c r="C16" s="16">
        <v>3.8</v>
      </c>
      <c r="D16" s="16">
        <v>17.899999999999999</v>
      </c>
      <c r="E16" s="16">
        <v>44</v>
      </c>
      <c r="F16" s="16">
        <v>77.5</v>
      </c>
      <c r="G16" s="16">
        <v>78.5</v>
      </c>
      <c r="H16" s="16">
        <v>171.5</v>
      </c>
      <c r="I16" s="16">
        <v>424.5</v>
      </c>
      <c r="J16" s="16">
        <v>259</v>
      </c>
      <c r="K16" s="16">
        <v>363</v>
      </c>
      <c r="L16" s="16">
        <v>57.5</v>
      </c>
      <c r="M16" s="16">
        <v>19.5</v>
      </c>
      <c r="N16" s="18">
        <v>8.5</v>
      </c>
      <c r="O16" s="12">
        <f t="shared" si="0"/>
        <v>1525.2</v>
      </c>
      <c r="P16" s="19">
        <f t="shared" si="1"/>
        <v>127.1</v>
      </c>
    </row>
    <row r="17" spans="2:16" ht="21.95" customHeight="1">
      <c r="B17" s="15">
        <v>2006</v>
      </c>
      <c r="C17" s="16">
        <v>26.5</v>
      </c>
      <c r="D17" s="16">
        <v>33.299999999999997</v>
      </c>
      <c r="E17" s="16">
        <v>12.1</v>
      </c>
      <c r="F17" s="16">
        <v>106</v>
      </c>
      <c r="G17" s="16">
        <v>105.5</v>
      </c>
      <c r="H17" s="16">
        <v>145</v>
      </c>
      <c r="I17" s="16">
        <v>1111</v>
      </c>
      <c r="J17" s="16">
        <v>56.5</v>
      </c>
      <c r="K17" s="16">
        <v>25</v>
      </c>
      <c r="L17" s="16">
        <v>39.5</v>
      </c>
      <c r="M17" s="16">
        <v>46.3</v>
      </c>
      <c r="N17" s="18">
        <v>13.1</v>
      </c>
      <c r="O17" s="12">
        <f t="shared" si="0"/>
        <v>1719.8</v>
      </c>
      <c r="P17" s="19">
        <f t="shared" si="1"/>
        <v>143.30000000000001</v>
      </c>
    </row>
    <row r="18" spans="2:16" ht="21.95" customHeight="1">
      <c r="B18" s="15">
        <v>2007</v>
      </c>
      <c r="C18" s="16">
        <v>11</v>
      </c>
      <c r="D18" s="16">
        <v>34</v>
      </c>
      <c r="E18" s="16">
        <v>177.2</v>
      </c>
      <c r="F18" s="16">
        <v>19.5</v>
      </c>
      <c r="G18" s="16">
        <v>151.5</v>
      </c>
      <c r="H18" s="16">
        <v>124</v>
      </c>
      <c r="I18" s="16">
        <v>442.5</v>
      </c>
      <c r="J18" s="16">
        <v>696.5</v>
      </c>
      <c r="K18" s="16">
        <v>333</v>
      </c>
      <c r="L18" s="16">
        <v>33.5</v>
      </c>
      <c r="M18" s="16">
        <v>24.3</v>
      </c>
      <c r="N18" s="18">
        <v>20.3</v>
      </c>
      <c r="O18" s="12">
        <f t="shared" si="0"/>
        <v>2067.3000000000002</v>
      </c>
      <c r="P18" s="19">
        <f t="shared" si="1"/>
        <v>172.3</v>
      </c>
    </row>
    <row r="19" spans="2:16" ht="21.95" customHeight="1">
      <c r="B19" s="15">
        <v>2008</v>
      </c>
      <c r="C19" s="16">
        <v>19.8</v>
      </c>
      <c r="D19" s="16">
        <v>6.5</v>
      </c>
      <c r="E19" s="16">
        <v>63.8</v>
      </c>
      <c r="F19" s="16">
        <v>41.5</v>
      </c>
      <c r="G19" s="16">
        <v>54</v>
      </c>
      <c r="H19" s="16">
        <v>86.5</v>
      </c>
      <c r="I19" s="16">
        <v>274.60000000000002</v>
      </c>
      <c r="J19" s="16">
        <v>222</v>
      </c>
      <c r="K19" s="16">
        <v>63.6</v>
      </c>
      <c r="L19" s="16">
        <v>24</v>
      </c>
      <c r="M19" s="16">
        <v>8.4</v>
      </c>
      <c r="N19" s="18">
        <v>21.1</v>
      </c>
      <c r="O19" s="12">
        <f t="shared" si="0"/>
        <v>885.8</v>
      </c>
      <c r="P19" s="19">
        <f t="shared" si="1"/>
        <v>73.8</v>
      </c>
    </row>
    <row r="20" spans="2:16" ht="21.95" customHeight="1">
      <c r="B20" s="15">
        <v>2009</v>
      </c>
      <c r="C20" s="16">
        <v>14.8</v>
      </c>
      <c r="D20" s="16">
        <v>27.5</v>
      </c>
      <c r="E20" s="16">
        <v>57.1</v>
      </c>
      <c r="F20" s="16">
        <v>40.4</v>
      </c>
      <c r="G20" s="16">
        <v>121.7</v>
      </c>
      <c r="H20" s="16">
        <v>162.1</v>
      </c>
      <c r="I20" s="16">
        <v>474.5</v>
      </c>
      <c r="J20" s="16">
        <v>213</v>
      </c>
      <c r="K20" s="16">
        <v>58.5</v>
      </c>
      <c r="L20" s="16">
        <v>31.5</v>
      </c>
      <c r="M20" s="16">
        <v>44.3</v>
      </c>
      <c r="N20" s="18">
        <v>32</v>
      </c>
      <c r="O20" s="12">
        <f t="shared" si="0"/>
        <v>1277.4000000000001</v>
      </c>
      <c r="P20" s="19">
        <f t="shared" si="1"/>
        <v>106.5</v>
      </c>
    </row>
    <row r="21" spans="2:16" ht="21.95" customHeight="1">
      <c r="B21" s="15">
        <v>2010</v>
      </c>
      <c r="C21" s="16">
        <v>61.1</v>
      </c>
      <c r="D21" s="16">
        <v>68.599999999999994</v>
      </c>
      <c r="E21" s="16">
        <v>117.3</v>
      </c>
      <c r="F21" s="16">
        <v>71.5</v>
      </c>
      <c r="G21" s="16">
        <v>118.1</v>
      </c>
      <c r="H21" s="16">
        <v>87.6</v>
      </c>
      <c r="I21" s="16">
        <v>180.1</v>
      </c>
      <c r="J21" s="16">
        <v>345.7</v>
      </c>
      <c r="K21" s="16">
        <v>432.8</v>
      </c>
      <c r="L21" s="16">
        <v>22.8</v>
      </c>
      <c r="M21" s="16">
        <v>22.4</v>
      </c>
      <c r="N21" s="18">
        <v>17.2</v>
      </c>
      <c r="O21" s="12">
        <f t="shared" si="0"/>
        <v>1545.2</v>
      </c>
      <c r="P21" s="19">
        <f t="shared" si="1"/>
        <v>128.80000000000001</v>
      </c>
    </row>
    <row r="22" spans="2:16" ht="21.95" customHeight="1">
      <c r="B22" s="15">
        <v>2011</v>
      </c>
      <c r="C22" s="16">
        <v>2.8</v>
      </c>
      <c r="D22" s="16">
        <v>52.9</v>
      </c>
      <c r="E22" s="16">
        <v>36.5</v>
      </c>
      <c r="F22" s="16">
        <v>189.8</v>
      </c>
      <c r="G22" s="16">
        <v>121.8</v>
      </c>
      <c r="H22" s="16">
        <v>459</v>
      </c>
      <c r="I22" s="16">
        <v>665.2</v>
      </c>
      <c r="J22" s="16">
        <v>398.5</v>
      </c>
      <c r="K22" s="16">
        <v>157.19999999999999</v>
      </c>
      <c r="L22" s="16">
        <v>55.4</v>
      </c>
      <c r="M22" s="16">
        <v>81.099999999999994</v>
      </c>
      <c r="N22" s="18">
        <v>10.3</v>
      </c>
      <c r="O22" s="12">
        <f t="shared" si="0"/>
        <v>2230.5</v>
      </c>
      <c r="P22" s="19">
        <f t="shared" si="1"/>
        <v>185.9</v>
      </c>
    </row>
    <row r="23" spans="2:16" ht="21.95" customHeight="1">
      <c r="B23" s="15">
        <v>2012</v>
      </c>
      <c r="C23" s="16">
        <v>16</v>
      </c>
      <c r="D23" s="16">
        <v>5</v>
      </c>
      <c r="E23" s="16">
        <v>83.2</v>
      </c>
      <c r="F23" s="16">
        <v>135.5</v>
      </c>
      <c r="G23" s="16">
        <v>40.9</v>
      </c>
      <c r="H23" s="16">
        <v>108.1</v>
      </c>
      <c r="I23" s="16">
        <v>344.8</v>
      </c>
      <c r="J23" s="16">
        <v>319.89999999999998</v>
      </c>
      <c r="K23" s="16">
        <v>144.5</v>
      </c>
      <c r="L23" s="16">
        <v>67.099999999999994</v>
      </c>
      <c r="M23" s="16">
        <v>68.7</v>
      </c>
      <c r="N23" s="18">
        <v>47.6</v>
      </c>
      <c r="O23" s="12">
        <f t="shared" si="0"/>
        <v>1381.3</v>
      </c>
      <c r="P23" s="19">
        <f t="shared" si="1"/>
        <v>115.1</v>
      </c>
    </row>
    <row r="24" spans="2:16" ht="21.95" customHeight="1">
      <c r="B24" s="15">
        <v>2013</v>
      </c>
      <c r="C24" s="16">
        <v>40.5</v>
      </c>
      <c r="D24" s="16">
        <v>55</v>
      </c>
      <c r="E24" s="16">
        <v>48</v>
      </c>
      <c r="F24" s="16">
        <v>92.3</v>
      </c>
      <c r="G24" s="16">
        <v>118.5</v>
      </c>
      <c r="H24" s="16">
        <v>144.6</v>
      </c>
      <c r="I24" s="16">
        <v>442.4</v>
      </c>
      <c r="J24" s="16">
        <v>274.3</v>
      </c>
      <c r="K24" s="16">
        <v>118.9</v>
      </c>
      <c r="L24" s="16">
        <v>8.9</v>
      </c>
      <c r="M24" s="16">
        <v>63.2</v>
      </c>
      <c r="N24" s="18">
        <v>30.5</v>
      </c>
      <c r="O24" s="12">
        <f t="shared" si="0"/>
        <v>1437.1</v>
      </c>
      <c r="P24" s="19">
        <f t="shared" si="1"/>
        <v>119.8</v>
      </c>
    </row>
    <row r="25" spans="2:16" ht="21.95" customHeight="1">
      <c r="B25" s="15">
        <v>2014</v>
      </c>
      <c r="C25" s="16">
        <v>10.5</v>
      </c>
      <c r="D25" s="16">
        <v>23.6</v>
      </c>
      <c r="E25" s="16">
        <v>44.5</v>
      </c>
      <c r="F25" s="16">
        <v>49.5</v>
      </c>
      <c r="G25" s="16">
        <v>41.4</v>
      </c>
      <c r="H25" s="16">
        <v>62.1</v>
      </c>
      <c r="I25" s="16">
        <v>111.4</v>
      </c>
      <c r="J25" s="16">
        <v>246.2</v>
      </c>
      <c r="K25" s="16">
        <v>131</v>
      </c>
      <c r="L25" s="16">
        <v>150.6</v>
      </c>
      <c r="M25" s="16">
        <v>24</v>
      </c>
      <c r="N25" s="18">
        <v>18.8</v>
      </c>
      <c r="O25" s="12">
        <f t="shared" si="0"/>
        <v>913.6</v>
      </c>
      <c r="P25" s="19">
        <f t="shared" si="1"/>
        <v>76.099999999999994</v>
      </c>
    </row>
    <row r="26" spans="2:16" ht="21.95" customHeight="1">
      <c r="B26" s="15">
        <v>2015</v>
      </c>
      <c r="C26" s="16">
        <v>17.5</v>
      </c>
      <c r="D26" s="16">
        <v>32.200000000000003</v>
      </c>
      <c r="E26" s="16">
        <v>31.7</v>
      </c>
      <c r="F26" s="16">
        <v>83.5</v>
      </c>
      <c r="G26" s="16">
        <v>31.5</v>
      </c>
      <c r="H26" s="16">
        <v>75.400000000000006</v>
      </c>
      <c r="I26" s="16">
        <v>225.1</v>
      </c>
      <c r="J26" s="16">
        <v>63.8</v>
      </c>
      <c r="K26" s="16">
        <v>36.6</v>
      </c>
      <c r="L26" s="16">
        <v>68.099999999999994</v>
      </c>
      <c r="M26" s="16">
        <v>110.6</v>
      </c>
      <c r="N26" s="18">
        <v>27.4</v>
      </c>
      <c r="O26" s="12">
        <f t="shared" si="0"/>
        <v>803.4</v>
      </c>
      <c r="P26" s="19">
        <f t="shared" si="1"/>
        <v>67</v>
      </c>
    </row>
    <row r="27" spans="2:16" ht="21.95" customHeight="1">
      <c r="B27" s="15">
        <v>2016</v>
      </c>
      <c r="C27" s="16">
        <v>4.5</v>
      </c>
      <c r="D27" s="16">
        <v>68.7</v>
      </c>
      <c r="E27" s="16">
        <v>21.5</v>
      </c>
      <c r="F27" s="16">
        <v>117.1</v>
      </c>
      <c r="G27" s="16">
        <v>82.4</v>
      </c>
      <c r="H27" s="16">
        <v>42.1</v>
      </c>
      <c r="I27" s="16">
        <v>419.7</v>
      </c>
      <c r="J27" s="16">
        <v>113.8</v>
      </c>
      <c r="K27" s="16">
        <v>47.3</v>
      </c>
      <c r="L27" s="16">
        <v>109.6</v>
      </c>
      <c r="M27" s="16">
        <v>22.1</v>
      </c>
      <c r="N27" s="18">
        <v>59.1</v>
      </c>
      <c r="O27" s="12">
        <f t="shared" si="0"/>
        <v>1107.9000000000001</v>
      </c>
      <c r="P27" s="19">
        <f t="shared" si="1"/>
        <v>92.3</v>
      </c>
    </row>
    <row r="28" spans="2:16" ht="21.95" customHeight="1">
      <c r="B28" s="15">
        <v>2017</v>
      </c>
      <c r="C28" s="16">
        <v>10.199999999999999</v>
      </c>
      <c r="D28" s="16">
        <v>29.5</v>
      </c>
      <c r="E28" s="16">
        <v>24.3</v>
      </c>
      <c r="F28" s="16">
        <v>70.8</v>
      </c>
      <c r="G28" s="16">
        <v>12.5</v>
      </c>
      <c r="H28" s="16">
        <v>69.599999999999994</v>
      </c>
      <c r="I28" s="16">
        <v>464.8</v>
      </c>
      <c r="J28" s="16">
        <v>265.10000000000002</v>
      </c>
      <c r="K28" s="16">
        <v>43.3</v>
      </c>
      <c r="L28" s="16">
        <v>22.5</v>
      </c>
      <c r="M28" s="16">
        <v>34.1</v>
      </c>
      <c r="N28" s="18">
        <v>24</v>
      </c>
      <c r="O28" s="12">
        <f t="shared" si="0"/>
        <v>1070.7</v>
      </c>
      <c r="P28" s="19">
        <f t="shared" si="1"/>
        <v>89.2</v>
      </c>
    </row>
    <row r="29" spans="2:16" ht="21.95" customHeight="1">
      <c r="B29" s="15">
        <v>2018</v>
      </c>
      <c r="C29" s="16">
        <v>6.9</v>
      </c>
      <c r="D29" s="16">
        <v>23.8</v>
      </c>
      <c r="E29" s="16">
        <v>61.7</v>
      </c>
      <c r="F29" s="16">
        <v>112.9</v>
      </c>
      <c r="G29" s="16">
        <v>172.5</v>
      </c>
      <c r="H29" s="16">
        <v>138.5</v>
      </c>
      <c r="I29" s="16">
        <v>161.5</v>
      </c>
      <c r="J29" s="16">
        <v>350.3</v>
      </c>
      <c r="K29" s="16">
        <v>185.5</v>
      </c>
      <c r="L29" s="16">
        <v>105.4</v>
      </c>
      <c r="M29" s="16">
        <v>60.3</v>
      </c>
      <c r="N29" s="18">
        <v>30</v>
      </c>
      <c r="O29" s="12">
        <f t="shared" si="0"/>
        <v>1409.3</v>
      </c>
      <c r="P29" s="19">
        <f t="shared" si="1"/>
        <v>117.4</v>
      </c>
    </row>
    <row r="30" spans="2:16" ht="21.95" customHeight="1">
      <c r="B30" s="15">
        <v>2019</v>
      </c>
      <c r="C30" s="16">
        <v>1</v>
      </c>
      <c r="D30" s="16">
        <v>28.5</v>
      </c>
      <c r="E30" s="16">
        <v>49.5</v>
      </c>
      <c r="F30" s="16">
        <v>58.1</v>
      </c>
      <c r="G30" s="16">
        <v>26.1</v>
      </c>
      <c r="H30" s="16">
        <v>90</v>
      </c>
      <c r="I30" s="16">
        <v>158.6</v>
      </c>
      <c r="J30" s="16">
        <v>99.1</v>
      </c>
      <c r="K30" s="16">
        <v>164.5</v>
      </c>
      <c r="L30" s="16">
        <v>66.900000000000006</v>
      </c>
      <c r="M30" s="16">
        <v>81</v>
      </c>
      <c r="N30" s="18">
        <v>19.7</v>
      </c>
      <c r="O30" s="12">
        <f t="shared" si="0"/>
        <v>843</v>
      </c>
      <c r="P30" s="19">
        <f t="shared" si="1"/>
        <v>70.3</v>
      </c>
    </row>
    <row r="31" spans="2:16" ht="21.95" customHeight="1">
      <c r="B31" s="15">
        <v>2020</v>
      </c>
      <c r="C31" s="16">
        <v>68.099999999999994</v>
      </c>
      <c r="D31" s="16">
        <v>57.4</v>
      </c>
      <c r="E31" s="16">
        <v>14.4</v>
      </c>
      <c r="F31" s="16">
        <v>28.9</v>
      </c>
      <c r="G31" s="16">
        <v>130.1</v>
      </c>
      <c r="H31" s="16">
        <v>78.599999999999994</v>
      </c>
      <c r="I31" s="16">
        <v>317.5</v>
      </c>
      <c r="J31" s="16">
        <v>685.8</v>
      </c>
      <c r="K31" s="16">
        <v>134.1</v>
      </c>
      <c r="L31" s="16">
        <v>12.4</v>
      </c>
      <c r="M31" s="16">
        <v>13.4</v>
      </c>
      <c r="N31" s="18">
        <v>11.1</v>
      </c>
      <c r="O31" s="12">
        <f t="shared" si="0"/>
        <v>1551.8</v>
      </c>
      <c r="P31" s="19">
        <f t="shared" si="1"/>
        <v>129.30000000000001</v>
      </c>
    </row>
    <row r="32" spans="2:16" ht="21.95" customHeight="1">
      <c r="B32" s="15">
        <v>2021</v>
      </c>
      <c r="C32" s="16">
        <v>18.2</v>
      </c>
      <c r="D32" s="16">
        <v>12.2</v>
      </c>
      <c r="E32" s="16">
        <v>100.1</v>
      </c>
      <c r="F32" s="16">
        <v>104</v>
      </c>
      <c r="G32" s="16">
        <v>157.80000000000001</v>
      </c>
      <c r="H32" s="16">
        <v>81.599999999999994</v>
      </c>
      <c r="I32" s="16">
        <v>223.1</v>
      </c>
      <c r="J32" s="16">
        <v>174.9</v>
      </c>
      <c r="K32" s="16">
        <v>209.2</v>
      </c>
      <c r="L32" s="16">
        <v>26.6</v>
      </c>
      <c r="M32" s="16">
        <v>48</v>
      </c>
      <c r="N32" s="18">
        <v>6.5</v>
      </c>
      <c r="O32" s="12">
        <f t="shared" si="0"/>
        <v>1162.2</v>
      </c>
      <c r="P32" s="19">
        <f t="shared" si="1"/>
        <v>96.9</v>
      </c>
    </row>
    <row r="33" spans="2:16" ht="21.95" customHeight="1">
      <c r="B33" s="15">
        <v>2022</v>
      </c>
      <c r="C33" s="16">
        <v>3</v>
      </c>
      <c r="D33" s="16">
        <v>6.8</v>
      </c>
      <c r="E33" s="16">
        <v>88.3</v>
      </c>
      <c r="F33" s="16">
        <v>40.5</v>
      </c>
      <c r="G33" s="16">
        <v>7.5</v>
      </c>
      <c r="H33" s="16">
        <v>273.89999999999998</v>
      </c>
      <c r="I33" s="16">
        <v>310.89999999999998</v>
      </c>
      <c r="J33" s="16">
        <v>485.3</v>
      </c>
      <c r="K33" s="16">
        <v>93.7</v>
      </c>
      <c r="L33" s="16">
        <v>87.1</v>
      </c>
      <c r="M33" s="16">
        <v>60</v>
      </c>
      <c r="N33" s="18">
        <v>19.600000000000001</v>
      </c>
      <c r="O33" s="12">
        <f t="shared" si="0"/>
        <v>1476.6</v>
      </c>
      <c r="P33" s="19">
        <f t="shared" si="1"/>
        <v>123.1</v>
      </c>
    </row>
    <row r="34" spans="2:16" ht="21.95" customHeight="1">
      <c r="B34" s="15">
        <v>2023</v>
      </c>
      <c r="C34" s="16">
        <v>32.6</v>
      </c>
      <c r="D34" s="16">
        <v>2.2000000000000002</v>
      </c>
      <c r="E34" s="16">
        <v>14</v>
      </c>
      <c r="F34" s="16">
        <v>48.6</v>
      </c>
      <c r="G34" s="16">
        <v>167.1</v>
      </c>
      <c r="H34" s="16">
        <v>231.3</v>
      </c>
      <c r="I34" s="16">
        <v>605.29999999999995</v>
      </c>
      <c r="J34" s="16">
        <v>240.9</v>
      </c>
      <c r="K34" s="16">
        <v>234.6</v>
      </c>
      <c r="L34" s="16">
        <v>33.799999999999997</v>
      </c>
      <c r="M34" s="16">
        <v>49.8</v>
      </c>
      <c r="N34" s="18">
        <v>105.5</v>
      </c>
      <c r="O34" s="12">
        <f t="shared" si="0"/>
        <v>1765.7</v>
      </c>
      <c r="P34" s="19">
        <f t="shared" si="1"/>
        <v>147.1</v>
      </c>
    </row>
    <row r="35" spans="2:16" ht="21.95" customHeight="1" thickBot="1">
      <c r="B35" s="33">
        <v>2024</v>
      </c>
      <c r="C35" s="34">
        <v>24.8</v>
      </c>
      <c r="D35" s="34">
        <v>78.900000000000006</v>
      </c>
      <c r="E35" s="34">
        <v>52.2</v>
      </c>
      <c r="F35" s="34">
        <v>54.7</v>
      </c>
      <c r="G35" s="34">
        <v>128.69999999999999</v>
      </c>
      <c r="H35" s="34">
        <v>171.7</v>
      </c>
      <c r="I35" s="34">
        <v>467.8</v>
      </c>
      <c r="J35" s="34">
        <v>99.1</v>
      </c>
      <c r="K35" s="34">
        <v>195.6</v>
      </c>
      <c r="L35" s="34">
        <v>114.1</v>
      </c>
      <c r="M35" s="34">
        <v>42.1</v>
      </c>
      <c r="N35" s="35">
        <v>3.1</v>
      </c>
      <c r="O35" s="36">
        <f t="shared" si="0"/>
        <v>1432.8</v>
      </c>
      <c r="P35" s="37">
        <f t="shared" si="1"/>
        <v>119.4</v>
      </c>
    </row>
    <row r="36" spans="2:16" ht="21.95" customHeight="1">
      <c r="B36" s="38" t="s">
        <v>13</v>
      </c>
      <c r="C36" s="39">
        <f>ROUND(MAX(C6:C35),1)</f>
        <v>68.099999999999994</v>
      </c>
      <c r="D36" s="39">
        <f t="shared" ref="D36:N36" si="2">ROUND(MAX(D6:D35),1)</f>
        <v>78.900000000000006</v>
      </c>
      <c r="E36" s="39">
        <f t="shared" si="2"/>
        <v>177.2</v>
      </c>
      <c r="F36" s="39">
        <f t="shared" si="2"/>
        <v>199</v>
      </c>
      <c r="G36" s="39">
        <f t="shared" si="2"/>
        <v>203</v>
      </c>
      <c r="H36" s="39">
        <f t="shared" si="2"/>
        <v>459</v>
      </c>
      <c r="I36" s="39">
        <f t="shared" si="2"/>
        <v>1111</v>
      </c>
      <c r="J36" s="39">
        <f t="shared" si="2"/>
        <v>742.5</v>
      </c>
      <c r="K36" s="39">
        <f t="shared" si="2"/>
        <v>432.8</v>
      </c>
      <c r="L36" s="39">
        <f t="shared" si="2"/>
        <v>159</v>
      </c>
      <c r="M36" s="39">
        <f t="shared" si="2"/>
        <v>123.2</v>
      </c>
      <c r="N36" s="40">
        <f t="shared" si="2"/>
        <v>105.5</v>
      </c>
      <c r="O36" s="41">
        <f>ROUND(MAX(O6:O35),1)</f>
        <v>2230.5</v>
      </c>
      <c r="P36" s="42">
        <f>ROUND(MAX(P6:P35),1)</f>
        <v>185.9</v>
      </c>
    </row>
    <row r="37" spans="2:16" ht="21.95" customHeight="1">
      <c r="B37" s="43" t="s">
        <v>14</v>
      </c>
      <c r="C37" s="44">
        <f>ROUND(MIN(C6:C35),1)</f>
        <v>1</v>
      </c>
      <c r="D37" s="44">
        <f t="shared" ref="D37:N37" si="3">ROUND(MIN(D6:D35),1)</f>
        <v>2.2000000000000002</v>
      </c>
      <c r="E37" s="44">
        <f t="shared" si="3"/>
        <v>12.1</v>
      </c>
      <c r="F37" s="44">
        <f t="shared" si="3"/>
        <v>18.5</v>
      </c>
      <c r="G37" s="44">
        <f t="shared" si="3"/>
        <v>7.5</v>
      </c>
      <c r="H37" s="44">
        <f t="shared" si="3"/>
        <v>42.1</v>
      </c>
      <c r="I37" s="44">
        <f t="shared" si="3"/>
        <v>111.4</v>
      </c>
      <c r="J37" s="44">
        <f t="shared" si="3"/>
        <v>56.5</v>
      </c>
      <c r="K37" s="44">
        <f t="shared" si="3"/>
        <v>19.5</v>
      </c>
      <c r="L37" s="44">
        <f t="shared" si="3"/>
        <v>2</v>
      </c>
      <c r="M37" s="44">
        <f t="shared" si="3"/>
        <v>3</v>
      </c>
      <c r="N37" s="19">
        <f t="shared" si="3"/>
        <v>3.1</v>
      </c>
      <c r="O37" s="45">
        <f>ROUND(MIN(O6:O35),1)</f>
        <v>803.4</v>
      </c>
      <c r="P37" s="46">
        <f>ROUND(MIN(P6:P35),1)</f>
        <v>67</v>
      </c>
    </row>
    <row r="38" spans="2:16" ht="21.95" customHeight="1" thickBot="1">
      <c r="B38" s="47" t="s">
        <v>18</v>
      </c>
      <c r="C38" s="48">
        <f>ROUND(AVERAGE(C6:C35),1)</f>
        <v>20.8</v>
      </c>
      <c r="D38" s="48">
        <f t="shared" ref="D38:P38" si="4">ROUND(AVERAGE(D6:D35),1)</f>
        <v>29.9</v>
      </c>
      <c r="E38" s="48">
        <f t="shared" si="4"/>
        <v>51.8</v>
      </c>
      <c r="F38" s="48">
        <f t="shared" si="4"/>
        <v>83.7</v>
      </c>
      <c r="G38" s="48">
        <f t="shared" si="4"/>
        <v>95.4</v>
      </c>
      <c r="H38" s="48">
        <f t="shared" si="4"/>
        <v>156</v>
      </c>
      <c r="I38" s="48">
        <f t="shared" si="4"/>
        <v>363.3</v>
      </c>
      <c r="J38" s="48">
        <f t="shared" si="4"/>
        <v>305</v>
      </c>
      <c r="K38" s="48">
        <f t="shared" si="4"/>
        <v>150.69999999999999</v>
      </c>
      <c r="L38" s="48">
        <f t="shared" si="4"/>
        <v>56.4</v>
      </c>
      <c r="M38" s="48">
        <f t="shared" si="4"/>
        <v>45.2</v>
      </c>
      <c r="N38" s="49">
        <f t="shared" si="4"/>
        <v>24</v>
      </c>
      <c r="O38" s="50">
        <f t="shared" si="4"/>
        <v>1382.3</v>
      </c>
      <c r="P38" s="51">
        <f t="shared" si="4"/>
        <v>115.2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17.5</v>
      </c>
      <c r="D44" s="53">
        <f t="shared" si="5"/>
        <v>32.200000000000003</v>
      </c>
      <c r="E44" s="53">
        <f t="shared" si="5"/>
        <v>31.7</v>
      </c>
      <c r="F44" s="53">
        <f t="shared" si="5"/>
        <v>83.5</v>
      </c>
      <c r="G44" s="53">
        <f t="shared" si="5"/>
        <v>31.5</v>
      </c>
      <c r="H44" s="53">
        <f t="shared" si="5"/>
        <v>75.400000000000006</v>
      </c>
      <c r="I44" s="53">
        <f t="shared" si="5"/>
        <v>225.1</v>
      </c>
      <c r="J44" s="53">
        <f t="shared" si="5"/>
        <v>63.8</v>
      </c>
      <c r="K44" s="53">
        <f t="shared" si="5"/>
        <v>36.6</v>
      </c>
      <c r="L44" s="53">
        <f t="shared" si="5"/>
        <v>68.099999999999994</v>
      </c>
      <c r="M44" s="53">
        <f t="shared" si="5"/>
        <v>110.6</v>
      </c>
      <c r="N44" s="54">
        <f t="shared" si="5"/>
        <v>27.4</v>
      </c>
      <c r="O44" s="55">
        <f>ROUND(SUM(C44:N44),1)</f>
        <v>803.4</v>
      </c>
      <c r="P44" s="46">
        <f>ROUND(O44/12,1)</f>
        <v>67</v>
      </c>
    </row>
    <row r="45" spans="2:16" ht="21.95" customHeight="1">
      <c r="B45" s="52">
        <f t="shared" ref="B45:N53" si="6">B27</f>
        <v>2016</v>
      </c>
      <c r="C45" s="53">
        <f t="shared" si="6"/>
        <v>4.5</v>
      </c>
      <c r="D45" s="53">
        <f t="shared" si="6"/>
        <v>68.7</v>
      </c>
      <c r="E45" s="53">
        <f t="shared" si="6"/>
        <v>21.5</v>
      </c>
      <c r="F45" s="53">
        <f t="shared" si="6"/>
        <v>117.1</v>
      </c>
      <c r="G45" s="53">
        <f t="shared" si="6"/>
        <v>82.4</v>
      </c>
      <c r="H45" s="53">
        <f t="shared" si="6"/>
        <v>42.1</v>
      </c>
      <c r="I45" s="53">
        <f t="shared" si="6"/>
        <v>419.7</v>
      </c>
      <c r="J45" s="53">
        <f t="shared" si="6"/>
        <v>113.8</v>
      </c>
      <c r="K45" s="53">
        <f t="shared" si="6"/>
        <v>47.3</v>
      </c>
      <c r="L45" s="53">
        <f t="shared" si="6"/>
        <v>109.6</v>
      </c>
      <c r="M45" s="53">
        <f t="shared" si="6"/>
        <v>22.1</v>
      </c>
      <c r="N45" s="54">
        <f t="shared" si="6"/>
        <v>59.1</v>
      </c>
      <c r="O45" s="55">
        <f t="shared" ref="O45:O53" si="7">ROUND(SUM(C45:N45),1)</f>
        <v>1107.9000000000001</v>
      </c>
      <c r="P45" s="46">
        <f t="shared" ref="P45:P53" si="8">ROUND(O45/12,1)</f>
        <v>92.3</v>
      </c>
    </row>
    <row r="46" spans="2:16" ht="21.95" customHeight="1">
      <c r="B46" s="52">
        <f t="shared" si="6"/>
        <v>2017</v>
      </c>
      <c r="C46" s="53">
        <f t="shared" si="6"/>
        <v>10.199999999999999</v>
      </c>
      <c r="D46" s="53">
        <f t="shared" si="6"/>
        <v>29.5</v>
      </c>
      <c r="E46" s="53">
        <f t="shared" si="6"/>
        <v>24.3</v>
      </c>
      <c r="F46" s="53">
        <f t="shared" si="6"/>
        <v>70.8</v>
      </c>
      <c r="G46" s="53">
        <f t="shared" si="6"/>
        <v>12.5</v>
      </c>
      <c r="H46" s="53">
        <f t="shared" si="6"/>
        <v>69.599999999999994</v>
      </c>
      <c r="I46" s="53">
        <f t="shared" si="6"/>
        <v>464.8</v>
      </c>
      <c r="J46" s="53">
        <f t="shared" si="6"/>
        <v>265.10000000000002</v>
      </c>
      <c r="K46" s="53">
        <f t="shared" si="6"/>
        <v>43.3</v>
      </c>
      <c r="L46" s="53">
        <f t="shared" si="6"/>
        <v>22.5</v>
      </c>
      <c r="M46" s="53">
        <f t="shared" si="6"/>
        <v>34.1</v>
      </c>
      <c r="N46" s="54">
        <f t="shared" si="6"/>
        <v>24</v>
      </c>
      <c r="O46" s="55">
        <f t="shared" si="7"/>
        <v>1070.7</v>
      </c>
      <c r="P46" s="46">
        <f t="shared" si="8"/>
        <v>89.2</v>
      </c>
    </row>
    <row r="47" spans="2:16" ht="21.95" customHeight="1">
      <c r="B47" s="52">
        <f t="shared" si="6"/>
        <v>2018</v>
      </c>
      <c r="C47" s="53">
        <f t="shared" si="6"/>
        <v>6.9</v>
      </c>
      <c r="D47" s="53">
        <f t="shared" si="6"/>
        <v>23.8</v>
      </c>
      <c r="E47" s="53">
        <f t="shared" si="6"/>
        <v>61.7</v>
      </c>
      <c r="F47" s="53">
        <f t="shared" si="6"/>
        <v>112.9</v>
      </c>
      <c r="G47" s="53">
        <f t="shared" si="6"/>
        <v>172.5</v>
      </c>
      <c r="H47" s="53">
        <f t="shared" si="6"/>
        <v>138.5</v>
      </c>
      <c r="I47" s="53">
        <f t="shared" si="6"/>
        <v>161.5</v>
      </c>
      <c r="J47" s="53">
        <f t="shared" si="6"/>
        <v>350.3</v>
      </c>
      <c r="K47" s="53">
        <f t="shared" si="6"/>
        <v>185.5</v>
      </c>
      <c r="L47" s="53">
        <f t="shared" si="6"/>
        <v>105.4</v>
      </c>
      <c r="M47" s="53">
        <f t="shared" si="6"/>
        <v>60.3</v>
      </c>
      <c r="N47" s="54">
        <f t="shared" si="6"/>
        <v>30</v>
      </c>
      <c r="O47" s="55">
        <f>ROUND(SUM(C47:N47),1)</f>
        <v>1409.3</v>
      </c>
      <c r="P47" s="46">
        <f t="shared" si="8"/>
        <v>117.4</v>
      </c>
    </row>
    <row r="48" spans="2:16" ht="21.95" customHeight="1">
      <c r="B48" s="52">
        <f t="shared" si="6"/>
        <v>2019</v>
      </c>
      <c r="C48" s="53">
        <f t="shared" si="6"/>
        <v>1</v>
      </c>
      <c r="D48" s="53">
        <f t="shared" si="6"/>
        <v>28.5</v>
      </c>
      <c r="E48" s="53">
        <f t="shared" si="6"/>
        <v>49.5</v>
      </c>
      <c r="F48" s="53">
        <f t="shared" si="6"/>
        <v>58.1</v>
      </c>
      <c r="G48" s="53">
        <f t="shared" si="6"/>
        <v>26.1</v>
      </c>
      <c r="H48" s="53">
        <f t="shared" si="6"/>
        <v>90</v>
      </c>
      <c r="I48" s="53">
        <f t="shared" si="6"/>
        <v>158.6</v>
      </c>
      <c r="J48" s="53">
        <f t="shared" si="6"/>
        <v>99.1</v>
      </c>
      <c r="K48" s="53">
        <f t="shared" si="6"/>
        <v>164.5</v>
      </c>
      <c r="L48" s="53">
        <f t="shared" si="6"/>
        <v>66.900000000000006</v>
      </c>
      <c r="M48" s="53">
        <f t="shared" si="6"/>
        <v>81</v>
      </c>
      <c r="N48" s="54">
        <f t="shared" si="6"/>
        <v>19.7</v>
      </c>
      <c r="O48" s="55">
        <f t="shared" si="7"/>
        <v>843</v>
      </c>
      <c r="P48" s="46">
        <f t="shared" si="8"/>
        <v>70.3</v>
      </c>
    </row>
    <row r="49" spans="2:16" ht="21.95" customHeight="1">
      <c r="B49" s="52">
        <f t="shared" si="6"/>
        <v>2020</v>
      </c>
      <c r="C49" s="53">
        <f t="shared" si="6"/>
        <v>68.099999999999994</v>
      </c>
      <c r="D49" s="53">
        <f t="shared" si="6"/>
        <v>57.4</v>
      </c>
      <c r="E49" s="53">
        <f t="shared" si="6"/>
        <v>14.4</v>
      </c>
      <c r="F49" s="53">
        <f t="shared" si="6"/>
        <v>28.9</v>
      </c>
      <c r="G49" s="53">
        <f t="shared" si="6"/>
        <v>130.1</v>
      </c>
      <c r="H49" s="53">
        <f t="shared" si="6"/>
        <v>78.599999999999994</v>
      </c>
      <c r="I49" s="53">
        <f t="shared" si="6"/>
        <v>317.5</v>
      </c>
      <c r="J49" s="53">
        <f t="shared" si="6"/>
        <v>685.8</v>
      </c>
      <c r="K49" s="53">
        <f t="shared" si="6"/>
        <v>134.1</v>
      </c>
      <c r="L49" s="53">
        <f t="shared" si="6"/>
        <v>12.4</v>
      </c>
      <c r="M49" s="53">
        <f t="shared" si="6"/>
        <v>13.4</v>
      </c>
      <c r="N49" s="54">
        <f t="shared" si="6"/>
        <v>11.1</v>
      </c>
      <c r="O49" s="55">
        <f t="shared" si="7"/>
        <v>1551.8</v>
      </c>
      <c r="P49" s="46">
        <f t="shared" si="8"/>
        <v>129.30000000000001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12.2</v>
      </c>
      <c r="E50" s="53">
        <f t="shared" si="6"/>
        <v>100.1</v>
      </c>
      <c r="F50" s="53">
        <f t="shared" si="6"/>
        <v>104</v>
      </c>
      <c r="G50" s="53">
        <f t="shared" si="6"/>
        <v>157.80000000000001</v>
      </c>
      <c r="H50" s="53">
        <f t="shared" si="6"/>
        <v>81.599999999999994</v>
      </c>
      <c r="I50" s="53">
        <f t="shared" si="6"/>
        <v>223.1</v>
      </c>
      <c r="J50" s="53">
        <f t="shared" si="6"/>
        <v>174.9</v>
      </c>
      <c r="K50" s="53">
        <f t="shared" si="6"/>
        <v>209.2</v>
      </c>
      <c r="L50" s="53">
        <f t="shared" si="6"/>
        <v>26.6</v>
      </c>
      <c r="M50" s="53">
        <f t="shared" si="6"/>
        <v>48</v>
      </c>
      <c r="N50" s="54">
        <f t="shared" si="6"/>
        <v>6.5</v>
      </c>
      <c r="O50" s="55">
        <f t="shared" si="7"/>
        <v>1162.2</v>
      </c>
      <c r="P50" s="46">
        <f t="shared" si="8"/>
        <v>96.9</v>
      </c>
    </row>
    <row r="51" spans="2:16" ht="21.95" customHeight="1">
      <c r="B51" s="52">
        <f t="shared" si="6"/>
        <v>2022</v>
      </c>
      <c r="C51" s="53">
        <f t="shared" si="6"/>
        <v>3</v>
      </c>
      <c r="D51" s="53">
        <f t="shared" si="6"/>
        <v>6.8</v>
      </c>
      <c r="E51" s="53">
        <f t="shared" si="6"/>
        <v>88.3</v>
      </c>
      <c r="F51" s="53">
        <f t="shared" si="6"/>
        <v>40.5</v>
      </c>
      <c r="G51" s="53">
        <f t="shared" si="6"/>
        <v>7.5</v>
      </c>
      <c r="H51" s="53">
        <f t="shared" si="6"/>
        <v>273.89999999999998</v>
      </c>
      <c r="I51" s="53">
        <f t="shared" si="6"/>
        <v>310.89999999999998</v>
      </c>
      <c r="J51" s="53">
        <f t="shared" si="6"/>
        <v>485.3</v>
      </c>
      <c r="K51" s="53">
        <f t="shared" si="6"/>
        <v>93.7</v>
      </c>
      <c r="L51" s="53">
        <f t="shared" si="6"/>
        <v>87.1</v>
      </c>
      <c r="M51" s="53">
        <f t="shared" si="6"/>
        <v>60</v>
      </c>
      <c r="N51" s="54">
        <f t="shared" si="6"/>
        <v>19.600000000000001</v>
      </c>
      <c r="O51" s="55">
        <f t="shared" si="7"/>
        <v>1476.6</v>
      </c>
      <c r="P51" s="46">
        <f t="shared" si="8"/>
        <v>123.1</v>
      </c>
    </row>
    <row r="52" spans="2:16" ht="21.95" customHeight="1">
      <c r="B52" s="52">
        <f t="shared" si="6"/>
        <v>2023</v>
      </c>
      <c r="C52" s="53">
        <f t="shared" si="6"/>
        <v>32.6</v>
      </c>
      <c r="D52" s="53">
        <f t="shared" si="6"/>
        <v>2.2000000000000002</v>
      </c>
      <c r="E52" s="53">
        <f t="shared" si="6"/>
        <v>14</v>
      </c>
      <c r="F52" s="53">
        <f t="shared" si="6"/>
        <v>48.6</v>
      </c>
      <c r="G52" s="53">
        <f t="shared" si="6"/>
        <v>167.1</v>
      </c>
      <c r="H52" s="53">
        <f t="shared" si="6"/>
        <v>231.3</v>
      </c>
      <c r="I52" s="53">
        <f t="shared" si="6"/>
        <v>605.29999999999995</v>
      </c>
      <c r="J52" s="53">
        <f t="shared" si="6"/>
        <v>240.9</v>
      </c>
      <c r="K52" s="53">
        <f t="shared" si="6"/>
        <v>234.6</v>
      </c>
      <c r="L52" s="53">
        <f t="shared" si="6"/>
        <v>33.799999999999997</v>
      </c>
      <c r="M52" s="53">
        <f t="shared" si="6"/>
        <v>49.8</v>
      </c>
      <c r="N52" s="54">
        <f t="shared" si="6"/>
        <v>105.5</v>
      </c>
      <c r="O52" s="55">
        <f t="shared" si="7"/>
        <v>1765.7</v>
      </c>
      <c r="P52" s="46">
        <f t="shared" si="8"/>
        <v>147.1</v>
      </c>
    </row>
    <row r="53" spans="2:16" ht="21.95" customHeight="1" thickBot="1">
      <c r="B53" s="56">
        <f t="shared" si="6"/>
        <v>2024</v>
      </c>
      <c r="C53" s="57">
        <f t="shared" si="6"/>
        <v>24.8</v>
      </c>
      <c r="D53" s="57">
        <f t="shared" si="6"/>
        <v>78.900000000000006</v>
      </c>
      <c r="E53" s="57">
        <f t="shared" si="6"/>
        <v>52.2</v>
      </c>
      <c r="F53" s="57">
        <f t="shared" si="6"/>
        <v>54.7</v>
      </c>
      <c r="G53" s="57">
        <f t="shared" si="6"/>
        <v>128.69999999999999</v>
      </c>
      <c r="H53" s="57">
        <f t="shared" si="6"/>
        <v>171.7</v>
      </c>
      <c r="I53" s="57">
        <f t="shared" si="6"/>
        <v>467.8</v>
      </c>
      <c r="J53" s="57">
        <f t="shared" si="6"/>
        <v>99.1</v>
      </c>
      <c r="K53" s="57">
        <f t="shared" si="6"/>
        <v>195.6</v>
      </c>
      <c r="L53" s="57">
        <f t="shared" si="6"/>
        <v>114.1</v>
      </c>
      <c r="M53" s="57">
        <f t="shared" si="6"/>
        <v>42.1</v>
      </c>
      <c r="N53" s="58">
        <f t="shared" si="6"/>
        <v>3.1</v>
      </c>
      <c r="O53" s="59">
        <f t="shared" si="7"/>
        <v>1432.8</v>
      </c>
      <c r="P53" s="51">
        <f t="shared" si="8"/>
        <v>119.4</v>
      </c>
    </row>
    <row r="54" spans="2:16" ht="21.95" customHeight="1">
      <c r="B54" s="60" t="s">
        <v>19</v>
      </c>
      <c r="C54" s="61">
        <f>MAX(C44:C53)</f>
        <v>68.099999999999994</v>
      </c>
      <c r="D54" s="61">
        <f t="shared" ref="D54:P54" si="9">MAX(D44:D53)</f>
        <v>78.900000000000006</v>
      </c>
      <c r="E54" s="61">
        <f t="shared" si="9"/>
        <v>100.1</v>
      </c>
      <c r="F54" s="61">
        <f t="shared" si="9"/>
        <v>117.1</v>
      </c>
      <c r="G54" s="61">
        <f t="shared" si="9"/>
        <v>172.5</v>
      </c>
      <c r="H54" s="61">
        <f t="shared" si="9"/>
        <v>273.89999999999998</v>
      </c>
      <c r="I54" s="61">
        <f t="shared" si="9"/>
        <v>605.29999999999995</v>
      </c>
      <c r="J54" s="61">
        <f t="shared" si="9"/>
        <v>685.8</v>
      </c>
      <c r="K54" s="61">
        <f t="shared" si="9"/>
        <v>234.6</v>
      </c>
      <c r="L54" s="61">
        <f t="shared" si="9"/>
        <v>114.1</v>
      </c>
      <c r="M54" s="61">
        <f t="shared" si="9"/>
        <v>110.6</v>
      </c>
      <c r="N54" s="62">
        <f t="shared" si="9"/>
        <v>105.5</v>
      </c>
      <c r="O54" s="63">
        <f t="shared" si="9"/>
        <v>1765.7</v>
      </c>
      <c r="P54" s="62">
        <f t="shared" si="9"/>
        <v>147.1</v>
      </c>
    </row>
    <row r="55" spans="2:16" ht="21.95" customHeight="1">
      <c r="B55" s="64" t="s">
        <v>20</v>
      </c>
      <c r="C55" s="65">
        <f>MIN(C44:C53)</f>
        <v>1</v>
      </c>
      <c r="D55" s="65">
        <f t="shared" ref="D55:P55" si="10">MIN(D44:D53)</f>
        <v>2.2000000000000002</v>
      </c>
      <c r="E55" s="65">
        <f t="shared" si="10"/>
        <v>14</v>
      </c>
      <c r="F55" s="65">
        <f t="shared" si="10"/>
        <v>28.9</v>
      </c>
      <c r="G55" s="65">
        <f t="shared" si="10"/>
        <v>7.5</v>
      </c>
      <c r="H55" s="65">
        <f t="shared" si="10"/>
        <v>42.1</v>
      </c>
      <c r="I55" s="65">
        <f t="shared" si="10"/>
        <v>158.6</v>
      </c>
      <c r="J55" s="65">
        <f t="shared" si="10"/>
        <v>63.8</v>
      </c>
      <c r="K55" s="65">
        <f t="shared" si="10"/>
        <v>36.6</v>
      </c>
      <c r="L55" s="65">
        <f t="shared" si="10"/>
        <v>12.4</v>
      </c>
      <c r="M55" s="65">
        <f t="shared" si="10"/>
        <v>13.4</v>
      </c>
      <c r="N55" s="46">
        <f t="shared" si="10"/>
        <v>3.1</v>
      </c>
      <c r="O55" s="55">
        <f>MIN(O44:O53)</f>
        <v>803.4</v>
      </c>
      <c r="P55" s="46">
        <f t="shared" si="10"/>
        <v>67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</v>
      </c>
      <c r="E56" s="67">
        <f t="shared" si="11"/>
        <v>45.8</v>
      </c>
      <c r="F56" s="67">
        <f t="shared" si="11"/>
        <v>71.900000000000006</v>
      </c>
      <c r="G56" s="67">
        <f t="shared" si="11"/>
        <v>91.6</v>
      </c>
      <c r="H56" s="67">
        <f t="shared" si="11"/>
        <v>125.3</v>
      </c>
      <c r="I56" s="67">
        <f t="shared" si="11"/>
        <v>335.4</v>
      </c>
      <c r="J56" s="67">
        <f t="shared" si="11"/>
        <v>257.8</v>
      </c>
      <c r="K56" s="67">
        <f t="shared" si="11"/>
        <v>134.4</v>
      </c>
      <c r="L56" s="67">
        <f t="shared" si="11"/>
        <v>64.7</v>
      </c>
      <c r="M56" s="67">
        <f t="shared" si="11"/>
        <v>52.1</v>
      </c>
      <c r="N56" s="51">
        <f t="shared" si="11"/>
        <v>30.6</v>
      </c>
      <c r="O56" s="59">
        <f>ROUND(AVERAGE(O44:O53),1)</f>
        <v>1262.3</v>
      </c>
      <c r="P56" s="51">
        <f>ROUND(AVERAGE(P44:P53),1)</f>
        <v>105.2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36E8-076F-4091-B11C-497C5D9BA306}">
  <sheetPr codeName="Sheet15">
    <tabColor rgb="FF80808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17</v>
      </c>
      <c r="D6" s="9">
        <v>13.4</v>
      </c>
      <c r="E6" s="9">
        <v>46.4</v>
      </c>
      <c r="F6" s="9">
        <v>60.5</v>
      </c>
      <c r="G6" s="9">
        <v>56</v>
      </c>
      <c r="H6" s="9">
        <v>45.5</v>
      </c>
      <c r="I6" s="9">
        <v>126.5</v>
      </c>
      <c r="J6" s="10">
        <v>508</v>
      </c>
      <c r="K6" s="9">
        <v>31</v>
      </c>
      <c r="L6" s="9">
        <v>42</v>
      </c>
      <c r="M6" s="9">
        <v>32.299999999999997</v>
      </c>
      <c r="N6" s="11">
        <v>5.3</v>
      </c>
      <c r="O6" s="12">
        <f t="shared" ref="O6:O35" si="0">ROUND(SUM(C6:N6),1)</f>
        <v>983.9</v>
      </c>
      <c r="P6" s="13">
        <f>ROUND(O6/12,1)</f>
        <v>82</v>
      </c>
      <c r="Q6" s="14"/>
    </row>
    <row r="7" spans="2:17" ht="21.95" customHeight="1">
      <c r="B7" s="15">
        <v>1996</v>
      </c>
      <c r="C7" s="16">
        <v>18.399999999999999</v>
      </c>
      <c r="D7" s="16">
        <v>5.3</v>
      </c>
      <c r="E7" s="16">
        <v>100.7</v>
      </c>
      <c r="F7" s="16">
        <v>28.5</v>
      </c>
      <c r="G7" s="16">
        <v>62.5</v>
      </c>
      <c r="H7" s="16">
        <v>385.5</v>
      </c>
      <c r="I7" s="16">
        <v>264</v>
      </c>
      <c r="J7" s="17">
        <v>97.5</v>
      </c>
      <c r="K7" s="16">
        <v>29</v>
      </c>
      <c r="L7" s="16">
        <v>80</v>
      </c>
      <c r="M7" s="16">
        <v>66.8</v>
      </c>
      <c r="N7" s="18">
        <v>25.8</v>
      </c>
      <c r="O7" s="12">
        <f t="shared" si="0"/>
        <v>1164</v>
      </c>
      <c r="P7" s="19">
        <f t="shared" ref="P7:P35" si="1">ROUND(O7/12,1)</f>
        <v>97</v>
      </c>
      <c r="Q7" s="14"/>
    </row>
    <row r="8" spans="2:17" ht="21.95" customHeight="1">
      <c r="B8" s="15">
        <v>1997</v>
      </c>
      <c r="C8" s="16">
        <v>14.1</v>
      </c>
      <c r="D8" s="16">
        <v>55</v>
      </c>
      <c r="E8" s="16">
        <v>32</v>
      </c>
      <c r="F8" s="16">
        <v>49</v>
      </c>
      <c r="G8" s="16">
        <v>238</v>
      </c>
      <c r="H8" s="16">
        <v>226</v>
      </c>
      <c r="I8" s="16">
        <v>378.8</v>
      </c>
      <c r="J8" s="16">
        <v>402.5</v>
      </c>
      <c r="K8" s="16">
        <v>46</v>
      </c>
      <c r="L8" s="16">
        <v>9.5</v>
      </c>
      <c r="M8" s="16">
        <v>162.69999999999999</v>
      </c>
      <c r="N8" s="18">
        <v>50.1</v>
      </c>
      <c r="O8" s="12">
        <f t="shared" si="0"/>
        <v>1663.7</v>
      </c>
      <c r="P8" s="19">
        <f t="shared" si="1"/>
        <v>138.6</v>
      </c>
      <c r="Q8" s="14"/>
    </row>
    <row r="9" spans="2:17" ht="21.95" customHeight="1">
      <c r="B9" s="15">
        <v>1998</v>
      </c>
      <c r="C9" s="16">
        <v>22.4</v>
      </c>
      <c r="D9" s="16">
        <v>28</v>
      </c>
      <c r="E9" s="16">
        <v>23.7</v>
      </c>
      <c r="F9" s="16">
        <v>173.5</v>
      </c>
      <c r="G9" s="16">
        <v>103.5</v>
      </c>
      <c r="H9" s="16">
        <v>256</v>
      </c>
      <c r="I9" s="16">
        <v>311.5</v>
      </c>
      <c r="J9" s="16">
        <v>894</v>
      </c>
      <c r="K9" s="16">
        <v>180.5</v>
      </c>
      <c r="L9" s="16">
        <v>54.5</v>
      </c>
      <c r="M9" s="16">
        <v>33</v>
      </c>
      <c r="N9" s="18">
        <v>4.5</v>
      </c>
      <c r="O9" s="12">
        <f t="shared" si="0"/>
        <v>2085.1</v>
      </c>
      <c r="P9" s="19">
        <f t="shared" si="1"/>
        <v>173.8</v>
      </c>
      <c r="Q9" s="14"/>
    </row>
    <row r="10" spans="2:17" ht="21.95" customHeight="1">
      <c r="B10" s="15">
        <v>1999</v>
      </c>
      <c r="C10" s="16">
        <v>1.5</v>
      </c>
      <c r="D10" s="16">
        <v>6.9</v>
      </c>
      <c r="E10" s="16">
        <v>72.5</v>
      </c>
      <c r="F10" s="16">
        <v>118</v>
      </c>
      <c r="G10" s="16">
        <v>108</v>
      </c>
      <c r="H10" s="16">
        <v>206</v>
      </c>
      <c r="I10" s="16">
        <v>136.5</v>
      </c>
      <c r="J10" s="16">
        <v>249.1</v>
      </c>
      <c r="K10" s="16">
        <v>306.8</v>
      </c>
      <c r="L10" s="16">
        <v>144</v>
      </c>
      <c r="M10" s="16">
        <v>15.6</v>
      </c>
      <c r="N10" s="18">
        <v>14.3</v>
      </c>
      <c r="O10" s="12">
        <f t="shared" si="0"/>
        <v>1379.2</v>
      </c>
      <c r="P10" s="19">
        <f t="shared" si="1"/>
        <v>114.9</v>
      </c>
      <c r="Q10" s="14"/>
    </row>
    <row r="11" spans="2:17" ht="21.95" customHeight="1">
      <c r="B11" s="15">
        <v>2000</v>
      </c>
      <c r="C11" s="16">
        <v>34.299999999999997</v>
      </c>
      <c r="D11" s="16">
        <v>3.7</v>
      </c>
      <c r="E11" s="16">
        <v>20.7</v>
      </c>
      <c r="F11" s="16">
        <v>60</v>
      </c>
      <c r="G11" s="16">
        <v>44.5</v>
      </c>
      <c r="H11" s="16">
        <v>244.6</v>
      </c>
      <c r="I11" s="16">
        <v>384.2</v>
      </c>
      <c r="J11" s="16">
        <v>348.5</v>
      </c>
      <c r="K11" s="16">
        <v>229.5</v>
      </c>
      <c r="L11" s="16">
        <v>25</v>
      </c>
      <c r="M11" s="16">
        <v>38</v>
      </c>
      <c r="N11" s="18">
        <v>16.2</v>
      </c>
      <c r="O11" s="12">
        <f t="shared" si="0"/>
        <v>1449.2</v>
      </c>
      <c r="P11" s="19">
        <f t="shared" si="1"/>
        <v>120.8</v>
      </c>
      <c r="Q11" s="14"/>
    </row>
    <row r="12" spans="2:17" ht="21.95" customHeight="1">
      <c r="B12" s="15">
        <v>2001</v>
      </c>
      <c r="C12" s="16">
        <v>49.4</v>
      </c>
      <c r="D12" s="16">
        <v>60.5</v>
      </c>
      <c r="E12" s="16">
        <v>12.7</v>
      </c>
      <c r="F12" s="16">
        <v>11.5</v>
      </c>
      <c r="G12" s="16">
        <v>18</v>
      </c>
      <c r="H12" s="16">
        <v>259.5</v>
      </c>
      <c r="I12" s="16">
        <v>139.5</v>
      </c>
      <c r="J12" s="16">
        <v>127</v>
      </c>
      <c r="K12" s="16">
        <v>42.5</v>
      </c>
      <c r="L12" s="16">
        <v>81</v>
      </c>
      <c r="M12" s="16">
        <v>9</v>
      </c>
      <c r="N12" s="18">
        <v>23.8</v>
      </c>
      <c r="O12" s="12">
        <f t="shared" si="0"/>
        <v>834.4</v>
      </c>
      <c r="P12" s="19">
        <f t="shared" si="1"/>
        <v>69.5</v>
      </c>
    </row>
    <row r="13" spans="2:17" ht="21.95" customHeight="1">
      <c r="B13" s="15">
        <v>2002</v>
      </c>
      <c r="C13" s="16">
        <v>89.1</v>
      </c>
      <c r="D13" s="16">
        <v>11</v>
      </c>
      <c r="E13" s="16">
        <v>35</v>
      </c>
      <c r="F13" s="16">
        <v>178</v>
      </c>
      <c r="G13" s="16">
        <v>126</v>
      </c>
      <c r="H13" s="16">
        <v>49</v>
      </c>
      <c r="I13" s="16">
        <v>156.5</v>
      </c>
      <c r="J13" s="16">
        <v>418</v>
      </c>
      <c r="K13" s="16">
        <v>114.5</v>
      </c>
      <c r="L13" s="16">
        <v>42</v>
      </c>
      <c r="M13" s="16">
        <v>20.100000000000001</v>
      </c>
      <c r="N13" s="18">
        <v>45.7</v>
      </c>
      <c r="O13" s="12">
        <f t="shared" si="0"/>
        <v>1284.9000000000001</v>
      </c>
      <c r="P13" s="19">
        <f t="shared" si="1"/>
        <v>107.1</v>
      </c>
    </row>
    <row r="14" spans="2:17" ht="21.95" customHeight="1">
      <c r="B14" s="15">
        <v>2003</v>
      </c>
      <c r="C14" s="16">
        <v>22.7</v>
      </c>
      <c r="D14" s="16">
        <v>67</v>
      </c>
      <c r="E14" s="16">
        <v>44.5</v>
      </c>
      <c r="F14" s="16">
        <v>200.5</v>
      </c>
      <c r="G14" s="16">
        <v>159</v>
      </c>
      <c r="H14" s="16">
        <v>192</v>
      </c>
      <c r="I14" s="16">
        <v>689</v>
      </c>
      <c r="J14" s="16">
        <v>310</v>
      </c>
      <c r="K14" s="16">
        <v>306.5</v>
      </c>
      <c r="L14" s="16">
        <v>32</v>
      </c>
      <c r="M14" s="16">
        <v>36.5</v>
      </c>
      <c r="N14" s="18">
        <v>19.5</v>
      </c>
      <c r="O14" s="12">
        <f t="shared" si="0"/>
        <v>2079.1999999999998</v>
      </c>
      <c r="P14" s="19">
        <f t="shared" si="1"/>
        <v>173.3</v>
      </c>
    </row>
    <row r="15" spans="2:17" ht="21.95" customHeight="1">
      <c r="B15" s="15">
        <v>2004</v>
      </c>
      <c r="C15" s="16">
        <v>15.4</v>
      </c>
      <c r="D15" s="16">
        <v>33.799999999999997</v>
      </c>
      <c r="E15" s="16">
        <v>59.9</v>
      </c>
      <c r="F15" s="16">
        <v>84.2</v>
      </c>
      <c r="G15" s="16">
        <v>117</v>
      </c>
      <c r="H15" s="16">
        <v>327</v>
      </c>
      <c r="I15" s="16">
        <v>295.5</v>
      </c>
      <c r="J15" s="16">
        <v>203.5</v>
      </c>
      <c r="K15" s="16">
        <v>136</v>
      </c>
      <c r="L15" s="16">
        <v>5.5</v>
      </c>
      <c r="M15" s="16">
        <v>38.5</v>
      </c>
      <c r="N15" s="18">
        <v>49.1</v>
      </c>
      <c r="O15" s="12">
        <f t="shared" si="0"/>
        <v>1365.4</v>
      </c>
      <c r="P15" s="19">
        <f t="shared" si="1"/>
        <v>113.8</v>
      </c>
    </row>
    <row r="16" spans="2:17" ht="21.95" customHeight="1">
      <c r="B16" s="15">
        <v>2005</v>
      </c>
      <c r="C16" s="16">
        <v>9.1999999999999993</v>
      </c>
      <c r="D16" s="16">
        <v>20</v>
      </c>
      <c r="E16" s="16">
        <v>38</v>
      </c>
      <c r="F16" s="16">
        <v>62.5</v>
      </c>
      <c r="G16" s="16">
        <v>62</v>
      </c>
      <c r="H16" s="16">
        <v>215</v>
      </c>
      <c r="I16" s="16">
        <v>400</v>
      </c>
      <c r="J16" s="16">
        <v>493.5</v>
      </c>
      <c r="K16" s="16">
        <v>177.5</v>
      </c>
      <c r="L16" s="16">
        <v>31</v>
      </c>
      <c r="M16" s="16">
        <v>15</v>
      </c>
      <c r="N16" s="18">
        <v>12.6</v>
      </c>
      <c r="O16" s="12">
        <f t="shared" si="0"/>
        <v>1536.3</v>
      </c>
      <c r="P16" s="19">
        <f t="shared" si="1"/>
        <v>128</v>
      </c>
    </row>
    <row r="17" spans="2:16" ht="21.95" customHeight="1">
      <c r="B17" s="15">
        <v>2006</v>
      </c>
      <c r="C17" s="16">
        <v>27</v>
      </c>
      <c r="D17" s="16">
        <v>37.799999999999997</v>
      </c>
      <c r="E17" s="16">
        <v>11.9</v>
      </c>
      <c r="F17" s="16">
        <v>92.5</v>
      </c>
      <c r="G17" s="16">
        <v>107</v>
      </c>
      <c r="H17" s="16">
        <v>113</v>
      </c>
      <c r="I17" s="16">
        <v>511.5</v>
      </c>
      <c r="J17" s="16">
        <v>143</v>
      </c>
      <c r="K17" s="16">
        <v>27.5</v>
      </c>
      <c r="L17" s="16">
        <v>25</v>
      </c>
      <c r="M17" s="16">
        <v>76.5</v>
      </c>
      <c r="N17" s="18">
        <v>23.5</v>
      </c>
      <c r="O17" s="12">
        <f t="shared" si="0"/>
        <v>1196.2</v>
      </c>
      <c r="P17" s="19">
        <f t="shared" si="1"/>
        <v>99.7</v>
      </c>
    </row>
    <row r="18" spans="2:16" ht="21.95" customHeight="1">
      <c r="B18" s="15">
        <v>2007</v>
      </c>
      <c r="C18" s="16">
        <v>11.6</v>
      </c>
      <c r="D18" s="16">
        <v>42.5</v>
      </c>
      <c r="E18" s="16">
        <v>119.8</v>
      </c>
      <c r="F18" s="16">
        <v>40</v>
      </c>
      <c r="G18" s="16">
        <v>105</v>
      </c>
      <c r="H18" s="16">
        <v>142</v>
      </c>
      <c r="I18" s="16">
        <v>282.5</v>
      </c>
      <c r="J18" s="16">
        <v>366</v>
      </c>
      <c r="K18" s="16">
        <v>351.5</v>
      </c>
      <c r="L18" s="16">
        <v>37</v>
      </c>
      <c r="M18" s="16">
        <v>10.6</v>
      </c>
      <c r="N18" s="18">
        <v>23.6</v>
      </c>
      <c r="O18" s="12">
        <f t="shared" si="0"/>
        <v>1532.1</v>
      </c>
      <c r="P18" s="19">
        <f t="shared" si="1"/>
        <v>127.7</v>
      </c>
    </row>
    <row r="19" spans="2:16" ht="21.95" customHeight="1">
      <c r="B19" s="15">
        <v>2008</v>
      </c>
      <c r="C19" s="16">
        <v>46.9</v>
      </c>
      <c r="D19" s="16">
        <v>7</v>
      </c>
      <c r="E19" s="16">
        <v>28.7</v>
      </c>
      <c r="F19" s="16">
        <v>23.3</v>
      </c>
      <c r="G19" s="16">
        <v>83.5</v>
      </c>
      <c r="H19" s="16">
        <v>152.1</v>
      </c>
      <c r="I19" s="16">
        <v>212.5</v>
      </c>
      <c r="J19" s="16">
        <v>311.10000000000002</v>
      </c>
      <c r="K19" s="16">
        <v>51.8</v>
      </c>
      <c r="L19" s="16">
        <v>19.399999999999999</v>
      </c>
      <c r="M19" s="16">
        <v>11.3</v>
      </c>
      <c r="N19" s="18">
        <v>14.3</v>
      </c>
      <c r="O19" s="12">
        <f t="shared" si="0"/>
        <v>961.9</v>
      </c>
      <c r="P19" s="19">
        <f t="shared" si="1"/>
        <v>80.2</v>
      </c>
    </row>
    <row r="20" spans="2:16" ht="21.95" customHeight="1">
      <c r="B20" s="15">
        <v>2009</v>
      </c>
      <c r="C20" s="16">
        <v>10.5</v>
      </c>
      <c r="D20" s="16">
        <v>23.9</v>
      </c>
      <c r="E20" s="16">
        <v>53</v>
      </c>
      <c r="F20" s="16">
        <v>37</v>
      </c>
      <c r="G20" s="16">
        <v>147.5</v>
      </c>
      <c r="H20" s="16">
        <v>137</v>
      </c>
      <c r="I20" s="16">
        <v>404</v>
      </c>
      <c r="J20" s="16">
        <v>124</v>
      </c>
      <c r="K20" s="16">
        <v>62.5</v>
      </c>
      <c r="L20" s="16">
        <v>27.2</v>
      </c>
      <c r="M20" s="16">
        <v>48</v>
      </c>
      <c r="N20" s="18">
        <v>37.6</v>
      </c>
      <c r="O20" s="12">
        <f t="shared" si="0"/>
        <v>1112.2</v>
      </c>
      <c r="P20" s="19">
        <f t="shared" si="1"/>
        <v>92.7</v>
      </c>
    </row>
    <row r="21" spans="2:16" ht="21.95" customHeight="1">
      <c r="B21" s="15">
        <v>2010</v>
      </c>
      <c r="C21" s="16">
        <v>32</v>
      </c>
      <c r="D21" s="16">
        <v>74.099999999999994</v>
      </c>
      <c r="E21" s="16">
        <v>82.9</v>
      </c>
      <c r="F21" s="16">
        <v>74</v>
      </c>
      <c r="G21" s="16">
        <v>108</v>
      </c>
      <c r="H21" s="16">
        <v>20.6</v>
      </c>
      <c r="I21" s="16">
        <v>199.6</v>
      </c>
      <c r="J21" s="16">
        <v>357.7</v>
      </c>
      <c r="K21" s="16">
        <v>249.7</v>
      </c>
      <c r="L21" s="16">
        <v>26.8</v>
      </c>
      <c r="M21" s="16">
        <v>9</v>
      </c>
      <c r="N21" s="18">
        <v>28.5</v>
      </c>
      <c r="O21" s="12">
        <f t="shared" si="0"/>
        <v>1262.9000000000001</v>
      </c>
      <c r="P21" s="19">
        <f t="shared" si="1"/>
        <v>105.2</v>
      </c>
    </row>
    <row r="22" spans="2:16" ht="21.95" customHeight="1">
      <c r="B22" s="15">
        <v>2011</v>
      </c>
      <c r="C22" s="16">
        <v>2.6</v>
      </c>
      <c r="D22" s="16">
        <v>38.9</v>
      </c>
      <c r="E22" s="16">
        <v>19.8</v>
      </c>
      <c r="F22" s="16">
        <v>94.5</v>
      </c>
      <c r="G22" s="16">
        <v>153.80000000000001</v>
      </c>
      <c r="H22" s="16">
        <v>412</v>
      </c>
      <c r="I22" s="16">
        <v>535.1</v>
      </c>
      <c r="J22" s="16">
        <v>296.7</v>
      </c>
      <c r="K22" s="16">
        <v>105.8</v>
      </c>
      <c r="L22" s="16">
        <v>55.5</v>
      </c>
      <c r="M22" s="16">
        <v>84.5</v>
      </c>
      <c r="N22" s="18">
        <v>11.5</v>
      </c>
      <c r="O22" s="12">
        <f t="shared" si="0"/>
        <v>1810.7</v>
      </c>
      <c r="P22" s="19">
        <f t="shared" si="1"/>
        <v>150.9</v>
      </c>
    </row>
    <row r="23" spans="2:16" ht="21.95" customHeight="1">
      <c r="B23" s="15">
        <v>2012</v>
      </c>
      <c r="C23" s="16">
        <v>16.100000000000001</v>
      </c>
      <c r="D23" s="16">
        <v>1</v>
      </c>
      <c r="E23" s="16">
        <v>79</v>
      </c>
      <c r="F23" s="16">
        <v>92.4</v>
      </c>
      <c r="G23" s="16">
        <v>44.6</v>
      </c>
      <c r="H23" s="16">
        <v>79.400000000000006</v>
      </c>
      <c r="I23" s="16">
        <v>294.60000000000002</v>
      </c>
      <c r="J23" s="16">
        <v>488.9</v>
      </c>
      <c r="K23" s="16">
        <v>218.5</v>
      </c>
      <c r="L23" s="16">
        <v>83.6</v>
      </c>
      <c r="M23" s="16">
        <v>68.2</v>
      </c>
      <c r="N23" s="18">
        <v>56</v>
      </c>
      <c r="O23" s="12">
        <f t="shared" si="0"/>
        <v>1522.3</v>
      </c>
      <c r="P23" s="19">
        <f t="shared" si="1"/>
        <v>126.9</v>
      </c>
    </row>
    <row r="24" spans="2:16" ht="21.95" customHeight="1">
      <c r="B24" s="15">
        <v>2013</v>
      </c>
      <c r="C24" s="16">
        <v>45.2</v>
      </c>
      <c r="D24" s="16">
        <v>37.200000000000003</v>
      </c>
      <c r="E24" s="16">
        <v>50.9</v>
      </c>
      <c r="F24" s="16">
        <v>90.3</v>
      </c>
      <c r="G24" s="16">
        <v>107.8</v>
      </c>
      <c r="H24" s="16">
        <v>160.9</v>
      </c>
      <c r="I24" s="16">
        <v>245.2</v>
      </c>
      <c r="J24" s="16">
        <v>114</v>
      </c>
      <c r="K24" s="16">
        <v>139.9</v>
      </c>
      <c r="L24" s="16">
        <v>32</v>
      </c>
      <c r="M24" s="16">
        <v>67.2</v>
      </c>
      <c r="N24" s="18">
        <v>35.299999999999997</v>
      </c>
      <c r="O24" s="12">
        <f t="shared" si="0"/>
        <v>1125.9000000000001</v>
      </c>
      <c r="P24" s="19">
        <f t="shared" si="1"/>
        <v>93.8</v>
      </c>
    </row>
    <row r="25" spans="2:16" ht="21.95" customHeight="1">
      <c r="B25" s="15">
        <v>2014</v>
      </c>
      <c r="C25" s="16">
        <v>8</v>
      </c>
      <c r="D25" s="16">
        <v>5.5</v>
      </c>
      <c r="E25" s="16">
        <v>72.2</v>
      </c>
      <c r="F25" s="16">
        <v>46.7</v>
      </c>
      <c r="G25" s="16">
        <v>53</v>
      </c>
      <c r="H25" s="16">
        <v>103.4</v>
      </c>
      <c r="I25" s="16">
        <v>164.7</v>
      </c>
      <c r="J25" s="16">
        <v>288.7</v>
      </c>
      <c r="K25" s="16">
        <v>106.7</v>
      </c>
      <c r="L25" s="16">
        <v>171.3</v>
      </c>
      <c r="M25" s="16">
        <v>43.2</v>
      </c>
      <c r="N25" s="18">
        <v>25.8</v>
      </c>
      <c r="O25" s="12">
        <f t="shared" si="0"/>
        <v>1089.2</v>
      </c>
      <c r="P25" s="19">
        <f t="shared" si="1"/>
        <v>90.8</v>
      </c>
    </row>
    <row r="26" spans="2:16" ht="21.95" customHeight="1">
      <c r="B26" s="15">
        <v>2015</v>
      </c>
      <c r="C26" s="16">
        <v>25.1</v>
      </c>
      <c r="D26" s="16">
        <v>31.8</v>
      </c>
      <c r="E26" s="16">
        <v>45</v>
      </c>
      <c r="F26" s="16">
        <v>92.1</v>
      </c>
      <c r="G26" s="16">
        <v>31.8</v>
      </c>
      <c r="H26" s="16">
        <v>73.400000000000006</v>
      </c>
      <c r="I26" s="16">
        <v>156.69999999999999</v>
      </c>
      <c r="J26" s="16">
        <v>85.2</v>
      </c>
      <c r="K26" s="16">
        <v>38.799999999999997</v>
      </c>
      <c r="L26" s="16">
        <v>84.5</v>
      </c>
      <c r="M26" s="16">
        <v>109.8</v>
      </c>
      <c r="N26" s="18">
        <v>42.8</v>
      </c>
      <c r="O26" s="12">
        <f t="shared" si="0"/>
        <v>817</v>
      </c>
      <c r="P26" s="19">
        <f t="shared" si="1"/>
        <v>68.099999999999994</v>
      </c>
    </row>
    <row r="27" spans="2:16" ht="21.95" customHeight="1">
      <c r="B27" s="15">
        <v>2016</v>
      </c>
      <c r="C27" s="16">
        <v>9.6999999999999993</v>
      </c>
      <c r="D27" s="16">
        <v>39.799999999999997</v>
      </c>
      <c r="E27" s="16">
        <v>45.5</v>
      </c>
      <c r="F27" s="16">
        <v>149.19999999999999</v>
      </c>
      <c r="G27" s="16">
        <v>88.5</v>
      </c>
      <c r="H27" s="16">
        <v>48.8</v>
      </c>
      <c r="I27" s="16">
        <v>494.9</v>
      </c>
      <c r="J27" s="16">
        <v>53</v>
      </c>
      <c r="K27" s="16">
        <v>149.4</v>
      </c>
      <c r="L27" s="16">
        <v>135.69999999999999</v>
      </c>
      <c r="M27" s="16">
        <v>33.5</v>
      </c>
      <c r="N27" s="18">
        <v>43.6</v>
      </c>
      <c r="O27" s="12">
        <f t="shared" si="0"/>
        <v>1291.5999999999999</v>
      </c>
      <c r="P27" s="19">
        <f t="shared" si="1"/>
        <v>107.6</v>
      </c>
    </row>
    <row r="28" spans="2:16" ht="21.95" customHeight="1">
      <c r="B28" s="15">
        <v>2017</v>
      </c>
      <c r="C28" s="16">
        <v>16.399999999999999</v>
      </c>
      <c r="D28" s="16">
        <v>47</v>
      </c>
      <c r="E28" s="16">
        <v>16.899999999999999</v>
      </c>
      <c r="F28" s="16">
        <v>61</v>
      </c>
      <c r="G28" s="16">
        <v>28</v>
      </c>
      <c r="H28" s="16">
        <v>87.6</v>
      </c>
      <c r="I28" s="16">
        <v>572</v>
      </c>
      <c r="J28" s="16">
        <v>315.8</v>
      </c>
      <c r="K28" s="16">
        <v>108.6</v>
      </c>
      <c r="L28" s="16">
        <v>28.5</v>
      </c>
      <c r="M28" s="16">
        <v>13.4</v>
      </c>
      <c r="N28" s="18">
        <v>27.6</v>
      </c>
      <c r="O28" s="12">
        <f t="shared" si="0"/>
        <v>1322.8</v>
      </c>
      <c r="P28" s="19">
        <f t="shared" si="1"/>
        <v>110.2</v>
      </c>
    </row>
    <row r="29" spans="2:16" ht="21.95" customHeight="1">
      <c r="B29" s="15">
        <v>2018</v>
      </c>
      <c r="C29" s="16">
        <v>25</v>
      </c>
      <c r="D29" s="16">
        <v>28.5</v>
      </c>
      <c r="E29" s="16">
        <v>93.5</v>
      </c>
      <c r="F29" s="16">
        <v>139.19999999999999</v>
      </c>
      <c r="G29" s="16">
        <v>103.9</v>
      </c>
      <c r="H29" s="16">
        <v>75.3</v>
      </c>
      <c r="I29" s="16">
        <v>224.9</v>
      </c>
      <c r="J29" s="16">
        <v>386</v>
      </c>
      <c r="K29" s="16">
        <v>134.69999999999999</v>
      </c>
      <c r="L29" s="16">
        <v>108.3</v>
      </c>
      <c r="M29" s="16">
        <v>52.2</v>
      </c>
      <c r="N29" s="18">
        <v>38</v>
      </c>
      <c r="O29" s="12">
        <f t="shared" si="0"/>
        <v>1409.5</v>
      </c>
      <c r="P29" s="19">
        <f t="shared" si="1"/>
        <v>117.5</v>
      </c>
    </row>
    <row r="30" spans="2:16" ht="21.95" customHeight="1">
      <c r="B30" s="15">
        <v>2019</v>
      </c>
      <c r="C30" s="16">
        <v>0.9</v>
      </c>
      <c r="D30" s="16">
        <v>39.799999999999997</v>
      </c>
      <c r="E30" s="16">
        <v>29</v>
      </c>
      <c r="F30" s="16">
        <v>100.8</v>
      </c>
      <c r="G30" s="16">
        <v>42.8</v>
      </c>
      <c r="H30" s="16">
        <v>73.900000000000006</v>
      </c>
      <c r="I30" s="16">
        <v>226.1</v>
      </c>
      <c r="J30" s="16">
        <v>132.69999999999999</v>
      </c>
      <c r="K30" s="16">
        <v>186.2</v>
      </c>
      <c r="L30" s="16">
        <v>100.6</v>
      </c>
      <c r="M30" s="16">
        <v>86.2</v>
      </c>
      <c r="N30" s="18">
        <v>27.2</v>
      </c>
      <c r="O30" s="12">
        <f t="shared" si="0"/>
        <v>1046.2</v>
      </c>
      <c r="P30" s="19">
        <f t="shared" si="1"/>
        <v>87.2</v>
      </c>
    </row>
    <row r="31" spans="2:16" ht="21.95" customHeight="1">
      <c r="B31" s="15">
        <v>2020</v>
      </c>
      <c r="C31" s="16">
        <v>71.8</v>
      </c>
      <c r="D31" s="16">
        <v>80.8</v>
      </c>
      <c r="E31" s="16">
        <v>23.6</v>
      </c>
      <c r="F31" s="16">
        <v>35.9</v>
      </c>
      <c r="G31" s="16">
        <v>89.1</v>
      </c>
      <c r="H31" s="16">
        <v>171.2</v>
      </c>
      <c r="I31" s="16">
        <v>500.8</v>
      </c>
      <c r="J31" s="16">
        <v>587.79999999999995</v>
      </c>
      <c r="K31" s="16">
        <v>162.19999999999999</v>
      </c>
      <c r="L31" s="16">
        <v>3</v>
      </c>
      <c r="M31" s="16">
        <v>37</v>
      </c>
      <c r="N31" s="18">
        <v>5.6</v>
      </c>
      <c r="O31" s="12">
        <f t="shared" si="0"/>
        <v>1768.8</v>
      </c>
      <c r="P31" s="19">
        <f t="shared" si="1"/>
        <v>147.4</v>
      </c>
    </row>
    <row r="32" spans="2:16" ht="21.95" customHeight="1">
      <c r="B32" s="15">
        <v>2021</v>
      </c>
      <c r="C32" s="16">
        <v>19.8</v>
      </c>
      <c r="D32" s="16">
        <v>14.1</v>
      </c>
      <c r="E32" s="16">
        <v>93</v>
      </c>
      <c r="F32" s="16">
        <v>52.5</v>
      </c>
      <c r="G32" s="16">
        <v>154.5</v>
      </c>
      <c r="H32" s="16">
        <v>76.8</v>
      </c>
      <c r="I32" s="16">
        <v>163.9</v>
      </c>
      <c r="J32" s="16">
        <v>275.8</v>
      </c>
      <c r="K32" s="16">
        <v>162.19999999999999</v>
      </c>
      <c r="L32" s="16">
        <v>33.799999999999997</v>
      </c>
      <c r="M32" s="16">
        <v>44.9</v>
      </c>
      <c r="N32" s="18">
        <v>6.4</v>
      </c>
      <c r="O32" s="12">
        <f t="shared" si="0"/>
        <v>1097.7</v>
      </c>
      <c r="P32" s="19">
        <f t="shared" si="1"/>
        <v>91.5</v>
      </c>
    </row>
    <row r="33" spans="2:16" ht="21.95" customHeight="1">
      <c r="B33" s="15">
        <v>2022</v>
      </c>
      <c r="C33" s="16">
        <v>4.3</v>
      </c>
      <c r="D33" s="16">
        <v>4.3</v>
      </c>
      <c r="E33" s="16">
        <v>98.2</v>
      </c>
      <c r="F33" s="16">
        <v>61.1</v>
      </c>
      <c r="G33" s="16">
        <v>5.6</v>
      </c>
      <c r="H33" s="16">
        <v>98.3</v>
      </c>
      <c r="I33" s="16">
        <v>160.5</v>
      </c>
      <c r="J33" s="16">
        <v>391.9</v>
      </c>
      <c r="K33" s="16">
        <v>71.7</v>
      </c>
      <c r="L33" s="16">
        <v>89.7</v>
      </c>
      <c r="M33" s="16">
        <v>39.9</v>
      </c>
      <c r="N33" s="18">
        <v>18</v>
      </c>
      <c r="O33" s="12">
        <f t="shared" si="0"/>
        <v>1043.5</v>
      </c>
      <c r="P33" s="19">
        <f t="shared" si="1"/>
        <v>87</v>
      </c>
    </row>
    <row r="34" spans="2:16" ht="21.95" customHeight="1">
      <c r="B34" s="15">
        <v>2023</v>
      </c>
      <c r="C34" s="16">
        <v>27.3</v>
      </c>
      <c r="D34" s="16">
        <v>5.3</v>
      </c>
      <c r="E34" s="16">
        <v>25</v>
      </c>
      <c r="F34" s="16">
        <v>51.9</v>
      </c>
      <c r="G34" s="16">
        <v>146.4</v>
      </c>
      <c r="H34" s="16">
        <v>169.3</v>
      </c>
      <c r="I34" s="16">
        <v>796.9</v>
      </c>
      <c r="J34" s="16">
        <v>242.9</v>
      </c>
      <c r="K34" s="16">
        <v>243.2</v>
      </c>
      <c r="L34" s="16">
        <v>14.5</v>
      </c>
      <c r="M34" s="16">
        <v>39.6</v>
      </c>
      <c r="N34" s="18">
        <v>108.1</v>
      </c>
      <c r="O34" s="12">
        <f t="shared" si="0"/>
        <v>1870.4</v>
      </c>
      <c r="P34" s="19">
        <f t="shared" si="1"/>
        <v>155.9</v>
      </c>
    </row>
    <row r="35" spans="2:16" ht="21.95" customHeight="1" thickBot="1">
      <c r="B35" s="33">
        <v>2024</v>
      </c>
      <c r="C35" s="34">
        <v>34.1</v>
      </c>
      <c r="D35" s="34">
        <v>79.599999999999994</v>
      </c>
      <c r="E35" s="34">
        <v>50.7</v>
      </c>
      <c r="F35" s="34">
        <v>45.8</v>
      </c>
      <c r="G35" s="34">
        <v>128.4</v>
      </c>
      <c r="H35" s="34">
        <v>70.099999999999994</v>
      </c>
      <c r="I35" s="34">
        <v>513.79999999999995</v>
      </c>
      <c r="J35" s="34">
        <v>47.6</v>
      </c>
      <c r="K35" s="34">
        <v>148.1</v>
      </c>
      <c r="L35" s="34">
        <v>99.4</v>
      </c>
      <c r="M35" s="34">
        <v>29.6</v>
      </c>
      <c r="N35" s="35">
        <v>5.6</v>
      </c>
      <c r="O35" s="36">
        <f t="shared" si="0"/>
        <v>1252.8</v>
      </c>
      <c r="P35" s="37">
        <f t="shared" si="1"/>
        <v>104.4</v>
      </c>
    </row>
    <row r="36" spans="2:16" ht="21.95" customHeight="1">
      <c r="B36" s="38" t="s">
        <v>13</v>
      </c>
      <c r="C36" s="39">
        <f>ROUND(MAX(C6:C35),1)</f>
        <v>89.1</v>
      </c>
      <c r="D36" s="39">
        <f t="shared" ref="D36:N36" si="2">ROUND(MAX(D6:D35),1)</f>
        <v>80.8</v>
      </c>
      <c r="E36" s="39">
        <f t="shared" si="2"/>
        <v>119.8</v>
      </c>
      <c r="F36" s="39">
        <f t="shared" si="2"/>
        <v>200.5</v>
      </c>
      <c r="G36" s="39">
        <f t="shared" si="2"/>
        <v>238</v>
      </c>
      <c r="H36" s="39">
        <f t="shared" si="2"/>
        <v>412</v>
      </c>
      <c r="I36" s="39">
        <f t="shared" si="2"/>
        <v>796.9</v>
      </c>
      <c r="J36" s="39">
        <f t="shared" si="2"/>
        <v>894</v>
      </c>
      <c r="K36" s="39">
        <f t="shared" si="2"/>
        <v>351.5</v>
      </c>
      <c r="L36" s="39">
        <f t="shared" si="2"/>
        <v>171.3</v>
      </c>
      <c r="M36" s="39">
        <f t="shared" si="2"/>
        <v>162.69999999999999</v>
      </c>
      <c r="N36" s="40">
        <f t="shared" si="2"/>
        <v>108.1</v>
      </c>
      <c r="O36" s="41">
        <f>ROUND(MAX(O6:O35),1)</f>
        <v>2085.1</v>
      </c>
      <c r="P36" s="42">
        <f>ROUND(MAX(P6:P35),1)</f>
        <v>173.8</v>
      </c>
    </row>
    <row r="37" spans="2:16" ht="21.95" customHeight="1">
      <c r="B37" s="43" t="s">
        <v>14</v>
      </c>
      <c r="C37" s="44">
        <f>ROUND(MIN(C6:C35),1)</f>
        <v>0.9</v>
      </c>
      <c r="D37" s="44">
        <f t="shared" ref="D37:N37" si="3">ROUND(MIN(D6:D35),1)</f>
        <v>1</v>
      </c>
      <c r="E37" s="44">
        <f t="shared" si="3"/>
        <v>11.9</v>
      </c>
      <c r="F37" s="44">
        <f t="shared" si="3"/>
        <v>11.5</v>
      </c>
      <c r="G37" s="44">
        <f t="shared" si="3"/>
        <v>5.6</v>
      </c>
      <c r="H37" s="44">
        <f t="shared" si="3"/>
        <v>20.6</v>
      </c>
      <c r="I37" s="44">
        <f t="shared" si="3"/>
        <v>126.5</v>
      </c>
      <c r="J37" s="44">
        <f t="shared" si="3"/>
        <v>47.6</v>
      </c>
      <c r="K37" s="44">
        <f t="shared" si="3"/>
        <v>27.5</v>
      </c>
      <c r="L37" s="44">
        <f t="shared" si="3"/>
        <v>3</v>
      </c>
      <c r="M37" s="44">
        <f t="shared" si="3"/>
        <v>9</v>
      </c>
      <c r="N37" s="19">
        <f t="shared" si="3"/>
        <v>4.5</v>
      </c>
      <c r="O37" s="45">
        <f>ROUND(MIN(O6:O35),1)</f>
        <v>817</v>
      </c>
      <c r="P37" s="46">
        <f>ROUND(MIN(P6:P35),1)</f>
        <v>68.099999999999994</v>
      </c>
    </row>
    <row r="38" spans="2:16" ht="21.95" customHeight="1" thickBot="1">
      <c r="B38" s="47" t="s">
        <v>18</v>
      </c>
      <c r="C38" s="48">
        <f>ROUND(AVERAGE(C6:C35),1)</f>
        <v>24.3</v>
      </c>
      <c r="D38" s="48">
        <f t="shared" ref="D38:P38" si="4">ROUND(AVERAGE(D6:D35),1)</f>
        <v>31.5</v>
      </c>
      <c r="E38" s="48">
        <f t="shared" si="4"/>
        <v>50.8</v>
      </c>
      <c r="F38" s="48">
        <f t="shared" si="4"/>
        <v>80.2</v>
      </c>
      <c r="G38" s="48">
        <f t="shared" si="4"/>
        <v>94.1</v>
      </c>
      <c r="H38" s="48">
        <f t="shared" si="4"/>
        <v>155.69999999999999</v>
      </c>
      <c r="I38" s="48">
        <f t="shared" si="4"/>
        <v>331.4</v>
      </c>
      <c r="J38" s="48">
        <f t="shared" si="4"/>
        <v>302</v>
      </c>
      <c r="K38" s="48">
        <f t="shared" si="4"/>
        <v>144</v>
      </c>
      <c r="L38" s="48">
        <f t="shared" si="4"/>
        <v>57.4</v>
      </c>
      <c r="M38" s="48">
        <f t="shared" si="4"/>
        <v>45.7</v>
      </c>
      <c r="N38" s="49">
        <f t="shared" si="4"/>
        <v>28.2</v>
      </c>
      <c r="O38" s="50">
        <f t="shared" si="4"/>
        <v>1345.3</v>
      </c>
      <c r="P38" s="51">
        <f t="shared" si="4"/>
        <v>112.1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25.1</v>
      </c>
      <c r="D44" s="53">
        <f t="shared" si="5"/>
        <v>31.8</v>
      </c>
      <c r="E44" s="53">
        <f t="shared" si="5"/>
        <v>45</v>
      </c>
      <c r="F44" s="53">
        <f t="shared" si="5"/>
        <v>92.1</v>
      </c>
      <c r="G44" s="53">
        <f t="shared" si="5"/>
        <v>31.8</v>
      </c>
      <c r="H44" s="53">
        <f t="shared" si="5"/>
        <v>73.400000000000006</v>
      </c>
      <c r="I44" s="53">
        <f t="shared" si="5"/>
        <v>156.69999999999999</v>
      </c>
      <c r="J44" s="53">
        <f t="shared" si="5"/>
        <v>85.2</v>
      </c>
      <c r="K44" s="53">
        <f t="shared" si="5"/>
        <v>38.799999999999997</v>
      </c>
      <c r="L44" s="53">
        <f t="shared" si="5"/>
        <v>84.5</v>
      </c>
      <c r="M44" s="53">
        <f t="shared" si="5"/>
        <v>109.8</v>
      </c>
      <c r="N44" s="54">
        <f t="shared" si="5"/>
        <v>42.8</v>
      </c>
      <c r="O44" s="55">
        <f>ROUND(SUM(C44:N44),1)</f>
        <v>817</v>
      </c>
      <c r="P44" s="46">
        <f>ROUND(O44/12,1)</f>
        <v>68.099999999999994</v>
      </c>
    </row>
    <row r="45" spans="2:16" ht="21.95" customHeight="1">
      <c r="B45" s="52">
        <f t="shared" ref="B45:N53" si="6">B27</f>
        <v>2016</v>
      </c>
      <c r="C45" s="53">
        <f t="shared" si="6"/>
        <v>9.6999999999999993</v>
      </c>
      <c r="D45" s="53">
        <f t="shared" si="6"/>
        <v>39.799999999999997</v>
      </c>
      <c r="E45" s="53">
        <f t="shared" si="6"/>
        <v>45.5</v>
      </c>
      <c r="F45" s="53">
        <f t="shared" si="6"/>
        <v>149.19999999999999</v>
      </c>
      <c r="G45" s="53">
        <f t="shared" si="6"/>
        <v>88.5</v>
      </c>
      <c r="H45" s="53">
        <f t="shared" si="6"/>
        <v>48.8</v>
      </c>
      <c r="I45" s="53">
        <f t="shared" si="6"/>
        <v>494.9</v>
      </c>
      <c r="J45" s="53">
        <f t="shared" si="6"/>
        <v>53</v>
      </c>
      <c r="K45" s="53">
        <f t="shared" si="6"/>
        <v>149.4</v>
      </c>
      <c r="L45" s="53">
        <f t="shared" si="6"/>
        <v>135.69999999999999</v>
      </c>
      <c r="M45" s="53">
        <f t="shared" si="6"/>
        <v>33.5</v>
      </c>
      <c r="N45" s="54">
        <f t="shared" si="6"/>
        <v>43.6</v>
      </c>
      <c r="O45" s="55">
        <f t="shared" ref="O45:O53" si="7">ROUND(SUM(C45:N45),1)</f>
        <v>1291.5999999999999</v>
      </c>
      <c r="P45" s="46">
        <f t="shared" ref="P45:P53" si="8">ROUND(O45/12,1)</f>
        <v>107.6</v>
      </c>
    </row>
    <row r="46" spans="2:16" ht="21.95" customHeight="1">
      <c r="B46" s="52">
        <f t="shared" si="6"/>
        <v>2017</v>
      </c>
      <c r="C46" s="53">
        <f t="shared" si="6"/>
        <v>16.399999999999999</v>
      </c>
      <c r="D46" s="53">
        <f t="shared" si="6"/>
        <v>47</v>
      </c>
      <c r="E46" s="53">
        <f t="shared" si="6"/>
        <v>16.899999999999999</v>
      </c>
      <c r="F46" s="53">
        <f t="shared" si="6"/>
        <v>61</v>
      </c>
      <c r="G46" s="53">
        <f t="shared" si="6"/>
        <v>28</v>
      </c>
      <c r="H46" s="53">
        <f t="shared" si="6"/>
        <v>87.6</v>
      </c>
      <c r="I46" s="53">
        <f t="shared" si="6"/>
        <v>572</v>
      </c>
      <c r="J46" s="53">
        <f t="shared" si="6"/>
        <v>315.8</v>
      </c>
      <c r="K46" s="53">
        <f t="shared" si="6"/>
        <v>108.6</v>
      </c>
      <c r="L46" s="53">
        <f t="shared" si="6"/>
        <v>28.5</v>
      </c>
      <c r="M46" s="53">
        <f t="shared" si="6"/>
        <v>13.4</v>
      </c>
      <c r="N46" s="54">
        <f t="shared" si="6"/>
        <v>27.6</v>
      </c>
      <c r="O46" s="55">
        <f t="shared" si="7"/>
        <v>1322.8</v>
      </c>
      <c r="P46" s="46">
        <f t="shared" si="8"/>
        <v>110.2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28.5</v>
      </c>
      <c r="E47" s="53">
        <f t="shared" si="6"/>
        <v>93.5</v>
      </c>
      <c r="F47" s="53">
        <f t="shared" si="6"/>
        <v>139.19999999999999</v>
      </c>
      <c r="G47" s="53">
        <f t="shared" si="6"/>
        <v>103.9</v>
      </c>
      <c r="H47" s="53">
        <f t="shared" si="6"/>
        <v>75.3</v>
      </c>
      <c r="I47" s="53">
        <f t="shared" si="6"/>
        <v>224.9</v>
      </c>
      <c r="J47" s="53">
        <f t="shared" si="6"/>
        <v>386</v>
      </c>
      <c r="K47" s="53">
        <f t="shared" si="6"/>
        <v>134.69999999999999</v>
      </c>
      <c r="L47" s="53">
        <f t="shared" si="6"/>
        <v>108.3</v>
      </c>
      <c r="M47" s="53">
        <f t="shared" si="6"/>
        <v>52.2</v>
      </c>
      <c r="N47" s="54">
        <f t="shared" si="6"/>
        <v>38</v>
      </c>
      <c r="O47" s="55">
        <f>ROUND(SUM(C47:N47),1)</f>
        <v>1409.5</v>
      </c>
      <c r="P47" s="46">
        <f t="shared" si="8"/>
        <v>117.5</v>
      </c>
    </row>
    <row r="48" spans="2:16" ht="21.95" customHeight="1">
      <c r="B48" s="52">
        <f t="shared" si="6"/>
        <v>2019</v>
      </c>
      <c r="C48" s="53">
        <f t="shared" si="6"/>
        <v>0.9</v>
      </c>
      <c r="D48" s="53">
        <f t="shared" si="6"/>
        <v>39.799999999999997</v>
      </c>
      <c r="E48" s="53">
        <f t="shared" si="6"/>
        <v>29</v>
      </c>
      <c r="F48" s="53">
        <f t="shared" si="6"/>
        <v>100.8</v>
      </c>
      <c r="G48" s="53">
        <f t="shared" si="6"/>
        <v>42.8</v>
      </c>
      <c r="H48" s="53">
        <f t="shared" si="6"/>
        <v>73.900000000000006</v>
      </c>
      <c r="I48" s="53">
        <f t="shared" si="6"/>
        <v>226.1</v>
      </c>
      <c r="J48" s="53">
        <f t="shared" si="6"/>
        <v>132.69999999999999</v>
      </c>
      <c r="K48" s="53">
        <f t="shared" si="6"/>
        <v>186.2</v>
      </c>
      <c r="L48" s="53">
        <f t="shared" si="6"/>
        <v>100.6</v>
      </c>
      <c r="M48" s="53">
        <f t="shared" si="6"/>
        <v>86.2</v>
      </c>
      <c r="N48" s="54">
        <f t="shared" si="6"/>
        <v>27.2</v>
      </c>
      <c r="O48" s="55">
        <f t="shared" si="7"/>
        <v>1046.2</v>
      </c>
      <c r="P48" s="46">
        <f t="shared" si="8"/>
        <v>87.2</v>
      </c>
    </row>
    <row r="49" spans="2:16" ht="21.95" customHeight="1">
      <c r="B49" s="52">
        <f t="shared" si="6"/>
        <v>2020</v>
      </c>
      <c r="C49" s="53">
        <f t="shared" si="6"/>
        <v>71.8</v>
      </c>
      <c r="D49" s="53">
        <f t="shared" si="6"/>
        <v>80.8</v>
      </c>
      <c r="E49" s="53">
        <f t="shared" si="6"/>
        <v>23.6</v>
      </c>
      <c r="F49" s="53">
        <f t="shared" si="6"/>
        <v>35.9</v>
      </c>
      <c r="G49" s="53">
        <f t="shared" si="6"/>
        <v>89.1</v>
      </c>
      <c r="H49" s="53">
        <f t="shared" si="6"/>
        <v>171.2</v>
      </c>
      <c r="I49" s="53">
        <f t="shared" si="6"/>
        <v>500.8</v>
      </c>
      <c r="J49" s="53">
        <f t="shared" si="6"/>
        <v>587.79999999999995</v>
      </c>
      <c r="K49" s="53">
        <f t="shared" si="6"/>
        <v>162.19999999999999</v>
      </c>
      <c r="L49" s="53">
        <f t="shared" si="6"/>
        <v>3</v>
      </c>
      <c r="M49" s="53">
        <f t="shared" si="6"/>
        <v>37</v>
      </c>
      <c r="N49" s="54">
        <f t="shared" si="6"/>
        <v>5.6</v>
      </c>
      <c r="O49" s="55">
        <f t="shared" si="7"/>
        <v>1768.8</v>
      </c>
      <c r="P49" s="46">
        <f t="shared" si="8"/>
        <v>147.4</v>
      </c>
    </row>
    <row r="50" spans="2:16" ht="21.95" customHeight="1">
      <c r="B50" s="52">
        <f t="shared" si="6"/>
        <v>2021</v>
      </c>
      <c r="C50" s="53">
        <f t="shared" si="6"/>
        <v>19.8</v>
      </c>
      <c r="D50" s="53">
        <f t="shared" si="6"/>
        <v>14.1</v>
      </c>
      <c r="E50" s="53">
        <f t="shared" si="6"/>
        <v>93</v>
      </c>
      <c r="F50" s="53">
        <f t="shared" si="6"/>
        <v>52.5</v>
      </c>
      <c r="G50" s="53">
        <f t="shared" si="6"/>
        <v>154.5</v>
      </c>
      <c r="H50" s="53">
        <f t="shared" si="6"/>
        <v>76.8</v>
      </c>
      <c r="I50" s="53">
        <f t="shared" si="6"/>
        <v>163.9</v>
      </c>
      <c r="J50" s="53">
        <f t="shared" si="6"/>
        <v>275.8</v>
      </c>
      <c r="K50" s="53">
        <f t="shared" si="6"/>
        <v>162.19999999999999</v>
      </c>
      <c r="L50" s="53">
        <f t="shared" si="6"/>
        <v>33.799999999999997</v>
      </c>
      <c r="M50" s="53">
        <f t="shared" si="6"/>
        <v>44.9</v>
      </c>
      <c r="N50" s="54">
        <f t="shared" si="6"/>
        <v>6.4</v>
      </c>
      <c r="O50" s="55">
        <f t="shared" si="7"/>
        <v>1097.7</v>
      </c>
      <c r="P50" s="46">
        <f t="shared" si="8"/>
        <v>91.5</v>
      </c>
    </row>
    <row r="51" spans="2:16" ht="21.95" customHeight="1">
      <c r="B51" s="52">
        <f t="shared" si="6"/>
        <v>2022</v>
      </c>
      <c r="C51" s="53">
        <f t="shared" si="6"/>
        <v>4.3</v>
      </c>
      <c r="D51" s="53">
        <f t="shared" si="6"/>
        <v>4.3</v>
      </c>
      <c r="E51" s="53">
        <f t="shared" si="6"/>
        <v>98.2</v>
      </c>
      <c r="F51" s="53">
        <f t="shared" si="6"/>
        <v>61.1</v>
      </c>
      <c r="G51" s="53">
        <f t="shared" si="6"/>
        <v>5.6</v>
      </c>
      <c r="H51" s="53">
        <f t="shared" si="6"/>
        <v>98.3</v>
      </c>
      <c r="I51" s="53">
        <f t="shared" si="6"/>
        <v>160.5</v>
      </c>
      <c r="J51" s="53">
        <f t="shared" si="6"/>
        <v>391.9</v>
      </c>
      <c r="K51" s="53">
        <f t="shared" si="6"/>
        <v>71.7</v>
      </c>
      <c r="L51" s="53">
        <f t="shared" si="6"/>
        <v>89.7</v>
      </c>
      <c r="M51" s="53">
        <f t="shared" si="6"/>
        <v>39.9</v>
      </c>
      <c r="N51" s="54">
        <f t="shared" si="6"/>
        <v>18</v>
      </c>
      <c r="O51" s="55">
        <f t="shared" si="7"/>
        <v>1043.5</v>
      </c>
      <c r="P51" s="46">
        <f t="shared" si="8"/>
        <v>87</v>
      </c>
    </row>
    <row r="52" spans="2:16" ht="21.95" customHeight="1">
      <c r="B52" s="52">
        <f t="shared" si="6"/>
        <v>2023</v>
      </c>
      <c r="C52" s="53">
        <f t="shared" si="6"/>
        <v>27.3</v>
      </c>
      <c r="D52" s="53">
        <f t="shared" si="6"/>
        <v>5.3</v>
      </c>
      <c r="E52" s="53">
        <f t="shared" si="6"/>
        <v>25</v>
      </c>
      <c r="F52" s="53">
        <f t="shared" si="6"/>
        <v>51.9</v>
      </c>
      <c r="G52" s="53">
        <f t="shared" si="6"/>
        <v>146.4</v>
      </c>
      <c r="H52" s="53">
        <f t="shared" si="6"/>
        <v>169.3</v>
      </c>
      <c r="I52" s="53">
        <f t="shared" si="6"/>
        <v>796.9</v>
      </c>
      <c r="J52" s="53">
        <f t="shared" si="6"/>
        <v>242.9</v>
      </c>
      <c r="K52" s="53">
        <f t="shared" si="6"/>
        <v>243.2</v>
      </c>
      <c r="L52" s="53">
        <f t="shared" si="6"/>
        <v>14.5</v>
      </c>
      <c r="M52" s="53">
        <f t="shared" si="6"/>
        <v>39.6</v>
      </c>
      <c r="N52" s="54">
        <f t="shared" si="6"/>
        <v>108.1</v>
      </c>
      <c r="O52" s="55">
        <f t="shared" si="7"/>
        <v>1870.4</v>
      </c>
      <c r="P52" s="46">
        <f t="shared" si="8"/>
        <v>155.9</v>
      </c>
    </row>
    <row r="53" spans="2:16" ht="21.95" customHeight="1" thickBot="1">
      <c r="B53" s="56">
        <f t="shared" si="6"/>
        <v>2024</v>
      </c>
      <c r="C53" s="57">
        <f t="shared" si="6"/>
        <v>34.1</v>
      </c>
      <c r="D53" s="57">
        <f t="shared" si="6"/>
        <v>79.599999999999994</v>
      </c>
      <c r="E53" s="57">
        <f t="shared" si="6"/>
        <v>50.7</v>
      </c>
      <c r="F53" s="57">
        <f t="shared" si="6"/>
        <v>45.8</v>
      </c>
      <c r="G53" s="57">
        <f t="shared" si="6"/>
        <v>128.4</v>
      </c>
      <c r="H53" s="57">
        <f t="shared" si="6"/>
        <v>70.099999999999994</v>
      </c>
      <c r="I53" s="57">
        <f t="shared" si="6"/>
        <v>513.79999999999995</v>
      </c>
      <c r="J53" s="57">
        <f t="shared" si="6"/>
        <v>47.6</v>
      </c>
      <c r="K53" s="57">
        <f t="shared" si="6"/>
        <v>148.1</v>
      </c>
      <c r="L53" s="57">
        <f t="shared" si="6"/>
        <v>99.4</v>
      </c>
      <c r="M53" s="57">
        <f t="shared" si="6"/>
        <v>29.6</v>
      </c>
      <c r="N53" s="58">
        <f t="shared" si="6"/>
        <v>5.6</v>
      </c>
      <c r="O53" s="59">
        <f t="shared" si="7"/>
        <v>1252.8</v>
      </c>
      <c r="P53" s="51">
        <f t="shared" si="8"/>
        <v>104.4</v>
      </c>
    </row>
    <row r="54" spans="2:16" ht="21.95" customHeight="1">
      <c r="B54" s="60" t="s">
        <v>19</v>
      </c>
      <c r="C54" s="61">
        <f>MAX(C44:C53)</f>
        <v>71.8</v>
      </c>
      <c r="D54" s="61">
        <f t="shared" ref="D54:P54" si="9">MAX(D44:D53)</f>
        <v>80.8</v>
      </c>
      <c r="E54" s="61">
        <f t="shared" si="9"/>
        <v>98.2</v>
      </c>
      <c r="F54" s="61">
        <f t="shared" si="9"/>
        <v>149.19999999999999</v>
      </c>
      <c r="G54" s="61">
        <f t="shared" si="9"/>
        <v>154.5</v>
      </c>
      <c r="H54" s="61">
        <f t="shared" si="9"/>
        <v>171.2</v>
      </c>
      <c r="I54" s="61">
        <f t="shared" si="9"/>
        <v>796.9</v>
      </c>
      <c r="J54" s="61">
        <f t="shared" si="9"/>
        <v>587.79999999999995</v>
      </c>
      <c r="K54" s="61">
        <f t="shared" si="9"/>
        <v>243.2</v>
      </c>
      <c r="L54" s="61">
        <f t="shared" si="9"/>
        <v>135.69999999999999</v>
      </c>
      <c r="M54" s="61">
        <f t="shared" si="9"/>
        <v>109.8</v>
      </c>
      <c r="N54" s="62">
        <f t="shared" si="9"/>
        <v>108.1</v>
      </c>
      <c r="O54" s="63">
        <f t="shared" si="9"/>
        <v>1870.4</v>
      </c>
      <c r="P54" s="62">
        <f t="shared" si="9"/>
        <v>155.9</v>
      </c>
    </row>
    <row r="55" spans="2:16" ht="21.95" customHeight="1">
      <c r="B55" s="64" t="s">
        <v>20</v>
      </c>
      <c r="C55" s="65">
        <f>MIN(C44:C53)</f>
        <v>0.9</v>
      </c>
      <c r="D55" s="65">
        <f t="shared" ref="D55:P55" si="10">MIN(D44:D53)</f>
        <v>4.3</v>
      </c>
      <c r="E55" s="65">
        <f t="shared" si="10"/>
        <v>16.899999999999999</v>
      </c>
      <c r="F55" s="65">
        <f t="shared" si="10"/>
        <v>35.9</v>
      </c>
      <c r="G55" s="65">
        <f t="shared" si="10"/>
        <v>5.6</v>
      </c>
      <c r="H55" s="65">
        <f t="shared" si="10"/>
        <v>48.8</v>
      </c>
      <c r="I55" s="65">
        <f t="shared" si="10"/>
        <v>156.69999999999999</v>
      </c>
      <c r="J55" s="65">
        <f t="shared" si="10"/>
        <v>47.6</v>
      </c>
      <c r="K55" s="65">
        <f t="shared" si="10"/>
        <v>38.799999999999997</v>
      </c>
      <c r="L55" s="65">
        <f t="shared" si="10"/>
        <v>3</v>
      </c>
      <c r="M55" s="65">
        <f t="shared" si="10"/>
        <v>13.4</v>
      </c>
      <c r="N55" s="46">
        <f t="shared" si="10"/>
        <v>5.6</v>
      </c>
      <c r="O55" s="55">
        <f>MIN(O44:O53)</f>
        <v>817</v>
      </c>
      <c r="P55" s="46">
        <f t="shared" si="10"/>
        <v>68.099999999999994</v>
      </c>
    </row>
    <row r="56" spans="2:16" ht="21.95" customHeight="1" thickBot="1">
      <c r="B56" s="66" t="s">
        <v>7</v>
      </c>
      <c r="C56" s="67">
        <f>ROUND(AVERAGE(C44:C53),1)</f>
        <v>23.4</v>
      </c>
      <c r="D56" s="67">
        <f t="shared" ref="D56:N56" si="11">ROUND(AVERAGE(D44:D53),1)</f>
        <v>37.1</v>
      </c>
      <c r="E56" s="67">
        <f t="shared" si="11"/>
        <v>52</v>
      </c>
      <c r="F56" s="67">
        <f t="shared" si="11"/>
        <v>79</v>
      </c>
      <c r="G56" s="67">
        <f t="shared" si="11"/>
        <v>81.900000000000006</v>
      </c>
      <c r="H56" s="67">
        <f t="shared" si="11"/>
        <v>94.5</v>
      </c>
      <c r="I56" s="67">
        <f t="shared" si="11"/>
        <v>381.1</v>
      </c>
      <c r="J56" s="67">
        <f t="shared" si="11"/>
        <v>251.9</v>
      </c>
      <c r="K56" s="67">
        <f t="shared" si="11"/>
        <v>140.5</v>
      </c>
      <c r="L56" s="67">
        <f t="shared" si="11"/>
        <v>69.8</v>
      </c>
      <c r="M56" s="67">
        <f t="shared" si="11"/>
        <v>48.6</v>
      </c>
      <c r="N56" s="51">
        <f t="shared" si="11"/>
        <v>32.299999999999997</v>
      </c>
      <c r="O56" s="59">
        <f>ROUND(AVERAGE(O44:O53),1)</f>
        <v>1292</v>
      </c>
      <c r="P56" s="51">
        <f>ROUND(AVERAGE(P44:P53),1)</f>
        <v>107.7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EF99-FEF3-445F-8A2A-2CAFDE04D9F4}">
  <sheetPr codeName="Sheet14">
    <tabColor rgb="FF808080"/>
  </sheetPr>
  <dimension ref="A2:Q983"/>
  <sheetViews>
    <sheetView zoomScaleNormal="100" workbookViewId="0">
      <selection activeCell="N35" sqref="N3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11.6</v>
      </c>
      <c r="D6" s="9">
        <v>5.2</v>
      </c>
      <c r="E6" s="9">
        <v>60.6</v>
      </c>
      <c r="F6" s="9">
        <v>44.4</v>
      </c>
      <c r="G6" s="9">
        <v>60.6</v>
      </c>
      <c r="H6" s="9">
        <v>70.7</v>
      </c>
      <c r="I6" s="9">
        <v>436.1</v>
      </c>
      <c r="J6" s="10">
        <v>786.6</v>
      </c>
      <c r="K6" s="9">
        <v>47.2</v>
      </c>
      <c r="L6" s="9">
        <v>39.299999999999997</v>
      </c>
      <c r="M6" s="9">
        <v>32.9</v>
      </c>
      <c r="N6" s="11">
        <v>3.4</v>
      </c>
      <c r="O6" s="12">
        <f t="shared" ref="O6:O35" si="0">ROUND(SUM(C6:N6),1)</f>
        <v>1598.6</v>
      </c>
      <c r="P6" s="13">
        <f>ROUND(O6/12,1)</f>
        <v>133.19999999999999</v>
      </c>
      <c r="Q6" s="14"/>
    </row>
    <row r="7" spans="2:17" ht="21.95" customHeight="1">
      <c r="B7" s="15">
        <v>1996</v>
      </c>
      <c r="C7" s="16">
        <v>16.3</v>
      </c>
      <c r="D7" s="16">
        <v>1</v>
      </c>
      <c r="E7" s="16">
        <v>77.900000000000006</v>
      </c>
      <c r="F7" s="16">
        <v>62</v>
      </c>
      <c r="G7" s="16">
        <v>29.3</v>
      </c>
      <c r="H7" s="16">
        <v>249.7</v>
      </c>
      <c r="I7" s="16">
        <v>512.79999999999995</v>
      </c>
      <c r="J7" s="17">
        <v>132.4</v>
      </c>
      <c r="K7" s="16">
        <v>11</v>
      </c>
      <c r="L7" s="16">
        <v>90.3</v>
      </c>
      <c r="M7" s="16">
        <v>62.9</v>
      </c>
      <c r="N7" s="18">
        <v>11</v>
      </c>
      <c r="O7" s="12">
        <f t="shared" si="0"/>
        <v>1256.5999999999999</v>
      </c>
      <c r="P7" s="19">
        <f t="shared" ref="P7:P35" si="1">ROUND(O7/12,1)</f>
        <v>104.7</v>
      </c>
      <c r="Q7" s="14"/>
    </row>
    <row r="8" spans="2:17" ht="21.95" customHeight="1">
      <c r="B8" s="15">
        <v>1997</v>
      </c>
      <c r="C8" s="16">
        <v>16.8</v>
      </c>
      <c r="D8" s="16">
        <v>39.6</v>
      </c>
      <c r="E8" s="16">
        <v>25.3</v>
      </c>
      <c r="F8" s="16">
        <v>56.1</v>
      </c>
      <c r="G8" s="16">
        <v>291.3</v>
      </c>
      <c r="H8" s="16">
        <v>110</v>
      </c>
      <c r="I8" s="16">
        <v>299.60000000000002</v>
      </c>
      <c r="J8" s="16">
        <v>117.2</v>
      </c>
      <c r="K8" s="16">
        <v>76.900000000000006</v>
      </c>
      <c r="L8" s="16">
        <v>45.5</v>
      </c>
      <c r="M8" s="16">
        <v>93.8</v>
      </c>
      <c r="N8" s="18">
        <v>38.1</v>
      </c>
      <c r="O8" s="12">
        <f t="shared" si="0"/>
        <v>1210.2</v>
      </c>
      <c r="P8" s="19">
        <f t="shared" si="1"/>
        <v>100.9</v>
      </c>
      <c r="Q8" s="14"/>
    </row>
    <row r="9" spans="2:17" ht="21.95" customHeight="1">
      <c r="B9" s="15">
        <v>1998</v>
      </c>
      <c r="C9" s="16">
        <v>10.4</v>
      </c>
      <c r="D9" s="16">
        <v>32.299999999999997</v>
      </c>
      <c r="E9" s="16">
        <v>45.1</v>
      </c>
      <c r="F9" s="16">
        <v>120.2</v>
      </c>
      <c r="G9" s="16">
        <v>121.5</v>
      </c>
      <c r="H9" s="16">
        <v>234.1</v>
      </c>
      <c r="I9" s="16">
        <v>311.8</v>
      </c>
      <c r="J9" s="16">
        <v>1237.8</v>
      </c>
      <c r="K9" s="16">
        <v>177.9</v>
      </c>
      <c r="L9" s="16">
        <v>27.4</v>
      </c>
      <c r="M9" s="16">
        <v>26.9</v>
      </c>
      <c r="N9" s="18">
        <v>3.7</v>
      </c>
      <c r="O9" s="12">
        <f t="shared" si="0"/>
        <v>2349.1</v>
      </c>
      <c r="P9" s="19">
        <f t="shared" si="1"/>
        <v>195.8</v>
      </c>
      <c r="Q9" s="14"/>
    </row>
    <row r="10" spans="2:17" ht="21.95" customHeight="1">
      <c r="B10" s="15">
        <v>1999</v>
      </c>
      <c r="C10" s="16">
        <v>10.199999999999999</v>
      </c>
      <c r="D10" s="16">
        <v>2.9</v>
      </c>
      <c r="E10" s="16">
        <v>55</v>
      </c>
      <c r="F10" s="16">
        <v>97.2</v>
      </c>
      <c r="G10" s="16">
        <v>109.7</v>
      </c>
      <c r="H10" s="16">
        <v>131.80000000000001</v>
      </c>
      <c r="I10" s="16">
        <v>230.4</v>
      </c>
      <c r="J10" s="16">
        <v>600.5</v>
      </c>
      <c r="K10" s="16">
        <v>377.3</v>
      </c>
      <c r="L10" s="16">
        <v>81.599999999999994</v>
      </c>
      <c r="M10" s="16">
        <v>19.5</v>
      </c>
      <c r="N10" s="18">
        <v>17</v>
      </c>
      <c r="O10" s="12">
        <f t="shared" si="0"/>
        <v>1733.1</v>
      </c>
      <c r="P10" s="19">
        <f t="shared" si="1"/>
        <v>144.4</v>
      </c>
      <c r="Q10" s="14"/>
    </row>
    <row r="11" spans="2:17" ht="21.95" customHeight="1">
      <c r="B11" s="15">
        <v>2000</v>
      </c>
      <c r="C11" s="16">
        <v>42.8</v>
      </c>
      <c r="D11" s="16">
        <v>2.1</v>
      </c>
      <c r="E11" s="16">
        <v>3.1</v>
      </c>
      <c r="F11" s="16">
        <v>30.7</v>
      </c>
      <c r="G11" s="16">
        <v>75.2</v>
      </c>
      <c r="H11" s="16">
        <v>68.099999999999994</v>
      </c>
      <c r="I11" s="16">
        <v>114.7</v>
      </c>
      <c r="J11" s="16">
        <v>599.4</v>
      </c>
      <c r="K11" s="16">
        <v>178.5</v>
      </c>
      <c r="L11" s="16">
        <v>18.100000000000001</v>
      </c>
      <c r="M11" s="16">
        <v>27.1</v>
      </c>
      <c r="N11" s="18">
        <v>27</v>
      </c>
      <c r="O11" s="12">
        <f t="shared" si="0"/>
        <v>1186.8</v>
      </c>
      <c r="P11" s="19">
        <f t="shared" si="1"/>
        <v>98.9</v>
      </c>
      <c r="Q11" s="14"/>
    </row>
    <row r="12" spans="2:17" ht="21.95" customHeight="1">
      <c r="B12" s="15">
        <v>2001</v>
      </c>
      <c r="C12" s="16">
        <v>39.4</v>
      </c>
      <c r="D12" s="16">
        <v>45.7</v>
      </c>
      <c r="E12" s="16">
        <v>18.100000000000001</v>
      </c>
      <c r="F12" s="16">
        <v>12.3</v>
      </c>
      <c r="G12" s="16">
        <v>16.5</v>
      </c>
      <c r="H12" s="16">
        <v>157.4</v>
      </c>
      <c r="I12" s="16">
        <v>698.4</v>
      </c>
      <c r="J12" s="16">
        <v>252</v>
      </c>
      <c r="K12" s="16">
        <v>49.3</v>
      </c>
      <c r="L12" s="16">
        <v>68.2</v>
      </c>
      <c r="M12" s="16">
        <v>13</v>
      </c>
      <c r="N12" s="18">
        <v>15.7</v>
      </c>
      <c r="O12" s="12">
        <f t="shared" si="0"/>
        <v>1386</v>
      </c>
      <c r="P12" s="19">
        <f t="shared" si="1"/>
        <v>115.5</v>
      </c>
    </row>
    <row r="13" spans="2:17" ht="21.95" customHeight="1">
      <c r="B13" s="15">
        <v>2002</v>
      </c>
      <c r="C13" s="16">
        <v>37.4</v>
      </c>
      <c r="D13" s="16">
        <v>2.4</v>
      </c>
      <c r="E13" s="16">
        <v>31.5</v>
      </c>
      <c r="F13" s="16">
        <v>155.1</v>
      </c>
      <c r="G13" s="16">
        <v>58</v>
      </c>
      <c r="H13" s="16">
        <v>61.4</v>
      </c>
      <c r="I13" s="16">
        <v>220.6</v>
      </c>
      <c r="J13" s="16">
        <v>688</v>
      </c>
      <c r="K13" s="16">
        <v>61.1</v>
      </c>
      <c r="L13" s="16">
        <v>45</v>
      </c>
      <c r="M13" s="16">
        <v>12.5</v>
      </c>
      <c r="N13" s="18">
        <v>15</v>
      </c>
      <c r="O13" s="12">
        <f t="shared" si="0"/>
        <v>1388</v>
      </c>
      <c r="P13" s="19">
        <f t="shared" si="1"/>
        <v>115.7</v>
      </c>
    </row>
    <row r="14" spans="2:17" ht="21.95" customHeight="1">
      <c r="B14" s="15">
        <v>2003</v>
      </c>
      <c r="C14" s="16">
        <v>14.1</v>
      </c>
      <c r="D14" s="16">
        <v>39.6</v>
      </c>
      <c r="E14" s="16">
        <v>26.8</v>
      </c>
      <c r="F14" s="16">
        <v>139.6</v>
      </c>
      <c r="G14" s="16">
        <v>106</v>
      </c>
      <c r="H14" s="16">
        <v>156</v>
      </c>
      <c r="I14" s="16">
        <v>469.8</v>
      </c>
      <c r="J14" s="16">
        <v>684.2</v>
      </c>
      <c r="K14" s="16">
        <v>258.2</v>
      </c>
      <c r="L14" s="16">
        <v>41.5</v>
      </c>
      <c r="M14" s="16">
        <v>69.3</v>
      </c>
      <c r="N14" s="18">
        <v>6.9</v>
      </c>
      <c r="O14" s="12">
        <f t="shared" si="0"/>
        <v>2012</v>
      </c>
      <c r="P14" s="19">
        <f t="shared" si="1"/>
        <v>167.7</v>
      </c>
    </row>
    <row r="15" spans="2:17" ht="21.95" customHeight="1">
      <c r="B15" s="15">
        <v>2004</v>
      </c>
      <c r="C15" s="16">
        <v>19.8</v>
      </c>
      <c r="D15" s="16">
        <v>54.6</v>
      </c>
      <c r="E15" s="16">
        <v>27.6</v>
      </c>
      <c r="F15" s="16">
        <v>74.099999999999994</v>
      </c>
      <c r="G15" s="16">
        <v>168.5</v>
      </c>
      <c r="H15" s="16">
        <v>138.1</v>
      </c>
      <c r="I15" s="16">
        <v>510.7</v>
      </c>
      <c r="J15" s="16">
        <v>193.3</v>
      </c>
      <c r="K15" s="16">
        <v>198.7</v>
      </c>
      <c r="L15" s="16">
        <v>6.5</v>
      </c>
      <c r="M15" s="16">
        <v>80</v>
      </c>
      <c r="N15" s="18">
        <v>27.2</v>
      </c>
      <c r="O15" s="12">
        <f t="shared" si="0"/>
        <v>1499.1</v>
      </c>
      <c r="P15" s="19">
        <f t="shared" si="1"/>
        <v>124.9</v>
      </c>
    </row>
    <row r="16" spans="2:17" ht="21.95" customHeight="1">
      <c r="B16" s="15">
        <v>2005</v>
      </c>
      <c r="C16" s="16">
        <v>4.5</v>
      </c>
      <c r="D16" s="16">
        <v>17.2</v>
      </c>
      <c r="E16" s="16">
        <v>12.5</v>
      </c>
      <c r="F16" s="16">
        <v>94.7</v>
      </c>
      <c r="G16" s="16">
        <v>85.8</v>
      </c>
      <c r="H16" s="16">
        <v>168.5</v>
      </c>
      <c r="I16" s="16">
        <v>269.39999999999998</v>
      </c>
      <c r="J16" s="16">
        <v>285</v>
      </c>
      <c r="K16" s="16">
        <v>313.3</v>
      </c>
      <c r="L16" s="16">
        <v>52.6</v>
      </c>
      <c r="M16" s="16">
        <v>44.6</v>
      </c>
      <c r="N16" s="18">
        <v>10.3</v>
      </c>
      <c r="O16" s="12">
        <f t="shared" si="0"/>
        <v>1358.4</v>
      </c>
      <c r="P16" s="19">
        <f t="shared" si="1"/>
        <v>113.2</v>
      </c>
    </row>
    <row r="17" spans="2:16" ht="21.95" customHeight="1">
      <c r="B17" s="15">
        <v>2006</v>
      </c>
      <c r="C17" s="16">
        <v>34.299999999999997</v>
      </c>
      <c r="D17" s="16">
        <v>15.7</v>
      </c>
      <c r="E17" s="16">
        <v>14</v>
      </c>
      <c r="F17" s="16">
        <v>51.8</v>
      </c>
      <c r="G17" s="16">
        <v>156.19999999999999</v>
      </c>
      <c r="H17" s="16">
        <v>168.5</v>
      </c>
      <c r="I17" s="16">
        <v>1014</v>
      </c>
      <c r="J17" s="16">
        <v>121.2</v>
      </c>
      <c r="K17" s="16">
        <v>11.1</v>
      </c>
      <c r="L17" s="16">
        <v>30.2</v>
      </c>
      <c r="M17" s="16">
        <v>47.6</v>
      </c>
      <c r="N17" s="18">
        <v>17.3</v>
      </c>
      <c r="O17" s="12">
        <f t="shared" si="0"/>
        <v>1681.9</v>
      </c>
      <c r="P17" s="19">
        <f t="shared" si="1"/>
        <v>140.19999999999999</v>
      </c>
    </row>
    <row r="18" spans="2:16" ht="21.95" customHeight="1">
      <c r="B18" s="15">
        <v>2007</v>
      </c>
      <c r="C18" s="16">
        <v>10.8</v>
      </c>
      <c r="D18" s="16">
        <v>12.6</v>
      </c>
      <c r="E18" s="16">
        <v>123.5</v>
      </c>
      <c r="F18" s="16">
        <v>41.1</v>
      </c>
      <c r="G18" s="16">
        <v>137.6</v>
      </c>
      <c r="H18" s="16">
        <v>54.5</v>
      </c>
      <c r="I18" s="16">
        <v>274.10000000000002</v>
      </c>
      <c r="J18" s="16">
        <v>237.6</v>
      </c>
      <c r="K18" s="16">
        <v>241.9</v>
      </c>
      <c r="L18" s="16">
        <v>39.5</v>
      </c>
      <c r="M18" s="16">
        <v>26.4</v>
      </c>
      <c r="N18" s="18">
        <v>12.7</v>
      </c>
      <c r="O18" s="12">
        <f t="shared" si="0"/>
        <v>1212.3</v>
      </c>
      <c r="P18" s="19">
        <f t="shared" si="1"/>
        <v>101</v>
      </c>
    </row>
    <row r="19" spans="2:16" ht="21.95" customHeight="1">
      <c r="B19" s="15">
        <v>2008</v>
      </c>
      <c r="C19" s="16">
        <v>17.7</v>
      </c>
      <c r="D19" s="16">
        <v>15</v>
      </c>
      <c r="E19" s="16">
        <v>53.9</v>
      </c>
      <c r="F19" s="16">
        <v>38.5</v>
      </c>
      <c r="G19" s="16">
        <v>97.7</v>
      </c>
      <c r="H19" s="16">
        <v>165</v>
      </c>
      <c r="I19" s="16">
        <v>530.79999999999995</v>
      </c>
      <c r="J19" s="16">
        <v>251.2</v>
      </c>
      <c r="K19" s="16">
        <v>99.2</v>
      </c>
      <c r="L19" s="16">
        <v>41.8</v>
      </c>
      <c r="M19" s="16">
        <v>19.600000000000001</v>
      </c>
      <c r="N19" s="18">
        <v>25.9</v>
      </c>
      <c r="O19" s="12">
        <f t="shared" si="0"/>
        <v>1356.3</v>
      </c>
      <c r="P19" s="19">
        <f t="shared" si="1"/>
        <v>113</v>
      </c>
    </row>
    <row r="20" spans="2:16" ht="21.95" customHeight="1">
      <c r="B20" s="15">
        <v>2009</v>
      </c>
      <c r="C20" s="16">
        <v>5.7</v>
      </c>
      <c r="D20" s="16">
        <v>36.9</v>
      </c>
      <c r="E20" s="16">
        <v>63.9</v>
      </c>
      <c r="F20" s="16">
        <v>66.5</v>
      </c>
      <c r="G20" s="16">
        <v>109</v>
      </c>
      <c r="H20" s="16">
        <v>132</v>
      </c>
      <c r="I20" s="16">
        <v>659.4</v>
      </c>
      <c r="J20" s="16">
        <v>285.3</v>
      </c>
      <c r="K20" s="16">
        <v>64.5</v>
      </c>
      <c r="L20" s="16">
        <v>66.900000000000006</v>
      </c>
      <c r="M20" s="16">
        <v>52.4</v>
      </c>
      <c r="N20" s="18">
        <v>21.5</v>
      </c>
      <c r="O20" s="12">
        <f t="shared" si="0"/>
        <v>1564</v>
      </c>
      <c r="P20" s="19">
        <f t="shared" si="1"/>
        <v>130.30000000000001</v>
      </c>
    </row>
    <row r="21" spans="2:16" ht="21.95" customHeight="1">
      <c r="B21" s="15">
        <v>2010</v>
      </c>
      <c r="C21" s="16">
        <v>29.3</v>
      </c>
      <c r="D21" s="16">
        <v>55.3</v>
      </c>
      <c r="E21" s="16">
        <v>82.5</v>
      </c>
      <c r="F21" s="16">
        <v>62.8</v>
      </c>
      <c r="G21" s="16">
        <v>124</v>
      </c>
      <c r="H21" s="16">
        <v>127.6</v>
      </c>
      <c r="I21" s="16">
        <v>239.2</v>
      </c>
      <c r="J21" s="16">
        <v>598.70000000000005</v>
      </c>
      <c r="K21" s="16">
        <v>671.5</v>
      </c>
      <c r="L21" s="16">
        <v>25.6</v>
      </c>
      <c r="M21" s="16">
        <v>10.9</v>
      </c>
      <c r="N21" s="18">
        <v>16.100000000000001</v>
      </c>
      <c r="O21" s="12">
        <f t="shared" si="0"/>
        <v>2043.5</v>
      </c>
      <c r="P21" s="19">
        <f t="shared" si="1"/>
        <v>170.3</v>
      </c>
    </row>
    <row r="22" spans="2:16" ht="21.95" customHeight="1">
      <c r="B22" s="15">
        <v>2011</v>
      </c>
      <c r="C22" s="16">
        <v>8.9</v>
      </c>
      <c r="D22" s="16">
        <v>29.1</v>
      </c>
      <c r="E22" s="16">
        <v>14.6</v>
      </c>
      <c r="F22" s="16">
        <v>110.1</v>
      </c>
      <c r="G22" s="16">
        <v>53.4</v>
      </c>
      <c r="H22" s="16">
        <v>404.5</v>
      </c>
      <c r="I22" s="16">
        <v>1131</v>
      </c>
      <c r="J22" s="16">
        <v>166.8</v>
      </c>
      <c r="K22" s="16">
        <v>25.6</v>
      </c>
      <c r="L22" s="16">
        <v>32</v>
      </c>
      <c r="M22" s="16">
        <v>56.2</v>
      </c>
      <c r="N22" s="18">
        <v>7.1</v>
      </c>
      <c r="O22" s="12">
        <f t="shared" si="0"/>
        <v>2039.3</v>
      </c>
      <c r="P22" s="19">
        <f t="shared" si="1"/>
        <v>169.9</v>
      </c>
    </row>
    <row r="23" spans="2:16" ht="21.95" customHeight="1">
      <c r="B23" s="15">
        <v>2012</v>
      </c>
      <c r="C23" s="16">
        <v>6.7</v>
      </c>
      <c r="D23" s="16">
        <v>0.8</v>
      </c>
      <c r="E23" s="16">
        <v>47.4</v>
      </c>
      <c r="F23" s="16">
        <v>157</v>
      </c>
      <c r="G23" s="16">
        <v>8.1999999999999993</v>
      </c>
      <c r="H23" s="16">
        <v>91.9</v>
      </c>
      <c r="I23" s="16">
        <v>448.9</v>
      </c>
      <c r="J23" s="16">
        <v>464.9</v>
      </c>
      <c r="K23" s="16">
        <v>212</v>
      </c>
      <c r="L23" s="16">
        <v>99.3</v>
      </c>
      <c r="M23" s="16">
        <v>67.8</v>
      </c>
      <c r="N23" s="18">
        <v>41.4</v>
      </c>
      <c r="O23" s="12">
        <f t="shared" si="0"/>
        <v>1646.3</v>
      </c>
      <c r="P23" s="19">
        <f t="shared" si="1"/>
        <v>137.19999999999999</v>
      </c>
    </row>
    <row r="24" spans="2:16" ht="21.95" customHeight="1">
      <c r="B24" s="15">
        <v>2013</v>
      </c>
      <c r="C24" s="16">
        <v>22.1</v>
      </c>
      <c r="D24" s="16">
        <v>74.099999999999994</v>
      </c>
      <c r="E24" s="16">
        <v>27.3</v>
      </c>
      <c r="F24" s="16">
        <v>71.7</v>
      </c>
      <c r="G24" s="16">
        <v>132</v>
      </c>
      <c r="H24" s="16">
        <v>28.3</v>
      </c>
      <c r="I24" s="16">
        <v>676.2</v>
      </c>
      <c r="J24" s="16">
        <v>148.6</v>
      </c>
      <c r="K24" s="16">
        <v>138.5</v>
      </c>
      <c r="L24" s="16">
        <v>13.5</v>
      </c>
      <c r="M24" s="16">
        <v>46.8</v>
      </c>
      <c r="N24" s="18">
        <v>24.7</v>
      </c>
      <c r="O24" s="12">
        <f t="shared" si="0"/>
        <v>1403.8</v>
      </c>
      <c r="P24" s="19">
        <f t="shared" si="1"/>
        <v>117</v>
      </c>
    </row>
    <row r="25" spans="2:16" ht="21.95" customHeight="1">
      <c r="B25" s="15">
        <v>2014</v>
      </c>
      <c r="C25" s="16">
        <v>13</v>
      </c>
      <c r="D25" s="16">
        <v>16.2</v>
      </c>
      <c r="E25" s="16">
        <v>7.2</v>
      </c>
      <c r="F25" s="16">
        <v>31</v>
      </c>
      <c r="G25" s="16">
        <v>63</v>
      </c>
      <c r="H25" s="16">
        <v>98.1</v>
      </c>
      <c r="I25" s="16">
        <v>207.9</v>
      </c>
      <c r="J25" s="16">
        <v>172.8</v>
      </c>
      <c r="K25" s="16">
        <v>88.1</v>
      </c>
      <c r="L25" s="16">
        <v>52.2</v>
      </c>
      <c r="M25" s="16">
        <v>41.5</v>
      </c>
      <c r="N25" s="18">
        <v>17.899999999999999</v>
      </c>
      <c r="O25" s="12">
        <f t="shared" si="0"/>
        <v>808.9</v>
      </c>
      <c r="P25" s="19">
        <f t="shared" si="1"/>
        <v>67.400000000000006</v>
      </c>
    </row>
    <row r="26" spans="2:16" ht="21.95" customHeight="1">
      <c r="B26" s="15">
        <v>2015</v>
      </c>
      <c r="C26" s="16">
        <v>11.3</v>
      </c>
      <c r="D26" s="16">
        <v>22.7</v>
      </c>
      <c r="E26" s="16">
        <v>9.6</v>
      </c>
      <c r="F26" s="16">
        <v>80.5</v>
      </c>
      <c r="G26" s="16">
        <v>28.9</v>
      </c>
      <c r="H26" s="16">
        <v>99</v>
      </c>
      <c r="I26" s="16">
        <v>226</v>
      </c>
      <c r="J26" s="16">
        <v>72.900000000000006</v>
      </c>
      <c r="K26" s="16">
        <v>26</v>
      </c>
      <c r="L26" s="16">
        <v>81.5</v>
      </c>
      <c r="M26" s="16">
        <v>104.6</v>
      </c>
      <c r="N26" s="18">
        <v>29.1</v>
      </c>
      <c r="O26" s="12">
        <f t="shared" si="0"/>
        <v>792.1</v>
      </c>
      <c r="P26" s="19">
        <f t="shared" si="1"/>
        <v>66</v>
      </c>
    </row>
    <row r="27" spans="2:16" ht="21.95" customHeight="1">
      <c r="B27" s="15">
        <v>2016</v>
      </c>
      <c r="C27" s="16">
        <v>1</v>
      </c>
      <c r="D27" s="16">
        <v>47.6</v>
      </c>
      <c r="E27" s="16">
        <v>40.5</v>
      </c>
      <c r="F27" s="16">
        <v>76.8</v>
      </c>
      <c r="G27" s="16">
        <v>160.5</v>
      </c>
      <c r="H27" s="16">
        <v>54.4</v>
      </c>
      <c r="I27" s="16">
        <v>358.2</v>
      </c>
      <c r="J27" s="16">
        <v>67.099999999999994</v>
      </c>
      <c r="K27" s="16">
        <v>33</v>
      </c>
      <c r="L27" s="16">
        <v>74.8</v>
      </c>
      <c r="M27" s="16">
        <v>16.7</v>
      </c>
      <c r="N27" s="18">
        <v>61.1</v>
      </c>
      <c r="O27" s="12">
        <f t="shared" si="0"/>
        <v>991.7</v>
      </c>
      <c r="P27" s="19">
        <f t="shared" si="1"/>
        <v>82.6</v>
      </c>
    </row>
    <row r="28" spans="2:16" ht="21.95" customHeight="1">
      <c r="B28" s="15">
        <v>2017</v>
      </c>
      <c r="C28" s="16">
        <v>14.9</v>
      </c>
      <c r="D28" s="16">
        <v>11.1</v>
      </c>
      <c r="E28" s="16">
        <v>7.9</v>
      </c>
      <c r="F28" s="16">
        <v>61.6</v>
      </c>
      <c r="G28" s="16">
        <v>16.100000000000001</v>
      </c>
      <c r="H28" s="16">
        <v>66.599999999999994</v>
      </c>
      <c r="I28" s="16">
        <v>621</v>
      </c>
      <c r="J28" s="16">
        <v>297</v>
      </c>
      <c r="K28" s="16">
        <v>35</v>
      </c>
      <c r="L28" s="16">
        <v>26.5</v>
      </c>
      <c r="M28" s="16">
        <v>40.700000000000003</v>
      </c>
      <c r="N28" s="18">
        <v>34.799999999999997</v>
      </c>
      <c r="O28" s="12">
        <f t="shared" si="0"/>
        <v>1233.2</v>
      </c>
      <c r="P28" s="19">
        <f t="shared" si="1"/>
        <v>102.8</v>
      </c>
    </row>
    <row r="29" spans="2:16" ht="21.95" customHeight="1">
      <c r="B29" s="15">
        <v>2018</v>
      </c>
      <c r="C29" s="16">
        <v>8.5</v>
      </c>
      <c r="D29" s="16">
        <v>29.6</v>
      </c>
      <c r="E29" s="16">
        <v>49.5</v>
      </c>
      <c r="F29" s="16">
        <v>130.30000000000001</v>
      </c>
      <c r="G29" s="16">
        <v>222</v>
      </c>
      <c r="H29" s="16">
        <v>171.5</v>
      </c>
      <c r="I29" s="16">
        <v>185.6</v>
      </c>
      <c r="J29" s="16">
        <v>202.6</v>
      </c>
      <c r="K29" s="16">
        <v>68.5</v>
      </c>
      <c r="L29" s="16">
        <v>120.5</v>
      </c>
      <c r="M29" s="16">
        <v>79.099999999999994</v>
      </c>
      <c r="N29" s="18">
        <v>16.399999999999999</v>
      </c>
      <c r="O29" s="12">
        <f t="shared" si="0"/>
        <v>1284.0999999999999</v>
      </c>
      <c r="P29" s="19">
        <f t="shared" si="1"/>
        <v>107</v>
      </c>
    </row>
    <row r="30" spans="2:16" ht="21.95" customHeight="1">
      <c r="B30" s="15">
        <v>2019</v>
      </c>
      <c r="C30" s="16">
        <v>0</v>
      </c>
      <c r="D30" s="16">
        <v>23.8</v>
      </c>
      <c r="E30" s="16">
        <v>26.8</v>
      </c>
      <c r="F30" s="16">
        <v>47.3</v>
      </c>
      <c r="G30" s="16">
        <v>37.799999999999997</v>
      </c>
      <c r="H30" s="16">
        <v>74</v>
      </c>
      <c r="I30" s="16">
        <v>194.4</v>
      </c>
      <c r="J30" s="16">
        <v>190.5</v>
      </c>
      <c r="K30" s="16">
        <v>139.80000000000001</v>
      </c>
      <c r="L30" s="16">
        <v>55.5</v>
      </c>
      <c r="M30" s="16">
        <v>78.8</v>
      </c>
      <c r="N30" s="18">
        <v>22.6</v>
      </c>
      <c r="O30" s="12">
        <f t="shared" si="0"/>
        <v>891.3</v>
      </c>
      <c r="P30" s="19">
        <f t="shared" si="1"/>
        <v>74.3</v>
      </c>
    </row>
    <row r="31" spans="2:16" ht="21.95" customHeight="1">
      <c r="B31" s="15">
        <v>2020</v>
      </c>
      <c r="C31" s="16">
        <v>60.5</v>
      </c>
      <c r="D31" s="16">
        <v>53.1</v>
      </c>
      <c r="E31" s="16">
        <v>16.3</v>
      </c>
      <c r="F31" s="16">
        <v>16.899999999999999</v>
      </c>
      <c r="G31" s="16">
        <v>112.4</v>
      </c>
      <c r="H31" s="16">
        <v>139.6</v>
      </c>
      <c r="I31" s="16">
        <v>270.39999999999998</v>
      </c>
      <c r="J31" s="16">
        <v>675.7</v>
      </c>
      <c r="K31" s="16">
        <v>181.5</v>
      </c>
      <c r="L31" s="16">
        <v>0</v>
      </c>
      <c r="M31" s="16">
        <v>120.1</v>
      </c>
      <c r="N31" s="18">
        <v>4.5999999999999996</v>
      </c>
      <c r="O31" s="12">
        <f t="shared" si="0"/>
        <v>1651.1</v>
      </c>
      <c r="P31" s="19">
        <f t="shared" si="1"/>
        <v>137.6</v>
      </c>
    </row>
    <row r="32" spans="2:16" ht="21.95" customHeight="1">
      <c r="B32" s="15">
        <v>2021</v>
      </c>
      <c r="C32" s="16">
        <v>18.899999999999999</v>
      </c>
      <c r="D32" s="16">
        <v>7.1</v>
      </c>
      <c r="E32" s="16">
        <v>110.9</v>
      </c>
      <c r="F32" s="16">
        <v>124.1</v>
      </c>
      <c r="G32" s="16">
        <v>183.1</v>
      </c>
      <c r="H32" s="16">
        <v>104.6</v>
      </c>
      <c r="I32" s="16">
        <v>168.3</v>
      </c>
      <c r="J32" s="16">
        <v>211.2</v>
      </c>
      <c r="K32" s="16">
        <v>131</v>
      </c>
      <c r="L32" s="16">
        <v>57</v>
      </c>
      <c r="M32" s="16">
        <v>62.4</v>
      </c>
      <c r="N32" s="18">
        <v>7.9</v>
      </c>
      <c r="O32" s="12">
        <f t="shared" si="0"/>
        <v>1186.5</v>
      </c>
      <c r="P32" s="19">
        <f t="shared" si="1"/>
        <v>98.9</v>
      </c>
    </row>
    <row r="33" spans="2:16" ht="21.95" customHeight="1">
      <c r="B33" s="15">
        <v>2022</v>
      </c>
      <c r="C33" s="16">
        <v>5.5</v>
      </c>
      <c r="D33" s="16">
        <v>4.7</v>
      </c>
      <c r="E33" s="16">
        <v>102.6</v>
      </c>
      <c r="F33" s="16">
        <v>20.399999999999999</v>
      </c>
      <c r="G33" s="16">
        <v>7.5</v>
      </c>
      <c r="H33" s="16">
        <v>393.8</v>
      </c>
      <c r="I33" s="16">
        <v>252.3</v>
      </c>
      <c r="J33" s="16">
        <v>564.79999999999995</v>
      </c>
      <c r="K33" s="16">
        <v>201.5</v>
      </c>
      <c r="L33" s="16">
        <v>124.1</v>
      </c>
      <c r="M33" s="16">
        <v>84.5</v>
      </c>
      <c r="N33" s="18">
        <v>13.6</v>
      </c>
      <c r="O33" s="12">
        <f t="shared" si="0"/>
        <v>1775.3</v>
      </c>
      <c r="P33" s="19">
        <f t="shared" si="1"/>
        <v>147.9</v>
      </c>
    </row>
    <row r="34" spans="2:16" ht="21.95" customHeight="1">
      <c r="B34" s="15">
        <v>2023</v>
      </c>
      <c r="C34" s="16">
        <v>47.9</v>
      </c>
      <c r="D34" s="16">
        <v>1</v>
      </c>
      <c r="E34" s="16">
        <v>10.5</v>
      </c>
      <c r="F34" s="16">
        <v>96.9</v>
      </c>
      <c r="G34" s="16">
        <v>155.6</v>
      </c>
      <c r="H34" s="16">
        <v>195.6</v>
      </c>
      <c r="I34" s="16">
        <v>459.9</v>
      </c>
      <c r="J34" s="16">
        <v>298.10000000000002</v>
      </c>
      <c r="K34" s="16">
        <v>134.5</v>
      </c>
      <c r="L34" s="16">
        <v>31</v>
      </c>
      <c r="M34" s="16">
        <v>81.900000000000006</v>
      </c>
      <c r="N34" s="18">
        <v>85.9</v>
      </c>
      <c r="O34" s="12">
        <f t="shared" si="0"/>
        <v>1598.8</v>
      </c>
      <c r="P34" s="19">
        <f t="shared" si="1"/>
        <v>133.19999999999999</v>
      </c>
    </row>
    <row r="35" spans="2:16" ht="21.95" customHeight="1" thickBot="1">
      <c r="B35" s="33">
        <v>2024</v>
      </c>
      <c r="C35" s="34">
        <v>18.899999999999999</v>
      </c>
      <c r="D35" s="34">
        <v>74.7</v>
      </c>
      <c r="E35" s="34">
        <v>29.9</v>
      </c>
      <c r="F35" s="34">
        <v>33.200000000000003</v>
      </c>
      <c r="G35" s="34">
        <v>125.1</v>
      </c>
      <c r="H35" s="34">
        <v>115.9</v>
      </c>
      <c r="I35" s="34">
        <v>557.29999999999995</v>
      </c>
      <c r="J35" s="34">
        <v>72.8</v>
      </c>
      <c r="K35" s="34">
        <v>143.9</v>
      </c>
      <c r="L35" s="34">
        <v>74</v>
      </c>
      <c r="M35" s="34">
        <v>60</v>
      </c>
      <c r="N35" s="35">
        <v>5.7</v>
      </c>
      <c r="O35" s="36">
        <f t="shared" si="0"/>
        <v>1311.4</v>
      </c>
      <c r="P35" s="37">
        <f t="shared" si="1"/>
        <v>109.3</v>
      </c>
    </row>
    <row r="36" spans="2:16" ht="21.95" customHeight="1">
      <c r="B36" s="38" t="s">
        <v>13</v>
      </c>
      <c r="C36" s="39">
        <f>ROUND(MAX(C6:C35),1)</f>
        <v>60.5</v>
      </c>
      <c r="D36" s="39">
        <f t="shared" ref="D36:N36" si="2">ROUND(MAX(D6:D35),1)</f>
        <v>74.7</v>
      </c>
      <c r="E36" s="39">
        <f t="shared" si="2"/>
        <v>123.5</v>
      </c>
      <c r="F36" s="39">
        <f t="shared" si="2"/>
        <v>157</v>
      </c>
      <c r="G36" s="39">
        <f t="shared" si="2"/>
        <v>291.3</v>
      </c>
      <c r="H36" s="39">
        <f t="shared" si="2"/>
        <v>404.5</v>
      </c>
      <c r="I36" s="39">
        <f t="shared" si="2"/>
        <v>1131</v>
      </c>
      <c r="J36" s="39">
        <f t="shared" si="2"/>
        <v>1237.8</v>
      </c>
      <c r="K36" s="39">
        <f t="shared" si="2"/>
        <v>671.5</v>
      </c>
      <c r="L36" s="39">
        <f t="shared" si="2"/>
        <v>124.1</v>
      </c>
      <c r="M36" s="39">
        <f t="shared" si="2"/>
        <v>120.1</v>
      </c>
      <c r="N36" s="40">
        <f t="shared" si="2"/>
        <v>85.9</v>
      </c>
      <c r="O36" s="41">
        <f>ROUND(MAX(O6:O35),1)</f>
        <v>2349.1</v>
      </c>
      <c r="P36" s="42">
        <f>ROUND(MAX(P6:P35),1)</f>
        <v>195.8</v>
      </c>
    </row>
    <row r="37" spans="2:16" ht="21.95" customHeight="1">
      <c r="B37" s="43" t="s">
        <v>14</v>
      </c>
      <c r="C37" s="44">
        <f>ROUND(MIN(C6:C35),1)</f>
        <v>0</v>
      </c>
      <c r="D37" s="44">
        <f t="shared" ref="D37:N37" si="3">ROUND(MIN(D6:D35),1)</f>
        <v>0.8</v>
      </c>
      <c r="E37" s="44">
        <f t="shared" si="3"/>
        <v>3.1</v>
      </c>
      <c r="F37" s="44">
        <f t="shared" si="3"/>
        <v>12.3</v>
      </c>
      <c r="G37" s="44">
        <f t="shared" si="3"/>
        <v>7.5</v>
      </c>
      <c r="H37" s="44">
        <f t="shared" si="3"/>
        <v>28.3</v>
      </c>
      <c r="I37" s="44">
        <f t="shared" si="3"/>
        <v>114.7</v>
      </c>
      <c r="J37" s="44">
        <f t="shared" si="3"/>
        <v>67.099999999999994</v>
      </c>
      <c r="K37" s="44">
        <f t="shared" si="3"/>
        <v>11</v>
      </c>
      <c r="L37" s="44">
        <f t="shared" si="3"/>
        <v>0</v>
      </c>
      <c r="M37" s="44">
        <f t="shared" si="3"/>
        <v>10.9</v>
      </c>
      <c r="N37" s="19">
        <f t="shared" si="3"/>
        <v>3.4</v>
      </c>
      <c r="O37" s="45">
        <f>ROUND(MIN(O6:O35),1)</f>
        <v>792.1</v>
      </c>
      <c r="P37" s="46">
        <f>ROUND(MIN(P6:P35),1)</f>
        <v>66</v>
      </c>
    </row>
    <row r="38" spans="2:16" ht="21.95" customHeight="1" thickBot="1">
      <c r="B38" s="47" t="s">
        <v>18</v>
      </c>
      <c r="C38" s="48">
        <f>ROUND(AVERAGE(C6:C35),1)</f>
        <v>18.600000000000001</v>
      </c>
      <c r="D38" s="48">
        <f t="shared" ref="D38:P38" si="4">ROUND(AVERAGE(D6:D35),1)</f>
        <v>25.8</v>
      </c>
      <c r="E38" s="48">
        <f t="shared" si="4"/>
        <v>40.700000000000003</v>
      </c>
      <c r="F38" s="48">
        <f t="shared" si="4"/>
        <v>73.5</v>
      </c>
      <c r="G38" s="48">
        <f t="shared" si="4"/>
        <v>101.8</v>
      </c>
      <c r="H38" s="48">
        <f t="shared" si="4"/>
        <v>141</v>
      </c>
      <c r="I38" s="48">
        <f t="shared" si="4"/>
        <v>418.3</v>
      </c>
      <c r="J38" s="48">
        <f t="shared" si="4"/>
        <v>355.9</v>
      </c>
      <c r="K38" s="48">
        <f t="shared" si="4"/>
        <v>146.6</v>
      </c>
      <c r="L38" s="48">
        <f t="shared" si="4"/>
        <v>52.1</v>
      </c>
      <c r="M38" s="48">
        <f t="shared" si="4"/>
        <v>52.7</v>
      </c>
      <c r="N38" s="49">
        <f t="shared" si="4"/>
        <v>21.4</v>
      </c>
      <c r="O38" s="50">
        <f t="shared" si="4"/>
        <v>1448.3</v>
      </c>
      <c r="P38" s="51">
        <f t="shared" si="4"/>
        <v>120.7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11.3</v>
      </c>
      <c r="D44" s="53">
        <f t="shared" si="5"/>
        <v>22.7</v>
      </c>
      <c r="E44" s="53">
        <f t="shared" si="5"/>
        <v>9.6</v>
      </c>
      <c r="F44" s="53">
        <f t="shared" si="5"/>
        <v>80.5</v>
      </c>
      <c r="G44" s="53">
        <f t="shared" si="5"/>
        <v>28.9</v>
      </c>
      <c r="H44" s="53">
        <f t="shared" si="5"/>
        <v>99</v>
      </c>
      <c r="I44" s="53">
        <f t="shared" si="5"/>
        <v>226</v>
      </c>
      <c r="J44" s="53">
        <f t="shared" si="5"/>
        <v>72.900000000000006</v>
      </c>
      <c r="K44" s="53">
        <f t="shared" si="5"/>
        <v>26</v>
      </c>
      <c r="L44" s="53">
        <f t="shared" si="5"/>
        <v>81.5</v>
      </c>
      <c r="M44" s="53">
        <f t="shared" si="5"/>
        <v>104.6</v>
      </c>
      <c r="N44" s="54">
        <f t="shared" si="5"/>
        <v>29.1</v>
      </c>
      <c r="O44" s="55">
        <f>ROUND(SUM(C44:N44),1)</f>
        <v>792.1</v>
      </c>
      <c r="P44" s="46">
        <f>ROUND(O44/12,1)</f>
        <v>66</v>
      </c>
    </row>
    <row r="45" spans="2:16" ht="21.95" customHeight="1">
      <c r="B45" s="52">
        <f t="shared" ref="B45:N53" si="6">B27</f>
        <v>2016</v>
      </c>
      <c r="C45" s="53">
        <f t="shared" si="6"/>
        <v>1</v>
      </c>
      <c r="D45" s="53">
        <f t="shared" si="6"/>
        <v>47.6</v>
      </c>
      <c r="E45" s="53">
        <f t="shared" si="6"/>
        <v>40.5</v>
      </c>
      <c r="F45" s="53">
        <f t="shared" si="6"/>
        <v>76.8</v>
      </c>
      <c r="G45" s="53">
        <f t="shared" si="6"/>
        <v>160.5</v>
      </c>
      <c r="H45" s="53">
        <f t="shared" si="6"/>
        <v>54.4</v>
      </c>
      <c r="I45" s="53">
        <f t="shared" si="6"/>
        <v>358.2</v>
      </c>
      <c r="J45" s="53">
        <f t="shared" si="6"/>
        <v>67.099999999999994</v>
      </c>
      <c r="K45" s="53">
        <f t="shared" si="6"/>
        <v>33</v>
      </c>
      <c r="L45" s="53">
        <f t="shared" si="6"/>
        <v>74.8</v>
      </c>
      <c r="M45" s="53">
        <f t="shared" si="6"/>
        <v>16.7</v>
      </c>
      <c r="N45" s="54">
        <f t="shared" si="6"/>
        <v>61.1</v>
      </c>
      <c r="O45" s="55">
        <f t="shared" ref="O45:O53" si="7">ROUND(SUM(C45:N45),1)</f>
        <v>991.7</v>
      </c>
      <c r="P45" s="46">
        <f t="shared" ref="P45:P53" si="8">ROUND(O45/12,1)</f>
        <v>82.6</v>
      </c>
    </row>
    <row r="46" spans="2:16" ht="21.95" customHeight="1">
      <c r="B46" s="52">
        <f t="shared" si="6"/>
        <v>2017</v>
      </c>
      <c r="C46" s="53">
        <f t="shared" si="6"/>
        <v>14.9</v>
      </c>
      <c r="D46" s="53">
        <f t="shared" si="6"/>
        <v>11.1</v>
      </c>
      <c r="E46" s="53">
        <f t="shared" si="6"/>
        <v>7.9</v>
      </c>
      <c r="F46" s="53">
        <f t="shared" si="6"/>
        <v>61.6</v>
      </c>
      <c r="G46" s="53">
        <f t="shared" si="6"/>
        <v>16.100000000000001</v>
      </c>
      <c r="H46" s="53">
        <f t="shared" si="6"/>
        <v>66.599999999999994</v>
      </c>
      <c r="I46" s="53">
        <f t="shared" si="6"/>
        <v>621</v>
      </c>
      <c r="J46" s="53">
        <f t="shared" si="6"/>
        <v>297</v>
      </c>
      <c r="K46" s="53">
        <f t="shared" si="6"/>
        <v>35</v>
      </c>
      <c r="L46" s="53">
        <f t="shared" si="6"/>
        <v>26.5</v>
      </c>
      <c r="M46" s="53">
        <f t="shared" si="6"/>
        <v>40.700000000000003</v>
      </c>
      <c r="N46" s="54">
        <f t="shared" si="6"/>
        <v>34.799999999999997</v>
      </c>
      <c r="O46" s="55">
        <f t="shared" si="7"/>
        <v>1233.2</v>
      </c>
      <c r="P46" s="46">
        <f t="shared" si="8"/>
        <v>102.8</v>
      </c>
    </row>
    <row r="47" spans="2:16" ht="21.95" customHeight="1">
      <c r="B47" s="52">
        <f t="shared" si="6"/>
        <v>2018</v>
      </c>
      <c r="C47" s="53">
        <f t="shared" si="6"/>
        <v>8.5</v>
      </c>
      <c r="D47" s="53">
        <f t="shared" si="6"/>
        <v>29.6</v>
      </c>
      <c r="E47" s="53">
        <f t="shared" si="6"/>
        <v>49.5</v>
      </c>
      <c r="F47" s="53">
        <f t="shared" si="6"/>
        <v>130.30000000000001</v>
      </c>
      <c r="G47" s="53">
        <f t="shared" si="6"/>
        <v>222</v>
      </c>
      <c r="H47" s="53">
        <f t="shared" si="6"/>
        <v>171.5</v>
      </c>
      <c r="I47" s="53">
        <f t="shared" si="6"/>
        <v>185.6</v>
      </c>
      <c r="J47" s="53">
        <f t="shared" si="6"/>
        <v>202.6</v>
      </c>
      <c r="K47" s="53">
        <f t="shared" si="6"/>
        <v>68.5</v>
      </c>
      <c r="L47" s="53">
        <f t="shared" si="6"/>
        <v>120.5</v>
      </c>
      <c r="M47" s="53">
        <f t="shared" si="6"/>
        <v>79.099999999999994</v>
      </c>
      <c r="N47" s="54">
        <f t="shared" si="6"/>
        <v>16.399999999999999</v>
      </c>
      <c r="O47" s="55">
        <f>ROUND(SUM(C47:N47),1)</f>
        <v>1284.0999999999999</v>
      </c>
      <c r="P47" s="46">
        <f t="shared" si="8"/>
        <v>107</v>
      </c>
    </row>
    <row r="48" spans="2:16" ht="21.95" customHeight="1">
      <c r="B48" s="52">
        <f t="shared" si="6"/>
        <v>2019</v>
      </c>
      <c r="C48" s="53">
        <f t="shared" si="6"/>
        <v>0</v>
      </c>
      <c r="D48" s="53">
        <f t="shared" si="6"/>
        <v>23.8</v>
      </c>
      <c r="E48" s="53">
        <f t="shared" si="6"/>
        <v>26.8</v>
      </c>
      <c r="F48" s="53">
        <f t="shared" si="6"/>
        <v>47.3</v>
      </c>
      <c r="G48" s="53">
        <f t="shared" si="6"/>
        <v>37.799999999999997</v>
      </c>
      <c r="H48" s="53">
        <f t="shared" si="6"/>
        <v>74</v>
      </c>
      <c r="I48" s="53">
        <f t="shared" si="6"/>
        <v>194.4</v>
      </c>
      <c r="J48" s="53">
        <f t="shared" si="6"/>
        <v>190.5</v>
      </c>
      <c r="K48" s="53">
        <f t="shared" si="6"/>
        <v>139.80000000000001</v>
      </c>
      <c r="L48" s="53">
        <f t="shared" si="6"/>
        <v>55.5</v>
      </c>
      <c r="M48" s="53">
        <f t="shared" si="6"/>
        <v>78.8</v>
      </c>
      <c r="N48" s="54">
        <f t="shared" si="6"/>
        <v>22.6</v>
      </c>
      <c r="O48" s="55">
        <f t="shared" si="7"/>
        <v>891.3</v>
      </c>
      <c r="P48" s="46">
        <f t="shared" si="8"/>
        <v>74.3</v>
      </c>
    </row>
    <row r="49" spans="2:16" ht="21.95" customHeight="1">
      <c r="B49" s="52">
        <f t="shared" si="6"/>
        <v>2020</v>
      </c>
      <c r="C49" s="53">
        <f t="shared" si="6"/>
        <v>60.5</v>
      </c>
      <c r="D49" s="53">
        <f t="shared" si="6"/>
        <v>53.1</v>
      </c>
      <c r="E49" s="53">
        <f t="shared" si="6"/>
        <v>16.3</v>
      </c>
      <c r="F49" s="53">
        <f t="shared" si="6"/>
        <v>16.899999999999999</v>
      </c>
      <c r="G49" s="53">
        <f t="shared" si="6"/>
        <v>112.4</v>
      </c>
      <c r="H49" s="53">
        <f t="shared" si="6"/>
        <v>139.6</v>
      </c>
      <c r="I49" s="53">
        <f t="shared" si="6"/>
        <v>270.39999999999998</v>
      </c>
      <c r="J49" s="53">
        <f t="shared" si="6"/>
        <v>675.7</v>
      </c>
      <c r="K49" s="53">
        <f t="shared" si="6"/>
        <v>181.5</v>
      </c>
      <c r="L49" s="53">
        <f t="shared" si="6"/>
        <v>0</v>
      </c>
      <c r="M49" s="53">
        <f t="shared" si="6"/>
        <v>120.1</v>
      </c>
      <c r="N49" s="54">
        <f t="shared" si="6"/>
        <v>4.5999999999999996</v>
      </c>
      <c r="O49" s="55">
        <f t="shared" si="7"/>
        <v>1651.1</v>
      </c>
      <c r="P49" s="46">
        <f t="shared" si="8"/>
        <v>137.6</v>
      </c>
    </row>
    <row r="50" spans="2:16" ht="21.95" customHeight="1">
      <c r="B50" s="52">
        <f t="shared" si="6"/>
        <v>2021</v>
      </c>
      <c r="C50" s="53">
        <f t="shared" si="6"/>
        <v>18.899999999999999</v>
      </c>
      <c r="D50" s="53">
        <f t="shared" si="6"/>
        <v>7.1</v>
      </c>
      <c r="E50" s="53">
        <f t="shared" si="6"/>
        <v>110.9</v>
      </c>
      <c r="F50" s="53">
        <f t="shared" si="6"/>
        <v>124.1</v>
      </c>
      <c r="G50" s="53">
        <f t="shared" si="6"/>
        <v>183.1</v>
      </c>
      <c r="H50" s="53">
        <f t="shared" si="6"/>
        <v>104.6</v>
      </c>
      <c r="I50" s="53">
        <f t="shared" si="6"/>
        <v>168.3</v>
      </c>
      <c r="J50" s="53">
        <f t="shared" si="6"/>
        <v>211.2</v>
      </c>
      <c r="K50" s="53">
        <f t="shared" si="6"/>
        <v>131</v>
      </c>
      <c r="L50" s="53">
        <f t="shared" si="6"/>
        <v>57</v>
      </c>
      <c r="M50" s="53">
        <f t="shared" si="6"/>
        <v>62.4</v>
      </c>
      <c r="N50" s="54">
        <f t="shared" si="6"/>
        <v>7.9</v>
      </c>
      <c r="O50" s="55">
        <f t="shared" si="7"/>
        <v>1186.5</v>
      </c>
      <c r="P50" s="46">
        <f t="shared" si="8"/>
        <v>98.9</v>
      </c>
    </row>
    <row r="51" spans="2:16" ht="21.95" customHeight="1">
      <c r="B51" s="52">
        <f t="shared" si="6"/>
        <v>2022</v>
      </c>
      <c r="C51" s="53">
        <f t="shared" si="6"/>
        <v>5.5</v>
      </c>
      <c r="D51" s="53">
        <f t="shared" si="6"/>
        <v>4.7</v>
      </c>
      <c r="E51" s="53">
        <f t="shared" si="6"/>
        <v>102.6</v>
      </c>
      <c r="F51" s="53">
        <f t="shared" si="6"/>
        <v>20.399999999999999</v>
      </c>
      <c r="G51" s="53">
        <f t="shared" si="6"/>
        <v>7.5</v>
      </c>
      <c r="H51" s="53">
        <f t="shared" si="6"/>
        <v>393.8</v>
      </c>
      <c r="I51" s="53">
        <f t="shared" si="6"/>
        <v>252.3</v>
      </c>
      <c r="J51" s="53">
        <f t="shared" si="6"/>
        <v>564.79999999999995</v>
      </c>
      <c r="K51" s="53">
        <f t="shared" si="6"/>
        <v>201.5</v>
      </c>
      <c r="L51" s="53">
        <f t="shared" si="6"/>
        <v>124.1</v>
      </c>
      <c r="M51" s="53">
        <f t="shared" si="6"/>
        <v>84.5</v>
      </c>
      <c r="N51" s="54">
        <f t="shared" si="6"/>
        <v>13.6</v>
      </c>
      <c r="O51" s="55">
        <f t="shared" si="7"/>
        <v>1775.3</v>
      </c>
      <c r="P51" s="46">
        <f t="shared" si="8"/>
        <v>147.9</v>
      </c>
    </row>
    <row r="52" spans="2:16" ht="21.95" customHeight="1">
      <c r="B52" s="52">
        <f t="shared" si="6"/>
        <v>2023</v>
      </c>
      <c r="C52" s="53">
        <f t="shared" si="6"/>
        <v>47.9</v>
      </c>
      <c r="D52" s="53">
        <f t="shared" si="6"/>
        <v>1</v>
      </c>
      <c r="E52" s="53">
        <f t="shared" si="6"/>
        <v>10.5</v>
      </c>
      <c r="F52" s="53">
        <f t="shared" si="6"/>
        <v>96.9</v>
      </c>
      <c r="G52" s="53">
        <f t="shared" si="6"/>
        <v>155.6</v>
      </c>
      <c r="H52" s="53">
        <f t="shared" si="6"/>
        <v>195.6</v>
      </c>
      <c r="I52" s="53">
        <f t="shared" si="6"/>
        <v>459.9</v>
      </c>
      <c r="J52" s="53">
        <f t="shared" si="6"/>
        <v>298.10000000000002</v>
      </c>
      <c r="K52" s="53">
        <f t="shared" si="6"/>
        <v>134.5</v>
      </c>
      <c r="L52" s="53">
        <f t="shared" si="6"/>
        <v>31</v>
      </c>
      <c r="M52" s="53">
        <f t="shared" si="6"/>
        <v>81.900000000000006</v>
      </c>
      <c r="N52" s="54">
        <f t="shared" si="6"/>
        <v>85.9</v>
      </c>
      <c r="O52" s="55">
        <f t="shared" si="7"/>
        <v>1598.8</v>
      </c>
      <c r="P52" s="46">
        <f t="shared" si="8"/>
        <v>133.19999999999999</v>
      </c>
    </row>
    <row r="53" spans="2:16" ht="21.95" customHeight="1" thickBot="1">
      <c r="B53" s="56">
        <f t="shared" si="6"/>
        <v>2024</v>
      </c>
      <c r="C53" s="57">
        <f t="shared" si="6"/>
        <v>18.899999999999999</v>
      </c>
      <c r="D53" s="57">
        <f t="shared" si="6"/>
        <v>74.7</v>
      </c>
      <c r="E53" s="57">
        <f t="shared" si="6"/>
        <v>29.9</v>
      </c>
      <c r="F53" s="57">
        <f t="shared" si="6"/>
        <v>33.200000000000003</v>
      </c>
      <c r="G53" s="57">
        <f t="shared" si="6"/>
        <v>125.1</v>
      </c>
      <c r="H53" s="57">
        <f t="shared" si="6"/>
        <v>115.9</v>
      </c>
      <c r="I53" s="57">
        <f t="shared" si="6"/>
        <v>557.29999999999995</v>
      </c>
      <c r="J53" s="57">
        <f t="shared" si="6"/>
        <v>72.8</v>
      </c>
      <c r="K53" s="57">
        <f t="shared" si="6"/>
        <v>143.9</v>
      </c>
      <c r="L53" s="57">
        <f t="shared" si="6"/>
        <v>74</v>
      </c>
      <c r="M53" s="57">
        <f t="shared" si="6"/>
        <v>60</v>
      </c>
      <c r="N53" s="58">
        <f t="shared" si="6"/>
        <v>5.7</v>
      </c>
      <c r="O53" s="59">
        <f t="shared" si="7"/>
        <v>1311.4</v>
      </c>
      <c r="P53" s="51">
        <f t="shared" si="8"/>
        <v>109.3</v>
      </c>
    </row>
    <row r="54" spans="2:16" ht="21.95" customHeight="1">
      <c r="B54" s="60" t="s">
        <v>19</v>
      </c>
      <c r="C54" s="61">
        <f>MAX(C44:C53)</f>
        <v>60.5</v>
      </c>
      <c r="D54" s="61">
        <f t="shared" ref="D54:P54" si="9">MAX(D44:D53)</f>
        <v>74.7</v>
      </c>
      <c r="E54" s="61">
        <f t="shared" si="9"/>
        <v>110.9</v>
      </c>
      <c r="F54" s="61">
        <f t="shared" si="9"/>
        <v>130.30000000000001</v>
      </c>
      <c r="G54" s="61">
        <f t="shared" si="9"/>
        <v>222</v>
      </c>
      <c r="H54" s="61">
        <f t="shared" si="9"/>
        <v>393.8</v>
      </c>
      <c r="I54" s="61">
        <f t="shared" si="9"/>
        <v>621</v>
      </c>
      <c r="J54" s="61">
        <f t="shared" si="9"/>
        <v>675.7</v>
      </c>
      <c r="K54" s="61">
        <f t="shared" si="9"/>
        <v>201.5</v>
      </c>
      <c r="L54" s="61">
        <f t="shared" si="9"/>
        <v>124.1</v>
      </c>
      <c r="M54" s="61">
        <f t="shared" si="9"/>
        <v>120.1</v>
      </c>
      <c r="N54" s="62">
        <f t="shared" si="9"/>
        <v>85.9</v>
      </c>
      <c r="O54" s="63">
        <f t="shared" si="9"/>
        <v>1775.3</v>
      </c>
      <c r="P54" s="62">
        <f t="shared" si="9"/>
        <v>147.9</v>
      </c>
    </row>
    <row r="55" spans="2:16" ht="21.95" customHeight="1">
      <c r="B55" s="64" t="s">
        <v>20</v>
      </c>
      <c r="C55" s="65">
        <f>MIN(C44:C53)</f>
        <v>0</v>
      </c>
      <c r="D55" s="65">
        <f t="shared" ref="D55:P55" si="10">MIN(D44:D53)</f>
        <v>1</v>
      </c>
      <c r="E55" s="65">
        <f t="shared" si="10"/>
        <v>7.9</v>
      </c>
      <c r="F55" s="65">
        <f t="shared" si="10"/>
        <v>16.899999999999999</v>
      </c>
      <c r="G55" s="65">
        <f t="shared" si="10"/>
        <v>7.5</v>
      </c>
      <c r="H55" s="65">
        <f t="shared" si="10"/>
        <v>54.4</v>
      </c>
      <c r="I55" s="65">
        <f t="shared" si="10"/>
        <v>168.3</v>
      </c>
      <c r="J55" s="65">
        <f t="shared" si="10"/>
        <v>67.099999999999994</v>
      </c>
      <c r="K55" s="65">
        <f t="shared" si="10"/>
        <v>26</v>
      </c>
      <c r="L55" s="65">
        <f t="shared" si="10"/>
        <v>0</v>
      </c>
      <c r="M55" s="65">
        <f t="shared" si="10"/>
        <v>16.7</v>
      </c>
      <c r="N55" s="46">
        <f t="shared" si="10"/>
        <v>4.5999999999999996</v>
      </c>
      <c r="O55" s="55">
        <f>MIN(O44:O53)</f>
        <v>792.1</v>
      </c>
      <c r="P55" s="46">
        <f t="shared" si="10"/>
        <v>66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27.5</v>
      </c>
      <c r="E56" s="67">
        <f t="shared" si="11"/>
        <v>40.5</v>
      </c>
      <c r="F56" s="67">
        <f t="shared" si="11"/>
        <v>68.8</v>
      </c>
      <c r="G56" s="67">
        <f t="shared" si="11"/>
        <v>104.9</v>
      </c>
      <c r="H56" s="67">
        <f t="shared" si="11"/>
        <v>141.5</v>
      </c>
      <c r="I56" s="67">
        <f t="shared" si="11"/>
        <v>329.3</v>
      </c>
      <c r="J56" s="67">
        <f t="shared" si="11"/>
        <v>265.3</v>
      </c>
      <c r="K56" s="67">
        <f t="shared" si="11"/>
        <v>109.5</v>
      </c>
      <c r="L56" s="67">
        <f t="shared" si="11"/>
        <v>64.5</v>
      </c>
      <c r="M56" s="67">
        <f t="shared" si="11"/>
        <v>72.900000000000006</v>
      </c>
      <c r="N56" s="51">
        <f t="shared" si="11"/>
        <v>28.2</v>
      </c>
      <c r="O56" s="59">
        <f>ROUND(AVERAGE(O44:O53),1)</f>
        <v>1271.5999999999999</v>
      </c>
      <c r="P56" s="51">
        <f>ROUND(AVERAGE(P44:P53),1)</f>
        <v>106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T27" sqref="T27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1" ht="20.25">
      <c r="B2" s="2" t="s">
        <v>297</v>
      </c>
    </row>
    <row r="3" spans="2:21" ht="24.75" customHeight="1">
      <c r="R3" s="5"/>
    </row>
    <row r="4" spans="2:21" ht="21.75" customHeight="1" thickBot="1"/>
    <row r="5" spans="2:21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T5" s="82" t="s">
        <v>280</v>
      </c>
      <c r="U5" s="7"/>
    </row>
    <row r="6" spans="2:21" ht="21.95" customHeight="1" thickBot="1">
      <c r="B6" s="8">
        <v>1995</v>
      </c>
      <c r="C6" s="9">
        <v>42.3</v>
      </c>
      <c r="D6" s="9">
        <v>34.9</v>
      </c>
      <c r="E6" s="9">
        <v>28.1</v>
      </c>
      <c r="F6" s="9">
        <v>111.7</v>
      </c>
      <c r="G6" s="9">
        <v>75.5</v>
      </c>
      <c r="H6" s="9">
        <v>96.4</v>
      </c>
      <c r="I6" s="9">
        <v>110</v>
      </c>
      <c r="J6" s="10">
        <v>151.4</v>
      </c>
      <c r="K6" s="9">
        <v>40.5</v>
      </c>
      <c r="L6" s="9">
        <v>17.2</v>
      </c>
      <c r="M6" s="9">
        <v>35.1</v>
      </c>
      <c r="N6" s="11">
        <v>21.3</v>
      </c>
      <c r="O6" s="12">
        <f t="shared" ref="O6:O35" si="0">ROUND(SUM(C6:N6),1)</f>
        <v>764.4</v>
      </c>
      <c r="P6" s="13">
        <f>ROUND(O6/12,1)</f>
        <v>63.7</v>
      </c>
      <c r="Q6" s="14"/>
    </row>
    <row r="7" spans="2:21" ht="21.95" customHeight="1">
      <c r="B7" s="15">
        <v>1996</v>
      </c>
      <c r="C7" s="16">
        <v>32.9</v>
      </c>
      <c r="D7" s="16">
        <v>11.8</v>
      </c>
      <c r="E7" s="16">
        <v>127.4</v>
      </c>
      <c r="F7" s="16">
        <v>38.4</v>
      </c>
      <c r="G7" s="16">
        <v>37.4</v>
      </c>
      <c r="H7" s="16">
        <v>302.89999999999998</v>
      </c>
      <c r="I7" s="16">
        <v>186.3</v>
      </c>
      <c r="J7" s="17">
        <v>261.7</v>
      </c>
      <c r="K7" s="16">
        <v>66.099999999999994</v>
      </c>
      <c r="L7" s="16">
        <v>60.7</v>
      </c>
      <c r="M7" s="16">
        <v>112.4</v>
      </c>
      <c r="N7" s="18">
        <v>30.8</v>
      </c>
      <c r="O7" s="12">
        <f t="shared" si="0"/>
        <v>1268.8</v>
      </c>
      <c r="P7" s="19">
        <f t="shared" ref="P7:P35" si="1">ROUND(O7/12,1)</f>
        <v>105.7</v>
      </c>
      <c r="Q7" s="14"/>
      <c r="R7" s="79" t="s">
        <v>41</v>
      </c>
      <c r="S7" s="80" t="s">
        <v>40</v>
      </c>
      <c r="T7" s="6"/>
    </row>
    <row r="8" spans="2:21" ht="21.95" customHeight="1">
      <c r="B8" s="15">
        <v>1997</v>
      </c>
      <c r="C8" s="16">
        <v>19.3</v>
      </c>
      <c r="D8" s="16">
        <v>43.6</v>
      </c>
      <c r="E8" s="16">
        <v>68.3</v>
      </c>
      <c r="F8" s="16">
        <v>82.1</v>
      </c>
      <c r="G8" s="16">
        <v>101.6</v>
      </c>
      <c r="H8" s="16">
        <v>177.2</v>
      </c>
      <c r="I8" s="16">
        <v>358.3</v>
      </c>
      <c r="J8" s="16">
        <v>381.9</v>
      </c>
      <c r="K8" s="16">
        <v>22.8</v>
      </c>
      <c r="L8" s="16">
        <v>14</v>
      </c>
      <c r="M8" s="16">
        <v>136.4</v>
      </c>
      <c r="N8" s="18">
        <v>73.7</v>
      </c>
      <c r="O8" s="12">
        <f t="shared" si="0"/>
        <v>1479.2</v>
      </c>
      <c r="P8" s="19">
        <f t="shared" si="1"/>
        <v>123.3</v>
      </c>
      <c r="Q8" s="14"/>
      <c r="R8" s="20" t="s">
        <v>295</v>
      </c>
      <c r="S8" s="21" t="s">
        <v>296</v>
      </c>
    </row>
    <row r="9" spans="2:21" ht="21.95" customHeight="1" thickBot="1">
      <c r="B9" s="15">
        <v>1998</v>
      </c>
      <c r="C9" s="16">
        <v>41.3</v>
      </c>
      <c r="D9" s="16">
        <v>44.4</v>
      </c>
      <c r="E9" s="16">
        <v>78.2</v>
      </c>
      <c r="F9" s="16">
        <v>124.2</v>
      </c>
      <c r="G9" s="16">
        <v>136.9</v>
      </c>
      <c r="H9" s="16">
        <v>369.6</v>
      </c>
      <c r="I9" s="16">
        <v>210.9</v>
      </c>
      <c r="J9" s="16">
        <v>531.20000000000005</v>
      </c>
      <c r="K9" s="16">
        <v>315.7</v>
      </c>
      <c r="L9" s="16">
        <v>57.4</v>
      </c>
      <c r="M9" s="16">
        <v>30.9</v>
      </c>
      <c r="N9" s="18">
        <v>2.2999999999999998</v>
      </c>
      <c r="O9" s="12">
        <f t="shared" si="0"/>
        <v>1943</v>
      </c>
      <c r="P9" s="19">
        <f t="shared" si="1"/>
        <v>161.9</v>
      </c>
      <c r="Q9" s="14"/>
      <c r="R9" s="70" t="str">
        <f>VLOOKUP(R8, tblLocation[], 2, FALSE)</f>
        <v>Table4</v>
      </c>
      <c r="S9" s="22">
        <f ca="1">IFERROR(VLOOKUP(S8, INDIRECT($R$9), 3,0), "지역설정")</f>
        <v>156</v>
      </c>
    </row>
    <row r="10" spans="2:21" ht="21.95" customHeight="1" thickBot="1">
      <c r="B10" s="15">
        <v>1999</v>
      </c>
      <c r="C10" s="16">
        <v>41</v>
      </c>
      <c r="D10" s="16">
        <v>34.9</v>
      </c>
      <c r="E10" s="16">
        <v>111.9</v>
      </c>
      <c r="F10" s="16">
        <v>44.9</v>
      </c>
      <c r="G10" s="16">
        <v>106.9</v>
      </c>
      <c r="H10" s="16">
        <v>135.4</v>
      </c>
      <c r="I10" s="16">
        <v>220.7</v>
      </c>
      <c r="J10" s="16">
        <v>287.10000000000002</v>
      </c>
      <c r="K10" s="16">
        <v>281.7</v>
      </c>
      <c r="L10" s="16">
        <v>126.2</v>
      </c>
      <c r="M10" s="16">
        <v>22.1</v>
      </c>
      <c r="N10" s="18">
        <v>16.899999999999999</v>
      </c>
      <c r="O10" s="12">
        <f t="shared" si="0"/>
        <v>1429.7</v>
      </c>
      <c r="P10" s="19">
        <f t="shared" si="1"/>
        <v>119.1</v>
      </c>
      <c r="Q10" s="14"/>
      <c r="S10" s="23">
        <f ca="1">IFERROR(VLOOKUP(S8, INDIRECT($R$9), 5,0),"지역설정")</f>
        <v>27</v>
      </c>
    </row>
    <row r="11" spans="2:21" ht="21.95" customHeight="1" thickBot="1">
      <c r="B11" s="15">
        <v>2000</v>
      </c>
      <c r="C11" s="16">
        <v>33.700000000000003</v>
      </c>
      <c r="D11" s="16">
        <v>15.4</v>
      </c>
      <c r="E11" s="16">
        <v>19.899999999999999</v>
      </c>
      <c r="F11" s="16">
        <v>16.3</v>
      </c>
      <c r="G11" s="16">
        <v>47.7</v>
      </c>
      <c r="H11" s="16">
        <v>197.7</v>
      </c>
      <c r="I11" s="16">
        <v>321.39999999999998</v>
      </c>
      <c r="J11" s="16">
        <v>538.29999999999995</v>
      </c>
      <c r="K11" s="16">
        <v>228.7</v>
      </c>
      <c r="L11" s="16">
        <v>31.7</v>
      </c>
      <c r="M11" s="16">
        <v>53.8</v>
      </c>
      <c r="N11" s="18">
        <v>6.4</v>
      </c>
      <c r="O11" s="12">
        <f t="shared" si="0"/>
        <v>1511</v>
      </c>
      <c r="P11" s="19">
        <f t="shared" si="1"/>
        <v>125.9</v>
      </c>
      <c r="Q11" s="14"/>
      <c r="S11" s="69" t="str">
        <f ca="1">IFERROR(UPPER(VLOOKUP(S8, INDIRECT($R$9), 2,0)), "지역설정")</f>
        <v>GWANGJU</v>
      </c>
    </row>
    <row r="12" spans="2:21" ht="21.95" customHeight="1">
      <c r="B12" s="15">
        <v>2001</v>
      </c>
      <c r="C12" s="16">
        <v>50.4</v>
      </c>
      <c r="D12" s="16">
        <v>83.9</v>
      </c>
      <c r="E12" s="16">
        <v>26.9</v>
      </c>
      <c r="F12" s="16">
        <v>43.7</v>
      </c>
      <c r="G12" s="16">
        <v>21.4</v>
      </c>
      <c r="H12" s="16">
        <v>245.8</v>
      </c>
      <c r="I12" s="16">
        <v>270.8</v>
      </c>
      <c r="J12" s="16">
        <v>113.2</v>
      </c>
      <c r="K12" s="16">
        <v>135.30000000000001</v>
      </c>
      <c r="L12" s="16">
        <v>69.7</v>
      </c>
      <c r="M12" s="16">
        <v>15.3</v>
      </c>
      <c r="N12" s="18">
        <v>53.5</v>
      </c>
      <c r="O12" s="12">
        <f t="shared" si="0"/>
        <v>1129.9000000000001</v>
      </c>
      <c r="P12" s="19">
        <f t="shared" si="1"/>
        <v>94.2</v>
      </c>
    </row>
    <row r="13" spans="2:21" ht="21.95" customHeight="1" thickBot="1">
      <c r="B13" s="15">
        <v>2002</v>
      </c>
      <c r="C13" s="16">
        <v>95.7</v>
      </c>
      <c r="D13" s="16">
        <v>13.5</v>
      </c>
      <c r="E13" s="16">
        <v>46.5</v>
      </c>
      <c r="F13" s="16">
        <v>117.8</v>
      </c>
      <c r="G13" s="16">
        <v>100.5</v>
      </c>
      <c r="H13" s="16">
        <v>108.5</v>
      </c>
      <c r="I13" s="16">
        <v>180</v>
      </c>
      <c r="J13" s="16">
        <v>584</v>
      </c>
      <c r="K13" s="16">
        <v>109</v>
      </c>
      <c r="L13" s="16">
        <v>38.6</v>
      </c>
      <c r="M13" s="16">
        <v>34.1</v>
      </c>
      <c r="N13" s="18">
        <v>30.5</v>
      </c>
      <c r="O13" s="12">
        <f t="shared" si="0"/>
        <v>1458.7</v>
      </c>
      <c r="P13" s="19">
        <f t="shared" si="1"/>
        <v>121.6</v>
      </c>
    </row>
    <row r="14" spans="2:21" ht="21.95" customHeight="1">
      <c r="B14" s="15">
        <v>2003</v>
      </c>
      <c r="C14" s="16">
        <v>45</v>
      </c>
      <c r="D14" s="16">
        <v>52.2</v>
      </c>
      <c r="E14" s="16">
        <v>70.599999999999994</v>
      </c>
      <c r="F14" s="16">
        <v>243.9</v>
      </c>
      <c r="G14" s="16">
        <v>141</v>
      </c>
      <c r="H14" s="16">
        <v>150.19999999999999</v>
      </c>
      <c r="I14" s="16">
        <v>564.9</v>
      </c>
      <c r="J14" s="16">
        <v>411</v>
      </c>
      <c r="K14" s="16">
        <v>206.3</v>
      </c>
      <c r="L14" s="16">
        <v>36.200000000000003</v>
      </c>
      <c r="M14" s="16">
        <v>38.4</v>
      </c>
      <c r="N14" s="18">
        <v>34.4</v>
      </c>
      <c r="O14" s="12">
        <f t="shared" si="0"/>
        <v>1994.1</v>
      </c>
      <c r="P14" s="19">
        <f t="shared" si="1"/>
        <v>166.2</v>
      </c>
      <c r="R14" s="24" t="s">
        <v>21</v>
      </c>
      <c r="S14" s="25" t="s">
        <v>22</v>
      </c>
      <c r="T14" s="26"/>
    </row>
    <row r="15" spans="2:21" ht="21.95" customHeight="1">
      <c r="B15" s="15">
        <v>2004</v>
      </c>
      <c r="C15" s="16">
        <v>14</v>
      </c>
      <c r="D15" s="16">
        <v>54</v>
      </c>
      <c r="E15" s="16">
        <v>38.4</v>
      </c>
      <c r="F15" s="16">
        <v>63.7</v>
      </c>
      <c r="G15" s="16">
        <v>101.1</v>
      </c>
      <c r="H15" s="16">
        <v>153.80000000000001</v>
      </c>
      <c r="I15" s="16">
        <v>409.5</v>
      </c>
      <c r="J15" s="16">
        <v>570.5</v>
      </c>
      <c r="K15" s="16">
        <v>242</v>
      </c>
      <c r="L15" s="16">
        <v>3.4</v>
      </c>
      <c r="M15" s="16">
        <v>63.1</v>
      </c>
      <c r="N15" s="18">
        <v>28.8</v>
      </c>
      <c r="O15" s="12">
        <f t="shared" si="0"/>
        <v>1742.3</v>
      </c>
      <c r="P15" s="19">
        <f t="shared" si="1"/>
        <v>145.19999999999999</v>
      </c>
      <c r="R15" s="27" t="s">
        <v>23</v>
      </c>
      <c r="S15" s="28" t="s">
        <v>24</v>
      </c>
      <c r="T15" s="29"/>
    </row>
    <row r="16" spans="2:21" ht="21.95" customHeight="1" thickBot="1">
      <c r="B16" s="15">
        <v>2005</v>
      </c>
      <c r="C16" s="16">
        <v>10.6</v>
      </c>
      <c r="D16" s="16">
        <v>48.3</v>
      </c>
      <c r="E16" s="16">
        <v>66.7</v>
      </c>
      <c r="F16" s="16">
        <v>92.5</v>
      </c>
      <c r="G16" s="16">
        <v>74.099999999999994</v>
      </c>
      <c r="H16" s="16">
        <v>185</v>
      </c>
      <c r="I16" s="16">
        <v>273.8</v>
      </c>
      <c r="J16" s="16">
        <v>303.3</v>
      </c>
      <c r="K16" s="16">
        <v>108.5</v>
      </c>
      <c r="L16" s="16">
        <v>17.399999999999999</v>
      </c>
      <c r="M16" s="16">
        <v>42.8</v>
      </c>
      <c r="N16" s="18">
        <v>66.599999999999994</v>
      </c>
      <c r="O16" s="12">
        <f t="shared" si="0"/>
        <v>1289.5999999999999</v>
      </c>
      <c r="P16" s="19">
        <f t="shared" si="1"/>
        <v>107.5</v>
      </c>
      <c r="R16" s="30" t="s">
        <v>25</v>
      </c>
      <c r="S16" s="31" t="s">
        <v>26</v>
      </c>
      <c r="T16" s="32"/>
    </row>
    <row r="17" spans="2:18" ht="21.95" customHeight="1">
      <c r="B17" s="15">
        <v>2006</v>
      </c>
      <c r="C17" s="16">
        <v>16.100000000000001</v>
      </c>
      <c r="D17" s="16">
        <v>51.9</v>
      </c>
      <c r="E17" s="16">
        <v>15</v>
      </c>
      <c r="F17" s="16">
        <v>87.8</v>
      </c>
      <c r="G17" s="16">
        <v>204.3</v>
      </c>
      <c r="H17" s="16">
        <v>226.7</v>
      </c>
      <c r="I17" s="16">
        <v>478.3</v>
      </c>
      <c r="J17" s="16">
        <v>295.5</v>
      </c>
      <c r="K17" s="16">
        <v>46.8</v>
      </c>
      <c r="L17" s="16">
        <v>18.2</v>
      </c>
      <c r="M17" s="16">
        <v>41.7</v>
      </c>
      <c r="N17" s="18">
        <v>37.9</v>
      </c>
      <c r="O17" s="12">
        <f t="shared" si="0"/>
        <v>1520.2</v>
      </c>
      <c r="P17" s="19">
        <f t="shared" si="1"/>
        <v>126.7</v>
      </c>
    </row>
    <row r="18" spans="2:18" ht="21.95" customHeight="1">
      <c r="B18" s="15">
        <v>2007</v>
      </c>
      <c r="C18" s="16">
        <v>12.1</v>
      </c>
      <c r="D18" s="16">
        <v>79.099999999999994</v>
      </c>
      <c r="E18" s="16">
        <v>100.3</v>
      </c>
      <c r="F18" s="16">
        <v>38.700000000000003</v>
      </c>
      <c r="G18" s="16">
        <v>116</v>
      </c>
      <c r="H18" s="16">
        <v>52</v>
      </c>
      <c r="I18" s="16">
        <v>232</v>
      </c>
      <c r="J18" s="16">
        <v>339.3</v>
      </c>
      <c r="K18" s="16">
        <v>490.7</v>
      </c>
      <c r="L18" s="16">
        <v>95.5</v>
      </c>
      <c r="M18" s="16">
        <v>3.3</v>
      </c>
      <c r="N18" s="18">
        <v>61.6</v>
      </c>
      <c r="O18" s="12">
        <f t="shared" si="0"/>
        <v>1620.6</v>
      </c>
      <c r="P18" s="19">
        <f t="shared" si="1"/>
        <v>135.1</v>
      </c>
    </row>
    <row r="19" spans="2:18" ht="21.95" customHeight="1">
      <c r="B19" s="15">
        <v>2008</v>
      </c>
      <c r="C19" s="16">
        <v>56.9</v>
      </c>
      <c r="D19" s="16">
        <v>11.1</v>
      </c>
      <c r="E19" s="16">
        <v>36.700000000000003</v>
      </c>
      <c r="F19" s="16">
        <v>54.2</v>
      </c>
      <c r="G19" s="16">
        <v>150.6</v>
      </c>
      <c r="H19" s="16">
        <v>273.2</v>
      </c>
      <c r="I19" s="16">
        <v>139.19999999999999</v>
      </c>
      <c r="J19" s="16">
        <v>157.5</v>
      </c>
      <c r="K19" s="16">
        <v>58.9</v>
      </c>
      <c r="L19" s="16">
        <v>15.3</v>
      </c>
      <c r="M19" s="16">
        <v>39.1</v>
      </c>
      <c r="N19" s="18">
        <v>14.5</v>
      </c>
      <c r="O19" s="12">
        <f t="shared" si="0"/>
        <v>1007.2</v>
      </c>
      <c r="P19" s="19">
        <f t="shared" si="1"/>
        <v>83.9</v>
      </c>
    </row>
    <row r="20" spans="2:18" ht="21.95" customHeight="1">
      <c r="B20" s="15">
        <v>2009</v>
      </c>
      <c r="C20" s="16">
        <v>36</v>
      </c>
      <c r="D20" s="16">
        <v>71.900000000000006</v>
      </c>
      <c r="E20" s="16">
        <v>42.1</v>
      </c>
      <c r="F20" s="16">
        <v>35.700000000000003</v>
      </c>
      <c r="G20" s="16">
        <v>114.9</v>
      </c>
      <c r="H20" s="16">
        <v>181.1</v>
      </c>
      <c r="I20" s="16">
        <v>607.4</v>
      </c>
      <c r="J20" s="16">
        <v>263.10000000000002</v>
      </c>
      <c r="K20" s="16">
        <v>22.6</v>
      </c>
      <c r="L20" s="16">
        <v>36.200000000000003</v>
      </c>
      <c r="M20" s="16">
        <v>26.7</v>
      </c>
      <c r="N20" s="18">
        <v>50.5</v>
      </c>
      <c r="O20" s="12">
        <f t="shared" si="0"/>
        <v>1488.2</v>
      </c>
      <c r="P20" s="19">
        <f t="shared" si="1"/>
        <v>124</v>
      </c>
      <c r="R20" s="4"/>
    </row>
    <row r="21" spans="2:18" ht="21.95" customHeight="1">
      <c r="B21" s="15">
        <v>2010</v>
      </c>
      <c r="C21" s="16">
        <v>37.1</v>
      </c>
      <c r="D21" s="16">
        <v>135.80000000000001</v>
      </c>
      <c r="E21" s="16">
        <v>76</v>
      </c>
      <c r="F21" s="16">
        <v>133</v>
      </c>
      <c r="G21" s="16">
        <v>99</v>
      </c>
      <c r="H21" s="16">
        <v>70.599999999999994</v>
      </c>
      <c r="I21" s="16">
        <v>453</v>
      </c>
      <c r="J21" s="16">
        <v>337.6</v>
      </c>
      <c r="K21" s="16">
        <v>139.69999999999999</v>
      </c>
      <c r="L21" s="16">
        <v>42</v>
      </c>
      <c r="M21" s="16">
        <v>7.4</v>
      </c>
      <c r="N21" s="18">
        <v>41.9</v>
      </c>
      <c r="O21" s="12">
        <f t="shared" si="0"/>
        <v>1573.1</v>
      </c>
      <c r="P21" s="19">
        <f t="shared" si="1"/>
        <v>131.1</v>
      </c>
    </row>
    <row r="22" spans="2:18" ht="21.95" customHeight="1">
      <c r="B22" s="15">
        <v>2011</v>
      </c>
      <c r="C22" s="16">
        <v>7.4</v>
      </c>
      <c r="D22" s="16">
        <v>59.8</v>
      </c>
      <c r="E22" s="16">
        <v>23.1</v>
      </c>
      <c r="F22" s="16">
        <v>103</v>
      </c>
      <c r="G22" s="16">
        <v>142.9</v>
      </c>
      <c r="H22" s="16">
        <v>120</v>
      </c>
      <c r="I22" s="16">
        <v>277.5</v>
      </c>
      <c r="J22" s="16">
        <v>382.5</v>
      </c>
      <c r="K22" s="16">
        <v>13.5</v>
      </c>
      <c r="L22" s="16">
        <v>20.5</v>
      </c>
      <c r="M22" s="16">
        <v>136.80000000000001</v>
      </c>
      <c r="N22" s="18">
        <v>13.3</v>
      </c>
      <c r="O22" s="12">
        <f t="shared" si="0"/>
        <v>1300.3</v>
      </c>
      <c r="P22" s="19">
        <f t="shared" si="1"/>
        <v>108.4</v>
      </c>
    </row>
    <row r="23" spans="2:18" ht="21.95" customHeight="1">
      <c r="B23" s="15">
        <v>2012</v>
      </c>
      <c r="C23" s="16">
        <v>15.2</v>
      </c>
      <c r="D23" s="16">
        <v>18.600000000000001</v>
      </c>
      <c r="E23" s="16">
        <v>100.4</v>
      </c>
      <c r="F23" s="16">
        <v>82.5</v>
      </c>
      <c r="G23" s="16">
        <v>42.6</v>
      </c>
      <c r="H23" s="16">
        <v>83.1</v>
      </c>
      <c r="I23" s="16">
        <v>330.6</v>
      </c>
      <c r="J23" s="16">
        <v>473.5</v>
      </c>
      <c r="K23" s="16">
        <v>272</v>
      </c>
      <c r="L23" s="16">
        <v>82.8</v>
      </c>
      <c r="M23" s="16">
        <v>45.9</v>
      </c>
      <c r="N23" s="18">
        <v>79.599999999999994</v>
      </c>
      <c r="O23" s="12">
        <f t="shared" si="0"/>
        <v>1626.8</v>
      </c>
      <c r="P23" s="19">
        <f t="shared" si="1"/>
        <v>135.6</v>
      </c>
    </row>
    <row r="24" spans="2:18" ht="21.95" customHeight="1">
      <c r="B24" s="15">
        <v>2013</v>
      </c>
      <c r="C24" s="16">
        <v>20.6</v>
      </c>
      <c r="D24" s="16">
        <v>48</v>
      </c>
      <c r="E24" s="16">
        <v>76.900000000000006</v>
      </c>
      <c r="F24" s="16">
        <v>54.9</v>
      </c>
      <c r="G24" s="16">
        <v>86.5</v>
      </c>
      <c r="H24" s="16">
        <v>83.7</v>
      </c>
      <c r="I24" s="16">
        <v>349.1</v>
      </c>
      <c r="J24" s="16">
        <v>293.2</v>
      </c>
      <c r="K24" s="16">
        <v>88.5</v>
      </c>
      <c r="L24" s="16">
        <v>30.8</v>
      </c>
      <c r="M24" s="16">
        <v>95</v>
      </c>
      <c r="N24" s="18">
        <v>18.2</v>
      </c>
      <c r="O24" s="12">
        <f t="shared" si="0"/>
        <v>1245.4000000000001</v>
      </c>
      <c r="P24" s="19">
        <f t="shared" si="1"/>
        <v>103.8</v>
      </c>
    </row>
    <row r="25" spans="2:18" ht="21.95" customHeight="1">
      <c r="B25" s="15">
        <v>2014</v>
      </c>
      <c r="C25" s="16">
        <v>12.9</v>
      </c>
      <c r="D25" s="16">
        <v>8.6</v>
      </c>
      <c r="E25" s="16">
        <v>101.7</v>
      </c>
      <c r="F25" s="16">
        <v>62.5</v>
      </c>
      <c r="G25" s="16">
        <v>57</v>
      </c>
      <c r="H25" s="16">
        <v>72</v>
      </c>
      <c r="I25" s="16">
        <v>240.9</v>
      </c>
      <c r="J25" s="16">
        <v>370.2</v>
      </c>
      <c r="K25" s="16">
        <v>116.5</v>
      </c>
      <c r="L25" s="16">
        <v>105</v>
      </c>
      <c r="M25" s="16">
        <v>95.5</v>
      </c>
      <c r="N25" s="18">
        <v>47.5</v>
      </c>
      <c r="O25" s="12">
        <f t="shared" si="0"/>
        <v>1290.3</v>
      </c>
      <c r="P25" s="19">
        <f t="shared" si="1"/>
        <v>107.5</v>
      </c>
    </row>
    <row r="26" spans="2:18" ht="21.95" customHeight="1">
      <c r="B26" s="15">
        <v>2015</v>
      </c>
      <c r="C26" s="16">
        <v>47.2</v>
      </c>
      <c r="D26" s="16">
        <v>23.9</v>
      </c>
      <c r="E26" s="16">
        <v>36.5</v>
      </c>
      <c r="F26" s="16">
        <v>145.5</v>
      </c>
      <c r="G26" s="16">
        <v>48.6</v>
      </c>
      <c r="H26" s="16">
        <v>96.1</v>
      </c>
      <c r="I26" s="16">
        <v>164.3</v>
      </c>
      <c r="J26" s="16">
        <v>148.9</v>
      </c>
      <c r="K26" s="16">
        <v>66.599999999999994</v>
      </c>
      <c r="L26" s="16">
        <v>90.9</v>
      </c>
      <c r="M26" s="16">
        <v>121.9</v>
      </c>
      <c r="N26" s="18">
        <v>59.2</v>
      </c>
      <c r="O26" s="12">
        <f t="shared" si="0"/>
        <v>1049.5999999999999</v>
      </c>
      <c r="P26" s="19">
        <f t="shared" si="1"/>
        <v>87.5</v>
      </c>
    </row>
    <row r="27" spans="2:18" ht="21.95" customHeight="1">
      <c r="B27" s="15">
        <v>2016</v>
      </c>
      <c r="C27" s="16">
        <v>49.7</v>
      </c>
      <c r="D27" s="16">
        <v>45.2</v>
      </c>
      <c r="E27" s="16">
        <v>55.2</v>
      </c>
      <c r="F27" s="16">
        <v>185</v>
      </c>
      <c r="G27" s="16">
        <v>104.5</v>
      </c>
      <c r="H27" s="16">
        <v>116.1</v>
      </c>
      <c r="I27" s="16">
        <v>301.3</v>
      </c>
      <c r="J27" s="16">
        <v>81</v>
      </c>
      <c r="K27" s="16">
        <v>251.2</v>
      </c>
      <c r="L27" s="16">
        <v>216.7</v>
      </c>
      <c r="M27" s="16">
        <v>31.5</v>
      </c>
      <c r="N27" s="18">
        <v>44.9</v>
      </c>
      <c r="O27" s="12">
        <f t="shared" si="0"/>
        <v>1482.3</v>
      </c>
      <c r="P27" s="19">
        <f t="shared" si="1"/>
        <v>123.5</v>
      </c>
    </row>
    <row r="28" spans="2:18" ht="21.95" customHeight="1">
      <c r="B28" s="15">
        <v>2017</v>
      </c>
      <c r="C28" s="16">
        <v>11.7</v>
      </c>
      <c r="D28" s="16">
        <v>41.9</v>
      </c>
      <c r="E28" s="16">
        <v>33.200000000000003</v>
      </c>
      <c r="F28" s="16">
        <v>60.6</v>
      </c>
      <c r="G28" s="16">
        <v>30.2</v>
      </c>
      <c r="H28" s="16">
        <v>42.1</v>
      </c>
      <c r="I28" s="16">
        <v>211.6</v>
      </c>
      <c r="J28" s="16">
        <v>280.5</v>
      </c>
      <c r="K28" s="16">
        <v>108.8</v>
      </c>
      <c r="L28" s="16">
        <v>85.4</v>
      </c>
      <c r="M28" s="16">
        <v>2.1</v>
      </c>
      <c r="N28" s="18">
        <v>28.5</v>
      </c>
      <c r="O28" s="12">
        <f t="shared" si="0"/>
        <v>936.6</v>
      </c>
      <c r="P28" s="19">
        <f t="shared" si="1"/>
        <v>78.099999999999994</v>
      </c>
    </row>
    <row r="29" spans="2:18" ht="21.95" customHeight="1">
      <c r="B29" s="15">
        <v>2018</v>
      </c>
      <c r="C29" s="16">
        <v>38.799999999999997</v>
      </c>
      <c r="D29" s="16">
        <v>22</v>
      </c>
      <c r="E29" s="16">
        <v>115.8</v>
      </c>
      <c r="F29" s="16">
        <v>127.4</v>
      </c>
      <c r="G29" s="16">
        <v>85.4</v>
      </c>
      <c r="H29" s="16">
        <v>222.4</v>
      </c>
      <c r="I29" s="16">
        <v>84.5</v>
      </c>
      <c r="J29" s="16">
        <v>397.1</v>
      </c>
      <c r="K29" s="16">
        <v>129.69999999999999</v>
      </c>
      <c r="L29" s="16">
        <v>125.2</v>
      </c>
      <c r="M29" s="16">
        <v>47.2</v>
      </c>
      <c r="N29" s="18">
        <v>32.4</v>
      </c>
      <c r="O29" s="12">
        <f t="shared" si="0"/>
        <v>1427.9</v>
      </c>
      <c r="P29" s="19">
        <f t="shared" si="1"/>
        <v>119</v>
      </c>
    </row>
    <row r="30" spans="2:18" ht="21.95" customHeight="1">
      <c r="B30" s="15">
        <v>2019</v>
      </c>
      <c r="C30" s="16">
        <v>16.399999999999999</v>
      </c>
      <c r="D30" s="16">
        <v>37</v>
      </c>
      <c r="E30" s="16">
        <v>33.9</v>
      </c>
      <c r="F30" s="16">
        <v>84.7</v>
      </c>
      <c r="G30" s="16">
        <v>78.8</v>
      </c>
      <c r="H30" s="16">
        <v>158</v>
      </c>
      <c r="I30" s="16">
        <v>242.2</v>
      </c>
      <c r="J30" s="16">
        <v>64.8</v>
      </c>
      <c r="K30" s="16">
        <v>165.8</v>
      </c>
      <c r="L30" s="16">
        <v>149.9</v>
      </c>
      <c r="M30" s="16">
        <v>22.8</v>
      </c>
      <c r="N30" s="18">
        <v>31.6</v>
      </c>
      <c r="O30" s="12">
        <f t="shared" si="0"/>
        <v>1085.9000000000001</v>
      </c>
      <c r="P30" s="19">
        <f t="shared" si="1"/>
        <v>90.5</v>
      </c>
    </row>
    <row r="31" spans="2:18" ht="21.95" customHeight="1">
      <c r="B31" s="15">
        <v>2020</v>
      </c>
      <c r="C31" s="16">
        <v>74.900000000000006</v>
      </c>
      <c r="D31" s="16">
        <v>47.8</v>
      </c>
      <c r="E31" s="16">
        <v>43.5</v>
      </c>
      <c r="F31" s="16">
        <v>55.3</v>
      </c>
      <c r="G31" s="16">
        <v>96.8</v>
      </c>
      <c r="H31" s="16">
        <v>199.9</v>
      </c>
      <c r="I31" s="16">
        <v>533.29999999999995</v>
      </c>
      <c r="J31" s="16">
        <v>738.1</v>
      </c>
      <c r="K31" s="16">
        <v>178.3</v>
      </c>
      <c r="L31" s="16">
        <v>12.1</v>
      </c>
      <c r="M31" s="16">
        <v>28.3</v>
      </c>
      <c r="N31" s="18">
        <v>18.7</v>
      </c>
      <c r="O31" s="12">
        <f t="shared" si="0"/>
        <v>2027</v>
      </c>
      <c r="P31" s="19">
        <f t="shared" si="1"/>
        <v>168.9</v>
      </c>
    </row>
    <row r="32" spans="2:18" ht="21.95" customHeight="1">
      <c r="B32" s="15">
        <v>2021</v>
      </c>
      <c r="C32" s="16">
        <v>33</v>
      </c>
      <c r="D32" s="16">
        <v>31.1</v>
      </c>
      <c r="E32" s="16">
        <v>122.4</v>
      </c>
      <c r="F32" s="16">
        <v>34.200000000000003</v>
      </c>
      <c r="G32" s="16">
        <v>139.4</v>
      </c>
      <c r="H32" s="16">
        <v>118.1</v>
      </c>
      <c r="I32" s="16">
        <v>227.6</v>
      </c>
      <c r="J32" s="16">
        <v>338.7</v>
      </c>
      <c r="K32" s="16">
        <v>131.1</v>
      </c>
      <c r="L32" s="16">
        <v>35.299999999999997</v>
      </c>
      <c r="M32" s="16">
        <v>85.8</v>
      </c>
      <c r="N32" s="18">
        <v>7.1</v>
      </c>
      <c r="O32" s="12">
        <f t="shared" si="0"/>
        <v>1303.8</v>
      </c>
      <c r="P32" s="19">
        <f t="shared" si="1"/>
        <v>108.7</v>
      </c>
    </row>
    <row r="33" spans="2:16" ht="21.95" customHeight="1">
      <c r="B33" s="15">
        <v>2022</v>
      </c>
      <c r="C33" s="16">
        <v>0.3</v>
      </c>
      <c r="D33" s="16">
        <v>2.7</v>
      </c>
      <c r="E33" s="16">
        <v>105.2</v>
      </c>
      <c r="F33" s="16">
        <v>49.4</v>
      </c>
      <c r="G33" s="16">
        <v>0.4</v>
      </c>
      <c r="H33" s="16">
        <v>131.69999999999999</v>
      </c>
      <c r="I33" s="16">
        <v>169</v>
      </c>
      <c r="J33" s="16">
        <v>106.4</v>
      </c>
      <c r="K33" s="16">
        <v>89.2</v>
      </c>
      <c r="L33" s="16">
        <v>38.299999999999997</v>
      </c>
      <c r="M33" s="16">
        <v>46.7</v>
      </c>
      <c r="N33" s="18">
        <v>30.6</v>
      </c>
      <c r="O33" s="12">
        <f t="shared" si="0"/>
        <v>769.9</v>
      </c>
      <c r="P33" s="19">
        <f t="shared" si="1"/>
        <v>64.2</v>
      </c>
    </row>
    <row r="34" spans="2:16" ht="21.95" customHeight="1">
      <c r="B34" s="15">
        <v>2023</v>
      </c>
      <c r="C34" s="16">
        <v>26.8</v>
      </c>
      <c r="D34" s="16">
        <v>14.8</v>
      </c>
      <c r="E34" s="16">
        <v>34.799999999999997</v>
      </c>
      <c r="F34" s="16">
        <v>66.5</v>
      </c>
      <c r="G34" s="16">
        <v>190.1</v>
      </c>
      <c r="H34" s="16">
        <v>441.2</v>
      </c>
      <c r="I34" s="16">
        <v>684.6</v>
      </c>
      <c r="J34" s="16">
        <v>341.2</v>
      </c>
      <c r="K34" s="16">
        <v>152.5</v>
      </c>
      <c r="L34" s="16">
        <v>11.5</v>
      </c>
      <c r="M34" s="16">
        <v>71.900000000000006</v>
      </c>
      <c r="N34" s="18">
        <v>80.2</v>
      </c>
      <c r="O34" s="12">
        <f t="shared" si="0"/>
        <v>2116.1</v>
      </c>
      <c r="P34" s="19">
        <f t="shared" si="1"/>
        <v>176.3</v>
      </c>
    </row>
    <row r="35" spans="2:16" ht="21.95" customHeight="1" thickBot="1">
      <c r="B35" s="33">
        <v>2024</v>
      </c>
      <c r="C35" s="34">
        <v>31.1</v>
      </c>
      <c r="D35" s="34">
        <v>111.3</v>
      </c>
      <c r="E35" s="34">
        <v>79.5</v>
      </c>
      <c r="F35" s="34">
        <v>79.599999999999994</v>
      </c>
      <c r="G35" s="34">
        <v>102</v>
      </c>
      <c r="H35" s="34">
        <v>149.1</v>
      </c>
      <c r="I35" s="34">
        <v>250.4</v>
      </c>
      <c r="J35" s="34">
        <v>132.1</v>
      </c>
      <c r="K35" s="34">
        <v>181.4</v>
      </c>
      <c r="L35" s="34">
        <v>98.2</v>
      </c>
      <c r="M35" s="34">
        <v>66.5</v>
      </c>
      <c r="N35" s="35">
        <v>9.8000000000000007</v>
      </c>
      <c r="O35" s="36">
        <f t="shared" si="0"/>
        <v>1291</v>
      </c>
      <c r="P35" s="37">
        <f t="shared" si="1"/>
        <v>107.6</v>
      </c>
    </row>
    <row r="36" spans="2:16" ht="21.95" customHeight="1">
      <c r="B36" s="38" t="s">
        <v>13</v>
      </c>
      <c r="C36" s="39">
        <f>ROUND(MAX(C6:C35),1)</f>
        <v>95.7</v>
      </c>
      <c r="D36" s="39">
        <f t="shared" ref="D36:N36" si="2">ROUND(MAX(D6:D35),1)</f>
        <v>135.80000000000001</v>
      </c>
      <c r="E36" s="39">
        <f t="shared" si="2"/>
        <v>127.4</v>
      </c>
      <c r="F36" s="39">
        <f t="shared" si="2"/>
        <v>243.9</v>
      </c>
      <c r="G36" s="39">
        <f t="shared" si="2"/>
        <v>204.3</v>
      </c>
      <c r="H36" s="39">
        <f t="shared" si="2"/>
        <v>441.2</v>
      </c>
      <c r="I36" s="39">
        <f t="shared" si="2"/>
        <v>684.6</v>
      </c>
      <c r="J36" s="39">
        <f t="shared" si="2"/>
        <v>738.1</v>
      </c>
      <c r="K36" s="39">
        <f t="shared" si="2"/>
        <v>490.7</v>
      </c>
      <c r="L36" s="39">
        <f t="shared" si="2"/>
        <v>216.7</v>
      </c>
      <c r="M36" s="39">
        <f t="shared" si="2"/>
        <v>136.80000000000001</v>
      </c>
      <c r="N36" s="40">
        <f t="shared" si="2"/>
        <v>80.2</v>
      </c>
      <c r="O36" s="41">
        <f>ROUND(MAX(O6:O35),1)</f>
        <v>2116.1</v>
      </c>
      <c r="P36" s="42">
        <f>ROUND(MAX(P6:P35),1)</f>
        <v>176.3</v>
      </c>
    </row>
    <row r="37" spans="2:16" ht="21.95" customHeight="1">
      <c r="B37" s="43" t="s">
        <v>14</v>
      </c>
      <c r="C37" s="44">
        <f>ROUND(MIN(C6:C35),1)</f>
        <v>0.3</v>
      </c>
      <c r="D37" s="44">
        <f t="shared" ref="D37:N37" si="3">ROUND(MIN(D6:D35),1)</f>
        <v>2.7</v>
      </c>
      <c r="E37" s="44">
        <f t="shared" si="3"/>
        <v>15</v>
      </c>
      <c r="F37" s="44">
        <f t="shared" si="3"/>
        <v>16.3</v>
      </c>
      <c r="G37" s="44">
        <f t="shared" si="3"/>
        <v>0.4</v>
      </c>
      <c r="H37" s="44">
        <f t="shared" si="3"/>
        <v>42.1</v>
      </c>
      <c r="I37" s="44">
        <f t="shared" si="3"/>
        <v>84.5</v>
      </c>
      <c r="J37" s="44">
        <f t="shared" si="3"/>
        <v>64.8</v>
      </c>
      <c r="K37" s="44">
        <f t="shared" si="3"/>
        <v>13.5</v>
      </c>
      <c r="L37" s="44">
        <f t="shared" si="3"/>
        <v>3.4</v>
      </c>
      <c r="M37" s="44">
        <f t="shared" si="3"/>
        <v>2.1</v>
      </c>
      <c r="N37" s="19">
        <f t="shared" si="3"/>
        <v>2.2999999999999998</v>
      </c>
      <c r="O37" s="45">
        <f>ROUND(MIN(O6:O35),1)</f>
        <v>764.4</v>
      </c>
      <c r="P37" s="46">
        <f>ROUND(MIN(P6:P35),1)</f>
        <v>63.7</v>
      </c>
    </row>
    <row r="38" spans="2:16" ht="21.95" customHeight="1" thickBot="1">
      <c r="B38" s="47" t="s">
        <v>18</v>
      </c>
      <c r="C38" s="48">
        <f>ROUND(AVERAGE(C6:C35),1)</f>
        <v>32.299999999999997</v>
      </c>
      <c r="D38" s="48">
        <f t="shared" ref="D38:J38" si="4">ROUND(AVERAGE(D6:D35),1)</f>
        <v>43.3</v>
      </c>
      <c r="E38" s="48">
        <f t="shared" si="4"/>
        <v>63.8</v>
      </c>
      <c r="F38" s="48">
        <f t="shared" si="4"/>
        <v>84</v>
      </c>
      <c r="G38" s="48">
        <f t="shared" si="4"/>
        <v>94.5</v>
      </c>
      <c r="H38" s="48">
        <f t="shared" si="4"/>
        <v>165.3</v>
      </c>
      <c r="I38" s="48">
        <f t="shared" si="4"/>
        <v>302.8</v>
      </c>
      <c r="J38" s="48">
        <f t="shared" si="4"/>
        <v>322.5</v>
      </c>
      <c r="K38" s="48">
        <f t="shared" ref="K38:P38" si="5">ROUND(AVERAGE(K6:K35),1)</f>
        <v>148.69999999999999</v>
      </c>
      <c r="L38" s="48">
        <f t="shared" si="5"/>
        <v>59.4</v>
      </c>
      <c r="M38" s="48">
        <f t="shared" si="5"/>
        <v>53.4</v>
      </c>
      <c r="N38" s="49">
        <f t="shared" si="5"/>
        <v>35.799999999999997</v>
      </c>
      <c r="O38" s="50">
        <f t="shared" si="5"/>
        <v>1405.8</v>
      </c>
      <c r="P38" s="51">
        <f t="shared" si="5"/>
        <v>117.2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6">C26</f>
        <v>47.2</v>
      </c>
      <c r="D44" s="53">
        <f t="shared" si="6"/>
        <v>23.9</v>
      </c>
      <c r="E44" s="53">
        <f t="shared" si="6"/>
        <v>36.5</v>
      </c>
      <c r="F44" s="53">
        <f t="shared" si="6"/>
        <v>145.5</v>
      </c>
      <c r="G44" s="53">
        <f t="shared" si="6"/>
        <v>48.6</v>
      </c>
      <c r="H44" s="53">
        <f t="shared" si="6"/>
        <v>96.1</v>
      </c>
      <c r="I44" s="53">
        <f t="shared" si="6"/>
        <v>164.3</v>
      </c>
      <c r="J44" s="53">
        <f t="shared" si="6"/>
        <v>148.9</v>
      </c>
      <c r="K44" s="53">
        <f t="shared" si="6"/>
        <v>66.599999999999994</v>
      </c>
      <c r="L44" s="53">
        <f t="shared" si="6"/>
        <v>90.9</v>
      </c>
      <c r="M44" s="53">
        <f t="shared" si="6"/>
        <v>121.9</v>
      </c>
      <c r="N44" s="54">
        <f t="shared" si="6"/>
        <v>59.2</v>
      </c>
      <c r="O44" s="55">
        <f>ROUND(SUM(C44:N44),1)</f>
        <v>1049.5999999999999</v>
      </c>
      <c r="P44" s="46">
        <f>ROUND(O44/12,1)</f>
        <v>87.5</v>
      </c>
    </row>
    <row r="45" spans="2:16" ht="21.95" customHeight="1">
      <c r="B45" s="52">
        <f t="shared" ref="B45:N45" si="7">B27</f>
        <v>2016</v>
      </c>
      <c r="C45" s="53">
        <f t="shared" si="7"/>
        <v>49.7</v>
      </c>
      <c r="D45" s="53">
        <f t="shared" si="7"/>
        <v>45.2</v>
      </c>
      <c r="E45" s="53">
        <f t="shared" si="7"/>
        <v>55.2</v>
      </c>
      <c r="F45" s="53">
        <f t="shared" si="7"/>
        <v>185</v>
      </c>
      <c r="G45" s="53">
        <f t="shared" si="7"/>
        <v>104.5</v>
      </c>
      <c r="H45" s="53">
        <f t="shared" si="7"/>
        <v>116.1</v>
      </c>
      <c r="I45" s="53">
        <f t="shared" si="7"/>
        <v>301.3</v>
      </c>
      <c r="J45" s="53">
        <f t="shared" si="7"/>
        <v>81</v>
      </c>
      <c r="K45" s="53">
        <f t="shared" si="7"/>
        <v>251.2</v>
      </c>
      <c r="L45" s="53">
        <f t="shared" si="7"/>
        <v>216.7</v>
      </c>
      <c r="M45" s="53">
        <f t="shared" si="7"/>
        <v>31.5</v>
      </c>
      <c r="N45" s="54">
        <f t="shared" si="7"/>
        <v>44.9</v>
      </c>
      <c r="O45" s="55">
        <f t="shared" ref="O45:O53" si="8">ROUND(SUM(C45:N45),1)</f>
        <v>1482.3</v>
      </c>
      <c r="P45" s="46">
        <f t="shared" ref="P45:P53" si="9">ROUND(O45/12,1)</f>
        <v>123.5</v>
      </c>
    </row>
    <row r="46" spans="2:16" ht="21.95" customHeight="1">
      <c r="B46" s="52">
        <f t="shared" ref="B46:N46" si="10">B28</f>
        <v>2017</v>
      </c>
      <c r="C46" s="53">
        <f t="shared" si="10"/>
        <v>11.7</v>
      </c>
      <c r="D46" s="53">
        <f t="shared" si="10"/>
        <v>41.9</v>
      </c>
      <c r="E46" s="53">
        <f t="shared" si="10"/>
        <v>33.200000000000003</v>
      </c>
      <c r="F46" s="53">
        <f t="shared" si="10"/>
        <v>60.6</v>
      </c>
      <c r="G46" s="53">
        <f t="shared" si="10"/>
        <v>30.2</v>
      </c>
      <c r="H46" s="53">
        <f t="shared" si="10"/>
        <v>42.1</v>
      </c>
      <c r="I46" s="53">
        <f t="shared" si="10"/>
        <v>211.6</v>
      </c>
      <c r="J46" s="53">
        <f t="shared" si="10"/>
        <v>280.5</v>
      </c>
      <c r="K46" s="53">
        <f t="shared" si="10"/>
        <v>108.8</v>
      </c>
      <c r="L46" s="53">
        <f t="shared" si="10"/>
        <v>85.4</v>
      </c>
      <c r="M46" s="53">
        <f t="shared" si="10"/>
        <v>2.1</v>
      </c>
      <c r="N46" s="54">
        <f t="shared" si="10"/>
        <v>28.5</v>
      </c>
      <c r="O46" s="55">
        <f t="shared" si="8"/>
        <v>936.6</v>
      </c>
      <c r="P46" s="46">
        <f t="shared" si="9"/>
        <v>78.099999999999994</v>
      </c>
    </row>
    <row r="47" spans="2:16" ht="21.95" customHeight="1">
      <c r="B47" s="52">
        <f t="shared" ref="B47:N47" si="11">B29</f>
        <v>2018</v>
      </c>
      <c r="C47" s="53">
        <f t="shared" si="11"/>
        <v>38.799999999999997</v>
      </c>
      <c r="D47" s="53">
        <f t="shared" si="11"/>
        <v>22</v>
      </c>
      <c r="E47" s="53">
        <f t="shared" si="11"/>
        <v>115.8</v>
      </c>
      <c r="F47" s="53">
        <f t="shared" si="11"/>
        <v>127.4</v>
      </c>
      <c r="G47" s="53">
        <f t="shared" si="11"/>
        <v>85.4</v>
      </c>
      <c r="H47" s="53">
        <f t="shared" si="11"/>
        <v>222.4</v>
      </c>
      <c r="I47" s="53">
        <f t="shared" si="11"/>
        <v>84.5</v>
      </c>
      <c r="J47" s="53">
        <f t="shared" si="11"/>
        <v>397.1</v>
      </c>
      <c r="K47" s="53">
        <f t="shared" si="11"/>
        <v>129.69999999999999</v>
      </c>
      <c r="L47" s="53">
        <f t="shared" si="11"/>
        <v>125.2</v>
      </c>
      <c r="M47" s="53">
        <f t="shared" si="11"/>
        <v>47.2</v>
      </c>
      <c r="N47" s="54">
        <f t="shared" si="11"/>
        <v>32.4</v>
      </c>
      <c r="O47" s="55">
        <f>ROUND(SUM(C47:N47),1)</f>
        <v>1427.9</v>
      </c>
      <c r="P47" s="46">
        <f t="shared" si="9"/>
        <v>119</v>
      </c>
    </row>
    <row r="48" spans="2:16" ht="21.95" customHeight="1">
      <c r="B48" s="52">
        <f t="shared" ref="B48:N48" si="12">B30</f>
        <v>2019</v>
      </c>
      <c r="C48" s="53">
        <f t="shared" si="12"/>
        <v>16.399999999999999</v>
      </c>
      <c r="D48" s="53">
        <f t="shared" si="12"/>
        <v>37</v>
      </c>
      <c r="E48" s="53">
        <f t="shared" si="12"/>
        <v>33.9</v>
      </c>
      <c r="F48" s="53">
        <f t="shared" si="12"/>
        <v>84.7</v>
      </c>
      <c r="G48" s="53">
        <f t="shared" si="12"/>
        <v>78.8</v>
      </c>
      <c r="H48" s="53">
        <f t="shared" si="12"/>
        <v>158</v>
      </c>
      <c r="I48" s="53">
        <f t="shared" si="12"/>
        <v>242.2</v>
      </c>
      <c r="J48" s="53">
        <f t="shared" si="12"/>
        <v>64.8</v>
      </c>
      <c r="K48" s="53">
        <f t="shared" si="12"/>
        <v>165.8</v>
      </c>
      <c r="L48" s="53">
        <f t="shared" si="12"/>
        <v>149.9</v>
      </c>
      <c r="M48" s="53">
        <f t="shared" si="12"/>
        <v>22.8</v>
      </c>
      <c r="N48" s="54">
        <f t="shared" si="12"/>
        <v>31.6</v>
      </c>
      <c r="O48" s="55">
        <f t="shared" si="8"/>
        <v>1085.9000000000001</v>
      </c>
      <c r="P48" s="46">
        <f t="shared" si="9"/>
        <v>90.5</v>
      </c>
    </row>
    <row r="49" spans="2:16" ht="21.95" customHeight="1">
      <c r="B49" s="52">
        <f t="shared" ref="B49:N49" si="13">B31</f>
        <v>2020</v>
      </c>
      <c r="C49" s="53">
        <f t="shared" si="13"/>
        <v>74.900000000000006</v>
      </c>
      <c r="D49" s="53">
        <f t="shared" si="13"/>
        <v>47.8</v>
      </c>
      <c r="E49" s="53">
        <f t="shared" si="13"/>
        <v>43.5</v>
      </c>
      <c r="F49" s="53">
        <f t="shared" si="13"/>
        <v>55.3</v>
      </c>
      <c r="G49" s="53">
        <f t="shared" si="13"/>
        <v>96.8</v>
      </c>
      <c r="H49" s="53">
        <f t="shared" si="13"/>
        <v>199.9</v>
      </c>
      <c r="I49" s="53">
        <f t="shared" si="13"/>
        <v>533.29999999999995</v>
      </c>
      <c r="J49" s="53">
        <f t="shared" si="13"/>
        <v>738.1</v>
      </c>
      <c r="K49" s="53">
        <f t="shared" si="13"/>
        <v>178.3</v>
      </c>
      <c r="L49" s="53">
        <f t="shared" si="13"/>
        <v>12.1</v>
      </c>
      <c r="M49" s="53">
        <f t="shared" si="13"/>
        <v>28.3</v>
      </c>
      <c r="N49" s="54">
        <f t="shared" si="13"/>
        <v>18.7</v>
      </c>
      <c r="O49" s="55">
        <f t="shared" si="8"/>
        <v>2027</v>
      </c>
      <c r="P49" s="46">
        <f t="shared" si="9"/>
        <v>168.9</v>
      </c>
    </row>
    <row r="50" spans="2:16" ht="21.95" customHeight="1">
      <c r="B50" s="52">
        <f t="shared" ref="B50:N50" si="14">B32</f>
        <v>2021</v>
      </c>
      <c r="C50" s="53">
        <f t="shared" si="14"/>
        <v>33</v>
      </c>
      <c r="D50" s="53">
        <f t="shared" si="14"/>
        <v>31.1</v>
      </c>
      <c r="E50" s="53">
        <f t="shared" si="14"/>
        <v>122.4</v>
      </c>
      <c r="F50" s="53">
        <f t="shared" si="14"/>
        <v>34.200000000000003</v>
      </c>
      <c r="G50" s="53">
        <f t="shared" si="14"/>
        <v>139.4</v>
      </c>
      <c r="H50" s="53">
        <f t="shared" si="14"/>
        <v>118.1</v>
      </c>
      <c r="I50" s="53">
        <f t="shared" si="14"/>
        <v>227.6</v>
      </c>
      <c r="J50" s="53">
        <f t="shared" si="14"/>
        <v>338.7</v>
      </c>
      <c r="K50" s="53">
        <f t="shared" si="14"/>
        <v>131.1</v>
      </c>
      <c r="L50" s="53">
        <f t="shared" si="14"/>
        <v>35.299999999999997</v>
      </c>
      <c r="M50" s="53">
        <f t="shared" si="14"/>
        <v>85.8</v>
      </c>
      <c r="N50" s="54">
        <f t="shared" si="14"/>
        <v>7.1</v>
      </c>
      <c r="O50" s="55">
        <f t="shared" si="8"/>
        <v>1303.8</v>
      </c>
      <c r="P50" s="46">
        <f t="shared" si="9"/>
        <v>108.7</v>
      </c>
    </row>
    <row r="51" spans="2:16" ht="21.95" customHeight="1">
      <c r="B51" s="52">
        <f t="shared" ref="B51:N51" si="15">B33</f>
        <v>2022</v>
      </c>
      <c r="C51" s="53">
        <f t="shared" si="15"/>
        <v>0.3</v>
      </c>
      <c r="D51" s="53">
        <f t="shared" si="15"/>
        <v>2.7</v>
      </c>
      <c r="E51" s="53">
        <f t="shared" si="15"/>
        <v>105.2</v>
      </c>
      <c r="F51" s="53">
        <f t="shared" si="15"/>
        <v>49.4</v>
      </c>
      <c r="G51" s="53">
        <f t="shared" si="15"/>
        <v>0.4</v>
      </c>
      <c r="H51" s="53">
        <f t="shared" si="15"/>
        <v>131.69999999999999</v>
      </c>
      <c r="I51" s="53">
        <f t="shared" si="15"/>
        <v>169</v>
      </c>
      <c r="J51" s="53">
        <f t="shared" si="15"/>
        <v>106.4</v>
      </c>
      <c r="K51" s="53">
        <f t="shared" si="15"/>
        <v>89.2</v>
      </c>
      <c r="L51" s="53">
        <f t="shared" si="15"/>
        <v>38.299999999999997</v>
      </c>
      <c r="M51" s="53">
        <f t="shared" si="15"/>
        <v>46.7</v>
      </c>
      <c r="N51" s="54">
        <f t="shared" si="15"/>
        <v>30.6</v>
      </c>
      <c r="O51" s="55">
        <f t="shared" si="8"/>
        <v>769.9</v>
      </c>
      <c r="P51" s="46">
        <f t="shared" si="9"/>
        <v>64.2</v>
      </c>
    </row>
    <row r="52" spans="2:16" ht="21.95" customHeight="1">
      <c r="B52" s="52">
        <f t="shared" ref="B52:N52" si="16">B34</f>
        <v>2023</v>
      </c>
      <c r="C52" s="53">
        <f t="shared" si="16"/>
        <v>26.8</v>
      </c>
      <c r="D52" s="53">
        <f t="shared" si="16"/>
        <v>14.8</v>
      </c>
      <c r="E52" s="53">
        <f t="shared" si="16"/>
        <v>34.799999999999997</v>
      </c>
      <c r="F52" s="53">
        <f t="shared" si="16"/>
        <v>66.5</v>
      </c>
      <c r="G52" s="53">
        <f t="shared" si="16"/>
        <v>190.1</v>
      </c>
      <c r="H52" s="53">
        <f t="shared" si="16"/>
        <v>441.2</v>
      </c>
      <c r="I52" s="53">
        <f t="shared" si="16"/>
        <v>684.6</v>
      </c>
      <c r="J52" s="53">
        <f t="shared" si="16"/>
        <v>341.2</v>
      </c>
      <c r="K52" s="53">
        <f t="shared" si="16"/>
        <v>152.5</v>
      </c>
      <c r="L52" s="53">
        <f t="shared" si="16"/>
        <v>11.5</v>
      </c>
      <c r="M52" s="53">
        <f t="shared" si="16"/>
        <v>71.900000000000006</v>
      </c>
      <c r="N52" s="54">
        <f t="shared" si="16"/>
        <v>80.2</v>
      </c>
      <c r="O52" s="55">
        <f t="shared" si="8"/>
        <v>2116.1</v>
      </c>
      <c r="P52" s="46">
        <f t="shared" si="9"/>
        <v>176.3</v>
      </c>
    </row>
    <row r="53" spans="2:16" ht="21.95" customHeight="1" thickBot="1">
      <c r="B53" s="56">
        <f t="shared" ref="B53:N53" si="17">B35</f>
        <v>2024</v>
      </c>
      <c r="C53" s="57">
        <f t="shared" si="17"/>
        <v>31.1</v>
      </c>
      <c r="D53" s="57">
        <f t="shared" si="17"/>
        <v>111.3</v>
      </c>
      <c r="E53" s="57">
        <f t="shared" si="17"/>
        <v>79.5</v>
      </c>
      <c r="F53" s="57">
        <f t="shared" si="17"/>
        <v>79.599999999999994</v>
      </c>
      <c r="G53" s="57">
        <f t="shared" si="17"/>
        <v>102</v>
      </c>
      <c r="H53" s="57">
        <f t="shared" si="17"/>
        <v>149.1</v>
      </c>
      <c r="I53" s="57">
        <f t="shared" si="17"/>
        <v>250.4</v>
      </c>
      <c r="J53" s="57">
        <f t="shared" si="17"/>
        <v>132.1</v>
      </c>
      <c r="K53" s="57">
        <f t="shared" si="17"/>
        <v>181.4</v>
      </c>
      <c r="L53" s="57">
        <f t="shared" si="17"/>
        <v>98.2</v>
      </c>
      <c r="M53" s="57">
        <f t="shared" si="17"/>
        <v>66.5</v>
      </c>
      <c r="N53" s="58">
        <f t="shared" si="17"/>
        <v>9.8000000000000007</v>
      </c>
      <c r="O53" s="59">
        <f t="shared" si="8"/>
        <v>1291</v>
      </c>
      <c r="P53" s="51">
        <f t="shared" si="9"/>
        <v>107.6</v>
      </c>
    </row>
    <row r="54" spans="2:16" ht="21.95" customHeight="1">
      <c r="B54" s="60" t="s">
        <v>19</v>
      </c>
      <c r="C54" s="61">
        <f>MAX(C44:C53)</f>
        <v>74.900000000000006</v>
      </c>
      <c r="D54" s="61">
        <f t="shared" ref="D54:P54" si="18">MAX(D44:D53)</f>
        <v>111.3</v>
      </c>
      <c r="E54" s="61">
        <f t="shared" si="18"/>
        <v>122.4</v>
      </c>
      <c r="F54" s="61">
        <f t="shared" si="18"/>
        <v>185</v>
      </c>
      <c r="G54" s="61">
        <f t="shared" si="18"/>
        <v>190.1</v>
      </c>
      <c r="H54" s="61">
        <f t="shared" si="18"/>
        <v>441.2</v>
      </c>
      <c r="I54" s="61">
        <f t="shared" si="18"/>
        <v>684.6</v>
      </c>
      <c r="J54" s="61">
        <f t="shared" si="18"/>
        <v>738.1</v>
      </c>
      <c r="K54" s="61">
        <f t="shared" si="18"/>
        <v>251.2</v>
      </c>
      <c r="L54" s="61">
        <f t="shared" si="18"/>
        <v>216.7</v>
      </c>
      <c r="M54" s="61">
        <f t="shared" si="18"/>
        <v>121.9</v>
      </c>
      <c r="N54" s="62">
        <f t="shared" si="18"/>
        <v>80.2</v>
      </c>
      <c r="O54" s="63">
        <f t="shared" si="18"/>
        <v>2116.1</v>
      </c>
      <c r="P54" s="62">
        <f t="shared" si="18"/>
        <v>176.3</v>
      </c>
    </row>
    <row r="55" spans="2:16" ht="21.95" customHeight="1">
      <c r="B55" s="64" t="s">
        <v>20</v>
      </c>
      <c r="C55" s="65">
        <f>MIN(C44:C53)</f>
        <v>0.3</v>
      </c>
      <c r="D55" s="65">
        <f t="shared" ref="D55:P55" si="19">MIN(D44:D53)</f>
        <v>2.7</v>
      </c>
      <c r="E55" s="65">
        <f t="shared" si="19"/>
        <v>33.200000000000003</v>
      </c>
      <c r="F55" s="65">
        <f t="shared" si="19"/>
        <v>34.200000000000003</v>
      </c>
      <c r="G55" s="65">
        <f t="shared" si="19"/>
        <v>0.4</v>
      </c>
      <c r="H55" s="65">
        <f t="shared" si="19"/>
        <v>42.1</v>
      </c>
      <c r="I55" s="65">
        <f t="shared" si="19"/>
        <v>84.5</v>
      </c>
      <c r="J55" s="65">
        <f t="shared" si="19"/>
        <v>64.8</v>
      </c>
      <c r="K55" s="65">
        <f t="shared" si="19"/>
        <v>66.599999999999994</v>
      </c>
      <c r="L55" s="65">
        <f t="shared" si="19"/>
        <v>11.5</v>
      </c>
      <c r="M55" s="65">
        <f t="shared" si="19"/>
        <v>2.1</v>
      </c>
      <c r="N55" s="46">
        <f t="shared" si="19"/>
        <v>7.1</v>
      </c>
      <c r="O55" s="55">
        <f>MIN(O44:O53)</f>
        <v>769.9</v>
      </c>
      <c r="P55" s="46">
        <f t="shared" si="19"/>
        <v>64.2</v>
      </c>
    </row>
    <row r="56" spans="2:16" ht="21.95" customHeight="1" thickBot="1">
      <c r="B56" s="66" t="s">
        <v>7</v>
      </c>
      <c r="C56" s="67">
        <f>ROUND(AVERAGE(C44:C53),1)</f>
        <v>33</v>
      </c>
      <c r="D56" s="67">
        <f t="shared" ref="D56:N56" si="20">ROUND(AVERAGE(D44:D53),1)</f>
        <v>37.799999999999997</v>
      </c>
      <c r="E56" s="67">
        <f t="shared" si="20"/>
        <v>66</v>
      </c>
      <c r="F56" s="67">
        <f t="shared" si="20"/>
        <v>88.8</v>
      </c>
      <c r="G56" s="67">
        <f t="shared" si="20"/>
        <v>87.6</v>
      </c>
      <c r="H56" s="67">
        <f t="shared" si="20"/>
        <v>167.5</v>
      </c>
      <c r="I56" s="67">
        <f t="shared" si="20"/>
        <v>286.89999999999998</v>
      </c>
      <c r="J56" s="67">
        <f t="shared" si="20"/>
        <v>262.89999999999998</v>
      </c>
      <c r="K56" s="67">
        <f t="shared" si="20"/>
        <v>145.5</v>
      </c>
      <c r="L56" s="67">
        <f t="shared" si="20"/>
        <v>86.4</v>
      </c>
      <c r="M56" s="67">
        <f t="shared" si="20"/>
        <v>52.5</v>
      </c>
      <c r="N56" s="51">
        <f t="shared" si="20"/>
        <v>34.299999999999997</v>
      </c>
      <c r="O56" s="59">
        <f>ROUND(AVERAGE(O44:O53),1)</f>
        <v>1349</v>
      </c>
      <c r="P56" s="51">
        <f>ROUND(AVERAGE(P44:P53),1)</f>
        <v>112.4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_GetWeatherData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_GetWeatherData"/>
      </mc:Fallback>
    </mc:AlternateContent>
    <mc:AlternateContent xmlns:mc="http://schemas.openxmlformats.org/markup-compatibility/2006">
      <mc:Choice Requires="x14">
        <control shapeId="59398" r:id="rId6" name="CommandButton_Clear30Year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_Clear30Year"/>
      </mc:Fallback>
    </mc:AlternateContent>
    <mc:AlternateContent xmlns:mc="http://schemas.openxmlformats.org/markup-compatibility/2006">
      <mc:Choice Requires="x14">
        <control shapeId="59415" r:id="rId8" name="CommandButton_BackUP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_BackUP"/>
      </mc:Fallback>
    </mc:AlternateContent>
    <mc:AlternateContent xmlns:mc="http://schemas.openxmlformats.org/markup-compatibility/2006">
      <mc:Choice Requires="x14">
        <control shapeId="59430" r:id="rId10" name="CommandButton_LoadDataFromArray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_LoadDataFromArray"/>
      </mc:Fallback>
    </mc:AlternateContent>
    <mc:AlternateContent xmlns:mc="http://schemas.openxmlformats.org/markup-compatibility/2006">
      <mc:Choice Requires="x14">
        <control shapeId="59432" r:id="rId12" name="CommandButton_AnnualReset">
          <controlPr defaultSize="0" autoLine="0" r:id="rId13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12" name="CommandButton_AnnualReset"/>
      </mc:Fallback>
    </mc:AlternateContent>
    <mc:AlternateContent xmlns:mc="http://schemas.openxmlformats.org/markup-compatibility/2006">
      <mc:Choice Requires="x14">
        <control shapeId="59434" r:id="rId14" name="CommandButton_DeleteIgnoreError">
          <controlPr defaultSize="0" autoLine="0" r:id="rId1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14" name="CommandButton_DeleteIgnoreErro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W27" sqref="W27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28</v>
      </c>
      <c r="E23" s="1">
        <v>27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16</vt:i4>
      </vt:variant>
    </vt:vector>
  </HeadingPairs>
  <TitlesOfParts>
    <vt:vector size="34" baseType="lpstr">
      <vt:lpstr>광주</vt:lpstr>
      <vt:lpstr>인천</vt:lpstr>
      <vt:lpstr>수원</vt:lpstr>
      <vt:lpstr>천안</vt:lpstr>
      <vt:lpstr>서산</vt:lpstr>
      <vt:lpstr>부여</vt:lpstr>
      <vt:lpstr>보령</vt:lpstr>
      <vt:lpstr>금산</vt:lpstr>
      <vt:lpstr>대전</vt:lpstr>
      <vt:lpstr>충주</vt:lpstr>
      <vt:lpstr>청주</vt:lpstr>
      <vt:lpstr>추풍령</vt:lpstr>
      <vt:lpstr>제천</vt:lpstr>
      <vt:lpstr>보은</vt:lpstr>
      <vt:lpstr>서울</vt:lpstr>
      <vt:lpstr>main</vt:lpstr>
      <vt:lpstr>AREA</vt:lpstr>
      <vt:lpstr>AREAREF</vt:lpstr>
      <vt:lpstr>광주!CategoryA_Area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서울!CategoryA_Area</vt:lpstr>
      <vt:lpstr>수원!CategoryA_Area</vt:lpstr>
      <vt:lpstr>인천!CategoryA_Area</vt:lpstr>
      <vt:lpstr>제천!CategoryA_Area</vt:lpstr>
      <vt:lpstr>천안!CategoryA_Area</vt:lpstr>
      <vt:lpstr>청주!CategoryA_Area</vt:lpstr>
      <vt:lpstr>추풍령!CategoryA_Area</vt:lpstr>
      <vt:lpstr>충주!CategoryA_Area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2025-03-09T01:38:42Z</dcterms:modified>
</cp:coreProperties>
</file>