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01_base data\"/>
    </mc:Choice>
  </mc:AlternateContent>
  <xr:revisionPtr revIDLastSave="0" documentId="13_ncr:1_{746928AE-1007-4556-8120-21638737CB31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DMS -&gt; Degree" sheetId="1" r:id="rId1"/>
    <sheet name="Degree -&gt; DMS" sheetId="2" r:id="rId2"/>
    <sheet name="Main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3" l="1"/>
  <c r="K46" i="3"/>
  <c r="J46" i="3"/>
  <c r="M46" i="3" s="1"/>
  <c r="K45" i="3"/>
  <c r="J45" i="3"/>
  <c r="M45" i="3" s="1"/>
  <c r="K44" i="3"/>
  <c r="J44" i="3"/>
  <c r="M44" i="3" s="1"/>
  <c r="K43" i="3"/>
  <c r="J43" i="3"/>
  <c r="M43" i="3" s="1"/>
  <c r="K42" i="3"/>
  <c r="J42" i="3"/>
  <c r="M42" i="3" s="1"/>
  <c r="K41" i="3"/>
  <c r="J41" i="3"/>
  <c r="M41" i="3" s="1"/>
  <c r="K40" i="3"/>
  <c r="J40" i="3"/>
  <c r="K39" i="3"/>
  <c r="J39" i="3"/>
  <c r="M39" i="3" s="1"/>
  <c r="K38" i="3"/>
  <c r="J38" i="3"/>
  <c r="M38" i="3" s="1"/>
  <c r="K37" i="3"/>
  <c r="J37" i="3"/>
  <c r="M37" i="3" s="1"/>
  <c r="K36" i="3"/>
  <c r="J36" i="3"/>
  <c r="K35" i="3"/>
  <c r="J35" i="3"/>
  <c r="M35" i="3" s="1"/>
  <c r="K34" i="3"/>
  <c r="J34" i="3"/>
  <c r="M34" i="3" s="1"/>
  <c r="K33" i="3"/>
  <c r="J33" i="3"/>
  <c r="M33" i="3" s="1"/>
  <c r="K32" i="3"/>
  <c r="J32" i="3"/>
  <c r="M32" i="3" s="1"/>
  <c r="K31" i="3"/>
  <c r="J31" i="3"/>
  <c r="M31" i="3" s="1"/>
  <c r="K30" i="3"/>
  <c r="J30" i="3"/>
  <c r="M30" i="3" s="1"/>
  <c r="K29" i="3"/>
  <c r="J29" i="3"/>
  <c r="M29" i="3" s="1"/>
  <c r="K28" i="3"/>
  <c r="J28" i="3"/>
  <c r="M28" i="3" s="1"/>
  <c r="K27" i="3"/>
  <c r="J27" i="3"/>
  <c r="M27" i="3" s="1"/>
  <c r="K26" i="3"/>
  <c r="J26" i="3"/>
  <c r="M26" i="3" s="1"/>
  <c r="K25" i="3"/>
  <c r="J25" i="3"/>
  <c r="M25" i="3" s="1"/>
  <c r="K24" i="3"/>
  <c r="J24" i="3"/>
  <c r="K23" i="3"/>
  <c r="J23" i="3"/>
  <c r="M23" i="3" s="1"/>
  <c r="K22" i="3"/>
  <c r="J22" i="3"/>
  <c r="M22" i="3" s="1"/>
  <c r="K21" i="3"/>
  <c r="J21" i="3"/>
  <c r="M21" i="3" s="1"/>
  <c r="K20" i="3"/>
  <c r="J20" i="3"/>
  <c r="K19" i="3"/>
  <c r="J19" i="3"/>
  <c r="M19" i="3" s="1"/>
  <c r="K18" i="3"/>
  <c r="J18" i="3"/>
  <c r="M18" i="3" s="1"/>
  <c r="K17" i="3"/>
  <c r="J17" i="3"/>
  <c r="M17" i="3" s="1"/>
  <c r="K16" i="3"/>
  <c r="J16" i="3"/>
  <c r="M16" i="3" s="1"/>
  <c r="K15" i="3"/>
  <c r="J15" i="3"/>
  <c r="M15" i="3" s="1"/>
  <c r="K14" i="3"/>
  <c r="J14" i="3"/>
  <c r="M14" i="3" s="1"/>
  <c r="K13" i="3"/>
  <c r="J13" i="3"/>
  <c r="M13" i="3" s="1"/>
  <c r="K12" i="3"/>
  <c r="J12" i="3"/>
  <c r="M12" i="3" s="1"/>
  <c r="K11" i="3"/>
  <c r="J11" i="3"/>
  <c r="M11" i="3" s="1"/>
  <c r="K10" i="3"/>
  <c r="J10" i="3"/>
  <c r="M10" i="3" s="1"/>
  <c r="M9" i="3"/>
  <c r="K9" i="3"/>
  <c r="J9" i="3"/>
  <c r="K8" i="3"/>
  <c r="J8" i="3"/>
  <c r="K7" i="3"/>
  <c r="J7" i="3"/>
  <c r="M7" i="3" s="1"/>
  <c r="K6" i="3"/>
  <c r="J6" i="3"/>
  <c r="M6" i="3" s="1"/>
  <c r="K5" i="3"/>
  <c r="M5" i="3"/>
  <c r="I54" i="2"/>
  <c r="I55" i="2"/>
  <c r="L55" i="2" s="1"/>
  <c r="I56" i="2"/>
  <c r="L56" i="2" s="1"/>
  <c r="I57" i="2"/>
  <c r="L57" i="2" s="1"/>
  <c r="I58" i="2"/>
  <c r="I59" i="2"/>
  <c r="I60" i="2"/>
  <c r="L60" i="2" s="1"/>
  <c r="I61" i="2"/>
  <c r="L61" i="2" s="1"/>
  <c r="I62" i="2"/>
  <c r="I63" i="2"/>
  <c r="I64" i="2"/>
  <c r="I65" i="2"/>
  <c r="J54" i="2"/>
  <c r="J55" i="2"/>
  <c r="J56" i="2"/>
  <c r="J57" i="2"/>
  <c r="J58" i="2"/>
  <c r="J59" i="2"/>
  <c r="J60" i="2"/>
  <c r="J61" i="2"/>
  <c r="J62" i="2"/>
  <c r="J63" i="2"/>
  <c r="J64" i="2"/>
  <c r="J65" i="2"/>
  <c r="L58" i="2"/>
  <c r="L59" i="2"/>
  <c r="L48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I26" i="2"/>
  <c r="I27" i="2"/>
  <c r="I28" i="2"/>
  <c r="I29" i="2"/>
  <c r="I30" i="2"/>
  <c r="I31" i="2"/>
  <c r="I32" i="2"/>
  <c r="I33" i="2"/>
  <c r="I34" i="2"/>
  <c r="I35" i="2"/>
  <c r="I36" i="2"/>
  <c r="I37" i="2"/>
  <c r="L37" i="2" s="1"/>
  <c r="I38" i="2"/>
  <c r="L38" i="2" s="1"/>
  <c r="I39" i="2"/>
  <c r="L39" i="2" s="1"/>
  <c r="I40" i="2"/>
  <c r="I41" i="2"/>
  <c r="I42" i="2"/>
  <c r="I43" i="2"/>
  <c r="I44" i="2"/>
  <c r="I45" i="2"/>
  <c r="I46" i="2"/>
  <c r="I47" i="2"/>
  <c r="I48" i="2"/>
  <c r="I49" i="2"/>
  <c r="L49" i="2" s="1"/>
  <c r="I50" i="2"/>
  <c r="L50" i="2" s="1"/>
  <c r="I51" i="2"/>
  <c r="L51" i="2" s="1"/>
  <c r="I52" i="2"/>
  <c r="L52" i="2" s="1"/>
  <c r="I53" i="2"/>
  <c r="L53" i="2" s="1"/>
  <c r="E8" i="2"/>
  <c r="G8" i="2" s="1"/>
  <c r="E9" i="2"/>
  <c r="F9" i="2" s="1"/>
  <c r="E10" i="2"/>
  <c r="F10" i="2" s="1"/>
  <c r="E11" i="2"/>
  <c r="F11" i="2" s="1"/>
  <c r="E12" i="2"/>
  <c r="F12" i="2" s="1"/>
  <c r="E13" i="2"/>
  <c r="F13" i="2" s="1"/>
  <c r="H8" i="2"/>
  <c r="I8" i="2" s="1"/>
  <c r="H9" i="2"/>
  <c r="I9" i="2" s="1"/>
  <c r="H10" i="2"/>
  <c r="I10" i="2" s="1"/>
  <c r="H11" i="2"/>
  <c r="J11" i="2" s="1"/>
  <c r="H12" i="2"/>
  <c r="J12" i="2" s="1"/>
  <c r="H13" i="2"/>
  <c r="J13" i="2" s="1"/>
  <c r="L35" i="2" l="1"/>
  <c r="L34" i="2"/>
  <c r="L33" i="2"/>
  <c r="L32" i="2"/>
  <c r="L47" i="2"/>
  <c r="L31" i="2"/>
  <c r="L46" i="2"/>
  <c r="L30" i="2"/>
  <c r="L45" i="2"/>
  <c r="L29" i="2"/>
  <c r="L44" i="2"/>
  <c r="L28" i="2"/>
  <c r="L36" i="2"/>
  <c r="L26" i="2"/>
  <c r="L43" i="2"/>
  <c r="L42" i="2"/>
  <c r="L41" i="2"/>
  <c r="L40" i="2"/>
  <c r="L27" i="2"/>
  <c r="G9" i="2"/>
  <c r="M40" i="3"/>
  <c r="M36" i="3"/>
  <c r="M8" i="3"/>
  <c r="M20" i="3"/>
  <c r="M24" i="3"/>
  <c r="L54" i="2"/>
  <c r="L65" i="2"/>
  <c r="L64" i="2"/>
  <c r="L63" i="2"/>
  <c r="L62" i="2"/>
  <c r="I13" i="2"/>
  <c r="I12" i="2"/>
  <c r="I11" i="2"/>
  <c r="G13" i="2"/>
  <c r="G12" i="2"/>
  <c r="J10" i="2"/>
  <c r="G11" i="2"/>
  <c r="J9" i="2"/>
  <c r="G10" i="2"/>
  <c r="J8" i="2"/>
  <c r="F8" i="2"/>
  <c r="I25" i="2"/>
  <c r="J25" i="2"/>
  <c r="J24" i="2"/>
  <c r="I24" i="2"/>
  <c r="E7" i="2"/>
  <c r="F7" i="2" s="1"/>
  <c r="H7" i="2"/>
  <c r="J7" i="2" s="1"/>
  <c r="E14" i="2"/>
  <c r="G14" i="2" s="1"/>
  <c r="H14" i="2"/>
  <c r="I14" i="2" s="1"/>
  <c r="K10" i="1"/>
  <c r="J10" i="1"/>
  <c r="K9" i="1"/>
  <c r="J9" i="1"/>
  <c r="L24" i="2" l="1"/>
  <c r="L25" i="2"/>
  <c r="J14" i="2"/>
  <c r="I7" i="2"/>
  <c r="F14" i="2"/>
  <c r="G7" i="2"/>
</calcChain>
</file>

<file path=xl/sharedStrings.xml><?xml version="1.0" encoding="utf-8"?>
<sst xmlns="http://schemas.openxmlformats.org/spreadsheetml/2006/main" count="137" uniqueCount="57">
  <si>
    <t>도</t>
    <phoneticPr fontId="2" type="noConversion"/>
  </si>
  <si>
    <t>분</t>
    <phoneticPr fontId="2" type="noConversion"/>
  </si>
  <si>
    <t>초</t>
    <phoneticPr fontId="2" type="noConversion"/>
  </si>
  <si>
    <t>DMS</t>
    <phoneticPr fontId="2" type="noConversion"/>
  </si>
  <si>
    <t>Degree</t>
    <phoneticPr fontId="2" type="noConversion"/>
  </si>
  <si>
    <t>LAT</t>
    <phoneticPr fontId="2" type="noConversion"/>
  </si>
  <si>
    <t>LNG</t>
    <phoneticPr fontId="2" type="noConversion"/>
  </si>
  <si>
    <t>LAT</t>
    <phoneticPr fontId="2" type="noConversion"/>
  </si>
  <si>
    <t>LNG</t>
    <phoneticPr fontId="2" type="noConversion"/>
  </si>
  <si>
    <t>DMS</t>
    <phoneticPr fontId="2" type="noConversion"/>
  </si>
  <si>
    <t>degree -&gt; DMS</t>
    <phoneticPr fontId="2" type="noConversion"/>
  </si>
  <si>
    <t>DMS -&gt; degree</t>
    <phoneticPr fontId="2" type="noConversion"/>
  </si>
  <si>
    <t>W-1</t>
    <phoneticPr fontId="2" type="noConversion"/>
  </si>
  <si>
    <t>W-2</t>
    <phoneticPr fontId="2" type="noConversion"/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</si>
  <si>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</si>
  <si>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</si>
  <si>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</si>
  <si>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</si>
  <si>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</si>
  <si>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</si>
  <si>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</si>
  <si>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</si>
  <si>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</si>
  <si>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</si>
  <si>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</si>
  <si>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</si>
  <si>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</si>
  <si>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</si>
  <si>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</si>
  <si>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</si>
  <si>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</si>
  <si>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</si>
  <si>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</si>
  <si>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</si>
  <si>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</si>
  <si>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</si>
  <si>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</si>
  <si>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</si>
  <si>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</si>
  <si>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</si>
  <si>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</si>
  <si>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</si>
  <si>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</si>
  <si>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</si>
  <si>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</si>
  <si>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W-34</t>
  </si>
  <si>
    <t>W-35</t>
  </si>
  <si>
    <t>W-36</t>
  </si>
  <si>
    <t>W-37</t>
  </si>
  <si>
    <t>W-38</t>
  </si>
  <si>
    <t>W-39</t>
  </si>
  <si>
    <t>W-40</t>
  </si>
  <si>
    <t>W-41</t>
  </si>
  <si>
    <t>W-42</t>
  </si>
  <si>
    <t>v36.3614509
127.3339598</t>
    <phoneticPr fontId="2" type="noConversion"/>
  </si>
  <si>
    <t>LAT:위도</t>
    <phoneticPr fontId="2" type="noConversion"/>
  </si>
  <si>
    <t>LNG:경도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</si>
</sst>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2"/>
      <name val="맑은 고딕"/>
      <family val="3"/>
      <charset val="129"/>
    </font>
    <font>
      <sz val="11"/>
      <name val="Consolas"/>
      <family val="3"/>
    </font>
    <font>
      <sz val="11"/>
      <color rgb="FF000000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6" borderId="0" applyNumberFormat="0" applyBorder="0" applyAlignment="0" applyProtection="0">
      <alignment vertical="center"/>
    </xf>
  </cellStyleXfs>
  <cellXfs count="103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4" borderId="3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2" borderId="7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2" borderId="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4" fillId="3" borderId="13" xfId="0" applyFont="1" applyFill="1" applyBorder="1">
      <alignment vertical="center"/>
    </xf>
    <xf numFmtId="0" fontId="4" fillId="3" borderId="14" xfId="0" applyFont="1" applyFill="1" applyBorder="1">
      <alignment vertical="center"/>
    </xf>
    <xf numFmtId="0" fontId="4" fillId="2" borderId="20" xfId="0" applyFont="1" applyFill="1" applyBorder="1">
      <alignment vertical="center"/>
    </xf>
    <xf numFmtId="0" fontId="4" fillId="3" borderId="21" xfId="0" applyFont="1" applyFill="1" applyBorder="1">
      <alignment vertical="center"/>
    </xf>
    <xf numFmtId="0" fontId="3" fillId="5" borderId="3" xfId="0" applyFont="1" applyFill="1" applyBorder="1" applyAlignment="1">
      <alignment horizontal="center" vertical="center"/>
    </xf>
    <xf numFmtId="0" fontId="4" fillId="2" borderId="5" xfId="0" applyFont="1" applyFill="1" applyBorder="1">
      <alignment vertical="center"/>
    </xf>
    <xf numFmtId="0" fontId="3" fillId="5" borderId="2" xfId="0" applyFont="1" applyFill="1" applyBorder="1" applyAlignment="1">
      <alignment horizontal="center" vertical="center"/>
    </xf>
    <xf numFmtId="0" fontId="4" fillId="0" borderId="22" xfId="0" applyFont="1" applyBorder="1">
      <alignment vertical="center"/>
    </xf>
    <xf numFmtId="0" fontId="3" fillId="5" borderId="8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23" xfId="0" applyFont="1" applyFill="1" applyBorder="1">
      <alignment vertical="center"/>
    </xf>
    <xf numFmtId="0" fontId="0" fillId="0" borderId="22" xfId="0" applyBorder="1">
      <alignment vertical="center"/>
    </xf>
    <xf numFmtId="0" fontId="4" fillId="2" borderId="24" xfId="0" applyFont="1" applyFill="1" applyBorder="1">
      <alignment vertical="center"/>
    </xf>
    <xf numFmtId="0" fontId="4" fillId="2" borderId="25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22" xfId="0" applyFont="1" applyFill="1" applyBorder="1">
      <alignment vertical="center"/>
    </xf>
    <xf numFmtId="0" fontId="1" fillId="6" borderId="0" xfId="1" applyAlignment="1">
      <alignment horizontal="center" vertical="center"/>
    </xf>
    <xf numFmtId="0" fontId="1" fillId="6" borderId="20" xfId="1" applyBorder="1">
      <alignment vertical="center"/>
    </xf>
    <xf numFmtId="0" fontId="1" fillId="6" borderId="19" xfId="1" applyBorder="1">
      <alignment vertical="center"/>
    </xf>
    <xf numFmtId="0" fontId="1" fillId="6" borderId="21" xfId="1" applyBorder="1">
      <alignment vertical="center"/>
    </xf>
    <xf numFmtId="0" fontId="1" fillId="6" borderId="0" xfId="1">
      <alignment vertical="center"/>
    </xf>
    <xf numFmtId="0" fontId="4" fillId="0" borderId="0" xfId="0" applyFont="1" applyAlignment="1">
      <alignment vertical="center" wrapText="1"/>
    </xf>
    <xf numFmtId="0" fontId="3" fillId="0" borderId="26" xfId="0" applyFont="1" applyBorder="1">
      <alignment vertical="center"/>
    </xf>
    <xf numFmtId="0" fontId="3" fillId="0" borderId="28" xfId="0" applyFont="1" applyBorder="1">
      <alignment vertical="center"/>
    </xf>
    <xf numFmtId="0" fontId="3" fillId="2" borderId="7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0" borderId="20" xfId="0" applyFont="1" applyBorder="1">
      <alignment vertical="center"/>
    </xf>
    <xf numFmtId="0" fontId="3" fillId="0" borderId="21" xfId="0" applyFont="1" applyBorder="1">
      <alignment vertical="center"/>
    </xf>
    <xf numFmtId="0" fontId="3" fillId="2" borderId="25" xfId="0" applyFont="1" applyFill="1" applyBorder="1">
      <alignment vertical="center"/>
    </xf>
    <xf numFmtId="0" fontId="3" fillId="2" borderId="19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3" fillId="2" borderId="8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7" borderId="2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6" fillId="0" borderId="20" xfId="0" applyFont="1" applyBorder="1">
      <alignment vertical="center"/>
    </xf>
    <xf numFmtId="0" fontId="6" fillId="0" borderId="19" xfId="0" applyFont="1" applyBorder="1">
      <alignment vertical="center"/>
    </xf>
    <xf numFmtId="0" fontId="6" fillId="3" borderId="2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2" xfId="0" applyFont="1" applyBorder="1">
      <alignment vertical="center"/>
    </xf>
    <xf numFmtId="0" fontId="6" fillId="3" borderId="3" xfId="0" applyFont="1" applyFill="1" applyBorder="1">
      <alignment vertical="center"/>
    </xf>
    <xf numFmtId="0" fontId="6" fillId="3" borderId="19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3" fillId="7" borderId="19" xfId="0" applyFont="1" applyFill="1" applyBorder="1" applyAlignment="1">
      <alignment horizontal="center" vertical="center"/>
    </xf>
  </cellXfs>
  <cellStyles count="2">
    <cellStyle name="40% - 강조색4" xfId="1" builtinId="4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15</xdr:row>
          <xdr:rowOff>314325</xdr:rowOff>
        </xdr:from>
        <xdr:to>
          <xdr:col>8</xdr:col>
          <xdr:colOff>400050</xdr:colOff>
          <xdr:row>17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K21"/>
  <sheetViews>
    <sheetView workbookViewId="0">
      <selection activeCell="G15" sqref="G15"/>
    </sheetView>
  </sheetViews>
  <sheetFormatPr defaultRowHeight="16.5"/>
  <cols>
    <col min="1" max="6" width="10.77734375" style="1" customWidth="1"/>
    <col min="7" max="8" width="15.77734375" style="1" customWidth="1"/>
    <col min="9" max="9" width="8.88671875" style="1"/>
    <col min="10" max="10" width="11" style="1" customWidth="1"/>
    <col min="11" max="11" width="11.109375" style="1" customWidth="1"/>
    <col min="12" max="16384" width="8.88671875" style="1"/>
  </cols>
  <sheetData>
    <row r="1" spans="4:11" ht="30" customHeight="1"/>
    <row r="2" spans="4:11" ht="30" customHeight="1"/>
    <row r="3" spans="4:11" ht="30" customHeight="1"/>
    <row r="4" spans="4:11" ht="30" customHeight="1"/>
    <row r="5" spans="4:11" ht="30" customHeight="1" thickBot="1"/>
    <row r="6" spans="4:11" ht="30" customHeight="1" thickBot="1">
      <c r="D6" s="64" t="s">
        <v>3</v>
      </c>
      <c r="E6" s="65"/>
      <c r="F6" s="65"/>
      <c r="G6" s="65"/>
      <c r="H6" s="65"/>
      <c r="I6" s="66"/>
      <c r="J6" s="67" t="s">
        <v>4</v>
      </c>
      <c r="K6" s="66"/>
    </row>
    <row r="7" spans="4:11" ht="30" customHeight="1">
      <c r="D7" s="68" t="s">
        <v>5</v>
      </c>
      <c r="E7" s="69"/>
      <c r="F7" s="69"/>
      <c r="G7" s="69" t="s">
        <v>6</v>
      </c>
      <c r="H7" s="69"/>
      <c r="I7" s="70"/>
      <c r="J7" s="71" t="s">
        <v>7</v>
      </c>
      <c r="K7" s="73" t="s">
        <v>8</v>
      </c>
    </row>
    <row r="8" spans="4:11" ht="30" customHeight="1" thickBot="1">
      <c r="D8" s="11" t="s">
        <v>0</v>
      </c>
      <c r="E8" s="13" t="s">
        <v>1</v>
      </c>
      <c r="F8" s="13" t="s">
        <v>2</v>
      </c>
      <c r="G8" s="13" t="s">
        <v>0</v>
      </c>
      <c r="H8" s="13" t="s">
        <v>1</v>
      </c>
      <c r="I8" s="2" t="s">
        <v>2</v>
      </c>
      <c r="J8" s="72"/>
      <c r="K8" s="74"/>
    </row>
    <row r="9" spans="4:11" ht="30" customHeight="1">
      <c r="D9" s="14">
        <v>37</v>
      </c>
      <c r="E9" s="15">
        <v>33</v>
      </c>
      <c r="F9" s="15">
        <v>13.289</v>
      </c>
      <c r="G9" s="15">
        <v>128</v>
      </c>
      <c r="H9" s="15">
        <v>12</v>
      </c>
      <c r="I9" s="16">
        <v>47.439</v>
      </c>
      <c r="J9" s="17">
        <f xml:space="preserve"> D9 + (E9/60) + (F9/3600)</f>
        <v>37.553691388888886</v>
      </c>
      <c r="K9" s="18">
        <f xml:space="preserve"> G9 + (H9/60) + (I9/3600)</f>
        <v>128.2131775</v>
      </c>
    </row>
    <row r="10" spans="4:11" ht="30" customHeight="1" thickBot="1">
      <c r="D10" s="19"/>
      <c r="E10" s="20"/>
      <c r="F10" s="20"/>
      <c r="G10" s="20"/>
      <c r="H10" s="20"/>
      <c r="I10" s="21"/>
      <c r="J10" s="22">
        <f xml:space="preserve"> D10 + (E10/60) + (F10/3600)</f>
        <v>0</v>
      </c>
      <c r="K10" s="10">
        <f xml:space="preserve"> G10 + (H10/60) + (I10/3600)</f>
        <v>0</v>
      </c>
    </row>
    <row r="11" spans="4:11" ht="30" customHeight="1"/>
    <row r="12" spans="4:11" ht="30" customHeight="1"/>
    <row r="13" spans="4:11" ht="30" customHeight="1"/>
    <row r="14" spans="4:11" ht="30" customHeight="1">
      <c r="E14" s="46" t="s">
        <v>54</v>
      </c>
    </row>
    <row r="15" spans="4:11" ht="30" customHeight="1"/>
    <row r="16" spans="4:11" ht="30" customHeight="1"/>
    <row r="17" ht="30" customHeight="1"/>
    <row r="18" ht="30" customHeight="1"/>
    <row r="19" ht="30" customHeight="1"/>
    <row r="20" ht="30" customHeight="1"/>
    <row r="21" ht="30" customHeight="1"/>
  </sheetData>
  <mergeCells count="6">
    <mergeCell ref="D6:I6"/>
    <mergeCell ref="J6:K6"/>
    <mergeCell ref="D7:F7"/>
    <mergeCell ref="G7:I7"/>
    <mergeCell ref="J7:J8"/>
    <mergeCell ref="K7:K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3"/>
  <sheetViews>
    <sheetView tabSelected="1" topLeftCell="A16" zoomScaleNormal="100" workbookViewId="0">
      <selection activeCell="L11" sqref="L11"/>
    </sheetView>
  </sheetViews>
  <sheetFormatPr defaultRowHeight="17.25"/>
  <cols>
    <col min="1" max="1" width="15.77734375" style="1" customWidth="1"/>
    <col min="2" max="2" width="15.77734375" style="34" customWidth="1"/>
    <col min="3" max="8" width="10.77734375" style="1" customWidth="1"/>
    <col min="9" max="9" width="14.109375" style="1" customWidth="1"/>
    <col min="10" max="10" width="14" style="1" customWidth="1"/>
    <col min="11" max="11" width="8.21875" style="1" customWidth="1"/>
    <col min="12" max="12" width="32.33203125" style="92" customWidth="1"/>
    <col min="13" max="16384" width="8.88671875" style="1"/>
  </cols>
  <sheetData>
    <row r="1" spans="1:15" ht="30" customHeight="1">
      <c r="C1" s="1">
        <v>36.361450900000001</v>
      </c>
    </row>
    <row r="2" spans="1:15" ht="30" customHeight="1">
      <c r="C2" s="1">
        <v>127.3339598</v>
      </c>
    </row>
    <row r="3" spans="1:15" ht="30" customHeight="1" thickBot="1">
      <c r="C3" s="12" t="s">
        <v>10</v>
      </c>
    </row>
    <row r="4" spans="1:15" ht="30" customHeight="1">
      <c r="C4" s="75">
        <v>0</v>
      </c>
      <c r="D4" s="77"/>
      <c r="E4" s="81" t="s">
        <v>9</v>
      </c>
      <c r="F4" s="76"/>
      <c r="G4" s="76"/>
      <c r="H4" s="76"/>
      <c r="I4" s="76"/>
      <c r="J4" s="77"/>
    </row>
    <row r="5" spans="1:15" ht="30" customHeight="1">
      <c r="C5" s="84" t="s">
        <v>7</v>
      </c>
      <c r="D5" s="82" t="s">
        <v>8</v>
      </c>
      <c r="E5" s="86" t="s">
        <v>7</v>
      </c>
      <c r="F5" s="79"/>
      <c r="G5" s="79"/>
      <c r="H5" s="79" t="s">
        <v>8</v>
      </c>
      <c r="I5" s="79"/>
      <c r="J5" s="80"/>
      <c r="O5"/>
    </row>
    <row r="6" spans="1:15" ht="30" customHeight="1" thickBot="1">
      <c r="C6" s="85"/>
      <c r="D6" s="83"/>
      <c r="E6" s="33" t="s">
        <v>0</v>
      </c>
      <c r="F6" s="31" t="s">
        <v>1</v>
      </c>
      <c r="G6" s="31" t="s">
        <v>2</v>
      </c>
      <c r="H6" s="31" t="s">
        <v>0</v>
      </c>
      <c r="I6" s="31" t="s">
        <v>1</v>
      </c>
      <c r="J6" s="29" t="s">
        <v>2</v>
      </c>
    </row>
    <row r="7" spans="1:15" ht="30" customHeight="1">
      <c r="C7" s="47"/>
      <c r="D7" s="48"/>
      <c r="E7" s="49">
        <f xml:space="preserve"> INT(C7)</f>
        <v>0</v>
      </c>
      <c r="F7" s="50">
        <f>INT((C7-E7)*60)</f>
        <v>0</v>
      </c>
      <c r="G7" s="50">
        <f xml:space="preserve"> (((C7-E7) * 60) - INT((C7-E7) * 60)) * 60</f>
        <v>0</v>
      </c>
      <c r="H7" s="50">
        <f xml:space="preserve"> INT(D7)</f>
        <v>0</v>
      </c>
      <c r="I7" s="50">
        <f>INT((D7-H7)*60)</f>
        <v>0</v>
      </c>
      <c r="J7" s="51">
        <f xml:space="preserve"> (((D7-H7) * 60) - INT((D7-H7) * 60)) * 60</f>
        <v>0</v>
      </c>
      <c r="L7" s="93"/>
    </row>
    <row r="8" spans="1:15" ht="30" customHeight="1">
      <c r="C8" s="52"/>
      <c r="D8" s="53"/>
      <c r="E8" s="54">
        <f t="shared" ref="E8:E13" si="0" xml:space="preserve"> INT(C8)</f>
        <v>0</v>
      </c>
      <c r="F8" s="55">
        <f t="shared" ref="F8:F13" si="1">INT((C8-E8)*60)</f>
        <v>0</v>
      </c>
      <c r="G8" s="55">
        <f t="shared" ref="G8:G13" si="2" xml:space="preserve"> (((C8-E8) * 60) - INT((C8-E8) * 60)) * 60</f>
        <v>0</v>
      </c>
      <c r="H8" s="55">
        <f t="shared" ref="H8:H13" si="3" xml:space="preserve"> INT(D8)</f>
        <v>0</v>
      </c>
      <c r="I8" s="55">
        <f t="shared" ref="I8:I13" si="4">INT((D8-H8)*60)</f>
        <v>0</v>
      </c>
      <c r="J8" s="56">
        <f t="shared" ref="J8:J13" si="5" xml:space="preserve"> (((D8-H8) * 60) - INT((D8-H8) * 60)) * 60</f>
        <v>0</v>
      </c>
      <c r="L8" s="93"/>
    </row>
    <row r="9" spans="1:15" ht="30" customHeight="1">
      <c r="C9" s="52"/>
      <c r="D9" s="53"/>
      <c r="E9" s="54">
        <f t="shared" si="0"/>
        <v>0</v>
      </c>
      <c r="F9" s="55">
        <f t="shared" si="1"/>
        <v>0</v>
      </c>
      <c r="G9" s="55">
        <f t="shared" si="2"/>
        <v>0</v>
      </c>
      <c r="H9" s="55">
        <f t="shared" si="3"/>
        <v>0</v>
      </c>
      <c r="I9" s="55">
        <f t="shared" si="4"/>
        <v>0</v>
      </c>
      <c r="J9" s="56">
        <f t="shared" si="5"/>
        <v>0</v>
      </c>
      <c r="L9" s="93"/>
    </row>
    <row r="10" spans="1:15" ht="30" customHeight="1">
      <c r="C10" s="52"/>
      <c r="D10" s="53"/>
      <c r="E10" s="54">
        <f t="shared" si="0"/>
        <v>0</v>
      </c>
      <c r="F10" s="55">
        <f t="shared" si="1"/>
        <v>0</v>
      </c>
      <c r="G10" s="55">
        <f t="shared" si="2"/>
        <v>0</v>
      </c>
      <c r="H10" s="55">
        <f t="shared" si="3"/>
        <v>0</v>
      </c>
      <c r="I10" s="55">
        <f t="shared" si="4"/>
        <v>0</v>
      </c>
      <c r="J10" s="56">
        <f t="shared" si="5"/>
        <v>0</v>
      </c>
      <c r="L10" s="93"/>
    </row>
    <row r="11" spans="1:15" ht="30" customHeight="1">
      <c r="A11"/>
      <c r="C11" s="52"/>
      <c r="D11" s="53"/>
      <c r="E11" s="54">
        <f t="shared" si="0"/>
        <v>0</v>
      </c>
      <c r="F11" s="55">
        <f t="shared" si="1"/>
        <v>0</v>
      </c>
      <c r="G11" s="55">
        <f t="shared" si="2"/>
        <v>0</v>
      </c>
      <c r="H11" s="55">
        <f t="shared" si="3"/>
        <v>0</v>
      </c>
      <c r="I11" s="55">
        <f t="shared" si="4"/>
        <v>0</v>
      </c>
      <c r="J11" s="56">
        <f t="shared" si="5"/>
        <v>0</v>
      </c>
      <c r="L11" s="93"/>
    </row>
    <row r="12" spans="1:15" ht="30" customHeight="1">
      <c r="A12" s="1">
        <v>36.358833199999999</v>
      </c>
      <c r="B12"/>
      <c r="C12" s="52"/>
      <c r="D12" s="53"/>
      <c r="E12" s="54">
        <f t="shared" si="0"/>
        <v>0</v>
      </c>
      <c r="F12" s="55">
        <f t="shared" si="1"/>
        <v>0</v>
      </c>
      <c r="G12" s="55">
        <f t="shared" si="2"/>
        <v>0</v>
      </c>
      <c r="H12" s="55">
        <f t="shared" si="3"/>
        <v>0</v>
      </c>
      <c r="I12" s="55">
        <f t="shared" si="4"/>
        <v>0</v>
      </c>
      <c r="J12" s="56">
        <f t="shared" si="5"/>
        <v>0</v>
      </c>
      <c r="L12" s="93"/>
    </row>
    <row r="13" spans="1:15" ht="30" customHeight="1">
      <c r="A13" s="1">
        <v>127.3336925</v>
      </c>
      <c r="C13" s="52"/>
      <c r="D13" s="53"/>
      <c r="E13" s="54">
        <f t="shared" si="0"/>
        <v>0</v>
      </c>
      <c r="F13" s="55">
        <f t="shared" si="1"/>
        <v>0</v>
      </c>
      <c r="G13" s="55">
        <f t="shared" si="2"/>
        <v>0</v>
      </c>
      <c r="H13" s="55">
        <f t="shared" si="3"/>
        <v>0</v>
      </c>
      <c r="I13" s="55">
        <f t="shared" si="4"/>
        <v>0</v>
      </c>
      <c r="J13" s="56">
        <f t="shared" si="5"/>
        <v>0</v>
      </c>
      <c r="L13"/>
    </row>
    <row r="14" spans="1:15" ht="30" customHeight="1" thickBot="1">
      <c r="C14" s="57"/>
      <c r="D14" s="58"/>
      <c r="E14" s="59">
        <f xml:space="preserve"> INT(C14)</f>
        <v>0</v>
      </c>
      <c r="F14" s="60">
        <f>INT((C14-E14)*60)</f>
        <v>0</v>
      </c>
      <c r="G14" s="60">
        <f xml:space="preserve"> (((C14-E14) * 60) - INT((C14-E14) * 60)) * 60</f>
        <v>0</v>
      </c>
      <c r="H14" s="60">
        <f xml:space="preserve"> INT(D14)</f>
        <v>0</v>
      </c>
      <c r="I14" s="60">
        <f>INT((D14-H14)*60)</f>
        <v>0</v>
      </c>
      <c r="J14" s="61">
        <f xml:space="preserve"> (((D14-H14) * 60) - INT((D14-H14) * 60)) * 60</f>
        <v>0</v>
      </c>
      <c r="L14"/>
    </row>
    <row r="15" spans="1:15" ht="30" customHeight="1"/>
    <row r="16" spans="1:15" ht="30" customHeight="1">
      <c r="L16"/>
    </row>
    <row r="17" spans="2:14" ht="30" customHeight="1">
      <c r="C17" s="12" t="s">
        <v>55</v>
      </c>
      <c r="D17" s="12" t="s">
        <v>56</v>
      </c>
      <c r="E17"/>
      <c r="F17"/>
      <c r="G17"/>
      <c r="H17"/>
    </row>
    <row r="18" spans="2:14" ht="30" customHeight="1">
      <c r="C18" s="12">
        <v>0</v>
      </c>
      <c r="D18" s="1">
        <v>0</v>
      </c>
      <c r="J18"/>
    </row>
    <row r="19" spans="2:14" ht="30" customHeight="1">
      <c r="M19"/>
    </row>
    <row r="20" spans="2:14" ht="30" customHeight="1" thickBot="1">
      <c r="C20" s="12" t="s">
        <v>11</v>
      </c>
      <c r="F20"/>
      <c r="M20"/>
    </row>
    <row r="21" spans="2:14" ht="30" customHeight="1">
      <c r="C21" s="75" t="s">
        <v>3</v>
      </c>
      <c r="D21" s="76"/>
      <c r="E21" s="76"/>
      <c r="F21" s="76"/>
      <c r="G21" s="76"/>
      <c r="H21" s="76"/>
      <c r="I21" s="76" t="s">
        <v>4</v>
      </c>
      <c r="J21" s="77"/>
    </row>
    <row r="22" spans="2:14" ht="30" customHeight="1">
      <c r="C22" s="78" t="s">
        <v>5</v>
      </c>
      <c r="D22" s="79"/>
      <c r="E22" s="79"/>
      <c r="F22" s="79" t="s">
        <v>6</v>
      </c>
      <c r="G22" s="79"/>
      <c r="H22" s="79"/>
      <c r="I22" s="102" t="s">
        <v>5</v>
      </c>
      <c r="J22" s="91" t="s">
        <v>6</v>
      </c>
      <c r="L22"/>
    </row>
    <row r="23" spans="2:14" ht="30" customHeight="1">
      <c r="C23" s="63" t="s">
        <v>0</v>
      </c>
      <c r="D23" s="62" t="s">
        <v>1</v>
      </c>
      <c r="E23" s="62" t="s">
        <v>2</v>
      </c>
      <c r="F23" s="62" t="s">
        <v>0</v>
      </c>
      <c r="G23" s="62" t="s">
        <v>1</v>
      </c>
      <c r="H23" s="62" t="s">
        <v>2</v>
      </c>
      <c r="I23" s="102"/>
      <c r="J23" s="91"/>
    </row>
    <row r="24" spans="2:14" ht="30" customHeight="1">
      <c r="B24" s="34" t="s">
        <v>12</v>
      </c>
      <c r="C24" s="94"/>
      <c r="D24" s="95"/>
      <c r="E24" s="95"/>
      <c r="F24" s="95"/>
      <c r="G24" s="95"/>
      <c r="H24" s="95"/>
      <c r="I24" s="100">
        <f>C24+D24/60+E24/3600</f>
        <v>0</v>
      </c>
      <c r="J24" s="96">
        <f>F24+G24/60+H24/3600</f>
        <v>0</v>
      </c>
      <c r="L24" s="92" t="str">
        <f xml:space="preserve"> I24 &amp; "," &amp; J24</f>
        <v>0,0</v>
      </c>
    </row>
    <row r="25" spans="2:14" ht="30" customHeight="1">
      <c r="B25" s="34" t="s">
        <v>13</v>
      </c>
      <c r="C25" s="94"/>
      <c r="D25" s="95"/>
      <c r="E25" s="95"/>
      <c r="F25" s="95"/>
      <c r="G25" s="95"/>
      <c r="H25" s="95"/>
      <c r="I25" s="100">
        <f>C25+D25/60+E25/3600</f>
        <v>0</v>
      </c>
      <c r="J25" s="96">
        <f>F25+G25/60+H25/3600</f>
        <v>0</v>
      </c>
      <c r="L25" s="92" t="str">
        <f xml:space="preserve"> I25 &amp; "," &amp; J25</f>
        <v>0,0</v>
      </c>
    </row>
    <row r="26" spans="2:14" ht="30" customHeight="1">
      <c r="B26" s="34" t="s">
        <v>14</v>
      </c>
      <c r="C26" s="94"/>
      <c r="D26" s="95"/>
      <c r="E26" s="95"/>
      <c r="F26" s="95"/>
      <c r="G26" s="95"/>
      <c r="H26" s="95"/>
      <c r="I26" s="100">
        <f t="shared" ref="I26:I65" si="6">C26+D26/60+E26/3600</f>
        <v>0</v>
      </c>
      <c r="J26" s="96">
        <f t="shared" ref="J26:J65" si="7">F26+G26/60+H26/3600</f>
        <v>0</v>
      </c>
      <c r="L26" s="92" t="str">
        <f t="shared" ref="L26:L65" si="8" xml:space="preserve"> I26 &amp; "," &amp; J26</f>
        <v>0,0</v>
      </c>
    </row>
    <row r="27" spans="2:14" ht="30" customHeight="1">
      <c r="B27" s="34" t="s">
        <v>15</v>
      </c>
      <c r="C27" s="94"/>
      <c r="D27" s="95"/>
      <c r="E27" s="95"/>
      <c r="F27" s="95"/>
      <c r="G27" s="95"/>
      <c r="H27" s="95"/>
      <c r="I27" s="100">
        <f t="shared" si="6"/>
        <v>0</v>
      </c>
      <c r="J27" s="96">
        <f t="shared" si="7"/>
        <v>0</v>
      </c>
      <c r="L27" s="92" t="str">
        <f t="shared" si="8"/>
        <v>0,0</v>
      </c>
    </row>
    <row r="28" spans="2:14" ht="30" customHeight="1">
      <c r="B28" s="34" t="s">
        <v>16</v>
      </c>
      <c r="C28" s="94"/>
      <c r="D28" s="95"/>
      <c r="E28" s="95"/>
      <c r="F28" s="95"/>
      <c r="G28" s="95"/>
      <c r="H28" s="95"/>
      <c r="I28" s="100">
        <f t="shared" si="6"/>
        <v>0</v>
      </c>
      <c r="J28" s="96">
        <f t="shared" si="7"/>
        <v>0</v>
      </c>
      <c r="L28" s="92" t="str">
        <f t="shared" si="8"/>
        <v>0,0</v>
      </c>
    </row>
    <row r="29" spans="2:14" ht="30" customHeight="1">
      <c r="B29" s="34" t="s">
        <v>17</v>
      </c>
      <c r="C29" s="94"/>
      <c r="D29" s="95"/>
      <c r="E29" s="95"/>
      <c r="F29" s="95"/>
      <c r="G29" s="95"/>
      <c r="H29" s="95"/>
      <c r="I29" s="100">
        <f t="shared" si="6"/>
        <v>0</v>
      </c>
      <c r="J29" s="96">
        <f t="shared" si="7"/>
        <v>0</v>
      </c>
      <c r="L29" s="92" t="str">
        <f t="shared" si="8"/>
        <v>0,0</v>
      </c>
    </row>
    <row r="30" spans="2:14" ht="30" customHeight="1">
      <c r="B30" s="34" t="s">
        <v>18</v>
      </c>
      <c r="C30" s="94"/>
      <c r="D30" s="95"/>
      <c r="E30" s="95"/>
      <c r="F30" s="95"/>
      <c r="G30" s="95"/>
      <c r="H30" s="95"/>
      <c r="I30" s="100">
        <f t="shared" si="6"/>
        <v>0</v>
      </c>
      <c r="J30" s="96">
        <f t="shared" si="7"/>
        <v>0</v>
      </c>
      <c r="L30" s="92" t="str">
        <f t="shared" si="8"/>
        <v>0,0</v>
      </c>
      <c r="M30"/>
    </row>
    <row r="31" spans="2:14" ht="30" customHeight="1">
      <c r="B31" s="34" t="s">
        <v>19</v>
      </c>
      <c r="C31" s="94"/>
      <c r="D31" s="95"/>
      <c r="E31" s="95"/>
      <c r="F31" s="95"/>
      <c r="G31" s="95"/>
      <c r="H31" s="95"/>
      <c r="I31" s="100">
        <f t="shared" si="6"/>
        <v>0</v>
      </c>
      <c r="J31" s="96">
        <f t="shared" si="7"/>
        <v>0</v>
      </c>
      <c r="L31" s="92" t="str">
        <f t="shared" si="8"/>
        <v>0,0</v>
      </c>
    </row>
    <row r="32" spans="2:14" ht="30" customHeight="1">
      <c r="B32" s="34" t="s">
        <v>20</v>
      </c>
      <c r="C32" s="94"/>
      <c r="D32" s="95"/>
      <c r="E32" s="95"/>
      <c r="F32" s="95"/>
      <c r="G32" s="95"/>
      <c r="H32" s="95"/>
      <c r="I32" s="100">
        <f t="shared" si="6"/>
        <v>0</v>
      </c>
      <c r="J32" s="96">
        <f t="shared" si="7"/>
        <v>0</v>
      </c>
      <c r="L32" s="92" t="str">
        <f t="shared" si="8"/>
        <v>0,0</v>
      </c>
      <c r="N32"/>
    </row>
    <row r="33" spans="2:12" ht="30" customHeight="1">
      <c r="B33" s="34" t="s">
        <v>21</v>
      </c>
      <c r="C33" s="94"/>
      <c r="D33" s="95"/>
      <c r="E33" s="95"/>
      <c r="F33" s="95"/>
      <c r="G33" s="95"/>
      <c r="H33" s="95"/>
      <c r="I33" s="100">
        <f t="shared" si="6"/>
        <v>0</v>
      </c>
      <c r="J33" s="96">
        <f t="shared" si="7"/>
        <v>0</v>
      </c>
      <c r="L33" s="92" t="str">
        <f t="shared" si="8"/>
        <v>0,0</v>
      </c>
    </row>
    <row r="34" spans="2:12" ht="30" customHeight="1">
      <c r="B34" s="34" t="s">
        <v>22</v>
      </c>
      <c r="C34" s="94"/>
      <c r="D34" s="95"/>
      <c r="E34" s="95"/>
      <c r="F34" s="95"/>
      <c r="G34" s="95"/>
      <c r="H34" s="95"/>
      <c r="I34" s="100">
        <f t="shared" si="6"/>
        <v>0</v>
      </c>
      <c r="J34" s="96">
        <f t="shared" si="7"/>
        <v>0</v>
      </c>
      <c r="L34" s="92" t="str">
        <f t="shared" si="8"/>
        <v>0,0</v>
      </c>
    </row>
    <row r="35" spans="2:12" ht="30" customHeight="1">
      <c r="B35" s="34" t="s">
        <v>23</v>
      </c>
      <c r="C35" s="94"/>
      <c r="D35" s="95"/>
      <c r="E35" s="95"/>
      <c r="F35" s="95"/>
      <c r="G35" s="95"/>
      <c r="H35" s="95"/>
      <c r="I35" s="100">
        <f t="shared" si="6"/>
        <v>0</v>
      </c>
      <c r="J35" s="96">
        <f t="shared" si="7"/>
        <v>0</v>
      </c>
      <c r="L35" s="92" t="str">
        <f t="shared" si="8"/>
        <v>0,0</v>
      </c>
    </row>
    <row r="36" spans="2:12" ht="30" customHeight="1">
      <c r="B36" s="34" t="s">
        <v>24</v>
      </c>
      <c r="C36" s="94"/>
      <c r="D36" s="95"/>
      <c r="E36" s="95"/>
      <c r="F36" s="95"/>
      <c r="G36" s="95"/>
      <c r="H36" s="95"/>
      <c r="I36" s="100">
        <f t="shared" si="6"/>
        <v>0</v>
      </c>
      <c r="J36" s="96">
        <f t="shared" si="7"/>
        <v>0</v>
      </c>
      <c r="L36" s="92" t="str">
        <f t="shared" si="8"/>
        <v>0,0</v>
      </c>
    </row>
    <row r="37" spans="2:12" ht="30" customHeight="1">
      <c r="B37" s="34" t="s">
        <v>25</v>
      </c>
      <c r="C37" s="94"/>
      <c r="D37" s="95"/>
      <c r="E37" s="95"/>
      <c r="F37" s="95"/>
      <c r="G37" s="95"/>
      <c r="H37" s="95"/>
      <c r="I37" s="100">
        <f t="shared" si="6"/>
        <v>0</v>
      </c>
      <c r="J37" s="96">
        <f t="shared" si="7"/>
        <v>0</v>
      </c>
      <c r="L37" s="92" t="str">
        <f t="shared" si="8"/>
        <v>0,0</v>
      </c>
    </row>
    <row r="38" spans="2:12" ht="30" customHeight="1">
      <c r="B38" s="34" t="s">
        <v>26</v>
      </c>
      <c r="C38" s="94"/>
      <c r="D38" s="95"/>
      <c r="E38" s="95"/>
      <c r="F38" s="95"/>
      <c r="G38" s="95"/>
      <c r="H38" s="95"/>
      <c r="I38" s="100">
        <f t="shared" si="6"/>
        <v>0</v>
      </c>
      <c r="J38" s="96">
        <f t="shared" si="7"/>
        <v>0</v>
      </c>
      <c r="L38" s="92" t="str">
        <f t="shared" si="8"/>
        <v>0,0</v>
      </c>
    </row>
    <row r="39" spans="2:12" ht="30" customHeight="1">
      <c r="B39" s="34" t="s">
        <v>27</v>
      </c>
      <c r="C39" s="94"/>
      <c r="D39" s="95"/>
      <c r="E39" s="95"/>
      <c r="F39" s="95"/>
      <c r="G39" s="95"/>
      <c r="H39" s="95"/>
      <c r="I39" s="100">
        <f t="shared" si="6"/>
        <v>0</v>
      </c>
      <c r="J39" s="96">
        <f t="shared" si="7"/>
        <v>0</v>
      </c>
      <c r="L39" s="92" t="str">
        <f t="shared" si="8"/>
        <v>0,0</v>
      </c>
    </row>
    <row r="40" spans="2:12" ht="30" customHeight="1">
      <c r="B40" s="34" t="s">
        <v>28</v>
      </c>
      <c r="C40" s="94"/>
      <c r="D40" s="95"/>
      <c r="E40" s="95"/>
      <c r="F40" s="95"/>
      <c r="G40" s="95"/>
      <c r="H40" s="95"/>
      <c r="I40" s="100">
        <f t="shared" si="6"/>
        <v>0</v>
      </c>
      <c r="J40" s="96">
        <f t="shared" si="7"/>
        <v>0</v>
      </c>
      <c r="L40" s="92" t="str">
        <f t="shared" si="8"/>
        <v>0,0</v>
      </c>
    </row>
    <row r="41" spans="2:12" ht="30" customHeight="1">
      <c r="B41" s="34" t="s">
        <v>29</v>
      </c>
      <c r="C41" s="94"/>
      <c r="D41" s="95"/>
      <c r="E41" s="95"/>
      <c r="F41" s="95"/>
      <c r="G41" s="95"/>
      <c r="H41" s="95"/>
      <c r="I41" s="100">
        <f t="shared" si="6"/>
        <v>0</v>
      </c>
      <c r="J41" s="96">
        <f t="shared" si="7"/>
        <v>0</v>
      </c>
      <c r="L41" s="92" t="str">
        <f t="shared" si="8"/>
        <v>0,0</v>
      </c>
    </row>
    <row r="42" spans="2:12" ht="30" customHeight="1">
      <c r="B42" s="34" t="s">
        <v>30</v>
      </c>
      <c r="C42" s="94"/>
      <c r="D42" s="95"/>
      <c r="E42" s="95"/>
      <c r="F42" s="95"/>
      <c r="G42" s="95"/>
      <c r="H42" s="95"/>
      <c r="I42" s="100">
        <f t="shared" si="6"/>
        <v>0</v>
      </c>
      <c r="J42" s="96">
        <f t="shared" si="7"/>
        <v>0</v>
      </c>
      <c r="L42" s="92" t="str">
        <f t="shared" si="8"/>
        <v>0,0</v>
      </c>
    </row>
    <row r="43" spans="2:12" ht="30" customHeight="1">
      <c r="B43" s="34" t="s">
        <v>31</v>
      </c>
      <c r="C43" s="94"/>
      <c r="D43" s="95"/>
      <c r="E43" s="95"/>
      <c r="F43" s="95"/>
      <c r="G43" s="95"/>
      <c r="H43" s="95"/>
      <c r="I43" s="100">
        <f t="shared" si="6"/>
        <v>0</v>
      </c>
      <c r="J43" s="96">
        <f t="shared" si="7"/>
        <v>0</v>
      </c>
      <c r="L43" s="92" t="str">
        <f t="shared" si="8"/>
        <v>0,0</v>
      </c>
    </row>
    <row r="44" spans="2:12" ht="30" customHeight="1">
      <c r="B44" s="34" t="s">
        <v>32</v>
      </c>
      <c r="C44" s="94"/>
      <c r="D44" s="95"/>
      <c r="E44" s="95"/>
      <c r="F44" s="95"/>
      <c r="G44" s="95"/>
      <c r="H44" s="95"/>
      <c r="I44" s="100">
        <f t="shared" si="6"/>
        <v>0</v>
      </c>
      <c r="J44" s="96">
        <f t="shared" si="7"/>
        <v>0</v>
      </c>
      <c r="L44" s="92" t="str">
        <f t="shared" si="8"/>
        <v>0,0</v>
      </c>
    </row>
    <row r="45" spans="2:12" ht="30" customHeight="1">
      <c r="B45" s="34" t="s">
        <v>33</v>
      </c>
      <c r="C45" s="94"/>
      <c r="D45" s="95"/>
      <c r="E45" s="95"/>
      <c r="F45" s="95"/>
      <c r="G45" s="95"/>
      <c r="H45" s="95"/>
      <c r="I45" s="100">
        <f t="shared" si="6"/>
        <v>0</v>
      </c>
      <c r="J45" s="96">
        <f t="shared" si="7"/>
        <v>0</v>
      </c>
      <c r="L45" s="92" t="str">
        <f t="shared" si="8"/>
        <v>0,0</v>
      </c>
    </row>
    <row r="46" spans="2:12" ht="30" customHeight="1">
      <c r="B46" s="34" t="s">
        <v>34</v>
      </c>
      <c r="C46" s="94"/>
      <c r="D46" s="95"/>
      <c r="E46" s="95"/>
      <c r="F46" s="95"/>
      <c r="G46" s="95"/>
      <c r="H46" s="95"/>
      <c r="I46" s="100">
        <f t="shared" si="6"/>
        <v>0</v>
      </c>
      <c r="J46" s="96">
        <f t="shared" si="7"/>
        <v>0</v>
      </c>
      <c r="L46" s="92" t="str">
        <f t="shared" si="8"/>
        <v>0,0</v>
      </c>
    </row>
    <row r="47" spans="2:12" ht="30" customHeight="1">
      <c r="B47" s="34" t="s">
        <v>35</v>
      </c>
      <c r="C47" s="94"/>
      <c r="D47" s="95"/>
      <c r="E47" s="95"/>
      <c r="F47" s="95"/>
      <c r="G47" s="95"/>
      <c r="H47" s="95"/>
      <c r="I47" s="100">
        <f t="shared" si="6"/>
        <v>0</v>
      </c>
      <c r="J47" s="96">
        <f t="shared" si="7"/>
        <v>0</v>
      </c>
      <c r="L47" s="92" t="str">
        <f t="shared" si="8"/>
        <v>0,0</v>
      </c>
    </row>
    <row r="48" spans="2:12" ht="30" customHeight="1">
      <c r="B48" s="34" t="s">
        <v>36</v>
      </c>
      <c r="C48" s="94"/>
      <c r="D48" s="95"/>
      <c r="E48" s="95"/>
      <c r="F48" s="95"/>
      <c r="G48" s="95"/>
      <c r="H48" s="95"/>
      <c r="I48" s="100">
        <f t="shared" si="6"/>
        <v>0</v>
      </c>
      <c r="J48" s="96">
        <f t="shared" si="7"/>
        <v>0</v>
      </c>
      <c r="L48" s="92" t="str">
        <f t="shared" si="8"/>
        <v>0,0</v>
      </c>
    </row>
    <row r="49" spans="2:12" ht="30" customHeight="1">
      <c r="B49" s="34" t="s">
        <v>37</v>
      </c>
      <c r="C49" s="94"/>
      <c r="D49" s="95"/>
      <c r="E49" s="95"/>
      <c r="F49" s="95"/>
      <c r="G49" s="95"/>
      <c r="H49" s="95"/>
      <c r="I49" s="100">
        <f t="shared" si="6"/>
        <v>0</v>
      </c>
      <c r="J49" s="96">
        <f t="shared" si="7"/>
        <v>0</v>
      </c>
      <c r="L49" s="92" t="str">
        <f t="shared" si="8"/>
        <v>0,0</v>
      </c>
    </row>
    <row r="50" spans="2:12" ht="30" customHeight="1">
      <c r="B50" s="34" t="s">
        <v>38</v>
      </c>
      <c r="C50" s="94"/>
      <c r="D50" s="95"/>
      <c r="E50" s="95"/>
      <c r="F50" s="95"/>
      <c r="G50" s="95"/>
      <c r="H50" s="95"/>
      <c r="I50" s="100">
        <f t="shared" si="6"/>
        <v>0</v>
      </c>
      <c r="J50" s="96">
        <f t="shared" si="7"/>
        <v>0</v>
      </c>
      <c r="L50" s="92" t="str">
        <f t="shared" si="8"/>
        <v>0,0</v>
      </c>
    </row>
    <row r="51" spans="2:12" ht="30" customHeight="1">
      <c r="B51" s="34" t="s">
        <v>39</v>
      </c>
      <c r="C51" s="94"/>
      <c r="D51" s="95"/>
      <c r="E51" s="95"/>
      <c r="F51" s="95"/>
      <c r="G51" s="95"/>
      <c r="H51" s="95"/>
      <c r="I51" s="100">
        <f t="shared" si="6"/>
        <v>0</v>
      </c>
      <c r="J51" s="96">
        <f t="shared" si="7"/>
        <v>0</v>
      </c>
      <c r="L51" s="92" t="str">
        <f t="shared" si="8"/>
        <v>0,0</v>
      </c>
    </row>
    <row r="52" spans="2:12" ht="30" customHeight="1">
      <c r="B52" s="34" t="s">
        <v>40</v>
      </c>
      <c r="C52" s="94"/>
      <c r="D52" s="95"/>
      <c r="E52" s="95"/>
      <c r="F52" s="95"/>
      <c r="G52" s="95"/>
      <c r="H52" s="95"/>
      <c r="I52" s="100">
        <f t="shared" si="6"/>
        <v>0</v>
      </c>
      <c r="J52" s="96">
        <f t="shared" si="7"/>
        <v>0</v>
      </c>
      <c r="L52" s="92" t="str">
        <f t="shared" si="8"/>
        <v>0,0</v>
      </c>
    </row>
    <row r="53" spans="2:12" ht="30" customHeight="1">
      <c r="B53" s="34" t="s">
        <v>41</v>
      </c>
      <c r="C53" s="94"/>
      <c r="D53" s="95"/>
      <c r="E53" s="95"/>
      <c r="F53" s="95"/>
      <c r="G53" s="95"/>
      <c r="H53" s="95"/>
      <c r="I53" s="100">
        <f t="shared" si="6"/>
        <v>0</v>
      </c>
      <c r="J53" s="96">
        <f t="shared" si="7"/>
        <v>0</v>
      </c>
      <c r="L53" s="92" t="str">
        <f t="shared" si="8"/>
        <v>0,0</v>
      </c>
    </row>
    <row r="54" spans="2:12" ht="30" customHeight="1">
      <c r="B54" s="34" t="s">
        <v>42</v>
      </c>
      <c r="C54" s="94"/>
      <c r="D54" s="95"/>
      <c r="E54" s="95"/>
      <c r="F54" s="95"/>
      <c r="G54" s="95"/>
      <c r="H54" s="95"/>
      <c r="I54" s="100">
        <f t="shared" si="6"/>
        <v>0</v>
      </c>
      <c r="J54" s="96">
        <f t="shared" si="7"/>
        <v>0</v>
      </c>
      <c r="L54" s="92" t="str">
        <f xml:space="preserve"> I54 &amp; "," &amp; J54</f>
        <v>0,0</v>
      </c>
    </row>
    <row r="55" spans="2:12" ht="30" customHeight="1">
      <c r="B55" s="34" t="s">
        <v>43</v>
      </c>
      <c r="C55" s="94"/>
      <c r="D55" s="95"/>
      <c r="E55" s="95"/>
      <c r="F55" s="95"/>
      <c r="G55" s="95"/>
      <c r="H55" s="95"/>
      <c r="I55" s="100">
        <f t="shared" si="6"/>
        <v>0</v>
      </c>
      <c r="J55" s="96">
        <f t="shared" si="7"/>
        <v>0</v>
      </c>
      <c r="L55" s="92" t="str">
        <f t="shared" si="8"/>
        <v>0,0</v>
      </c>
    </row>
    <row r="56" spans="2:12" ht="30" customHeight="1">
      <c r="B56" s="34" t="s">
        <v>44</v>
      </c>
      <c r="C56" s="94"/>
      <c r="D56" s="95"/>
      <c r="E56" s="95"/>
      <c r="F56" s="95"/>
      <c r="G56" s="95"/>
      <c r="H56" s="95"/>
      <c r="I56" s="100">
        <f t="shared" si="6"/>
        <v>0</v>
      </c>
      <c r="J56" s="96">
        <f t="shared" si="7"/>
        <v>0</v>
      </c>
      <c r="L56" s="92" t="str">
        <f t="shared" si="8"/>
        <v>0,0</v>
      </c>
    </row>
    <row r="57" spans="2:12" ht="30" customHeight="1">
      <c r="B57" s="34" t="s">
        <v>45</v>
      </c>
      <c r="C57" s="94"/>
      <c r="D57" s="95"/>
      <c r="E57" s="95"/>
      <c r="F57" s="95"/>
      <c r="G57" s="95"/>
      <c r="H57" s="95"/>
      <c r="I57" s="100">
        <f t="shared" si="6"/>
        <v>0</v>
      </c>
      <c r="J57" s="96">
        <f t="shared" si="7"/>
        <v>0</v>
      </c>
      <c r="L57" s="92" t="str">
        <f t="shared" si="8"/>
        <v>0,0</v>
      </c>
    </row>
    <row r="58" spans="2:12" ht="30" customHeight="1">
      <c r="B58" s="34" t="s">
        <v>46</v>
      </c>
      <c r="C58" s="94"/>
      <c r="D58" s="95"/>
      <c r="E58" s="95"/>
      <c r="F58" s="95"/>
      <c r="G58" s="95"/>
      <c r="H58" s="95"/>
      <c r="I58" s="100">
        <f t="shared" si="6"/>
        <v>0</v>
      </c>
      <c r="J58" s="96">
        <f t="shared" si="7"/>
        <v>0</v>
      </c>
      <c r="L58" s="92" t="str">
        <f t="shared" si="8"/>
        <v>0,0</v>
      </c>
    </row>
    <row r="59" spans="2:12" ht="30" customHeight="1">
      <c r="B59" s="34" t="s">
        <v>47</v>
      </c>
      <c r="C59" s="94"/>
      <c r="D59" s="95"/>
      <c r="E59" s="95"/>
      <c r="F59" s="95"/>
      <c r="G59" s="95"/>
      <c r="H59" s="95"/>
      <c r="I59" s="100">
        <f t="shared" si="6"/>
        <v>0</v>
      </c>
      <c r="J59" s="96">
        <f t="shared" si="7"/>
        <v>0</v>
      </c>
      <c r="L59" s="92" t="str">
        <f t="shared" si="8"/>
        <v>0,0</v>
      </c>
    </row>
    <row r="60" spans="2:12" ht="30" customHeight="1">
      <c r="B60" s="34" t="s">
        <v>48</v>
      </c>
      <c r="C60" s="94"/>
      <c r="D60" s="95"/>
      <c r="E60" s="95"/>
      <c r="F60" s="95"/>
      <c r="G60" s="95"/>
      <c r="H60" s="95"/>
      <c r="I60" s="100">
        <f t="shared" si="6"/>
        <v>0</v>
      </c>
      <c r="J60" s="96">
        <f t="shared" si="7"/>
        <v>0</v>
      </c>
      <c r="L60" s="92" t="str">
        <f t="shared" si="8"/>
        <v>0,0</v>
      </c>
    </row>
    <row r="61" spans="2:12" ht="30" customHeight="1">
      <c r="B61" s="34" t="s">
        <v>49</v>
      </c>
      <c r="C61" s="94"/>
      <c r="D61" s="95"/>
      <c r="E61" s="95"/>
      <c r="F61" s="95"/>
      <c r="G61" s="95"/>
      <c r="H61" s="95"/>
      <c r="I61" s="100">
        <f t="shared" si="6"/>
        <v>0</v>
      </c>
      <c r="J61" s="96">
        <f t="shared" si="7"/>
        <v>0</v>
      </c>
      <c r="L61" s="92" t="str">
        <f t="shared" si="8"/>
        <v>0,0</v>
      </c>
    </row>
    <row r="62" spans="2:12" ht="30" customHeight="1">
      <c r="B62" s="34" t="s">
        <v>50</v>
      </c>
      <c r="C62" s="94"/>
      <c r="D62" s="95"/>
      <c r="E62" s="95"/>
      <c r="F62" s="95"/>
      <c r="G62" s="95"/>
      <c r="H62" s="95"/>
      <c r="I62" s="100">
        <f t="shared" si="6"/>
        <v>0</v>
      </c>
      <c r="J62" s="96">
        <f t="shared" si="7"/>
        <v>0</v>
      </c>
      <c r="L62" s="92" t="str">
        <f t="shared" si="8"/>
        <v>0,0</v>
      </c>
    </row>
    <row r="63" spans="2:12" ht="30" customHeight="1">
      <c r="B63" s="34" t="s">
        <v>51</v>
      </c>
      <c r="C63" s="94"/>
      <c r="D63" s="95"/>
      <c r="E63" s="95"/>
      <c r="F63" s="95"/>
      <c r="G63" s="95"/>
      <c r="H63" s="95"/>
      <c r="I63" s="100">
        <f t="shared" si="6"/>
        <v>0</v>
      </c>
      <c r="J63" s="96">
        <f t="shared" si="7"/>
        <v>0</v>
      </c>
      <c r="L63" s="92" t="str">
        <f t="shared" si="8"/>
        <v>0,0</v>
      </c>
    </row>
    <row r="64" spans="2:12" ht="30" customHeight="1">
      <c r="B64" s="34" t="s">
        <v>52</v>
      </c>
      <c r="C64" s="94"/>
      <c r="D64" s="95"/>
      <c r="E64" s="95"/>
      <c r="F64" s="95"/>
      <c r="G64" s="95"/>
      <c r="H64" s="95"/>
      <c r="I64" s="100">
        <f t="shared" si="6"/>
        <v>0</v>
      </c>
      <c r="J64" s="96">
        <f t="shared" si="7"/>
        <v>0</v>
      </c>
      <c r="L64" s="92" t="str">
        <f t="shared" si="8"/>
        <v>0,0</v>
      </c>
    </row>
    <row r="65" spans="2:12" ht="30" customHeight="1" thickBot="1">
      <c r="B65" s="34" t="s">
        <v>53</v>
      </c>
      <c r="C65" s="97"/>
      <c r="D65" s="98"/>
      <c r="E65" s="98"/>
      <c r="F65" s="98"/>
      <c r="G65" s="98"/>
      <c r="H65" s="98"/>
      <c r="I65" s="101">
        <f t="shared" si="6"/>
        <v>0</v>
      </c>
      <c r="J65" s="99">
        <f t="shared" si="7"/>
        <v>0</v>
      </c>
      <c r="L65" s="92" t="str">
        <f t="shared" si="8"/>
        <v>0,0</v>
      </c>
    </row>
    <row r="66" spans="2:12" ht="30" customHeight="1">
      <c r="B66" s="1"/>
    </row>
    <row r="67" spans="2:12" ht="30" customHeight="1">
      <c r="B67" s="1"/>
    </row>
    <row r="68" spans="2:12" ht="30" customHeight="1">
      <c r="B68" s="1"/>
      <c r="J68"/>
    </row>
    <row r="69" spans="2:12" ht="30" customHeight="1"/>
    <row r="73" spans="2:12">
      <c r="E73"/>
    </row>
  </sheetData>
  <mergeCells count="12">
    <mergeCell ref="C4:D4"/>
    <mergeCell ref="C5:C6"/>
    <mergeCell ref="D5:D6"/>
    <mergeCell ref="E4:J4"/>
    <mergeCell ref="E5:G5"/>
    <mergeCell ref="H5:J5"/>
    <mergeCell ref="C21:H21"/>
    <mergeCell ref="C22:E22"/>
    <mergeCell ref="F22:H22"/>
    <mergeCell ref="I21:J21"/>
    <mergeCell ref="I22:I23"/>
    <mergeCell ref="J22:J2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390525</xdr:colOff>
                <xdr:row>15</xdr:row>
                <xdr:rowOff>314325</xdr:rowOff>
              </from>
              <to>
                <xdr:col>8</xdr:col>
                <xdr:colOff>400050</xdr:colOff>
                <xdr:row>17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2B158-555A-40D0-9BC3-E35D7B8FC6A6}">
  <sheetPr codeName="Sheet3">
    <tabColor rgb="FFFF0000"/>
  </sheetPr>
  <dimension ref="C1:R46"/>
  <sheetViews>
    <sheetView topLeftCell="A37" workbookViewId="0">
      <selection activeCell="E17" sqref="E17"/>
    </sheetView>
  </sheetViews>
  <sheetFormatPr defaultRowHeight="13.5"/>
  <cols>
    <col min="10" max="10" width="13.109375" customWidth="1"/>
    <col min="11" max="11" width="13.44140625" customWidth="1"/>
    <col min="13" max="13" width="34.77734375" customWidth="1"/>
  </cols>
  <sheetData>
    <row r="1" spans="3:18" ht="24" customHeight="1" thickBot="1">
      <c r="C1" s="34"/>
      <c r="D1" s="12" t="s">
        <v>11</v>
      </c>
      <c r="E1" s="1"/>
      <c r="F1" s="1"/>
      <c r="G1" s="1"/>
      <c r="H1" s="1"/>
      <c r="I1" s="1"/>
      <c r="J1" s="1"/>
      <c r="K1" s="1"/>
      <c r="L1" s="1"/>
      <c r="M1" s="1"/>
    </row>
    <row r="2" spans="3:18" ht="24" customHeight="1" thickBot="1">
      <c r="C2" s="34"/>
      <c r="D2" s="64" t="s">
        <v>3</v>
      </c>
      <c r="E2" s="65"/>
      <c r="F2" s="65"/>
      <c r="G2" s="65"/>
      <c r="H2" s="65"/>
      <c r="I2" s="66"/>
      <c r="J2" s="64" t="s">
        <v>4</v>
      </c>
      <c r="K2" s="66"/>
      <c r="L2" s="1"/>
      <c r="M2" s="1"/>
    </row>
    <row r="3" spans="3:18" ht="24" customHeight="1">
      <c r="C3" s="34"/>
      <c r="D3" s="87" t="s">
        <v>5</v>
      </c>
      <c r="E3" s="88"/>
      <c r="F3" s="88"/>
      <c r="G3" s="88" t="s">
        <v>6</v>
      </c>
      <c r="H3" s="88"/>
      <c r="I3" s="73"/>
      <c r="J3" s="68" t="s">
        <v>5</v>
      </c>
      <c r="K3" s="70" t="s">
        <v>6</v>
      </c>
      <c r="L3" s="1"/>
      <c r="M3" s="1"/>
    </row>
    <row r="4" spans="3:18" ht="24" customHeight="1" thickBot="1">
      <c r="C4" s="34"/>
      <c r="D4" s="3" t="s">
        <v>0</v>
      </c>
      <c r="E4" s="4" t="s">
        <v>1</v>
      </c>
      <c r="F4" s="4" t="s">
        <v>2</v>
      </c>
      <c r="G4" s="4" t="s">
        <v>0</v>
      </c>
      <c r="H4" s="4" t="s">
        <v>1</v>
      </c>
      <c r="I4" s="5" t="s">
        <v>2</v>
      </c>
      <c r="J4" s="89"/>
      <c r="K4" s="90"/>
      <c r="L4" s="1"/>
      <c r="M4" s="1"/>
    </row>
    <row r="5" spans="3:18" ht="24" customHeight="1" thickBot="1">
      <c r="C5" s="34" t="s">
        <v>12</v>
      </c>
      <c r="D5" s="6">
        <v>37</v>
      </c>
      <c r="E5" s="7">
        <v>34</v>
      </c>
      <c r="F5" s="35">
        <v>4.5999999999999996</v>
      </c>
      <c r="G5" s="35">
        <v>126</v>
      </c>
      <c r="H5" s="35">
        <v>50</v>
      </c>
      <c r="I5" s="35">
        <v>10.5</v>
      </c>
      <c r="J5" s="25">
        <f>D5+E5/60+F5/3600</f>
        <v>37.56794444444445</v>
      </c>
      <c r="K5" s="26">
        <f>G5+H5/60+I5/3600</f>
        <v>126.83624999999999</v>
      </c>
      <c r="L5" s="1"/>
      <c r="M5" s="32" t="str">
        <f xml:space="preserve"> J5 &amp; "," &amp; K5</f>
        <v>37.5679444444444,126.83625</v>
      </c>
    </row>
    <row r="6" spans="3:18" ht="24" customHeight="1">
      <c r="C6" s="34" t="s">
        <v>13</v>
      </c>
      <c r="D6" s="27">
        <v>37</v>
      </c>
      <c r="E6" s="23">
        <v>34</v>
      </c>
      <c r="F6" s="23">
        <v>4.5</v>
      </c>
      <c r="G6" s="23">
        <v>126</v>
      </c>
      <c r="H6" s="23">
        <v>50</v>
      </c>
      <c r="I6" s="23">
        <v>10.7</v>
      </c>
      <c r="J6" s="24">
        <f>D6+E6/60+F6/3600</f>
        <v>37.567916666666669</v>
      </c>
      <c r="K6" s="28">
        <f>G6+H6/60+I6/3600</f>
        <v>126.83630555555555</v>
      </c>
      <c r="L6" s="1"/>
      <c r="M6" s="1" t="str">
        <f xml:space="preserve"> J6 &amp; "," &amp; K6</f>
        <v>37.5679166666667,126.836305555556</v>
      </c>
    </row>
    <row r="7" spans="3:18" ht="24" customHeight="1">
      <c r="C7" s="34" t="s">
        <v>14</v>
      </c>
      <c r="D7" s="27">
        <v>37</v>
      </c>
      <c r="E7" s="23">
        <v>34</v>
      </c>
      <c r="F7" s="23">
        <v>4.4000000000000004</v>
      </c>
      <c r="G7" s="23">
        <v>126</v>
      </c>
      <c r="H7" s="23">
        <v>50</v>
      </c>
      <c r="I7" s="23">
        <v>10.8</v>
      </c>
      <c r="J7" s="24">
        <f t="shared" ref="J7:J46" si="0">D7+E7/60+F7/3600</f>
        <v>37.567888888888895</v>
      </c>
      <c r="K7" s="28">
        <f t="shared" ref="K7:K46" si="1">G7+H7/60+I7/3600</f>
        <v>126.83633333333333</v>
      </c>
      <c r="L7" s="1"/>
      <c r="M7" s="1" t="str">
        <f t="shared" ref="M7:M46" si="2" xml:space="preserve"> J7 &amp; "," &amp; K7</f>
        <v>37.5678888888889,126.836333333333</v>
      </c>
    </row>
    <row r="8" spans="3:18" ht="24" customHeight="1">
      <c r="C8" s="34" t="s">
        <v>15</v>
      </c>
      <c r="D8" s="27">
        <v>37</v>
      </c>
      <c r="E8" s="23">
        <v>34</v>
      </c>
      <c r="F8" s="23">
        <v>4.3</v>
      </c>
      <c r="G8" s="23">
        <v>126</v>
      </c>
      <c r="H8" s="23">
        <v>50</v>
      </c>
      <c r="I8" s="23">
        <v>11</v>
      </c>
      <c r="J8" s="24">
        <f t="shared" si="0"/>
        <v>37.567861111111114</v>
      </c>
      <c r="K8" s="28">
        <f t="shared" si="1"/>
        <v>126.83638888888889</v>
      </c>
      <c r="L8" s="1"/>
      <c r="M8" s="1" t="str">
        <f t="shared" si="2"/>
        <v>37.5678611111111,126.836388888889</v>
      </c>
    </row>
    <row r="9" spans="3:18" ht="24" customHeight="1">
      <c r="C9" s="34" t="s">
        <v>16</v>
      </c>
      <c r="D9" s="27">
        <v>37</v>
      </c>
      <c r="E9" s="23">
        <v>34</v>
      </c>
      <c r="F9" s="23">
        <v>4.2</v>
      </c>
      <c r="G9" s="23">
        <v>126</v>
      </c>
      <c r="H9" s="23">
        <v>50</v>
      </c>
      <c r="I9" s="23">
        <v>11.2</v>
      </c>
      <c r="J9" s="24">
        <f t="shared" si="0"/>
        <v>37.56783333333334</v>
      </c>
      <c r="K9" s="28">
        <f t="shared" si="1"/>
        <v>126.83644444444444</v>
      </c>
      <c r="L9" s="1"/>
      <c r="M9" s="1" t="str">
        <f t="shared" si="2"/>
        <v>37.5678333333333,126.836444444444</v>
      </c>
    </row>
    <row r="10" spans="3:18" ht="24" customHeight="1">
      <c r="C10" s="34" t="s">
        <v>17</v>
      </c>
      <c r="D10" s="27">
        <v>37</v>
      </c>
      <c r="E10" s="23">
        <v>34</v>
      </c>
      <c r="F10" s="23">
        <v>4.0999999999999996</v>
      </c>
      <c r="G10" s="23">
        <v>126</v>
      </c>
      <c r="H10" s="23">
        <v>50</v>
      </c>
      <c r="I10" s="23">
        <v>11.3</v>
      </c>
      <c r="J10" s="24">
        <f t="shared" si="0"/>
        <v>37.567805555555559</v>
      </c>
      <c r="K10" s="28">
        <f t="shared" si="1"/>
        <v>126.83647222222221</v>
      </c>
      <c r="L10" s="1"/>
      <c r="M10" s="1" t="str">
        <f t="shared" si="2"/>
        <v>37.5678055555556,126.836472222222</v>
      </c>
    </row>
    <row r="11" spans="3:18" ht="24" customHeight="1">
      <c r="C11" s="34" t="s">
        <v>18</v>
      </c>
      <c r="D11" s="27">
        <v>37</v>
      </c>
      <c r="E11" s="23">
        <v>34</v>
      </c>
      <c r="F11" s="23">
        <v>3.6</v>
      </c>
      <c r="G11" s="23">
        <v>126</v>
      </c>
      <c r="H11" s="23">
        <v>50</v>
      </c>
      <c r="I11" s="23">
        <v>12.6</v>
      </c>
      <c r="J11" s="24">
        <f t="shared" si="0"/>
        <v>37.567666666666668</v>
      </c>
      <c r="K11" s="28">
        <f t="shared" si="1"/>
        <v>126.83683333333333</v>
      </c>
      <c r="L11" s="1"/>
      <c r="M11" s="1" t="str">
        <f t="shared" si="2"/>
        <v>37.5676666666667,126.836833333333</v>
      </c>
    </row>
    <row r="12" spans="3:18" ht="24" customHeight="1" thickBot="1">
      <c r="C12" s="34" t="s">
        <v>19</v>
      </c>
      <c r="D12" s="27">
        <v>37</v>
      </c>
      <c r="E12" s="23">
        <v>34</v>
      </c>
      <c r="F12" s="23">
        <v>3.4</v>
      </c>
      <c r="G12" s="23">
        <v>126</v>
      </c>
      <c r="H12" s="23">
        <v>50</v>
      </c>
      <c r="I12" s="23">
        <v>12.9</v>
      </c>
      <c r="J12" s="24">
        <f t="shared" si="0"/>
        <v>37.567611111111113</v>
      </c>
      <c r="K12" s="28">
        <f t="shared" si="1"/>
        <v>126.83691666666667</v>
      </c>
      <c r="L12" s="1"/>
      <c r="M12" s="1" t="str">
        <f t="shared" si="2"/>
        <v>37.5676111111111,126.836916666667</v>
      </c>
    </row>
    <row r="13" spans="3:18" ht="24" customHeight="1" thickBot="1">
      <c r="C13" s="34" t="s">
        <v>20</v>
      </c>
      <c r="D13" s="27">
        <v>37</v>
      </c>
      <c r="E13" s="23">
        <v>34</v>
      </c>
      <c r="F13" s="23">
        <v>3.3</v>
      </c>
      <c r="G13" s="23">
        <v>126</v>
      </c>
      <c r="H13" s="23">
        <v>50</v>
      </c>
      <c r="I13" s="23">
        <v>13.3</v>
      </c>
      <c r="J13" s="24">
        <f t="shared" si="0"/>
        <v>37.567583333333339</v>
      </c>
      <c r="K13" s="28">
        <f t="shared" si="1"/>
        <v>126.83702777777778</v>
      </c>
      <c r="L13" s="1"/>
      <c r="M13" s="1" t="str">
        <f t="shared" si="2"/>
        <v>37.5675833333333,126.837027777778</v>
      </c>
      <c r="R13" s="36"/>
    </row>
    <row r="14" spans="3:18" ht="24" customHeight="1">
      <c r="C14" s="34" t="s">
        <v>21</v>
      </c>
      <c r="D14" s="27">
        <v>37</v>
      </c>
      <c r="E14" s="23">
        <v>34</v>
      </c>
      <c r="F14" s="23">
        <v>3.1</v>
      </c>
      <c r="G14" s="23">
        <v>126</v>
      </c>
      <c r="H14" s="23">
        <v>50</v>
      </c>
      <c r="I14" s="23">
        <v>13.6</v>
      </c>
      <c r="J14" s="24">
        <f t="shared" si="0"/>
        <v>37.567527777777784</v>
      </c>
      <c r="K14" s="28">
        <f t="shared" si="1"/>
        <v>126.83711111111111</v>
      </c>
      <c r="L14" s="1"/>
      <c r="M14" s="1" t="str">
        <f t="shared" si="2"/>
        <v>37.5675277777778,126.837111111111</v>
      </c>
    </row>
    <row r="15" spans="3:18" ht="24" customHeight="1">
      <c r="C15" s="34" t="s">
        <v>22</v>
      </c>
      <c r="D15" s="27">
        <v>37</v>
      </c>
      <c r="E15" s="23">
        <v>34</v>
      </c>
      <c r="F15" s="23">
        <v>2.9</v>
      </c>
      <c r="G15" s="23">
        <v>126</v>
      </c>
      <c r="H15" s="23">
        <v>50</v>
      </c>
      <c r="I15" s="23">
        <v>14</v>
      </c>
      <c r="J15" s="24">
        <f t="shared" si="0"/>
        <v>37.567472222222229</v>
      </c>
      <c r="K15" s="28">
        <f t="shared" si="1"/>
        <v>126.83722222222222</v>
      </c>
      <c r="L15" s="1"/>
      <c r="M15" s="1" t="str">
        <f t="shared" si="2"/>
        <v>37.5674722222222,126.837222222222</v>
      </c>
    </row>
    <row r="16" spans="3:18" ht="24" customHeight="1" thickBot="1">
      <c r="C16" s="34" t="s">
        <v>23</v>
      </c>
      <c r="D16" s="27">
        <v>37</v>
      </c>
      <c r="E16" s="39">
        <v>34</v>
      </c>
      <c r="F16" s="23">
        <v>2.8</v>
      </c>
      <c r="G16" s="23">
        <v>126</v>
      </c>
      <c r="H16" s="23">
        <v>50</v>
      </c>
      <c r="I16" s="23">
        <v>14.3</v>
      </c>
      <c r="J16" s="24">
        <f t="shared" si="0"/>
        <v>37.567444444444448</v>
      </c>
      <c r="K16" s="28">
        <f t="shared" si="1"/>
        <v>126.83730555555555</v>
      </c>
      <c r="L16" s="1"/>
      <c r="M16" s="1" t="str">
        <f t="shared" si="2"/>
        <v>37.5674444444444,126.837305555556</v>
      </c>
    </row>
    <row r="17" spans="3:13" ht="24" customHeight="1" thickBot="1">
      <c r="C17" s="34" t="s">
        <v>24</v>
      </c>
      <c r="D17" s="37">
        <v>37</v>
      </c>
      <c r="E17" s="40">
        <v>34</v>
      </c>
      <c r="F17" s="38">
        <v>2.6</v>
      </c>
      <c r="G17" s="23">
        <v>126</v>
      </c>
      <c r="H17" s="23">
        <v>50</v>
      </c>
      <c r="I17" s="23">
        <v>14.7</v>
      </c>
      <c r="J17" s="24">
        <f t="shared" si="0"/>
        <v>37.567388888888892</v>
      </c>
      <c r="K17" s="28">
        <f t="shared" si="1"/>
        <v>126.83741666666666</v>
      </c>
      <c r="L17" s="1"/>
      <c r="M17" s="1" t="str">
        <f t="shared" si="2"/>
        <v>37.5673888888889,126.837416666667</v>
      </c>
    </row>
    <row r="18" spans="3:13" ht="24" customHeight="1">
      <c r="C18" s="34" t="s">
        <v>25</v>
      </c>
      <c r="D18" s="27">
        <v>37</v>
      </c>
      <c r="E18" s="30">
        <v>34</v>
      </c>
      <c r="F18" s="23">
        <v>2.4</v>
      </c>
      <c r="G18" s="23">
        <v>126</v>
      </c>
      <c r="H18" s="23">
        <v>50</v>
      </c>
      <c r="I18" s="23">
        <v>15</v>
      </c>
      <c r="J18" s="24">
        <f t="shared" si="0"/>
        <v>37.567333333333337</v>
      </c>
      <c r="K18" s="28">
        <f t="shared" si="1"/>
        <v>126.83749999999999</v>
      </c>
      <c r="L18" s="1"/>
      <c r="M18" s="1" t="str">
        <f t="shared" si="2"/>
        <v>37.5673333333333,126.8375</v>
      </c>
    </row>
    <row r="19" spans="3:13" s="45" customFormat="1" ht="24" customHeight="1">
      <c r="C19" s="41" t="s">
        <v>26</v>
      </c>
      <c r="D19" s="42">
        <v>37</v>
      </c>
      <c r="E19" s="43">
        <v>34</v>
      </c>
      <c r="F19" s="43">
        <v>2.2999999999999998</v>
      </c>
      <c r="G19" s="43">
        <v>126</v>
      </c>
      <c r="H19" s="43">
        <v>50</v>
      </c>
      <c r="I19" s="43">
        <v>15.4</v>
      </c>
      <c r="J19" s="43">
        <f t="shared" si="0"/>
        <v>37.567305555555556</v>
      </c>
      <c r="K19" s="44">
        <f t="shared" si="1"/>
        <v>126.8376111111111</v>
      </c>
      <c r="M19" s="45" t="str">
        <f t="shared" si="2"/>
        <v>37.5673055555556,126.837611111111</v>
      </c>
    </row>
    <row r="20" spans="3:13" ht="24" customHeight="1">
      <c r="C20" s="34" t="s">
        <v>27</v>
      </c>
      <c r="D20" s="27">
        <v>37</v>
      </c>
      <c r="E20" s="23">
        <v>34</v>
      </c>
      <c r="F20" s="23">
        <v>4.3</v>
      </c>
      <c r="G20" s="23">
        <v>126</v>
      </c>
      <c r="H20" s="23">
        <v>50</v>
      </c>
      <c r="I20" s="23">
        <v>10.1</v>
      </c>
      <c r="J20" s="24">
        <f t="shared" si="0"/>
        <v>37.567861111111114</v>
      </c>
      <c r="K20" s="28">
        <f t="shared" si="1"/>
        <v>126.83613888888888</v>
      </c>
      <c r="L20" s="1"/>
      <c r="M20" s="1" t="str">
        <f t="shared" si="2"/>
        <v>37.5678611111111,126.836138888889</v>
      </c>
    </row>
    <row r="21" spans="3:13" ht="24" customHeight="1">
      <c r="C21" s="34" t="s">
        <v>28</v>
      </c>
      <c r="D21" s="27">
        <v>37</v>
      </c>
      <c r="E21" s="23">
        <v>34</v>
      </c>
      <c r="F21" s="23">
        <v>4.0999999999999996</v>
      </c>
      <c r="G21" s="23">
        <v>126</v>
      </c>
      <c r="H21" s="23">
        <v>50</v>
      </c>
      <c r="I21" s="23">
        <v>9.9</v>
      </c>
      <c r="J21" s="24">
        <f t="shared" si="0"/>
        <v>37.567805555555559</v>
      </c>
      <c r="K21" s="28">
        <f t="shared" si="1"/>
        <v>126.83608333333333</v>
      </c>
      <c r="L21" s="1"/>
      <c r="M21" s="1" t="str">
        <f t="shared" si="2"/>
        <v>37.5678055555556,126.836083333333</v>
      </c>
    </row>
    <row r="22" spans="3:13" ht="24" customHeight="1">
      <c r="C22" s="34" t="s">
        <v>29</v>
      </c>
      <c r="D22" s="27">
        <v>37</v>
      </c>
      <c r="E22" s="23">
        <v>34</v>
      </c>
      <c r="F22" s="23">
        <v>3.8</v>
      </c>
      <c r="G22" s="23">
        <v>126</v>
      </c>
      <c r="H22" s="23">
        <v>50</v>
      </c>
      <c r="I22" s="23">
        <v>9.6</v>
      </c>
      <c r="J22" s="24">
        <f t="shared" si="0"/>
        <v>37.567722222222223</v>
      </c>
      <c r="K22" s="28">
        <f t="shared" si="1"/>
        <v>126.836</v>
      </c>
      <c r="L22" s="1"/>
      <c r="M22" s="1" t="str">
        <f t="shared" si="2"/>
        <v>37.5677222222222,126.836</v>
      </c>
    </row>
    <row r="23" spans="3:13" ht="24" customHeight="1">
      <c r="C23" s="34" t="s">
        <v>30</v>
      </c>
      <c r="D23" s="27">
        <v>37</v>
      </c>
      <c r="E23" s="23">
        <v>34</v>
      </c>
      <c r="F23" s="23">
        <v>3.6</v>
      </c>
      <c r="G23" s="23">
        <v>126</v>
      </c>
      <c r="H23" s="23">
        <v>50</v>
      </c>
      <c r="I23" s="23">
        <v>9.3000000000000007</v>
      </c>
      <c r="J23" s="24">
        <f t="shared" si="0"/>
        <v>37.567666666666668</v>
      </c>
      <c r="K23" s="28">
        <f t="shared" si="1"/>
        <v>126.83591666666666</v>
      </c>
      <c r="L23" s="1"/>
      <c r="M23" s="1" t="str">
        <f t="shared" si="2"/>
        <v>37.5676666666667,126.835916666667</v>
      </c>
    </row>
    <row r="24" spans="3:13" ht="24" customHeight="1">
      <c r="C24" s="34" t="s">
        <v>31</v>
      </c>
      <c r="D24" s="27">
        <v>37</v>
      </c>
      <c r="E24" s="23">
        <v>34</v>
      </c>
      <c r="F24" s="23">
        <v>3.3</v>
      </c>
      <c r="G24" s="23">
        <v>126</v>
      </c>
      <c r="H24" s="23">
        <v>50</v>
      </c>
      <c r="I24" s="23">
        <v>9.1</v>
      </c>
      <c r="J24" s="24">
        <f t="shared" si="0"/>
        <v>37.567583333333339</v>
      </c>
      <c r="K24" s="28">
        <f t="shared" si="1"/>
        <v>126.8358611111111</v>
      </c>
      <c r="L24" s="1"/>
      <c r="M24" s="1" t="str">
        <f t="shared" si="2"/>
        <v>37.5675833333333,126.835861111111</v>
      </c>
    </row>
    <row r="25" spans="3:13" ht="24" customHeight="1">
      <c r="C25" s="34" t="s">
        <v>32</v>
      </c>
      <c r="D25" s="27">
        <v>37</v>
      </c>
      <c r="E25" s="23">
        <v>34</v>
      </c>
      <c r="F25" s="23">
        <v>3</v>
      </c>
      <c r="G25" s="23">
        <v>126</v>
      </c>
      <c r="H25" s="23">
        <v>50</v>
      </c>
      <c r="I25" s="23">
        <v>8.9</v>
      </c>
      <c r="J25" s="24">
        <f t="shared" si="0"/>
        <v>37.567500000000003</v>
      </c>
      <c r="K25" s="28">
        <f t="shared" si="1"/>
        <v>126.83580555555555</v>
      </c>
      <c r="L25" s="1"/>
      <c r="M25" s="1" t="str">
        <f t="shared" si="2"/>
        <v>37.5675,126.835805555556</v>
      </c>
    </row>
    <row r="26" spans="3:13" ht="24" customHeight="1">
      <c r="C26" s="34" t="s">
        <v>33</v>
      </c>
      <c r="D26" s="27">
        <v>37</v>
      </c>
      <c r="E26" s="23">
        <v>34</v>
      </c>
      <c r="F26" s="23">
        <v>2.5</v>
      </c>
      <c r="G26" s="23">
        <v>126</v>
      </c>
      <c r="H26" s="23">
        <v>50</v>
      </c>
      <c r="I26" s="23">
        <v>8.4</v>
      </c>
      <c r="J26" s="24">
        <f t="shared" si="0"/>
        <v>37.567361111111111</v>
      </c>
      <c r="K26" s="28">
        <f t="shared" si="1"/>
        <v>126.83566666666667</v>
      </c>
      <c r="L26" s="1"/>
      <c r="M26" s="1" t="str">
        <f t="shared" si="2"/>
        <v>37.5673611111111,126.835666666667</v>
      </c>
    </row>
    <row r="27" spans="3:13" ht="24" customHeight="1" thickBot="1">
      <c r="C27" s="34" t="s">
        <v>34</v>
      </c>
      <c r="D27" s="27">
        <v>37</v>
      </c>
      <c r="E27" s="23">
        <v>34</v>
      </c>
      <c r="F27" s="23">
        <v>2.5</v>
      </c>
      <c r="G27" s="23">
        <v>126</v>
      </c>
      <c r="H27" s="23">
        <v>50</v>
      </c>
      <c r="I27" s="23">
        <v>8.1</v>
      </c>
      <c r="J27" s="24">
        <f t="shared" si="0"/>
        <v>37.567361111111111</v>
      </c>
      <c r="K27" s="28">
        <f t="shared" si="1"/>
        <v>126.83558333333333</v>
      </c>
      <c r="L27" s="1"/>
      <c r="M27" s="1" t="str">
        <f t="shared" si="2"/>
        <v>37.5673611111111,126.835583333333</v>
      </c>
    </row>
    <row r="28" spans="3:13" ht="24" customHeight="1" thickBot="1">
      <c r="C28" s="34" t="s">
        <v>35</v>
      </c>
      <c r="D28" s="27">
        <v>37</v>
      </c>
      <c r="E28" s="23">
        <v>34</v>
      </c>
      <c r="F28" s="23">
        <v>2</v>
      </c>
      <c r="G28" s="23">
        <v>126</v>
      </c>
      <c r="H28" s="23">
        <v>50</v>
      </c>
      <c r="I28" s="23">
        <v>7.9</v>
      </c>
      <c r="J28" s="24">
        <f t="shared" si="0"/>
        <v>37.567222222222227</v>
      </c>
      <c r="K28" s="28">
        <f t="shared" si="1"/>
        <v>126.83552777777777</v>
      </c>
      <c r="L28" s="1"/>
      <c r="M28" s="32" t="str">
        <f t="shared" si="2"/>
        <v>37.5672222222222,126.835527777778</v>
      </c>
    </row>
    <row r="29" spans="3:13" ht="24" customHeight="1">
      <c r="C29" s="34" t="s">
        <v>36</v>
      </c>
      <c r="D29" s="27">
        <v>37</v>
      </c>
      <c r="E29" s="23">
        <v>34</v>
      </c>
      <c r="F29" s="23">
        <v>1.7</v>
      </c>
      <c r="G29" s="23">
        <v>126</v>
      </c>
      <c r="H29" s="23">
        <v>50</v>
      </c>
      <c r="I29" s="23">
        <v>7.6</v>
      </c>
      <c r="J29" s="24">
        <f t="shared" si="0"/>
        <v>37.567138888888891</v>
      </c>
      <c r="K29" s="28">
        <f t="shared" si="1"/>
        <v>126.83544444444443</v>
      </c>
      <c r="L29" s="1"/>
      <c r="M29" s="1" t="str">
        <f t="shared" si="2"/>
        <v>37.5671388888889,126.835444444444</v>
      </c>
    </row>
    <row r="30" spans="3:13" ht="24" customHeight="1">
      <c r="C30" s="34" t="s">
        <v>37</v>
      </c>
      <c r="D30" s="27">
        <v>37</v>
      </c>
      <c r="E30" s="23">
        <v>34</v>
      </c>
      <c r="F30" s="23">
        <v>1.5</v>
      </c>
      <c r="G30" s="23">
        <v>126</v>
      </c>
      <c r="H30" s="23">
        <v>50</v>
      </c>
      <c r="I30" s="23">
        <v>7.4</v>
      </c>
      <c r="J30" s="24">
        <f t="shared" si="0"/>
        <v>37.567083333333336</v>
      </c>
      <c r="K30" s="28">
        <f t="shared" si="1"/>
        <v>126.83538888888889</v>
      </c>
      <c r="L30" s="1"/>
      <c r="M30" s="1" t="str">
        <f t="shared" si="2"/>
        <v>37.5670833333333,126.835388888889</v>
      </c>
    </row>
    <row r="31" spans="3:13" ht="24" customHeight="1">
      <c r="C31" s="34" t="s">
        <v>38</v>
      </c>
      <c r="D31" s="27">
        <v>37</v>
      </c>
      <c r="E31" s="23">
        <v>34</v>
      </c>
      <c r="F31" s="23">
        <v>1.2</v>
      </c>
      <c r="G31" s="23">
        <v>126</v>
      </c>
      <c r="H31" s="23">
        <v>50</v>
      </c>
      <c r="I31" s="23">
        <v>7.2</v>
      </c>
      <c r="J31" s="24">
        <f t="shared" si="0"/>
        <v>37.567</v>
      </c>
      <c r="K31" s="28">
        <f t="shared" si="1"/>
        <v>126.83533333333332</v>
      </c>
      <c r="L31" s="1"/>
      <c r="M31" s="1" t="str">
        <f t="shared" si="2"/>
        <v>37.567,126.835333333333</v>
      </c>
    </row>
    <row r="32" spans="3:13" ht="24" customHeight="1">
      <c r="C32" s="34" t="s">
        <v>39</v>
      </c>
      <c r="D32" s="27">
        <v>37</v>
      </c>
      <c r="E32" s="23">
        <v>34</v>
      </c>
      <c r="F32" s="23">
        <v>0.9</v>
      </c>
      <c r="G32" s="23">
        <v>126</v>
      </c>
      <c r="H32" s="23">
        <v>50</v>
      </c>
      <c r="I32" s="23">
        <v>6.9</v>
      </c>
      <c r="J32" s="24">
        <f t="shared" si="0"/>
        <v>37.566916666666671</v>
      </c>
      <c r="K32" s="28">
        <f t="shared" si="1"/>
        <v>126.83525</v>
      </c>
      <c r="L32" s="1"/>
      <c r="M32" s="1" t="str">
        <f t="shared" si="2"/>
        <v>37.5669166666667,126.83525</v>
      </c>
    </row>
    <row r="33" spans="3:13" ht="24" customHeight="1" thickBot="1">
      <c r="C33" s="34" t="s">
        <v>40</v>
      </c>
      <c r="D33" s="27">
        <v>37</v>
      </c>
      <c r="E33" s="23">
        <v>34</v>
      </c>
      <c r="F33" s="23">
        <v>0.7</v>
      </c>
      <c r="G33" s="23">
        <v>126</v>
      </c>
      <c r="H33" s="23">
        <v>50</v>
      </c>
      <c r="I33" s="23">
        <v>6.7</v>
      </c>
      <c r="J33" s="24">
        <f t="shared" si="0"/>
        <v>37.566861111111116</v>
      </c>
      <c r="K33" s="28">
        <f t="shared" si="1"/>
        <v>126.83519444444444</v>
      </c>
      <c r="L33" s="1"/>
      <c r="M33" s="1" t="str">
        <f t="shared" si="2"/>
        <v>37.5668611111111,126.835194444444</v>
      </c>
    </row>
    <row r="34" spans="3:13" ht="24" customHeight="1" thickBot="1">
      <c r="C34" s="34" t="s">
        <v>41</v>
      </c>
      <c r="D34" s="27">
        <v>37</v>
      </c>
      <c r="E34" s="23">
        <v>34</v>
      </c>
      <c r="F34" s="23">
        <v>0.7</v>
      </c>
      <c r="G34" s="23">
        <v>126</v>
      </c>
      <c r="H34" s="23">
        <v>50</v>
      </c>
      <c r="I34" s="23">
        <v>6.4</v>
      </c>
      <c r="J34" s="24">
        <f t="shared" si="0"/>
        <v>37.566861111111116</v>
      </c>
      <c r="K34" s="28">
        <f t="shared" si="1"/>
        <v>126.8351111111111</v>
      </c>
      <c r="L34" s="1"/>
      <c r="M34" s="32" t="str">
        <f t="shared" si="2"/>
        <v>37.5668611111111,126.835111111111</v>
      </c>
    </row>
    <row r="35" spans="3:13" ht="24" customHeight="1">
      <c r="C35" s="34" t="s">
        <v>42</v>
      </c>
      <c r="D35" s="27"/>
      <c r="E35" s="23"/>
      <c r="F35" s="23"/>
      <c r="G35" s="23"/>
      <c r="H35" s="23"/>
      <c r="I35" s="23"/>
      <c r="J35" s="24">
        <f t="shared" si="0"/>
        <v>0</v>
      </c>
      <c r="K35" s="28">
        <f t="shared" si="1"/>
        <v>0</v>
      </c>
      <c r="L35" s="1"/>
      <c r="M35" s="1" t="str">
        <f xml:space="preserve"> J35 &amp; "," &amp; K35</f>
        <v>0,0</v>
      </c>
    </row>
    <row r="36" spans="3:13" ht="24" customHeight="1">
      <c r="C36" s="34" t="s">
        <v>43</v>
      </c>
      <c r="D36" s="27"/>
      <c r="E36" s="23"/>
      <c r="F36" s="23"/>
      <c r="G36" s="23"/>
      <c r="H36" s="23"/>
      <c r="I36" s="23"/>
      <c r="J36" s="24">
        <f t="shared" si="0"/>
        <v>0</v>
      </c>
      <c r="K36" s="28">
        <f t="shared" si="1"/>
        <v>0</v>
      </c>
      <c r="L36" s="1"/>
      <c r="M36" s="1" t="str">
        <f t="shared" si="2"/>
        <v>0,0</v>
      </c>
    </row>
    <row r="37" spans="3:13" ht="24" customHeight="1">
      <c r="C37" s="34" t="s">
        <v>44</v>
      </c>
      <c r="D37" s="27"/>
      <c r="E37" s="23"/>
      <c r="F37" s="23"/>
      <c r="G37" s="23"/>
      <c r="H37" s="23"/>
      <c r="I37" s="23"/>
      <c r="J37" s="24">
        <f t="shared" si="0"/>
        <v>0</v>
      </c>
      <c r="K37" s="28">
        <f t="shared" si="1"/>
        <v>0</v>
      </c>
      <c r="L37" s="1"/>
      <c r="M37" s="1" t="str">
        <f t="shared" si="2"/>
        <v>0,0</v>
      </c>
    </row>
    <row r="38" spans="3:13" ht="24" customHeight="1">
      <c r="C38" s="34" t="s">
        <v>45</v>
      </c>
      <c r="D38" s="27"/>
      <c r="E38" s="23"/>
      <c r="F38" s="23"/>
      <c r="G38" s="23"/>
      <c r="H38" s="23"/>
      <c r="I38" s="23"/>
      <c r="J38" s="24">
        <f t="shared" si="0"/>
        <v>0</v>
      </c>
      <c r="K38" s="28">
        <f t="shared" si="1"/>
        <v>0</v>
      </c>
      <c r="L38" s="1"/>
      <c r="M38" s="1" t="str">
        <f t="shared" si="2"/>
        <v>0,0</v>
      </c>
    </row>
    <row r="39" spans="3:13" ht="24" customHeight="1">
      <c r="C39" s="34" t="s">
        <v>46</v>
      </c>
      <c r="D39" s="27"/>
      <c r="E39" s="23"/>
      <c r="F39" s="23"/>
      <c r="G39" s="23"/>
      <c r="H39" s="23"/>
      <c r="I39" s="23"/>
      <c r="J39" s="24">
        <f t="shared" si="0"/>
        <v>0</v>
      </c>
      <c r="K39" s="28">
        <f t="shared" si="1"/>
        <v>0</v>
      </c>
      <c r="L39" s="1"/>
      <c r="M39" s="1" t="str">
        <f t="shared" si="2"/>
        <v>0,0</v>
      </c>
    </row>
    <row r="40" spans="3:13" ht="24" customHeight="1">
      <c r="C40" s="34" t="s">
        <v>47</v>
      </c>
      <c r="D40" s="27"/>
      <c r="E40" s="23"/>
      <c r="F40" s="23"/>
      <c r="G40" s="23"/>
      <c r="H40" s="23"/>
      <c r="I40" s="23"/>
      <c r="J40" s="24">
        <f t="shared" si="0"/>
        <v>0</v>
      </c>
      <c r="K40" s="28">
        <f t="shared" si="1"/>
        <v>0</v>
      </c>
      <c r="L40" s="1"/>
      <c r="M40" s="1" t="str">
        <f t="shared" si="2"/>
        <v>0,0</v>
      </c>
    </row>
    <row r="41" spans="3:13" ht="24" customHeight="1">
      <c r="C41" s="34" t="s">
        <v>48</v>
      </c>
      <c r="D41" s="27"/>
      <c r="E41" s="23"/>
      <c r="F41" s="23"/>
      <c r="G41" s="23"/>
      <c r="H41" s="23"/>
      <c r="I41" s="23"/>
      <c r="J41" s="24">
        <f t="shared" si="0"/>
        <v>0</v>
      </c>
      <c r="K41" s="28">
        <f t="shared" si="1"/>
        <v>0</v>
      </c>
      <c r="L41" s="1"/>
      <c r="M41" s="1" t="str">
        <f t="shared" si="2"/>
        <v>0,0</v>
      </c>
    </row>
    <row r="42" spans="3:13" ht="24" customHeight="1">
      <c r="C42" s="34" t="s">
        <v>49</v>
      </c>
      <c r="D42" s="27"/>
      <c r="E42" s="23"/>
      <c r="F42" s="23"/>
      <c r="G42" s="23"/>
      <c r="H42" s="23"/>
      <c r="I42" s="23"/>
      <c r="J42" s="24">
        <f t="shared" si="0"/>
        <v>0</v>
      </c>
      <c r="K42" s="28">
        <f t="shared" si="1"/>
        <v>0</v>
      </c>
      <c r="L42" s="1"/>
      <c r="M42" s="1" t="str">
        <f t="shared" si="2"/>
        <v>0,0</v>
      </c>
    </row>
    <row r="43" spans="3:13" ht="24" customHeight="1">
      <c r="C43" s="34" t="s">
        <v>50</v>
      </c>
      <c r="D43" s="27"/>
      <c r="E43" s="23"/>
      <c r="F43" s="23"/>
      <c r="G43" s="23"/>
      <c r="H43" s="23"/>
      <c r="I43" s="23"/>
      <c r="J43" s="24">
        <f t="shared" si="0"/>
        <v>0</v>
      </c>
      <c r="K43" s="28">
        <f t="shared" si="1"/>
        <v>0</v>
      </c>
      <c r="L43" s="1"/>
      <c r="M43" s="1" t="str">
        <f t="shared" si="2"/>
        <v>0,0</v>
      </c>
    </row>
    <row r="44" spans="3:13" ht="24" customHeight="1">
      <c r="C44" s="34" t="s">
        <v>51</v>
      </c>
      <c r="D44" s="27"/>
      <c r="E44" s="23"/>
      <c r="F44" s="23"/>
      <c r="G44" s="23"/>
      <c r="H44" s="23"/>
      <c r="I44" s="23"/>
      <c r="J44" s="24">
        <f t="shared" si="0"/>
        <v>0</v>
      </c>
      <c r="K44" s="28">
        <f t="shared" si="1"/>
        <v>0</v>
      </c>
      <c r="L44" s="1"/>
      <c r="M44" s="1" t="str">
        <f t="shared" si="2"/>
        <v>0,0</v>
      </c>
    </row>
    <row r="45" spans="3:13" ht="24" customHeight="1">
      <c r="C45" s="34" t="s">
        <v>52</v>
      </c>
      <c r="D45" s="27"/>
      <c r="E45" s="23"/>
      <c r="F45" s="23"/>
      <c r="G45" s="23"/>
      <c r="H45" s="23"/>
      <c r="I45" s="23"/>
      <c r="J45" s="24">
        <f t="shared" si="0"/>
        <v>0</v>
      </c>
      <c r="K45" s="28">
        <f t="shared" si="1"/>
        <v>0</v>
      </c>
      <c r="L45" s="1"/>
      <c r="M45" s="1" t="str">
        <f t="shared" si="2"/>
        <v>0,0</v>
      </c>
    </row>
    <row r="46" spans="3:13" ht="24" customHeight="1" thickBot="1">
      <c r="C46" s="34" t="s">
        <v>53</v>
      </c>
      <c r="D46" s="8"/>
      <c r="E46" s="9"/>
      <c r="F46" s="9"/>
      <c r="G46" s="9"/>
      <c r="H46" s="9"/>
      <c r="I46" s="9"/>
      <c r="J46" s="24">
        <f t="shared" si="0"/>
        <v>0</v>
      </c>
      <c r="K46" s="28">
        <f t="shared" si="1"/>
        <v>0</v>
      </c>
      <c r="L46" s="1"/>
      <c r="M46" s="1" t="str">
        <f t="shared" si="2"/>
        <v>0,0</v>
      </c>
    </row>
  </sheetData>
  <mergeCells count="6">
    <mergeCell ref="D2:I2"/>
    <mergeCell ref="J2:K2"/>
    <mergeCell ref="D3:F3"/>
    <mergeCell ref="G3:I3"/>
    <mergeCell ref="J3:J4"/>
    <mergeCell ref="K3:K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DMS -&gt; Degree</vt:lpstr>
      <vt:lpstr>Degree -&gt; DMS</vt:lpstr>
      <vt:lpstr>Main</vt:lpstr>
    </vt:vector>
  </TitlesOfParts>
  <Company>openmate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korea</dc:creator>
  <cp:lastModifiedBy>minhwasoo</cp:lastModifiedBy>
  <dcterms:created xsi:type="dcterms:W3CDTF">2011-02-11T04:52:29Z</dcterms:created>
  <dcterms:modified xsi:type="dcterms:W3CDTF">2024-06-25T10:15:49Z</dcterms:modified>
</cp:coreProperties>
</file>